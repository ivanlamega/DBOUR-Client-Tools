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15" windowWidth="22515" windowHeight="11715"/>
  </bookViews>
  <sheets>
    <sheet name="Item_Enchant_Data" sheetId="18" r:id="rId1"/>
    <sheet name="Item_Enchant_Old" sheetId="14" r:id="rId2"/>
    <sheet name="Tblidx_Rule" sheetId="15" r:id="rId3"/>
    <sheet name="시스템이펙트 참고자료" sheetId="16" r:id="rId4"/>
    <sheet name="Tblidx_Rule_Old" sheetId="11" r:id="rId5"/>
  </sheets>
  <externalReferences>
    <externalReference r:id="rId6"/>
  </externalReferences>
  <definedNames>
    <definedName name="_xlnm._FilterDatabase" localSheetId="1" hidden="1">Item_Enchant_Old!$A$6:$A$1173</definedName>
    <definedName name="_xlnm.Criteria" localSheetId="1">Item_Enchant_Old!$A$6:$A$1173</definedName>
    <definedName name="_xlnm.Extract" localSheetId="1">Item_Enchant_Old!$BH$6</definedName>
    <definedName name="REF_DATA">[1]Format_Reference!$A$5:$IV$104</definedName>
    <definedName name="REF_OPT">[1]Item_Option_Reference!$A$5:$IV$104</definedName>
  </definedNames>
  <calcPr calcId="145621"/>
</workbook>
</file>

<file path=xl/calcChain.xml><?xml version="1.0" encoding="utf-8"?>
<calcChain xmlns="http://schemas.openxmlformats.org/spreadsheetml/2006/main">
  <c r="A1108" i="18" l="1"/>
  <c r="B1108" i="18"/>
  <c r="C1108" i="18"/>
  <c r="D1108" i="18"/>
  <c r="E1108" i="18"/>
  <c r="F1108" i="18"/>
  <c r="G1108" i="18"/>
  <c r="H1108" i="18"/>
  <c r="I1108" i="18"/>
  <c r="J1108" i="18"/>
  <c r="K1108" i="18"/>
  <c r="L1108" i="18"/>
  <c r="M1108" i="18"/>
  <c r="N1108" i="18"/>
  <c r="O1108" i="18"/>
  <c r="P1108" i="18"/>
  <c r="Q1108" i="18"/>
  <c r="R1108" i="18"/>
  <c r="A1109" i="18"/>
  <c r="B1109" i="18"/>
  <c r="C1109" i="18"/>
  <c r="D1109" i="18"/>
  <c r="E1109" i="18"/>
  <c r="F1109" i="18"/>
  <c r="G1109" i="18"/>
  <c r="H1109" i="18"/>
  <c r="I1109" i="18"/>
  <c r="J1109" i="18"/>
  <c r="K1109" i="18"/>
  <c r="L1109" i="18"/>
  <c r="M1109" i="18"/>
  <c r="N1109" i="18"/>
  <c r="O1109" i="18"/>
  <c r="P1109" i="18"/>
  <c r="Q1109" i="18"/>
  <c r="R1109" i="18"/>
  <c r="A1110" i="18"/>
  <c r="B1110" i="18"/>
  <c r="C1110" i="18"/>
  <c r="D1110" i="18"/>
  <c r="E1110" i="18"/>
  <c r="F1110" i="18"/>
  <c r="G1110" i="18"/>
  <c r="H1110" i="18"/>
  <c r="I1110" i="18"/>
  <c r="J1110" i="18"/>
  <c r="K1110" i="18"/>
  <c r="L1110" i="18"/>
  <c r="M1110" i="18"/>
  <c r="N1110" i="18"/>
  <c r="O1110" i="18"/>
  <c r="P1110" i="18"/>
  <c r="Q1110" i="18"/>
  <c r="R1110" i="18"/>
  <c r="A1111" i="18"/>
  <c r="B1111" i="18"/>
  <c r="C1111" i="18"/>
  <c r="D1111" i="18"/>
  <c r="E1111" i="18"/>
  <c r="F1111" i="18"/>
  <c r="G1111" i="18"/>
  <c r="H1111" i="18"/>
  <c r="I1111" i="18"/>
  <c r="J1111" i="18"/>
  <c r="K1111" i="18"/>
  <c r="L1111" i="18"/>
  <c r="M1111" i="18"/>
  <c r="N1111" i="18"/>
  <c r="O1111" i="18"/>
  <c r="P1111" i="18"/>
  <c r="Q1111" i="18"/>
  <c r="R1111" i="18"/>
  <c r="A1112" i="18"/>
  <c r="B1112" i="18"/>
  <c r="C1112" i="18"/>
  <c r="D1112" i="18"/>
  <c r="E1112" i="18"/>
  <c r="F1112" i="18"/>
  <c r="G1112" i="18"/>
  <c r="H1112" i="18"/>
  <c r="I1112" i="18"/>
  <c r="J1112" i="18"/>
  <c r="K1112" i="18"/>
  <c r="L1112" i="18"/>
  <c r="M1112" i="18"/>
  <c r="N1112" i="18"/>
  <c r="O1112" i="18"/>
  <c r="P1112" i="18"/>
  <c r="Q1112" i="18"/>
  <c r="R1112" i="18"/>
  <c r="A1113" i="18"/>
  <c r="B1113" i="18"/>
  <c r="C1113" i="18"/>
  <c r="D1113" i="18"/>
  <c r="E1113" i="18"/>
  <c r="F1113" i="18"/>
  <c r="G1113" i="18"/>
  <c r="H1113" i="18"/>
  <c r="I1113" i="18"/>
  <c r="J1113" i="18"/>
  <c r="K1113" i="18"/>
  <c r="L1113" i="18"/>
  <c r="M1113" i="18"/>
  <c r="N1113" i="18"/>
  <c r="O1113" i="18"/>
  <c r="P1113" i="18"/>
  <c r="Q1113" i="18"/>
  <c r="R1113" i="18"/>
  <c r="A1114" i="18"/>
  <c r="B1114" i="18"/>
  <c r="C1114" i="18"/>
  <c r="D1114" i="18"/>
  <c r="E1114" i="18"/>
  <c r="F1114" i="18"/>
  <c r="G1114" i="18"/>
  <c r="H1114" i="18"/>
  <c r="I1114" i="18"/>
  <c r="J1114" i="18"/>
  <c r="K1114" i="18"/>
  <c r="L1114" i="18"/>
  <c r="M1114" i="18"/>
  <c r="N1114" i="18"/>
  <c r="O1114" i="18"/>
  <c r="P1114" i="18"/>
  <c r="Q1114" i="18"/>
  <c r="R1114" i="18"/>
  <c r="A1115" i="18"/>
  <c r="B1115" i="18"/>
  <c r="C1115" i="18"/>
  <c r="D1115" i="18"/>
  <c r="E1115" i="18"/>
  <c r="F1115" i="18"/>
  <c r="G1115" i="18"/>
  <c r="H1115" i="18"/>
  <c r="I1115" i="18"/>
  <c r="J1115" i="18"/>
  <c r="K1115" i="18"/>
  <c r="L1115" i="18"/>
  <c r="M1115" i="18"/>
  <c r="N1115" i="18"/>
  <c r="O1115" i="18"/>
  <c r="P1115" i="18"/>
  <c r="Q1115" i="18"/>
  <c r="R1115" i="18"/>
  <c r="A1116" i="18"/>
  <c r="B1116" i="18"/>
  <c r="C1116" i="18"/>
  <c r="D1116" i="18"/>
  <c r="E1116" i="18"/>
  <c r="F1116" i="18"/>
  <c r="G1116" i="18"/>
  <c r="H1116" i="18"/>
  <c r="I1116" i="18"/>
  <c r="J1116" i="18"/>
  <c r="K1116" i="18"/>
  <c r="L1116" i="18"/>
  <c r="M1116" i="18"/>
  <c r="N1116" i="18"/>
  <c r="O1116" i="18"/>
  <c r="P1116" i="18"/>
  <c r="Q1116" i="18"/>
  <c r="R1116" i="18"/>
  <c r="A1117" i="18"/>
  <c r="B1117" i="18"/>
  <c r="C1117" i="18"/>
  <c r="D1117" i="18"/>
  <c r="E1117" i="18"/>
  <c r="F1117" i="18"/>
  <c r="G1117" i="18"/>
  <c r="H1117" i="18"/>
  <c r="I1117" i="18"/>
  <c r="J1117" i="18"/>
  <c r="K1117" i="18"/>
  <c r="L1117" i="18"/>
  <c r="M1117" i="18"/>
  <c r="N1117" i="18"/>
  <c r="O1117" i="18"/>
  <c r="P1117" i="18"/>
  <c r="Q1117" i="18"/>
  <c r="R1117" i="18"/>
  <c r="A1118" i="18"/>
  <c r="B1118" i="18"/>
  <c r="C1118" i="18"/>
  <c r="D1118" i="18"/>
  <c r="E1118" i="18"/>
  <c r="F1118" i="18"/>
  <c r="G1118" i="18"/>
  <c r="H1118" i="18"/>
  <c r="I1118" i="18"/>
  <c r="J1118" i="18"/>
  <c r="K1118" i="18"/>
  <c r="L1118" i="18"/>
  <c r="M1118" i="18"/>
  <c r="N1118" i="18"/>
  <c r="O1118" i="18"/>
  <c r="P1118" i="18"/>
  <c r="Q1118" i="18"/>
  <c r="R1118" i="18"/>
  <c r="A1119" i="18"/>
  <c r="B1119" i="18"/>
  <c r="C1119" i="18"/>
  <c r="D1119" i="18"/>
  <c r="E1119" i="18"/>
  <c r="F1119" i="18"/>
  <c r="G1119" i="18"/>
  <c r="H1119" i="18"/>
  <c r="I1119" i="18"/>
  <c r="J1119" i="18"/>
  <c r="K1119" i="18"/>
  <c r="L1119" i="18"/>
  <c r="M1119" i="18"/>
  <c r="N1119" i="18"/>
  <c r="O1119" i="18"/>
  <c r="P1119" i="18"/>
  <c r="Q1119" i="18"/>
  <c r="R1119" i="18"/>
  <c r="A1120" i="18"/>
  <c r="B1120" i="18"/>
  <c r="C1120" i="18"/>
  <c r="D1120" i="18"/>
  <c r="E1120" i="18"/>
  <c r="F1120" i="18"/>
  <c r="G1120" i="18"/>
  <c r="H1120" i="18"/>
  <c r="I1120" i="18"/>
  <c r="J1120" i="18"/>
  <c r="K1120" i="18"/>
  <c r="L1120" i="18"/>
  <c r="M1120" i="18"/>
  <c r="N1120" i="18"/>
  <c r="O1120" i="18"/>
  <c r="P1120" i="18"/>
  <c r="Q1120" i="18"/>
  <c r="R1120" i="18"/>
  <c r="A1121" i="18"/>
  <c r="B1121" i="18"/>
  <c r="C1121" i="18"/>
  <c r="D1121" i="18"/>
  <c r="E1121" i="18"/>
  <c r="F1121" i="18"/>
  <c r="G1121" i="18"/>
  <c r="H1121" i="18"/>
  <c r="I1121" i="18"/>
  <c r="J1121" i="18"/>
  <c r="K1121" i="18"/>
  <c r="L1121" i="18"/>
  <c r="M1121" i="18"/>
  <c r="N1121" i="18"/>
  <c r="O1121" i="18"/>
  <c r="P1121" i="18"/>
  <c r="Q1121" i="18"/>
  <c r="R1121" i="18"/>
  <c r="A1122" i="18"/>
  <c r="B1122" i="18"/>
  <c r="C1122" i="18"/>
  <c r="D1122" i="18"/>
  <c r="E1122" i="18"/>
  <c r="F1122" i="18"/>
  <c r="G1122" i="18"/>
  <c r="H1122" i="18"/>
  <c r="I1122" i="18"/>
  <c r="J1122" i="18"/>
  <c r="K1122" i="18"/>
  <c r="L1122" i="18"/>
  <c r="M1122" i="18"/>
  <c r="N1122" i="18"/>
  <c r="O1122" i="18"/>
  <c r="P1122" i="18"/>
  <c r="Q1122" i="18"/>
  <c r="R1122" i="18"/>
  <c r="A1123" i="18"/>
  <c r="B1123" i="18"/>
  <c r="C1123" i="18"/>
  <c r="D1123" i="18"/>
  <c r="E1123" i="18"/>
  <c r="F1123" i="18"/>
  <c r="G1123" i="18"/>
  <c r="H1123" i="18"/>
  <c r="I1123" i="18"/>
  <c r="J1123" i="18"/>
  <c r="K1123" i="18"/>
  <c r="L1123" i="18"/>
  <c r="M1123" i="18"/>
  <c r="N1123" i="18"/>
  <c r="O1123" i="18"/>
  <c r="P1123" i="18"/>
  <c r="Q1123" i="18"/>
  <c r="R1123" i="18"/>
  <c r="A1124" i="18"/>
  <c r="B1124" i="18"/>
  <c r="C1124" i="18"/>
  <c r="D1124" i="18"/>
  <c r="E1124" i="18"/>
  <c r="F1124" i="18"/>
  <c r="G1124" i="18"/>
  <c r="H1124" i="18"/>
  <c r="I1124" i="18"/>
  <c r="J1124" i="18"/>
  <c r="K1124" i="18"/>
  <c r="L1124" i="18"/>
  <c r="M1124" i="18"/>
  <c r="N1124" i="18"/>
  <c r="O1124" i="18"/>
  <c r="P1124" i="18"/>
  <c r="Q1124" i="18"/>
  <c r="R1124" i="18"/>
  <c r="A1125" i="18"/>
  <c r="B1125" i="18"/>
  <c r="C1125" i="18"/>
  <c r="D1125" i="18"/>
  <c r="E1125" i="18"/>
  <c r="F1125" i="18"/>
  <c r="G1125" i="18"/>
  <c r="H1125" i="18"/>
  <c r="I1125" i="18"/>
  <c r="J1125" i="18"/>
  <c r="K1125" i="18"/>
  <c r="L1125" i="18"/>
  <c r="M1125" i="18"/>
  <c r="N1125" i="18"/>
  <c r="O1125" i="18"/>
  <c r="P1125" i="18"/>
  <c r="Q1125" i="18"/>
  <c r="R1125" i="18"/>
  <c r="A1126" i="18"/>
  <c r="B1126" i="18"/>
  <c r="C1126" i="18"/>
  <c r="D1126" i="18"/>
  <c r="E1126" i="18"/>
  <c r="F1126" i="18"/>
  <c r="G1126" i="18"/>
  <c r="H1126" i="18"/>
  <c r="I1126" i="18"/>
  <c r="J1126" i="18"/>
  <c r="K1126" i="18"/>
  <c r="L1126" i="18"/>
  <c r="M1126" i="18"/>
  <c r="N1126" i="18"/>
  <c r="O1126" i="18"/>
  <c r="P1126" i="18"/>
  <c r="Q1126" i="18"/>
  <c r="R1126" i="18"/>
  <c r="A1127" i="18"/>
  <c r="B1127" i="18"/>
  <c r="C1127" i="18"/>
  <c r="D1127" i="18"/>
  <c r="E1127" i="18"/>
  <c r="F1127" i="18"/>
  <c r="G1127" i="18"/>
  <c r="H1127" i="18"/>
  <c r="I1127" i="18"/>
  <c r="J1127" i="18"/>
  <c r="K1127" i="18"/>
  <c r="L1127" i="18"/>
  <c r="M1127" i="18"/>
  <c r="N1127" i="18"/>
  <c r="O1127" i="18"/>
  <c r="P1127" i="18"/>
  <c r="Q1127" i="18"/>
  <c r="R1127" i="18"/>
  <c r="A1128" i="18"/>
  <c r="B1128" i="18"/>
  <c r="C1128" i="18"/>
  <c r="D1128" i="18"/>
  <c r="E1128" i="18"/>
  <c r="F1128" i="18"/>
  <c r="G1128" i="18"/>
  <c r="H1128" i="18"/>
  <c r="I1128" i="18"/>
  <c r="J1128" i="18"/>
  <c r="K1128" i="18"/>
  <c r="L1128" i="18"/>
  <c r="M1128" i="18"/>
  <c r="N1128" i="18"/>
  <c r="O1128" i="18"/>
  <c r="P1128" i="18"/>
  <c r="Q1128" i="18"/>
  <c r="R1128" i="18"/>
  <c r="A1129" i="18"/>
  <c r="B1129" i="18"/>
  <c r="C1129" i="18"/>
  <c r="D1129" i="18"/>
  <c r="E1129" i="18"/>
  <c r="F1129" i="18"/>
  <c r="G1129" i="18"/>
  <c r="H1129" i="18"/>
  <c r="I1129" i="18"/>
  <c r="J1129" i="18"/>
  <c r="K1129" i="18"/>
  <c r="L1129" i="18"/>
  <c r="M1129" i="18"/>
  <c r="N1129" i="18"/>
  <c r="O1129" i="18"/>
  <c r="P1129" i="18"/>
  <c r="Q1129" i="18"/>
  <c r="R1129" i="18"/>
  <c r="A1130" i="18"/>
  <c r="B1130" i="18"/>
  <c r="C1130" i="18"/>
  <c r="D1130" i="18"/>
  <c r="E1130" i="18"/>
  <c r="F1130" i="18"/>
  <c r="G1130" i="18"/>
  <c r="H1130" i="18"/>
  <c r="I1130" i="18"/>
  <c r="J1130" i="18"/>
  <c r="K1130" i="18"/>
  <c r="L1130" i="18"/>
  <c r="M1130" i="18"/>
  <c r="N1130" i="18"/>
  <c r="O1130" i="18"/>
  <c r="P1130" i="18"/>
  <c r="Q1130" i="18"/>
  <c r="R1130" i="18"/>
  <c r="A1131" i="18"/>
  <c r="B1131" i="18"/>
  <c r="C1131" i="18"/>
  <c r="D1131" i="18"/>
  <c r="E1131" i="18"/>
  <c r="F1131" i="18"/>
  <c r="G1131" i="18"/>
  <c r="H1131" i="18"/>
  <c r="I1131" i="18"/>
  <c r="J1131" i="18"/>
  <c r="K1131" i="18"/>
  <c r="L1131" i="18"/>
  <c r="M1131" i="18"/>
  <c r="N1131" i="18"/>
  <c r="O1131" i="18"/>
  <c r="P1131" i="18"/>
  <c r="Q1131" i="18"/>
  <c r="R1131" i="18"/>
  <c r="A1132" i="18"/>
  <c r="B1132" i="18"/>
  <c r="C1132" i="18"/>
  <c r="D1132" i="18"/>
  <c r="E1132" i="18"/>
  <c r="F1132" i="18"/>
  <c r="G1132" i="18"/>
  <c r="H1132" i="18"/>
  <c r="I1132" i="18"/>
  <c r="J1132" i="18"/>
  <c r="K1132" i="18"/>
  <c r="L1132" i="18"/>
  <c r="M1132" i="18"/>
  <c r="N1132" i="18"/>
  <c r="O1132" i="18"/>
  <c r="P1132" i="18"/>
  <c r="Q1132" i="18"/>
  <c r="R1132" i="18"/>
  <c r="A1133" i="18"/>
  <c r="B1133" i="18"/>
  <c r="C1133" i="18"/>
  <c r="D1133" i="18"/>
  <c r="E1133" i="18"/>
  <c r="F1133" i="18"/>
  <c r="G1133" i="18"/>
  <c r="H1133" i="18"/>
  <c r="I1133" i="18"/>
  <c r="J1133" i="18"/>
  <c r="K1133" i="18"/>
  <c r="L1133" i="18"/>
  <c r="M1133" i="18"/>
  <c r="N1133" i="18"/>
  <c r="O1133" i="18"/>
  <c r="P1133" i="18"/>
  <c r="Q1133" i="18"/>
  <c r="R1133" i="18"/>
  <c r="A1134" i="18"/>
  <c r="B1134" i="18"/>
  <c r="C1134" i="18"/>
  <c r="D1134" i="18"/>
  <c r="E1134" i="18"/>
  <c r="F1134" i="18"/>
  <c r="G1134" i="18"/>
  <c r="H1134" i="18"/>
  <c r="I1134" i="18"/>
  <c r="J1134" i="18"/>
  <c r="K1134" i="18"/>
  <c r="L1134" i="18"/>
  <c r="M1134" i="18"/>
  <c r="N1134" i="18"/>
  <c r="O1134" i="18"/>
  <c r="P1134" i="18"/>
  <c r="Q1134" i="18"/>
  <c r="R1134" i="18"/>
  <c r="A1135" i="18"/>
  <c r="B1135" i="18"/>
  <c r="C1135" i="18"/>
  <c r="D1135" i="18"/>
  <c r="E1135" i="18"/>
  <c r="F1135" i="18"/>
  <c r="G1135" i="18"/>
  <c r="H1135" i="18"/>
  <c r="I1135" i="18"/>
  <c r="J1135" i="18"/>
  <c r="K1135" i="18"/>
  <c r="L1135" i="18"/>
  <c r="M1135" i="18"/>
  <c r="N1135" i="18"/>
  <c r="O1135" i="18"/>
  <c r="P1135" i="18"/>
  <c r="Q1135" i="18"/>
  <c r="R1135" i="18"/>
  <c r="A1136" i="18"/>
  <c r="B1136" i="18"/>
  <c r="C1136" i="18"/>
  <c r="D1136" i="18"/>
  <c r="E1136" i="18"/>
  <c r="F1136" i="18"/>
  <c r="G1136" i="18"/>
  <c r="H1136" i="18"/>
  <c r="I1136" i="18"/>
  <c r="J1136" i="18"/>
  <c r="K1136" i="18"/>
  <c r="L1136" i="18"/>
  <c r="M1136" i="18"/>
  <c r="N1136" i="18"/>
  <c r="O1136" i="18"/>
  <c r="P1136" i="18"/>
  <c r="Q1136" i="18"/>
  <c r="R1136" i="18"/>
  <c r="A1137" i="18"/>
  <c r="B1137" i="18"/>
  <c r="C1137" i="18"/>
  <c r="D1137" i="18"/>
  <c r="E1137" i="18"/>
  <c r="F1137" i="18"/>
  <c r="G1137" i="18"/>
  <c r="H1137" i="18"/>
  <c r="I1137" i="18"/>
  <c r="J1137" i="18"/>
  <c r="K1137" i="18"/>
  <c r="L1137" i="18"/>
  <c r="M1137" i="18"/>
  <c r="N1137" i="18"/>
  <c r="O1137" i="18"/>
  <c r="P1137" i="18"/>
  <c r="Q1137" i="18"/>
  <c r="R1137" i="18"/>
  <c r="A1138" i="18"/>
  <c r="B1138" i="18"/>
  <c r="C1138" i="18"/>
  <c r="D1138" i="18"/>
  <c r="E1138" i="18"/>
  <c r="F1138" i="18"/>
  <c r="G1138" i="18"/>
  <c r="H1138" i="18"/>
  <c r="I1138" i="18"/>
  <c r="J1138" i="18"/>
  <c r="K1138" i="18"/>
  <c r="L1138" i="18"/>
  <c r="M1138" i="18"/>
  <c r="N1138" i="18"/>
  <c r="O1138" i="18"/>
  <c r="P1138" i="18"/>
  <c r="Q1138" i="18"/>
  <c r="R1138" i="18"/>
  <c r="A1139" i="18"/>
  <c r="B1139" i="18"/>
  <c r="C1139" i="18"/>
  <c r="D1139" i="18"/>
  <c r="E1139" i="18"/>
  <c r="F1139" i="18"/>
  <c r="G1139" i="18"/>
  <c r="H1139" i="18"/>
  <c r="I1139" i="18"/>
  <c r="J1139" i="18"/>
  <c r="K1139" i="18"/>
  <c r="L1139" i="18"/>
  <c r="M1139" i="18"/>
  <c r="N1139" i="18"/>
  <c r="O1139" i="18"/>
  <c r="P1139" i="18"/>
  <c r="Q1139" i="18"/>
  <c r="R1139" i="18"/>
  <c r="A1140" i="18"/>
  <c r="B1140" i="18"/>
  <c r="C1140" i="18"/>
  <c r="D1140" i="18"/>
  <c r="E1140" i="18"/>
  <c r="F1140" i="18"/>
  <c r="G1140" i="18"/>
  <c r="H1140" i="18"/>
  <c r="I1140" i="18"/>
  <c r="J1140" i="18"/>
  <c r="K1140" i="18"/>
  <c r="L1140" i="18"/>
  <c r="M1140" i="18"/>
  <c r="N1140" i="18"/>
  <c r="O1140" i="18"/>
  <c r="P1140" i="18"/>
  <c r="Q1140" i="18"/>
  <c r="R1140" i="18"/>
  <c r="A1141" i="18"/>
  <c r="B1141" i="18"/>
  <c r="C1141" i="18"/>
  <c r="D1141" i="18"/>
  <c r="E1141" i="18"/>
  <c r="F1141" i="18"/>
  <c r="G1141" i="18"/>
  <c r="H1141" i="18"/>
  <c r="I1141" i="18"/>
  <c r="J1141" i="18"/>
  <c r="K1141" i="18"/>
  <c r="L1141" i="18"/>
  <c r="M1141" i="18"/>
  <c r="N1141" i="18"/>
  <c r="O1141" i="18"/>
  <c r="P1141" i="18"/>
  <c r="Q1141" i="18"/>
  <c r="R1141" i="18"/>
  <c r="A1142" i="18"/>
  <c r="B1142" i="18"/>
  <c r="C1142" i="18"/>
  <c r="D1142" i="18"/>
  <c r="E1142" i="18"/>
  <c r="F1142" i="18"/>
  <c r="G1142" i="18"/>
  <c r="H1142" i="18"/>
  <c r="I1142" i="18"/>
  <c r="J1142" i="18"/>
  <c r="K1142" i="18"/>
  <c r="L1142" i="18"/>
  <c r="M1142" i="18"/>
  <c r="N1142" i="18"/>
  <c r="O1142" i="18"/>
  <c r="P1142" i="18"/>
  <c r="Q1142" i="18"/>
  <c r="R1142" i="18"/>
  <c r="A1143" i="18"/>
  <c r="B1143" i="18"/>
  <c r="C1143" i="18"/>
  <c r="D1143" i="18"/>
  <c r="E1143" i="18"/>
  <c r="F1143" i="18"/>
  <c r="G1143" i="18"/>
  <c r="H1143" i="18"/>
  <c r="I1143" i="18"/>
  <c r="J1143" i="18"/>
  <c r="K1143" i="18"/>
  <c r="L1143" i="18"/>
  <c r="M1143" i="18"/>
  <c r="N1143" i="18"/>
  <c r="O1143" i="18"/>
  <c r="P1143" i="18"/>
  <c r="Q1143" i="18"/>
  <c r="R1143" i="18"/>
  <c r="A1144" i="18"/>
  <c r="B1144" i="18"/>
  <c r="C1144" i="18"/>
  <c r="D1144" i="18"/>
  <c r="E1144" i="18"/>
  <c r="F1144" i="18"/>
  <c r="G1144" i="18"/>
  <c r="H1144" i="18"/>
  <c r="I1144" i="18"/>
  <c r="J1144" i="18"/>
  <c r="K1144" i="18"/>
  <c r="L1144" i="18"/>
  <c r="M1144" i="18"/>
  <c r="N1144" i="18"/>
  <c r="O1144" i="18"/>
  <c r="P1144" i="18"/>
  <c r="Q1144" i="18"/>
  <c r="R1144" i="18"/>
  <c r="A1145" i="18"/>
  <c r="B1145" i="18"/>
  <c r="C1145" i="18"/>
  <c r="D1145" i="18"/>
  <c r="E1145" i="18"/>
  <c r="F1145" i="18"/>
  <c r="G1145" i="18"/>
  <c r="H1145" i="18"/>
  <c r="I1145" i="18"/>
  <c r="J1145" i="18"/>
  <c r="K1145" i="18"/>
  <c r="L1145" i="18"/>
  <c r="M1145" i="18"/>
  <c r="N1145" i="18"/>
  <c r="O1145" i="18"/>
  <c r="P1145" i="18"/>
  <c r="Q1145" i="18"/>
  <c r="R1145" i="18"/>
  <c r="A1146" i="18"/>
  <c r="B1146" i="18"/>
  <c r="C1146" i="18"/>
  <c r="D1146" i="18"/>
  <c r="E1146" i="18"/>
  <c r="F1146" i="18"/>
  <c r="G1146" i="18"/>
  <c r="H1146" i="18"/>
  <c r="I1146" i="18"/>
  <c r="J1146" i="18"/>
  <c r="K1146" i="18"/>
  <c r="L1146" i="18"/>
  <c r="M1146" i="18"/>
  <c r="N1146" i="18"/>
  <c r="O1146" i="18"/>
  <c r="P1146" i="18"/>
  <c r="Q1146" i="18"/>
  <c r="R1146" i="18"/>
  <c r="A1147" i="18"/>
  <c r="B1147" i="18"/>
  <c r="C1147" i="18"/>
  <c r="D1147" i="18"/>
  <c r="E1147" i="18"/>
  <c r="F1147" i="18"/>
  <c r="G1147" i="18"/>
  <c r="H1147" i="18"/>
  <c r="I1147" i="18"/>
  <c r="J1147" i="18"/>
  <c r="K1147" i="18"/>
  <c r="L1147" i="18"/>
  <c r="M1147" i="18"/>
  <c r="N1147" i="18"/>
  <c r="O1147" i="18"/>
  <c r="P1147" i="18"/>
  <c r="Q1147" i="18"/>
  <c r="R1147" i="18"/>
  <c r="A1148" i="18"/>
  <c r="B1148" i="18"/>
  <c r="C1148" i="18"/>
  <c r="D1148" i="18"/>
  <c r="E1148" i="18"/>
  <c r="F1148" i="18"/>
  <c r="G1148" i="18"/>
  <c r="H1148" i="18"/>
  <c r="I1148" i="18"/>
  <c r="J1148" i="18"/>
  <c r="K1148" i="18"/>
  <c r="L1148" i="18"/>
  <c r="M1148" i="18"/>
  <c r="N1148" i="18"/>
  <c r="O1148" i="18"/>
  <c r="P1148" i="18"/>
  <c r="Q1148" i="18"/>
  <c r="R1148" i="18"/>
  <c r="A1149" i="18"/>
  <c r="B1149" i="18"/>
  <c r="C1149" i="18"/>
  <c r="D1149" i="18"/>
  <c r="E1149" i="18"/>
  <c r="F1149" i="18"/>
  <c r="G1149" i="18"/>
  <c r="H1149" i="18"/>
  <c r="I1149" i="18"/>
  <c r="J1149" i="18"/>
  <c r="K1149" i="18"/>
  <c r="L1149" i="18"/>
  <c r="M1149" i="18"/>
  <c r="N1149" i="18"/>
  <c r="O1149" i="18"/>
  <c r="P1149" i="18"/>
  <c r="Q1149" i="18"/>
  <c r="R1149" i="18"/>
  <c r="A1150" i="18"/>
  <c r="B1150" i="18"/>
  <c r="C1150" i="18"/>
  <c r="D1150" i="18"/>
  <c r="E1150" i="18"/>
  <c r="F1150" i="18"/>
  <c r="G1150" i="18"/>
  <c r="H1150" i="18"/>
  <c r="I1150" i="18"/>
  <c r="J1150" i="18"/>
  <c r="K1150" i="18"/>
  <c r="L1150" i="18"/>
  <c r="M1150" i="18"/>
  <c r="N1150" i="18"/>
  <c r="O1150" i="18"/>
  <c r="P1150" i="18"/>
  <c r="Q1150" i="18"/>
  <c r="R1150" i="18"/>
  <c r="A1151" i="18"/>
  <c r="B1151" i="18"/>
  <c r="C1151" i="18"/>
  <c r="D1151" i="18"/>
  <c r="E1151" i="18"/>
  <c r="F1151" i="18"/>
  <c r="G1151" i="18"/>
  <c r="H1151" i="18"/>
  <c r="I1151" i="18"/>
  <c r="J1151" i="18"/>
  <c r="K1151" i="18"/>
  <c r="L1151" i="18"/>
  <c r="M1151" i="18"/>
  <c r="N1151" i="18"/>
  <c r="O1151" i="18"/>
  <c r="P1151" i="18"/>
  <c r="Q1151" i="18"/>
  <c r="R1151" i="18"/>
  <c r="A1152" i="18"/>
  <c r="B1152" i="18"/>
  <c r="C1152" i="18"/>
  <c r="D1152" i="18"/>
  <c r="E1152" i="18"/>
  <c r="F1152" i="18"/>
  <c r="G1152" i="18"/>
  <c r="H1152" i="18"/>
  <c r="I1152" i="18"/>
  <c r="J1152" i="18"/>
  <c r="K1152" i="18"/>
  <c r="L1152" i="18"/>
  <c r="M1152" i="18"/>
  <c r="N1152" i="18"/>
  <c r="O1152" i="18"/>
  <c r="P1152" i="18"/>
  <c r="Q1152" i="18"/>
  <c r="R1152" i="18"/>
  <c r="A1153" i="18"/>
  <c r="B1153" i="18"/>
  <c r="C1153" i="18"/>
  <c r="D1153" i="18"/>
  <c r="E1153" i="18"/>
  <c r="F1153" i="18"/>
  <c r="G1153" i="18"/>
  <c r="H1153" i="18"/>
  <c r="I1153" i="18"/>
  <c r="J1153" i="18"/>
  <c r="K1153" i="18"/>
  <c r="L1153" i="18"/>
  <c r="M1153" i="18"/>
  <c r="N1153" i="18"/>
  <c r="O1153" i="18"/>
  <c r="P1153" i="18"/>
  <c r="Q1153" i="18"/>
  <c r="R1153" i="18"/>
  <c r="A1154" i="18"/>
  <c r="B1154" i="18"/>
  <c r="C1154" i="18"/>
  <c r="D1154" i="18"/>
  <c r="E1154" i="18"/>
  <c r="F1154" i="18"/>
  <c r="G1154" i="18"/>
  <c r="H1154" i="18"/>
  <c r="I1154" i="18"/>
  <c r="J1154" i="18"/>
  <c r="K1154" i="18"/>
  <c r="L1154" i="18"/>
  <c r="M1154" i="18"/>
  <c r="N1154" i="18"/>
  <c r="O1154" i="18"/>
  <c r="P1154" i="18"/>
  <c r="Q1154" i="18"/>
  <c r="R1154" i="18"/>
  <c r="A1155" i="18"/>
  <c r="B1155" i="18"/>
  <c r="C1155" i="18"/>
  <c r="D1155" i="18"/>
  <c r="E1155" i="18"/>
  <c r="F1155" i="18"/>
  <c r="G1155" i="18"/>
  <c r="H1155" i="18"/>
  <c r="I1155" i="18"/>
  <c r="J1155" i="18"/>
  <c r="K1155" i="18"/>
  <c r="L1155" i="18"/>
  <c r="M1155" i="18"/>
  <c r="N1155" i="18"/>
  <c r="O1155" i="18"/>
  <c r="P1155" i="18"/>
  <c r="Q1155" i="18"/>
  <c r="R1155" i="18"/>
  <c r="A1156" i="18"/>
  <c r="B1156" i="18"/>
  <c r="C1156" i="18"/>
  <c r="D1156" i="18"/>
  <c r="E1156" i="18"/>
  <c r="F1156" i="18"/>
  <c r="G1156" i="18"/>
  <c r="H1156" i="18"/>
  <c r="I1156" i="18"/>
  <c r="J1156" i="18"/>
  <c r="K1156" i="18"/>
  <c r="L1156" i="18"/>
  <c r="M1156" i="18"/>
  <c r="N1156" i="18"/>
  <c r="O1156" i="18"/>
  <c r="P1156" i="18"/>
  <c r="Q1156" i="18"/>
  <c r="R1156" i="18"/>
  <c r="A1157" i="18"/>
  <c r="B1157" i="18"/>
  <c r="C1157" i="18"/>
  <c r="D1157" i="18"/>
  <c r="E1157" i="18"/>
  <c r="F1157" i="18"/>
  <c r="G1157" i="18"/>
  <c r="H1157" i="18"/>
  <c r="I1157" i="18"/>
  <c r="J1157" i="18"/>
  <c r="K1157" i="18"/>
  <c r="L1157" i="18"/>
  <c r="M1157" i="18"/>
  <c r="N1157" i="18"/>
  <c r="O1157" i="18"/>
  <c r="P1157" i="18"/>
  <c r="Q1157" i="18"/>
  <c r="R1157" i="18"/>
  <c r="A1158" i="18"/>
  <c r="B1158" i="18"/>
  <c r="C1158" i="18"/>
  <c r="D1158" i="18"/>
  <c r="E1158" i="18"/>
  <c r="F1158" i="18"/>
  <c r="G1158" i="18"/>
  <c r="H1158" i="18"/>
  <c r="I1158" i="18"/>
  <c r="J1158" i="18"/>
  <c r="K1158" i="18"/>
  <c r="L1158" i="18"/>
  <c r="M1158" i="18"/>
  <c r="N1158" i="18"/>
  <c r="O1158" i="18"/>
  <c r="P1158" i="18"/>
  <c r="Q1158" i="18"/>
  <c r="R1158" i="18"/>
  <c r="A1159" i="18"/>
  <c r="B1159" i="18"/>
  <c r="C1159" i="18"/>
  <c r="D1159" i="18"/>
  <c r="E1159" i="18"/>
  <c r="F1159" i="18"/>
  <c r="G1159" i="18"/>
  <c r="H1159" i="18"/>
  <c r="I1159" i="18"/>
  <c r="J1159" i="18"/>
  <c r="K1159" i="18"/>
  <c r="L1159" i="18"/>
  <c r="M1159" i="18"/>
  <c r="N1159" i="18"/>
  <c r="O1159" i="18"/>
  <c r="P1159" i="18"/>
  <c r="Q1159" i="18"/>
  <c r="R1159" i="18"/>
  <c r="A1160" i="18"/>
  <c r="B1160" i="18"/>
  <c r="C1160" i="18"/>
  <c r="D1160" i="18"/>
  <c r="E1160" i="18"/>
  <c r="F1160" i="18"/>
  <c r="G1160" i="18"/>
  <c r="H1160" i="18"/>
  <c r="I1160" i="18"/>
  <c r="J1160" i="18"/>
  <c r="K1160" i="18"/>
  <c r="L1160" i="18"/>
  <c r="M1160" i="18"/>
  <c r="N1160" i="18"/>
  <c r="O1160" i="18"/>
  <c r="P1160" i="18"/>
  <c r="Q1160" i="18"/>
  <c r="R1160" i="18"/>
  <c r="A1161" i="18"/>
  <c r="B1161" i="18"/>
  <c r="C1161" i="18"/>
  <c r="D1161" i="18"/>
  <c r="E1161" i="18"/>
  <c r="F1161" i="18"/>
  <c r="G1161" i="18"/>
  <c r="H1161" i="18"/>
  <c r="I1161" i="18"/>
  <c r="J1161" i="18"/>
  <c r="K1161" i="18"/>
  <c r="L1161" i="18"/>
  <c r="M1161" i="18"/>
  <c r="N1161" i="18"/>
  <c r="O1161" i="18"/>
  <c r="P1161" i="18"/>
  <c r="Q1161" i="18"/>
  <c r="R1161" i="18"/>
  <c r="A1162" i="18"/>
  <c r="B1162" i="18"/>
  <c r="C1162" i="18"/>
  <c r="D1162" i="18"/>
  <c r="E1162" i="18"/>
  <c r="F1162" i="18"/>
  <c r="G1162" i="18"/>
  <c r="H1162" i="18"/>
  <c r="I1162" i="18"/>
  <c r="J1162" i="18"/>
  <c r="K1162" i="18"/>
  <c r="L1162" i="18"/>
  <c r="M1162" i="18"/>
  <c r="N1162" i="18"/>
  <c r="O1162" i="18"/>
  <c r="P1162" i="18"/>
  <c r="Q1162" i="18"/>
  <c r="R1162" i="18"/>
  <c r="A1163" i="18"/>
  <c r="B1163" i="18"/>
  <c r="C1163" i="18"/>
  <c r="D1163" i="18"/>
  <c r="E1163" i="18"/>
  <c r="F1163" i="18"/>
  <c r="G1163" i="18"/>
  <c r="H1163" i="18"/>
  <c r="I1163" i="18"/>
  <c r="J1163" i="18"/>
  <c r="K1163" i="18"/>
  <c r="L1163" i="18"/>
  <c r="M1163" i="18"/>
  <c r="N1163" i="18"/>
  <c r="O1163" i="18"/>
  <c r="P1163" i="18"/>
  <c r="Q1163" i="18"/>
  <c r="R1163" i="18"/>
  <c r="A1164" i="18"/>
  <c r="B1164" i="18"/>
  <c r="C1164" i="18"/>
  <c r="D1164" i="18"/>
  <c r="E1164" i="18"/>
  <c r="F1164" i="18"/>
  <c r="G1164" i="18"/>
  <c r="H1164" i="18"/>
  <c r="I1164" i="18"/>
  <c r="J1164" i="18"/>
  <c r="K1164" i="18"/>
  <c r="L1164" i="18"/>
  <c r="M1164" i="18"/>
  <c r="N1164" i="18"/>
  <c r="O1164" i="18"/>
  <c r="P1164" i="18"/>
  <c r="Q1164" i="18"/>
  <c r="R1164" i="18"/>
  <c r="A1165" i="18"/>
  <c r="B1165" i="18"/>
  <c r="C1165" i="18"/>
  <c r="D1165" i="18"/>
  <c r="E1165" i="18"/>
  <c r="F1165" i="18"/>
  <c r="G1165" i="18"/>
  <c r="H1165" i="18"/>
  <c r="I1165" i="18"/>
  <c r="J1165" i="18"/>
  <c r="K1165" i="18"/>
  <c r="L1165" i="18"/>
  <c r="M1165" i="18"/>
  <c r="N1165" i="18"/>
  <c r="O1165" i="18"/>
  <c r="P1165" i="18"/>
  <c r="Q1165" i="18"/>
  <c r="R1165" i="18"/>
  <c r="A1166" i="18"/>
  <c r="B1166" i="18"/>
  <c r="C1166" i="18"/>
  <c r="D1166" i="18"/>
  <c r="E1166" i="18"/>
  <c r="F1166" i="18"/>
  <c r="G1166" i="18"/>
  <c r="H1166" i="18"/>
  <c r="I1166" i="18"/>
  <c r="J1166" i="18"/>
  <c r="K1166" i="18"/>
  <c r="L1166" i="18"/>
  <c r="M1166" i="18"/>
  <c r="N1166" i="18"/>
  <c r="O1166" i="18"/>
  <c r="P1166" i="18"/>
  <c r="Q1166" i="18"/>
  <c r="R1166" i="18"/>
  <c r="A1167" i="18"/>
  <c r="B1167" i="18"/>
  <c r="C1167" i="18"/>
  <c r="D1167" i="18"/>
  <c r="E1167" i="18"/>
  <c r="F1167" i="18"/>
  <c r="G1167" i="18"/>
  <c r="H1167" i="18"/>
  <c r="I1167" i="18"/>
  <c r="J1167" i="18"/>
  <c r="K1167" i="18"/>
  <c r="L1167" i="18"/>
  <c r="M1167" i="18"/>
  <c r="N1167" i="18"/>
  <c r="O1167" i="18"/>
  <c r="P1167" i="18"/>
  <c r="Q1167" i="18"/>
  <c r="R1167" i="18"/>
  <c r="A1168" i="18"/>
  <c r="B1168" i="18"/>
  <c r="C1168" i="18"/>
  <c r="D1168" i="18"/>
  <c r="E1168" i="18"/>
  <c r="F1168" i="18"/>
  <c r="G1168" i="18"/>
  <c r="H1168" i="18"/>
  <c r="I1168" i="18"/>
  <c r="J1168" i="18"/>
  <c r="K1168" i="18"/>
  <c r="L1168" i="18"/>
  <c r="M1168" i="18"/>
  <c r="N1168" i="18"/>
  <c r="O1168" i="18"/>
  <c r="P1168" i="18"/>
  <c r="Q1168" i="18"/>
  <c r="R1168" i="18"/>
  <c r="A1169" i="18"/>
  <c r="B1169" i="18"/>
  <c r="C1169" i="18"/>
  <c r="D1169" i="18"/>
  <c r="E1169" i="18"/>
  <c r="F1169" i="18"/>
  <c r="G1169" i="18"/>
  <c r="H1169" i="18"/>
  <c r="I1169" i="18"/>
  <c r="J1169" i="18"/>
  <c r="K1169" i="18"/>
  <c r="L1169" i="18"/>
  <c r="M1169" i="18"/>
  <c r="N1169" i="18"/>
  <c r="O1169" i="18"/>
  <c r="P1169" i="18"/>
  <c r="Q1169" i="18"/>
  <c r="R1169" i="18"/>
  <c r="A1170" i="18"/>
  <c r="B1170" i="18"/>
  <c r="C1170" i="18"/>
  <c r="D1170" i="18"/>
  <c r="E1170" i="18"/>
  <c r="F1170" i="18"/>
  <c r="G1170" i="18"/>
  <c r="H1170" i="18"/>
  <c r="I1170" i="18"/>
  <c r="J1170" i="18"/>
  <c r="K1170" i="18"/>
  <c r="L1170" i="18"/>
  <c r="M1170" i="18"/>
  <c r="N1170" i="18"/>
  <c r="O1170" i="18"/>
  <c r="P1170" i="18"/>
  <c r="Q1170" i="18"/>
  <c r="R1170" i="18"/>
  <c r="A1171" i="18"/>
  <c r="B1171" i="18"/>
  <c r="C1171" i="18"/>
  <c r="D1171" i="18"/>
  <c r="E1171" i="18"/>
  <c r="F1171" i="18"/>
  <c r="G1171" i="18"/>
  <c r="H1171" i="18"/>
  <c r="I1171" i="18"/>
  <c r="J1171" i="18"/>
  <c r="K1171" i="18"/>
  <c r="L1171" i="18"/>
  <c r="M1171" i="18"/>
  <c r="N1171" i="18"/>
  <c r="O1171" i="18"/>
  <c r="P1171" i="18"/>
  <c r="Q1171" i="18"/>
  <c r="R1171" i="18"/>
  <c r="A1172" i="18"/>
  <c r="B1172" i="18"/>
  <c r="C1172" i="18"/>
  <c r="D1172" i="18"/>
  <c r="E1172" i="18"/>
  <c r="F1172" i="18"/>
  <c r="G1172" i="18"/>
  <c r="H1172" i="18"/>
  <c r="I1172" i="18"/>
  <c r="J1172" i="18"/>
  <c r="K1172" i="18"/>
  <c r="L1172" i="18"/>
  <c r="M1172" i="18"/>
  <c r="N1172" i="18"/>
  <c r="O1172" i="18"/>
  <c r="P1172" i="18"/>
  <c r="Q1172" i="18"/>
  <c r="R1172" i="18"/>
  <c r="A1173" i="18"/>
  <c r="B1173" i="18"/>
  <c r="C1173" i="18"/>
  <c r="D1173" i="18"/>
  <c r="E1173" i="18"/>
  <c r="F1173" i="18"/>
  <c r="G1173" i="18"/>
  <c r="H1173" i="18"/>
  <c r="I1173" i="18"/>
  <c r="J1173" i="18"/>
  <c r="K1173" i="18"/>
  <c r="L1173" i="18"/>
  <c r="M1173" i="18"/>
  <c r="N1173" i="18"/>
  <c r="O1173" i="18"/>
  <c r="P1173" i="18"/>
  <c r="Q1173" i="18"/>
  <c r="R1173" i="18"/>
  <c r="A3" i="18" l="1"/>
  <c r="C3" i="18"/>
  <c r="E3" i="18"/>
  <c r="F3" i="18"/>
  <c r="H3" i="18"/>
  <c r="I3" i="18"/>
  <c r="K3" i="18"/>
  <c r="L3" i="18"/>
  <c r="M3" i="18"/>
  <c r="O3" i="18"/>
  <c r="P3" i="18"/>
  <c r="Q3" i="18"/>
  <c r="R3" i="18"/>
  <c r="A4" i="18"/>
  <c r="C4" i="18"/>
  <c r="E4" i="18"/>
  <c r="F4" i="18"/>
  <c r="H4" i="18"/>
  <c r="I4" i="18"/>
  <c r="K4" i="18"/>
  <c r="L4" i="18"/>
  <c r="M4" i="18"/>
  <c r="O4" i="18"/>
  <c r="P4" i="18"/>
  <c r="Q4" i="18"/>
  <c r="R4" i="18"/>
  <c r="A5" i="18"/>
  <c r="C5" i="18"/>
  <c r="E5" i="18"/>
  <c r="F5" i="18"/>
  <c r="H5" i="18"/>
  <c r="I5" i="18"/>
  <c r="K5" i="18"/>
  <c r="L5" i="18"/>
  <c r="M5" i="18"/>
  <c r="O5" i="18"/>
  <c r="P5" i="18"/>
  <c r="Q5" i="18"/>
  <c r="R5" i="18"/>
  <c r="A6" i="18"/>
  <c r="C6" i="18"/>
  <c r="E6" i="18"/>
  <c r="F6" i="18"/>
  <c r="H6" i="18"/>
  <c r="I6" i="18"/>
  <c r="K6" i="18"/>
  <c r="L6" i="18"/>
  <c r="M6" i="18"/>
  <c r="O6" i="18"/>
  <c r="P6" i="18"/>
  <c r="Q6" i="18"/>
  <c r="R6" i="18"/>
  <c r="A7" i="18"/>
  <c r="C7" i="18"/>
  <c r="E7" i="18"/>
  <c r="F7" i="18"/>
  <c r="H7" i="18"/>
  <c r="I7" i="18"/>
  <c r="K7" i="18"/>
  <c r="L7" i="18"/>
  <c r="M7" i="18"/>
  <c r="O7" i="18"/>
  <c r="P7" i="18"/>
  <c r="Q7" i="18"/>
  <c r="R7" i="18"/>
  <c r="A8" i="18"/>
  <c r="C8" i="18"/>
  <c r="E8" i="18"/>
  <c r="F8" i="18"/>
  <c r="H8" i="18"/>
  <c r="I8" i="18"/>
  <c r="K8" i="18"/>
  <c r="L8" i="18"/>
  <c r="M8" i="18"/>
  <c r="O8" i="18"/>
  <c r="P8" i="18"/>
  <c r="Q8" i="18"/>
  <c r="R8" i="18"/>
  <c r="A9" i="18"/>
  <c r="C9" i="18"/>
  <c r="E9" i="18"/>
  <c r="F9" i="18"/>
  <c r="H9" i="18"/>
  <c r="I9" i="18"/>
  <c r="K9" i="18"/>
  <c r="L9" i="18"/>
  <c r="M9" i="18"/>
  <c r="O9" i="18"/>
  <c r="P9" i="18"/>
  <c r="Q9" i="18"/>
  <c r="R9" i="18"/>
  <c r="A10" i="18"/>
  <c r="C10" i="18"/>
  <c r="E10" i="18"/>
  <c r="F10" i="18"/>
  <c r="H10" i="18"/>
  <c r="I10" i="18"/>
  <c r="K10" i="18"/>
  <c r="L10" i="18"/>
  <c r="M10" i="18"/>
  <c r="O10" i="18"/>
  <c r="P10" i="18"/>
  <c r="Q10" i="18"/>
  <c r="R10" i="18"/>
  <c r="A11" i="18"/>
  <c r="C11" i="18"/>
  <c r="E11" i="18"/>
  <c r="F11" i="18"/>
  <c r="H11" i="18"/>
  <c r="I11" i="18"/>
  <c r="K11" i="18"/>
  <c r="L11" i="18"/>
  <c r="M11" i="18"/>
  <c r="O11" i="18"/>
  <c r="P11" i="18"/>
  <c r="Q11" i="18"/>
  <c r="R11" i="18"/>
  <c r="A12" i="18"/>
  <c r="C12" i="18"/>
  <c r="E12" i="18"/>
  <c r="F12" i="18"/>
  <c r="H12" i="18"/>
  <c r="I12" i="18"/>
  <c r="K12" i="18"/>
  <c r="L12" i="18"/>
  <c r="M12" i="18"/>
  <c r="O12" i="18"/>
  <c r="P12" i="18"/>
  <c r="Q12" i="18"/>
  <c r="R12" i="18"/>
  <c r="A13" i="18"/>
  <c r="C13" i="18"/>
  <c r="E13" i="18"/>
  <c r="F13" i="18"/>
  <c r="H13" i="18"/>
  <c r="I13" i="18"/>
  <c r="K13" i="18"/>
  <c r="L13" i="18"/>
  <c r="M13" i="18"/>
  <c r="O13" i="18"/>
  <c r="P13" i="18"/>
  <c r="Q13" i="18"/>
  <c r="R13" i="18"/>
  <c r="A14" i="18"/>
  <c r="C14" i="18"/>
  <c r="E14" i="18"/>
  <c r="F14" i="18"/>
  <c r="H14" i="18"/>
  <c r="I14" i="18"/>
  <c r="K14" i="18"/>
  <c r="L14" i="18"/>
  <c r="M14" i="18"/>
  <c r="O14" i="18"/>
  <c r="P14" i="18"/>
  <c r="Q14" i="18"/>
  <c r="R14" i="18"/>
  <c r="A15" i="18"/>
  <c r="C15" i="18"/>
  <c r="E15" i="18"/>
  <c r="F15" i="18"/>
  <c r="H15" i="18"/>
  <c r="I15" i="18"/>
  <c r="K15" i="18"/>
  <c r="L15" i="18"/>
  <c r="M15" i="18"/>
  <c r="O15" i="18"/>
  <c r="P15" i="18"/>
  <c r="Q15" i="18"/>
  <c r="R15" i="18"/>
  <c r="A16" i="18"/>
  <c r="C16" i="18"/>
  <c r="E16" i="18"/>
  <c r="F16" i="18"/>
  <c r="H16" i="18"/>
  <c r="I16" i="18"/>
  <c r="K16" i="18"/>
  <c r="L16" i="18"/>
  <c r="M16" i="18"/>
  <c r="O16" i="18"/>
  <c r="P16" i="18"/>
  <c r="Q16" i="18"/>
  <c r="R16" i="18"/>
  <c r="A17" i="18"/>
  <c r="C17" i="18"/>
  <c r="E17" i="18"/>
  <c r="F17" i="18"/>
  <c r="H17" i="18"/>
  <c r="I17" i="18"/>
  <c r="K17" i="18"/>
  <c r="L17" i="18"/>
  <c r="M17" i="18"/>
  <c r="O17" i="18"/>
  <c r="P17" i="18"/>
  <c r="Q17" i="18"/>
  <c r="R17" i="18"/>
  <c r="A18" i="18"/>
  <c r="C18" i="18"/>
  <c r="E18" i="18"/>
  <c r="F18" i="18"/>
  <c r="H18" i="18"/>
  <c r="I18" i="18"/>
  <c r="K18" i="18"/>
  <c r="L18" i="18"/>
  <c r="M18" i="18"/>
  <c r="O18" i="18"/>
  <c r="P18" i="18"/>
  <c r="Q18" i="18"/>
  <c r="R18" i="18"/>
  <c r="A19" i="18"/>
  <c r="C19" i="18"/>
  <c r="E19" i="18"/>
  <c r="F19" i="18"/>
  <c r="H19" i="18"/>
  <c r="I19" i="18"/>
  <c r="K19" i="18"/>
  <c r="L19" i="18"/>
  <c r="M19" i="18"/>
  <c r="O19" i="18"/>
  <c r="P19" i="18"/>
  <c r="Q19" i="18"/>
  <c r="R19" i="18"/>
  <c r="A20" i="18"/>
  <c r="C20" i="18"/>
  <c r="E20" i="18"/>
  <c r="F20" i="18"/>
  <c r="H20" i="18"/>
  <c r="I20" i="18"/>
  <c r="K20" i="18"/>
  <c r="L20" i="18"/>
  <c r="M20" i="18"/>
  <c r="O20" i="18"/>
  <c r="P20" i="18"/>
  <c r="Q20" i="18"/>
  <c r="R20" i="18"/>
  <c r="A21" i="18"/>
  <c r="C21" i="18"/>
  <c r="E21" i="18"/>
  <c r="F21" i="18"/>
  <c r="H21" i="18"/>
  <c r="I21" i="18"/>
  <c r="K21" i="18"/>
  <c r="L21" i="18"/>
  <c r="M21" i="18"/>
  <c r="O21" i="18"/>
  <c r="P21" i="18"/>
  <c r="Q21" i="18"/>
  <c r="R21" i="18"/>
  <c r="A22" i="18"/>
  <c r="C22" i="18"/>
  <c r="E22" i="18"/>
  <c r="F22" i="18"/>
  <c r="H22" i="18"/>
  <c r="I22" i="18"/>
  <c r="K22" i="18"/>
  <c r="L22" i="18"/>
  <c r="M22" i="18"/>
  <c r="O22" i="18"/>
  <c r="P22" i="18"/>
  <c r="Q22" i="18"/>
  <c r="R22" i="18"/>
  <c r="A23" i="18"/>
  <c r="C23" i="18"/>
  <c r="E23" i="18"/>
  <c r="F23" i="18"/>
  <c r="H23" i="18"/>
  <c r="I23" i="18"/>
  <c r="K23" i="18"/>
  <c r="L23" i="18"/>
  <c r="M23" i="18"/>
  <c r="O23" i="18"/>
  <c r="P23" i="18"/>
  <c r="Q23" i="18"/>
  <c r="R23" i="18"/>
  <c r="A24" i="18"/>
  <c r="C24" i="18"/>
  <c r="E24" i="18"/>
  <c r="F24" i="18"/>
  <c r="H24" i="18"/>
  <c r="I24" i="18"/>
  <c r="K24" i="18"/>
  <c r="L24" i="18"/>
  <c r="M24" i="18"/>
  <c r="O24" i="18"/>
  <c r="P24" i="18"/>
  <c r="Q24" i="18"/>
  <c r="R24" i="18"/>
  <c r="A25" i="18"/>
  <c r="C25" i="18"/>
  <c r="E25" i="18"/>
  <c r="F25" i="18"/>
  <c r="H25" i="18"/>
  <c r="I25" i="18"/>
  <c r="K25" i="18"/>
  <c r="L25" i="18"/>
  <c r="M25" i="18"/>
  <c r="O25" i="18"/>
  <c r="P25" i="18"/>
  <c r="Q25" i="18"/>
  <c r="R25" i="18"/>
  <c r="A26" i="18"/>
  <c r="C26" i="18"/>
  <c r="E26" i="18"/>
  <c r="F26" i="18"/>
  <c r="H26" i="18"/>
  <c r="I26" i="18"/>
  <c r="K26" i="18"/>
  <c r="L26" i="18"/>
  <c r="M26" i="18"/>
  <c r="O26" i="18"/>
  <c r="P26" i="18"/>
  <c r="Q26" i="18"/>
  <c r="R26" i="18"/>
  <c r="A27" i="18"/>
  <c r="C27" i="18"/>
  <c r="E27" i="18"/>
  <c r="F27" i="18"/>
  <c r="H27" i="18"/>
  <c r="I27" i="18"/>
  <c r="K27" i="18"/>
  <c r="L27" i="18"/>
  <c r="M27" i="18"/>
  <c r="O27" i="18"/>
  <c r="P27" i="18"/>
  <c r="Q27" i="18"/>
  <c r="R27" i="18"/>
  <c r="A28" i="18"/>
  <c r="C28" i="18"/>
  <c r="E28" i="18"/>
  <c r="F28" i="18"/>
  <c r="H28" i="18"/>
  <c r="I28" i="18"/>
  <c r="K28" i="18"/>
  <c r="L28" i="18"/>
  <c r="M28" i="18"/>
  <c r="O28" i="18"/>
  <c r="P28" i="18"/>
  <c r="Q28" i="18"/>
  <c r="R28" i="18"/>
  <c r="A29" i="18"/>
  <c r="C29" i="18"/>
  <c r="E29" i="18"/>
  <c r="F29" i="18"/>
  <c r="H29" i="18"/>
  <c r="I29" i="18"/>
  <c r="K29" i="18"/>
  <c r="L29" i="18"/>
  <c r="M29" i="18"/>
  <c r="O29" i="18"/>
  <c r="P29" i="18"/>
  <c r="Q29" i="18"/>
  <c r="R29" i="18"/>
  <c r="A30" i="18"/>
  <c r="C30" i="18"/>
  <c r="E30" i="18"/>
  <c r="F30" i="18"/>
  <c r="H30" i="18"/>
  <c r="I30" i="18"/>
  <c r="K30" i="18"/>
  <c r="L30" i="18"/>
  <c r="M30" i="18"/>
  <c r="O30" i="18"/>
  <c r="P30" i="18"/>
  <c r="Q30" i="18"/>
  <c r="R30" i="18"/>
  <c r="A31" i="18"/>
  <c r="C31" i="18"/>
  <c r="E31" i="18"/>
  <c r="F31" i="18"/>
  <c r="H31" i="18"/>
  <c r="I31" i="18"/>
  <c r="K31" i="18"/>
  <c r="L31" i="18"/>
  <c r="M31" i="18"/>
  <c r="O31" i="18"/>
  <c r="P31" i="18"/>
  <c r="Q31" i="18"/>
  <c r="R31" i="18"/>
  <c r="A32" i="18"/>
  <c r="C32" i="18"/>
  <c r="E32" i="18"/>
  <c r="F32" i="18"/>
  <c r="H32" i="18"/>
  <c r="I32" i="18"/>
  <c r="K32" i="18"/>
  <c r="L32" i="18"/>
  <c r="M32" i="18"/>
  <c r="O32" i="18"/>
  <c r="P32" i="18"/>
  <c r="Q32" i="18"/>
  <c r="R32" i="18"/>
  <c r="A33" i="18"/>
  <c r="C33" i="18"/>
  <c r="E33" i="18"/>
  <c r="F33" i="18"/>
  <c r="H33" i="18"/>
  <c r="I33" i="18"/>
  <c r="K33" i="18"/>
  <c r="L33" i="18"/>
  <c r="M33" i="18"/>
  <c r="O33" i="18"/>
  <c r="P33" i="18"/>
  <c r="Q33" i="18"/>
  <c r="R33" i="18"/>
  <c r="A34" i="18"/>
  <c r="C34" i="18"/>
  <c r="E34" i="18"/>
  <c r="F34" i="18"/>
  <c r="H34" i="18"/>
  <c r="I34" i="18"/>
  <c r="K34" i="18"/>
  <c r="L34" i="18"/>
  <c r="M34" i="18"/>
  <c r="O34" i="18"/>
  <c r="P34" i="18"/>
  <c r="Q34" i="18"/>
  <c r="R34" i="18"/>
  <c r="A35" i="18"/>
  <c r="C35" i="18"/>
  <c r="E35" i="18"/>
  <c r="F35" i="18"/>
  <c r="H35" i="18"/>
  <c r="I35" i="18"/>
  <c r="K35" i="18"/>
  <c r="L35" i="18"/>
  <c r="M35" i="18"/>
  <c r="O35" i="18"/>
  <c r="P35" i="18"/>
  <c r="Q35" i="18"/>
  <c r="R35" i="18"/>
  <c r="A36" i="18"/>
  <c r="C36" i="18"/>
  <c r="E36" i="18"/>
  <c r="F36" i="18"/>
  <c r="H36" i="18"/>
  <c r="I36" i="18"/>
  <c r="K36" i="18"/>
  <c r="L36" i="18"/>
  <c r="M36" i="18"/>
  <c r="O36" i="18"/>
  <c r="P36" i="18"/>
  <c r="Q36" i="18"/>
  <c r="R36" i="18"/>
  <c r="A37" i="18"/>
  <c r="C37" i="18"/>
  <c r="E37" i="18"/>
  <c r="F37" i="18"/>
  <c r="H37" i="18"/>
  <c r="I37" i="18"/>
  <c r="K37" i="18"/>
  <c r="L37" i="18"/>
  <c r="M37" i="18"/>
  <c r="O37" i="18"/>
  <c r="P37" i="18"/>
  <c r="Q37" i="18"/>
  <c r="R37" i="18"/>
  <c r="A38" i="18"/>
  <c r="C38" i="18"/>
  <c r="E38" i="18"/>
  <c r="F38" i="18"/>
  <c r="H38" i="18"/>
  <c r="I38" i="18"/>
  <c r="K38" i="18"/>
  <c r="L38" i="18"/>
  <c r="M38" i="18"/>
  <c r="O38" i="18"/>
  <c r="P38" i="18"/>
  <c r="Q38" i="18"/>
  <c r="R38" i="18"/>
  <c r="A39" i="18"/>
  <c r="C39" i="18"/>
  <c r="E39" i="18"/>
  <c r="F39" i="18"/>
  <c r="H39" i="18"/>
  <c r="I39" i="18"/>
  <c r="K39" i="18"/>
  <c r="L39" i="18"/>
  <c r="M39" i="18"/>
  <c r="O39" i="18"/>
  <c r="P39" i="18"/>
  <c r="Q39" i="18"/>
  <c r="R39" i="18"/>
  <c r="A40" i="18"/>
  <c r="C40" i="18"/>
  <c r="E40" i="18"/>
  <c r="F40" i="18"/>
  <c r="H40" i="18"/>
  <c r="I40" i="18"/>
  <c r="K40" i="18"/>
  <c r="L40" i="18"/>
  <c r="M40" i="18"/>
  <c r="O40" i="18"/>
  <c r="P40" i="18"/>
  <c r="Q40" i="18"/>
  <c r="R40" i="18"/>
  <c r="A41" i="18"/>
  <c r="C41" i="18"/>
  <c r="E41" i="18"/>
  <c r="F41" i="18"/>
  <c r="H41" i="18"/>
  <c r="I41" i="18"/>
  <c r="K41" i="18"/>
  <c r="L41" i="18"/>
  <c r="M41" i="18"/>
  <c r="O41" i="18"/>
  <c r="P41" i="18"/>
  <c r="Q41" i="18"/>
  <c r="R41" i="18"/>
  <c r="A42" i="18"/>
  <c r="C42" i="18"/>
  <c r="E42" i="18"/>
  <c r="F42" i="18"/>
  <c r="H42" i="18"/>
  <c r="I42" i="18"/>
  <c r="K42" i="18"/>
  <c r="L42" i="18"/>
  <c r="M42" i="18"/>
  <c r="O42" i="18"/>
  <c r="P42" i="18"/>
  <c r="Q42" i="18"/>
  <c r="R42" i="18"/>
  <c r="A43" i="18"/>
  <c r="C43" i="18"/>
  <c r="E43" i="18"/>
  <c r="F43" i="18"/>
  <c r="H43" i="18"/>
  <c r="I43" i="18"/>
  <c r="K43" i="18"/>
  <c r="L43" i="18"/>
  <c r="M43" i="18"/>
  <c r="O43" i="18"/>
  <c r="P43" i="18"/>
  <c r="Q43" i="18"/>
  <c r="R43" i="18"/>
  <c r="A44" i="18"/>
  <c r="C44" i="18"/>
  <c r="E44" i="18"/>
  <c r="F44" i="18"/>
  <c r="H44" i="18"/>
  <c r="I44" i="18"/>
  <c r="K44" i="18"/>
  <c r="L44" i="18"/>
  <c r="M44" i="18"/>
  <c r="O44" i="18"/>
  <c r="P44" i="18"/>
  <c r="Q44" i="18"/>
  <c r="R44" i="18"/>
  <c r="A45" i="18"/>
  <c r="C45" i="18"/>
  <c r="E45" i="18"/>
  <c r="F45" i="18"/>
  <c r="H45" i="18"/>
  <c r="I45" i="18"/>
  <c r="K45" i="18"/>
  <c r="L45" i="18"/>
  <c r="M45" i="18"/>
  <c r="O45" i="18"/>
  <c r="P45" i="18"/>
  <c r="Q45" i="18"/>
  <c r="R45" i="18"/>
  <c r="A46" i="18"/>
  <c r="C46" i="18"/>
  <c r="E46" i="18"/>
  <c r="F46" i="18"/>
  <c r="H46" i="18"/>
  <c r="I46" i="18"/>
  <c r="K46" i="18"/>
  <c r="L46" i="18"/>
  <c r="M46" i="18"/>
  <c r="O46" i="18"/>
  <c r="P46" i="18"/>
  <c r="Q46" i="18"/>
  <c r="R46" i="18"/>
  <c r="A47" i="18"/>
  <c r="C47" i="18"/>
  <c r="E47" i="18"/>
  <c r="F47" i="18"/>
  <c r="H47" i="18"/>
  <c r="I47" i="18"/>
  <c r="K47" i="18"/>
  <c r="L47" i="18"/>
  <c r="M47" i="18"/>
  <c r="O47" i="18"/>
  <c r="P47" i="18"/>
  <c r="Q47" i="18"/>
  <c r="R47" i="18"/>
  <c r="A48" i="18"/>
  <c r="C48" i="18"/>
  <c r="E48" i="18"/>
  <c r="F48" i="18"/>
  <c r="H48" i="18"/>
  <c r="I48" i="18"/>
  <c r="K48" i="18"/>
  <c r="L48" i="18"/>
  <c r="M48" i="18"/>
  <c r="O48" i="18"/>
  <c r="P48" i="18"/>
  <c r="Q48" i="18"/>
  <c r="R48" i="18"/>
  <c r="A49" i="18"/>
  <c r="C49" i="18"/>
  <c r="E49" i="18"/>
  <c r="F49" i="18"/>
  <c r="H49" i="18"/>
  <c r="I49" i="18"/>
  <c r="K49" i="18"/>
  <c r="L49" i="18"/>
  <c r="M49" i="18"/>
  <c r="O49" i="18"/>
  <c r="P49" i="18"/>
  <c r="Q49" i="18"/>
  <c r="R49" i="18"/>
  <c r="A50" i="18"/>
  <c r="C50" i="18"/>
  <c r="E50" i="18"/>
  <c r="F50" i="18"/>
  <c r="H50" i="18"/>
  <c r="I50" i="18"/>
  <c r="K50" i="18"/>
  <c r="L50" i="18"/>
  <c r="M50" i="18"/>
  <c r="O50" i="18"/>
  <c r="P50" i="18"/>
  <c r="Q50" i="18"/>
  <c r="R50" i="18"/>
  <c r="A51" i="18"/>
  <c r="C51" i="18"/>
  <c r="E51" i="18"/>
  <c r="F51" i="18"/>
  <c r="H51" i="18"/>
  <c r="I51" i="18"/>
  <c r="K51" i="18"/>
  <c r="L51" i="18"/>
  <c r="M51" i="18"/>
  <c r="O51" i="18"/>
  <c r="P51" i="18"/>
  <c r="Q51" i="18"/>
  <c r="R51" i="18"/>
  <c r="A52" i="18"/>
  <c r="C52" i="18"/>
  <c r="E52" i="18"/>
  <c r="F52" i="18"/>
  <c r="H52" i="18"/>
  <c r="I52" i="18"/>
  <c r="K52" i="18"/>
  <c r="L52" i="18"/>
  <c r="M52" i="18"/>
  <c r="O52" i="18"/>
  <c r="P52" i="18"/>
  <c r="Q52" i="18"/>
  <c r="R52" i="18"/>
  <c r="A53" i="18"/>
  <c r="C53" i="18"/>
  <c r="E53" i="18"/>
  <c r="F53" i="18"/>
  <c r="H53" i="18"/>
  <c r="I53" i="18"/>
  <c r="K53" i="18"/>
  <c r="L53" i="18"/>
  <c r="M53" i="18"/>
  <c r="O53" i="18"/>
  <c r="P53" i="18"/>
  <c r="Q53" i="18"/>
  <c r="R53" i="18"/>
  <c r="A54" i="18"/>
  <c r="C54" i="18"/>
  <c r="E54" i="18"/>
  <c r="F54" i="18"/>
  <c r="H54" i="18"/>
  <c r="I54" i="18"/>
  <c r="K54" i="18"/>
  <c r="L54" i="18"/>
  <c r="M54" i="18"/>
  <c r="O54" i="18"/>
  <c r="P54" i="18"/>
  <c r="Q54" i="18"/>
  <c r="R54" i="18"/>
  <c r="A55" i="18"/>
  <c r="C55" i="18"/>
  <c r="E55" i="18"/>
  <c r="F55" i="18"/>
  <c r="H55" i="18"/>
  <c r="I55" i="18"/>
  <c r="K55" i="18"/>
  <c r="L55" i="18"/>
  <c r="M55" i="18"/>
  <c r="O55" i="18"/>
  <c r="P55" i="18"/>
  <c r="Q55" i="18"/>
  <c r="R55" i="18"/>
  <c r="A56" i="18"/>
  <c r="C56" i="18"/>
  <c r="E56" i="18"/>
  <c r="F56" i="18"/>
  <c r="H56" i="18"/>
  <c r="I56" i="18"/>
  <c r="K56" i="18"/>
  <c r="L56" i="18"/>
  <c r="M56" i="18"/>
  <c r="O56" i="18"/>
  <c r="P56" i="18"/>
  <c r="Q56" i="18"/>
  <c r="R56" i="18"/>
  <c r="A57" i="18"/>
  <c r="C57" i="18"/>
  <c r="E57" i="18"/>
  <c r="F57" i="18"/>
  <c r="H57" i="18"/>
  <c r="I57" i="18"/>
  <c r="K57" i="18"/>
  <c r="L57" i="18"/>
  <c r="M57" i="18"/>
  <c r="O57" i="18"/>
  <c r="P57" i="18"/>
  <c r="Q57" i="18"/>
  <c r="R57" i="18"/>
  <c r="A58" i="18"/>
  <c r="C58" i="18"/>
  <c r="E58" i="18"/>
  <c r="F58" i="18"/>
  <c r="H58" i="18"/>
  <c r="I58" i="18"/>
  <c r="K58" i="18"/>
  <c r="L58" i="18"/>
  <c r="M58" i="18"/>
  <c r="O58" i="18"/>
  <c r="P58" i="18"/>
  <c r="Q58" i="18"/>
  <c r="R58" i="18"/>
  <c r="A59" i="18"/>
  <c r="C59" i="18"/>
  <c r="E59" i="18"/>
  <c r="F59" i="18"/>
  <c r="H59" i="18"/>
  <c r="I59" i="18"/>
  <c r="K59" i="18"/>
  <c r="L59" i="18"/>
  <c r="M59" i="18"/>
  <c r="O59" i="18"/>
  <c r="P59" i="18"/>
  <c r="Q59" i="18"/>
  <c r="R59" i="18"/>
  <c r="A60" i="18"/>
  <c r="C60" i="18"/>
  <c r="E60" i="18"/>
  <c r="F60" i="18"/>
  <c r="H60" i="18"/>
  <c r="I60" i="18"/>
  <c r="K60" i="18"/>
  <c r="L60" i="18"/>
  <c r="M60" i="18"/>
  <c r="O60" i="18"/>
  <c r="P60" i="18"/>
  <c r="Q60" i="18"/>
  <c r="R60" i="18"/>
  <c r="A61" i="18"/>
  <c r="C61" i="18"/>
  <c r="E61" i="18"/>
  <c r="F61" i="18"/>
  <c r="H61" i="18"/>
  <c r="I61" i="18"/>
  <c r="K61" i="18"/>
  <c r="L61" i="18"/>
  <c r="M61" i="18"/>
  <c r="O61" i="18"/>
  <c r="P61" i="18"/>
  <c r="Q61" i="18"/>
  <c r="R61" i="18"/>
  <c r="A62" i="18"/>
  <c r="C62" i="18"/>
  <c r="E62" i="18"/>
  <c r="F62" i="18"/>
  <c r="H62" i="18"/>
  <c r="I62" i="18"/>
  <c r="K62" i="18"/>
  <c r="L62" i="18"/>
  <c r="M62" i="18"/>
  <c r="O62" i="18"/>
  <c r="P62" i="18"/>
  <c r="Q62" i="18"/>
  <c r="R62" i="18"/>
  <c r="A63" i="18"/>
  <c r="C63" i="18"/>
  <c r="E63" i="18"/>
  <c r="F63" i="18"/>
  <c r="H63" i="18"/>
  <c r="I63" i="18"/>
  <c r="K63" i="18"/>
  <c r="L63" i="18"/>
  <c r="M63" i="18"/>
  <c r="O63" i="18"/>
  <c r="P63" i="18"/>
  <c r="Q63" i="18"/>
  <c r="R63" i="18"/>
  <c r="A64" i="18"/>
  <c r="C64" i="18"/>
  <c r="E64" i="18"/>
  <c r="F64" i="18"/>
  <c r="H64" i="18"/>
  <c r="I64" i="18"/>
  <c r="K64" i="18"/>
  <c r="L64" i="18"/>
  <c r="M64" i="18"/>
  <c r="O64" i="18"/>
  <c r="P64" i="18"/>
  <c r="Q64" i="18"/>
  <c r="R64" i="18"/>
  <c r="A65" i="18"/>
  <c r="C65" i="18"/>
  <c r="E65" i="18"/>
  <c r="F65" i="18"/>
  <c r="H65" i="18"/>
  <c r="I65" i="18"/>
  <c r="K65" i="18"/>
  <c r="L65" i="18"/>
  <c r="M65" i="18"/>
  <c r="O65" i="18"/>
  <c r="P65" i="18"/>
  <c r="Q65" i="18"/>
  <c r="R65" i="18"/>
  <c r="A66" i="18"/>
  <c r="C66" i="18"/>
  <c r="E66" i="18"/>
  <c r="F66" i="18"/>
  <c r="H66" i="18"/>
  <c r="I66" i="18"/>
  <c r="K66" i="18"/>
  <c r="L66" i="18"/>
  <c r="M66" i="18"/>
  <c r="O66" i="18"/>
  <c r="P66" i="18"/>
  <c r="Q66" i="18"/>
  <c r="R66" i="18"/>
  <c r="A67" i="18"/>
  <c r="C67" i="18"/>
  <c r="E67" i="18"/>
  <c r="F67" i="18"/>
  <c r="H67" i="18"/>
  <c r="I67" i="18"/>
  <c r="K67" i="18"/>
  <c r="L67" i="18"/>
  <c r="M67" i="18"/>
  <c r="O67" i="18"/>
  <c r="P67" i="18"/>
  <c r="Q67" i="18"/>
  <c r="R67" i="18"/>
  <c r="A68" i="18"/>
  <c r="C68" i="18"/>
  <c r="E68" i="18"/>
  <c r="F68" i="18"/>
  <c r="H68" i="18"/>
  <c r="I68" i="18"/>
  <c r="K68" i="18"/>
  <c r="L68" i="18"/>
  <c r="M68" i="18"/>
  <c r="O68" i="18"/>
  <c r="P68" i="18"/>
  <c r="Q68" i="18"/>
  <c r="R68" i="18"/>
  <c r="A69" i="18"/>
  <c r="C69" i="18"/>
  <c r="E69" i="18"/>
  <c r="F69" i="18"/>
  <c r="H69" i="18"/>
  <c r="I69" i="18"/>
  <c r="K69" i="18"/>
  <c r="L69" i="18"/>
  <c r="M69" i="18"/>
  <c r="O69" i="18"/>
  <c r="P69" i="18"/>
  <c r="Q69" i="18"/>
  <c r="R69" i="18"/>
  <c r="A70" i="18"/>
  <c r="C70" i="18"/>
  <c r="E70" i="18"/>
  <c r="F70" i="18"/>
  <c r="H70" i="18"/>
  <c r="I70" i="18"/>
  <c r="K70" i="18"/>
  <c r="L70" i="18"/>
  <c r="M70" i="18"/>
  <c r="O70" i="18"/>
  <c r="P70" i="18"/>
  <c r="Q70" i="18"/>
  <c r="R70" i="18"/>
  <c r="A71" i="18"/>
  <c r="C71" i="18"/>
  <c r="E71" i="18"/>
  <c r="F71" i="18"/>
  <c r="H71" i="18"/>
  <c r="I71" i="18"/>
  <c r="K71" i="18"/>
  <c r="L71" i="18"/>
  <c r="M71" i="18"/>
  <c r="O71" i="18"/>
  <c r="P71" i="18"/>
  <c r="Q71" i="18"/>
  <c r="R71" i="18"/>
  <c r="A72" i="18"/>
  <c r="C72" i="18"/>
  <c r="E72" i="18"/>
  <c r="F72" i="18"/>
  <c r="H72" i="18"/>
  <c r="I72" i="18"/>
  <c r="K72" i="18"/>
  <c r="L72" i="18"/>
  <c r="M72" i="18"/>
  <c r="O72" i="18"/>
  <c r="P72" i="18"/>
  <c r="Q72" i="18"/>
  <c r="R72" i="18"/>
  <c r="A73" i="18"/>
  <c r="C73" i="18"/>
  <c r="E73" i="18"/>
  <c r="F73" i="18"/>
  <c r="H73" i="18"/>
  <c r="I73" i="18"/>
  <c r="K73" i="18"/>
  <c r="L73" i="18"/>
  <c r="M73" i="18"/>
  <c r="O73" i="18"/>
  <c r="P73" i="18"/>
  <c r="Q73" i="18"/>
  <c r="R73" i="18"/>
  <c r="A74" i="18"/>
  <c r="C74" i="18"/>
  <c r="E74" i="18"/>
  <c r="F74" i="18"/>
  <c r="H74" i="18"/>
  <c r="I74" i="18"/>
  <c r="K74" i="18"/>
  <c r="L74" i="18"/>
  <c r="M74" i="18"/>
  <c r="O74" i="18"/>
  <c r="P74" i="18"/>
  <c r="Q74" i="18"/>
  <c r="R74" i="18"/>
  <c r="A75" i="18"/>
  <c r="C75" i="18"/>
  <c r="E75" i="18"/>
  <c r="F75" i="18"/>
  <c r="H75" i="18"/>
  <c r="I75" i="18"/>
  <c r="K75" i="18"/>
  <c r="L75" i="18"/>
  <c r="M75" i="18"/>
  <c r="O75" i="18"/>
  <c r="P75" i="18"/>
  <c r="Q75" i="18"/>
  <c r="R75" i="18"/>
  <c r="A76" i="18"/>
  <c r="C76" i="18"/>
  <c r="E76" i="18"/>
  <c r="F76" i="18"/>
  <c r="H76" i="18"/>
  <c r="I76" i="18"/>
  <c r="K76" i="18"/>
  <c r="L76" i="18"/>
  <c r="M76" i="18"/>
  <c r="O76" i="18"/>
  <c r="P76" i="18"/>
  <c r="Q76" i="18"/>
  <c r="R76" i="18"/>
  <c r="A77" i="18"/>
  <c r="C77" i="18"/>
  <c r="E77" i="18"/>
  <c r="F77" i="18"/>
  <c r="H77" i="18"/>
  <c r="I77" i="18"/>
  <c r="K77" i="18"/>
  <c r="L77" i="18"/>
  <c r="M77" i="18"/>
  <c r="O77" i="18"/>
  <c r="P77" i="18"/>
  <c r="Q77" i="18"/>
  <c r="R77" i="18"/>
  <c r="A78" i="18"/>
  <c r="C78" i="18"/>
  <c r="E78" i="18"/>
  <c r="F78" i="18"/>
  <c r="H78" i="18"/>
  <c r="I78" i="18"/>
  <c r="K78" i="18"/>
  <c r="L78" i="18"/>
  <c r="M78" i="18"/>
  <c r="O78" i="18"/>
  <c r="P78" i="18"/>
  <c r="Q78" i="18"/>
  <c r="R78" i="18"/>
  <c r="A79" i="18"/>
  <c r="C79" i="18"/>
  <c r="E79" i="18"/>
  <c r="F79" i="18"/>
  <c r="H79" i="18"/>
  <c r="I79" i="18"/>
  <c r="K79" i="18"/>
  <c r="L79" i="18"/>
  <c r="M79" i="18"/>
  <c r="O79" i="18"/>
  <c r="P79" i="18"/>
  <c r="Q79" i="18"/>
  <c r="R79" i="18"/>
  <c r="A80" i="18"/>
  <c r="C80" i="18"/>
  <c r="E80" i="18"/>
  <c r="F80" i="18"/>
  <c r="H80" i="18"/>
  <c r="I80" i="18"/>
  <c r="K80" i="18"/>
  <c r="L80" i="18"/>
  <c r="M80" i="18"/>
  <c r="O80" i="18"/>
  <c r="P80" i="18"/>
  <c r="Q80" i="18"/>
  <c r="R80" i="18"/>
  <c r="A81" i="18"/>
  <c r="C81" i="18"/>
  <c r="E81" i="18"/>
  <c r="F81" i="18"/>
  <c r="H81" i="18"/>
  <c r="I81" i="18"/>
  <c r="K81" i="18"/>
  <c r="L81" i="18"/>
  <c r="M81" i="18"/>
  <c r="O81" i="18"/>
  <c r="P81" i="18"/>
  <c r="Q81" i="18"/>
  <c r="R81" i="18"/>
  <c r="A82" i="18"/>
  <c r="C82" i="18"/>
  <c r="E82" i="18"/>
  <c r="F82" i="18"/>
  <c r="H82" i="18"/>
  <c r="I82" i="18"/>
  <c r="K82" i="18"/>
  <c r="L82" i="18"/>
  <c r="M82" i="18"/>
  <c r="O82" i="18"/>
  <c r="P82" i="18"/>
  <c r="Q82" i="18"/>
  <c r="R82" i="18"/>
  <c r="A83" i="18"/>
  <c r="C83" i="18"/>
  <c r="E83" i="18"/>
  <c r="F83" i="18"/>
  <c r="H83" i="18"/>
  <c r="I83" i="18"/>
  <c r="K83" i="18"/>
  <c r="L83" i="18"/>
  <c r="M83" i="18"/>
  <c r="O83" i="18"/>
  <c r="P83" i="18"/>
  <c r="Q83" i="18"/>
  <c r="R83" i="18"/>
  <c r="A84" i="18"/>
  <c r="C84" i="18"/>
  <c r="E84" i="18"/>
  <c r="F84" i="18"/>
  <c r="H84" i="18"/>
  <c r="I84" i="18"/>
  <c r="K84" i="18"/>
  <c r="L84" i="18"/>
  <c r="M84" i="18"/>
  <c r="O84" i="18"/>
  <c r="P84" i="18"/>
  <c r="Q84" i="18"/>
  <c r="R84" i="18"/>
  <c r="A85" i="18"/>
  <c r="C85" i="18"/>
  <c r="E85" i="18"/>
  <c r="F85" i="18"/>
  <c r="H85" i="18"/>
  <c r="I85" i="18"/>
  <c r="K85" i="18"/>
  <c r="L85" i="18"/>
  <c r="M85" i="18"/>
  <c r="O85" i="18"/>
  <c r="P85" i="18"/>
  <c r="Q85" i="18"/>
  <c r="R85" i="18"/>
  <c r="A86" i="18"/>
  <c r="C86" i="18"/>
  <c r="E86" i="18"/>
  <c r="F86" i="18"/>
  <c r="H86" i="18"/>
  <c r="I86" i="18"/>
  <c r="K86" i="18"/>
  <c r="L86" i="18"/>
  <c r="M86" i="18"/>
  <c r="O86" i="18"/>
  <c r="P86" i="18"/>
  <c r="Q86" i="18"/>
  <c r="R86" i="18"/>
  <c r="A87" i="18"/>
  <c r="C87" i="18"/>
  <c r="E87" i="18"/>
  <c r="F87" i="18"/>
  <c r="H87" i="18"/>
  <c r="I87" i="18"/>
  <c r="K87" i="18"/>
  <c r="L87" i="18"/>
  <c r="M87" i="18"/>
  <c r="O87" i="18"/>
  <c r="P87" i="18"/>
  <c r="Q87" i="18"/>
  <c r="R87" i="18"/>
  <c r="A88" i="18"/>
  <c r="C88" i="18"/>
  <c r="E88" i="18"/>
  <c r="F88" i="18"/>
  <c r="H88" i="18"/>
  <c r="I88" i="18"/>
  <c r="K88" i="18"/>
  <c r="L88" i="18"/>
  <c r="M88" i="18"/>
  <c r="O88" i="18"/>
  <c r="P88" i="18"/>
  <c r="Q88" i="18"/>
  <c r="R88" i="18"/>
  <c r="A89" i="18"/>
  <c r="C89" i="18"/>
  <c r="E89" i="18"/>
  <c r="F89" i="18"/>
  <c r="H89" i="18"/>
  <c r="I89" i="18"/>
  <c r="K89" i="18"/>
  <c r="L89" i="18"/>
  <c r="M89" i="18"/>
  <c r="O89" i="18"/>
  <c r="P89" i="18"/>
  <c r="Q89" i="18"/>
  <c r="R89" i="18"/>
  <c r="A90" i="18"/>
  <c r="C90" i="18"/>
  <c r="E90" i="18"/>
  <c r="F90" i="18"/>
  <c r="H90" i="18"/>
  <c r="I90" i="18"/>
  <c r="K90" i="18"/>
  <c r="L90" i="18"/>
  <c r="M90" i="18"/>
  <c r="O90" i="18"/>
  <c r="P90" i="18"/>
  <c r="Q90" i="18"/>
  <c r="R90" i="18"/>
  <c r="A91" i="18"/>
  <c r="C91" i="18"/>
  <c r="E91" i="18"/>
  <c r="F91" i="18"/>
  <c r="H91" i="18"/>
  <c r="I91" i="18"/>
  <c r="K91" i="18"/>
  <c r="L91" i="18"/>
  <c r="M91" i="18"/>
  <c r="O91" i="18"/>
  <c r="P91" i="18"/>
  <c r="Q91" i="18"/>
  <c r="R91" i="18"/>
  <c r="A92" i="18"/>
  <c r="C92" i="18"/>
  <c r="E92" i="18"/>
  <c r="F92" i="18"/>
  <c r="H92" i="18"/>
  <c r="I92" i="18"/>
  <c r="K92" i="18"/>
  <c r="L92" i="18"/>
  <c r="M92" i="18"/>
  <c r="O92" i="18"/>
  <c r="P92" i="18"/>
  <c r="Q92" i="18"/>
  <c r="R92" i="18"/>
  <c r="A93" i="18"/>
  <c r="C93" i="18"/>
  <c r="E93" i="18"/>
  <c r="F93" i="18"/>
  <c r="H93" i="18"/>
  <c r="I93" i="18"/>
  <c r="K93" i="18"/>
  <c r="L93" i="18"/>
  <c r="M93" i="18"/>
  <c r="O93" i="18"/>
  <c r="P93" i="18"/>
  <c r="Q93" i="18"/>
  <c r="R93" i="18"/>
  <c r="A94" i="18"/>
  <c r="C94" i="18"/>
  <c r="E94" i="18"/>
  <c r="F94" i="18"/>
  <c r="H94" i="18"/>
  <c r="I94" i="18"/>
  <c r="K94" i="18"/>
  <c r="L94" i="18"/>
  <c r="M94" i="18"/>
  <c r="O94" i="18"/>
  <c r="P94" i="18"/>
  <c r="Q94" i="18"/>
  <c r="R94" i="18"/>
  <c r="A95" i="18"/>
  <c r="C95" i="18"/>
  <c r="E95" i="18"/>
  <c r="F95" i="18"/>
  <c r="H95" i="18"/>
  <c r="I95" i="18"/>
  <c r="K95" i="18"/>
  <c r="L95" i="18"/>
  <c r="M95" i="18"/>
  <c r="O95" i="18"/>
  <c r="P95" i="18"/>
  <c r="Q95" i="18"/>
  <c r="R95" i="18"/>
  <c r="A96" i="18"/>
  <c r="C96" i="18"/>
  <c r="E96" i="18"/>
  <c r="F96" i="18"/>
  <c r="H96" i="18"/>
  <c r="I96" i="18"/>
  <c r="K96" i="18"/>
  <c r="L96" i="18"/>
  <c r="M96" i="18"/>
  <c r="O96" i="18"/>
  <c r="P96" i="18"/>
  <c r="Q96" i="18"/>
  <c r="R96" i="18"/>
  <c r="A97" i="18"/>
  <c r="C97" i="18"/>
  <c r="E97" i="18"/>
  <c r="F97" i="18"/>
  <c r="H97" i="18"/>
  <c r="I97" i="18"/>
  <c r="K97" i="18"/>
  <c r="L97" i="18"/>
  <c r="M97" i="18"/>
  <c r="O97" i="18"/>
  <c r="P97" i="18"/>
  <c r="Q97" i="18"/>
  <c r="R97" i="18"/>
  <c r="A98" i="18"/>
  <c r="C98" i="18"/>
  <c r="E98" i="18"/>
  <c r="F98" i="18"/>
  <c r="H98" i="18"/>
  <c r="I98" i="18"/>
  <c r="K98" i="18"/>
  <c r="L98" i="18"/>
  <c r="M98" i="18"/>
  <c r="O98" i="18"/>
  <c r="P98" i="18"/>
  <c r="Q98" i="18"/>
  <c r="R98" i="18"/>
  <c r="A99" i="18"/>
  <c r="C99" i="18"/>
  <c r="E99" i="18"/>
  <c r="F99" i="18"/>
  <c r="H99" i="18"/>
  <c r="I99" i="18"/>
  <c r="K99" i="18"/>
  <c r="L99" i="18"/>
  <c r="M99" i="18"/>
  <c r="O99" i="18"/>
  <c r="P99" i="18"/>
  <c r="Q99" i="18"/>
  <c r="R99" i="18"/>
  <c r="A100" i="18"/>
  <c r="C100" i="18"/>
  <c r="E100" i="18"/>
  <c r="F100" i="18"/>
  <c r="H100" i="18"/>
  <c r="I100" i="18"/>
  <c r="K100" i="18"/>
  <c r="L100" i="18"/>
  <c r="M100" i="18"/>
  <c r="O100" i="18"/>
  <c r="P100" i="18"/>
  <c r="Q100" i="18"/>
  <c r="R100" i="18"/>
  <c r="A101" i="18"/>
  <c r="C101" i="18"/>
  <c r="E101" i="18"/>
  <c r="F101" i="18"/>
  <c r="H101" i="18"/>
  <c r="I101" i="18"/>
  <c r="K101" i="18"/>
  <c r="L101" i="18"/>
  <c r="M101" i="18"/>
  <c r="O101" i="18"/>
  <c r="P101" i="18"/>
  <c r="Q101" i="18"/>
  <c r="R101" i="18"/>
  <c r="A102" i="18"/>
  <c r="C102" i="18"/>
  <c r="E102" i="18"/>
  <c r="F102" i="18"/>
  <c r="H102" i="18"/>
  <c r="I102" i="18"/>
  <c r="K102" i="18"/>
  <c r="L102" i="18"/>
  <c r="M102" i="18"/>
  <c r="O102" i="18"/>
  <c r="P102" i="18"/>
  <c r="Q102" i="18"/>
  <c r="R102" i="18"/>
  <c r="A103" i="18"/>
  <c r="C103" i="18"/>
  <c r="E103" i="18"/>
  <c r="F103" i="18"/>
  <c r="H103" i="18"/>
  <c r="I103" i="18"/>
  <c r="K103" i="18"/>
  <c r="L103" i="18"/>
  <c r="M103" i="18"/>
  <c r="O103" i="18"/>
  <c r="P103" i="18"/>
  <c r="Q103" i="18"/>
  <c r="R103" i="18"/>
  <c r="A104" i="18"/>
  <c r="C104" i="18"/>
  <c r="E104" i="18"/>
  <c r="F104" i="18"/>
  <c r="H104" i="18"/>
  <c r="I104" i="18"/>
  <c r="K104" i="18"/>
  <c r="L104" i="18"/>
  <c r="M104" i="18"/>
  <c r="O104" i="18"/>
  <c r="P104" i="18"/>
  <c r="Q104" i="18"/>
  <c r="R104" i="18"/>
  <c r="A105" i="18"/>
  <c r="C105" i="18"/>
  <c r="E105" i="18"/>
  <c r="F105" i="18"/>
  <c r="H105" i="18"/>
  <c r="I105" i="18"/>
  <c r="K105" i="18"/>
  <c r="L105" i="18"/>
  <c r="M105" i="18"/>
  <c r="O105" i="18"/>
  <c r="P105" i="18"/>
  <c r="Q105" i="18"/>
  <c r="R105" i="18"/>
  <c r="A106" i="18"/>
  <c r="C106" i="18"/>
  <c r="E106" i="18"/>
  <c r="F106" i="18"/>
  <c r="H106" i="18"/>
  <c r="I106" i="18"/>
  <c r="K106" i="18"/>
  <c r="L106" i="18"/>
  <c r="M106" i="18"/>
  <c r="O106" i="18"/>
  <c r="P106" i="18"/>
  <c r="Q106" i="18"/>
  <c r="R106" i="18"/>
  <c r="A107" i="18"/>
  <c r="C107" i="18"/>
  <c r="E107" i="18"/>
  <c r="F107" i="18"/>
  <c r="H107" i="18"/>
  <c r="I107" i="18"/>
  <c r="K107" i="18"/>
  <c r="L107" i="18"/>
  <c r="M107" i="18"/>
  <c r="O107" i="18"/>
  <c r="P107" i="18"/>
  <c r="Q107" i="18"/>
  <c r="R107" i="18"/>
  <c r="A108" i="18"/>
  <c r="C108" i="18"/>
  <c r="E108" i="18"/>
  <c r="F108" i="18"/>
  <c r="H108" i="18"/>
  <c r="I108" i="18"/>
  <c r="K108" i="18"/>
  <c r="L108" i="18"/>
  <c r="M108" i="18"/>
  <c r="O108" i="18"/>
  <c r="P108" i="18"/>
  <c r="Q108" i="18"/>
  <c r="R108" i="18"/>
  <c r="A109" i="18"/>
  <c r="C109" i="18"/>
  <c r="E109" i="18"/>
  <c r="F109" i="18"/>
  <c r="H109" i="18"/>
  <c r="I109" i="18"/>
  <c r="K109" i="18"/>
  <c r="L109" i="18"/>
  <c r="M109" i="18"/>
  <c r="O109" i="18"/>
  <c r="P109" i="18"/>
  <c r="Q109" i="18"/>
  <c r="R109" i="18"/>
  <c r="A110" i="18"/>
  <c r="C110" i="18"/>
  <c r="E110" i="18"/>
  <c r="F110" i="18"/>
  <c r="H110" i="18"/>
  <c r="I110" i="18"/>
  <c r="K110" i="18"/>
  <c r="L110" i="18"/>
  <c r="M110" i="18"/>
  <c r="O110" i="18"/>
  <c r="P110" i="18"/>
  <c r="Q110" i="18"/>
  <c r="R110" i="18"/>
  <c r="A111" i="18"/>
  <c r="C111" i="18"/>
  <c r="E111" i="18"/>
  <c r="F111" i="18"/>
  <c r="H111" i="18"/>
  <c r="I111" i="18"/>
  <c r="K111" i="18"/>
  <c r="L111" i="18"/>
  <c r="M111" i="18"/>
  <c r="O111" i="18"/>
  <c r="P111" i="18"/>
  <c r="Q111" i="18"/>
  <c r="R111" i="18"/>
  <c r="A112" i="18"/>
  <c r="C112" i="18"/>
  <c r="E112" i="18"/>
  <c r="F112" i="18"/>
  <c r="H112" i="18"/>
  <c r="I112" i="18"/>
  <c r="K112" i="18"/>
  <c r="L112" i="18"/>
  <c r="M112" i="18"/>
  <c r="O112" i="18"/>
  <c r="P112" i="18"/>
  <c r="Q112" i="18"/>
  <c r="R112" i="18"/>
  <c r="A113" i="18"/>
  <c r="C113" i="18"/>
  <c r="E113" i="18"/>
  <c r="F113" i="18"/>
  <c r="H113" i="18"/>
  <c r="I113" i="18"/>
  <c r="K113" i="18"/>
  <c r="L113" i="18"/>
  <c r="M113" i="18"/>
  <c r="O113" i="18"/>
  <c r="P113" i="18"/>
  <c r="Q113" i="18"/>
  <c r="R113" i="18"/>
  <c r="A114" i="18"/>
  <c r="C114" i="18"/>
  <c r="E114" i="18"/>
  <c r="F114" i="18"/>
  <c r="H114" i="18"/>
  <c r="I114" i="18"/>
  <c r="K114" i="18"/>
  <c r="L114" i="18"/>
  <c r="M114" i="18"/>
  <c r="O114" i="18"/>
  <c r="P114" i="18"/>
  <c r="Q114" i="18"/>
  <c r="R114" i="18"/>
  <c r="A115" i="18"/>
  <c r="C115" i="18"/>
  <c r="E115" i="18"/>
  <c r="F115" i="18"/>
  <c r="H115" i="18"/>
  <c r="I115" i="18"/>
  <c r="K115" i="18"/>
  <c r="L115" i="18"/>
  <c r="M115" i="18"/>
  <c r="O115" i="18"/>
  <c r="P115" i="18"/>
  <c r="Q115" i="18"/>
  <c r="R115" i="18"/>
  <c r="A116" i="18"/>
  <c r="C116" i="18"/>
  <c r="E116" i="18"/>
  <c r="F116" i="18"/>
  <c r="H116" i="18"/>
  <c r="I116" i="18"/>
  <c r="K116" i="18"/>
  <c r="L116" i="18"/>
  <c r="M116" i="18"/>
  <c r="O116" i="18"/>
  <c r="P116" i="18"/>
  <c r="Q116" i="18"/>
  <c r="R116" i="18"/>
  <c r="A117" i="18"/>
  <c r="C117" i="18"/>
  <c r="E117" i="18"/>
  <c r="F117" i="18"/>
  <c r="H117" i="18"/>
  <c r="I117" i="18"/>
  <c r="K117" i="18"/>
  <c r="L117" i="18"/>
  <c r="M117" i="18"/>
  <c r="O117" i="18"/>
  <c r="P117" i="18"/>
  <c r="Q117" i="18"/>
  <c r="R117" i="18"/>
  <c r="A118" i="18"/>
  <c r="C118" i="18"/>
  <c r="E118" i="18"/>
  <c r="F118" i="18"/>
  <c r="H118" i="18"/>
  <c r="I118" i="18"/>
  <c r="K118" i="18"/>
  <c r="L118" i="18"/>
  <c r="M118" i="18"/>
  <c r="O118" i="18"/>
  <c r="P118" i="18"/>
  <c r="Q118" i="18"/>
  <c r="R118" i="18"/>
  <c r="A119" i="18"/>
  <c r="C119" i="18"/>
  <c r="E119" i="18"/>
  <c r="F119" i="18"/>
  <c r="H119" i="18"/>
  <c r="I119" i="18"/>
  <c r="K119" i="18"/>
  <c r="L119" i="18"/>
  <c r="M119" i="18"/>
  <c r="O119" i="18"/>
  <c r="P119" i="18"/>
  <c r="Q119" i="18"/>
  <c r="R119" i="18"/>
  <c r="A120" i="18"/>
  <c r="C120" i="18"/>
  <c r="E120" i="18"/>
  <c r="F120" i="18"/>
  <c r="H120" i="18"/>
  <c r="I120" i="18"/>
  <c r="K120" i="18"/>
  <c r="L120" i="18"/>
  <c r="M120" i="18"/>
  <c r="O120" i="18"/>
  <c r="P120" i="18"/>
  <c r="Q120" i="18"/>
  <c r="R120" i="18"/>
  <c r="A121" i="18"/>
  <c r="C121" i="18"/>
  <c r="E121" i="18"/>
  <c r="F121" i="18"/>
  <c r="H121" i="18"/>
  <c r="I121" i="18"/>
  <c r="K121" i="18"/>
  <c r="L121" i="18"/>
  <c r="M121" i="18"/>
  <c r="O121" i="18"/>
  <c r="P121" i="18"/>
  <c r="Q121" i="18"/>
  <c r="R121" i="18"/>
  <c r="A122" i="18"/>
  <c r="C122" i="18"/>
  <c r="E122" i="18"/>
  <c r="F122" i="18"/>
  <c r="H122" i="18"/>
  <c r="I122" i="18"/>
  <c r="K122" i="18"/>
  <c r="L122" i="18"/>
  <c r="M122" i="18"/>
  <c r="O122" i="18"/>
  <c r="P122" i="18"/>
  <c r="Q122" i="18"/>
  <c r="R122" i="18"/>
  <c r="A123" i="18"/>
  <c r="C123" i="18"/>
  <c r="E123" i="18"/>
  <c r="F123" i="18"/>
  <c r="H123" i="18"/>
  <c r="I123" i="18"/>
  <c r="K123" i="18"/>
  <c r="L123" i="18"/>
  <c r="M123" i="18"/>
  <c r="O123" i="18"/>
  <c r="P123" i="18"/>
  <c r="Q123" i="18"/>
  <c r="R123" i="18"/>
  <c r="A124" i="18"/>
  <c r="C124" i="18"/>
  <c r="E124" i="18"/>
  <c r="F124" i="18"/>
  <c r="H124" i="18"/>
  <c r="I124" i="18"/>
  <c r="K124" i="18"/>
  <c r="L124" i="18"/>
  <c r="M124" i="18"/>
  <c r="O124" i="18"/>
  <c r="P124" i="18"/>
  <c r="Q124" i="18"/>
  <c r="R124" i="18"/>
  <c r="A125" i="18"/>
  <c r="C125" i="18"/>
  <c r="E125" i="18"/>
  <c r="F125" i="18"/>
  <c r="H125" i="18"/>
  <c r="I125" i="18"/>
  <c r="K125" i="18"/>
  <c r="L125" i="18"/>
  <c r="M125" i="18"/>
  <c r="O125" i="18"/>
  <c r="P125" i="18"/>
  <c r="Q125" i="18"/>
  <c r="R125" i="18"/>
  <c r="A126" i="18"/>
  <c r="C126" i="18"/>
  <c r="E126" i="18"/>
  <c r="F126" i="18"/>
  <c r="H126" i="18"/>
  <c r="I126" i="18"/>
  <c r="K126" i="18"/>
  <c r="L126" i="18"/>
  <c r="M126" i="18"/>
  <c r="O126" i="18"/>
  <c r="P126" i="18"/>
  <c r="Q126" i="18"/>
  <c r="R126" i="18"/>
  <c r="A127" i="18"/>
  <c r="C127" i="18"/>
  <c r="E127" i="18"/>
  <c r="F127" i="18"/>
  <c r="H127" i="18"/>
  <c r="I127" i="18"/>
  <c r="K127" i="18"/>
  <c r="L127" i="18"/>
  <c r="M127" i="18"/>
  <c r="O127" i="18"/>
  <c r="P127" i="18"/>
  <c r="Q127" i="18"/>
  <c r="R127" i="18"/>
  <c r="A128" i="18"/>
  <c r="C128" i="18"/>
  <c r="E128" i="18"/>
  <c r="F128" i="18"/>
  <c r="H128" i="18"/>
  <c r="I128" i="18"/>
  <c r="K128" i="18"/>
  <c r="L128" i="18"/>
  <c r="M128" i="18"/>
  <c r="O128" i="18"/>
  <c r="P128" i="18"/>
  <c r="Q128" i="18"/>
  <c r="R128" i="18"/>
  <c r="A129" i="18"/>
  <c r="C129" i="18"/>
  <c r="E129" i="18"/>
  <c r="F129" i="18"/>
  <c r="H129" i="18"/>
  <c r="I129" i="18"/>
  <c r="K129" i="18"/>
  <c r="L129" i="18"/>
  <c r="M129" i="18"/>
  <c r="O129" i="18"/>
  <c r="P129" i="18"/>
  <c r="Q129" i="18"/>
  <c r="R129" i="18"/>
  <c r="A130" i="18"/>
  <c r="C130" i="18"/>
  <c r="E130" i="18"/>
  <c r="F130" i="18"/>
  <c r="H130" i="18"/>
  <c r="I130" i="18"/>
  <c r="K130" i="18"/>
  <c r="L130" i="18"/>
  <c r="M130" i="18"/>
  <c r="O130" i="18"/>
  <c r="P130" i="18"/>
  <c r="Q130" i="18"/>
  <c r="R130" i="18"/>
  <c r="A131" i="18"/>
  <c r="C131" i="18"/>
  <c r="E131" i="18"/>
  <c r="F131" i="18"/>
  <c r="H131" i="18"/>
  <c r="I131" i="18"/>
  <c r="K131" i="18"/>
  <c r="L131" i="18"/>
  <c r="M131" i="18"/>
  <c r="O131" i="18"/>
  <c r="P131" i="18"/>
  <c r="Q131" i="18"/>
  <c r="R131" i="18"/>
  <c r="A132" i="18"/>
  <c r="C132" i="18"/>
  <c r="E132" i="18"/>
  <c r="F132" i="18"/>
  <c r="H132" i="18"/>
  <c r="I132" i="18"/>
  <c r="K132" i="18"/>
  <c r="L132" i="18"/>
  <c r="M132" i="18"/>
  <c r="O132" i="18"/>
  <c r="P132" i="18"/>
  <c r="Q132" i="18"/>
  <c r="R132" i="18"/>
  <c r="A133" i="18"/>
  <c r="C133" i="18"/>
  <c r="E133" i="18"/>
  <c r="F133" i="18"/>
  <c r="H133" i="18"/>
  <c r="I133" i="18"/>
  <c r="K133" i="18"/>
  <c r="L133" i="18"/>
  <c r="M133" i="18"/>
  <c r="O133" i="18"/>
  <c r="P133" i="18"/>
  <c r="Q133" i="18"/>
  <c r="R133" i="18"/>
  <c r="A134" i="18"/>
  <c r="C134" i="18"/>
  <c r="E134" i="18"/>
  <c r="F134" i="18"/>
  <c r="H134" i="18"/>
  <c r="I134" i="18"/>
  <c r="K134" i="18"/>
  <c r="L134" i="18"/>
  <c r="M134" i="18"/>
  <c r="O134" i="18"/>
  <c r="P134" i="18"/>
  <c r="Q134" i="18"/>
  <c r="R134" i="18"/>
  <c r="A135" i="18"/>
  <c r="C135" i="18"/>
  <c r="E135" i="18"/>
  <c r="F135" i="18"/>
  <c r="H135" i="18"/>
  <c r="I135" i="18"/>
  <c r="K135" i="18"/>
  <c r="L135" i="18"/>
  <c r="M135" i="18"/>
  <c r="O135" i="18"/>
  <c r="P135" i="18"/>
  <c r="Q135" i="18"/>
  <c r="R135" i="18"/>
  <c r="A136" i="18"/>
  <c r="C136" i="18"/>
  <c r="E136" i="18"/>
  <c r="F136" i="18"/>
  <c r="H136" i="18"/>
  <c r="I136" i="18"/>
  <c r="K136" i="18"/>
  <c r="L136" i="18"/>
  <c r="M136" i="18"/>
  <c r="O136" i="18"/>
  <c r="P136" i="18"/>
  <c r="Q136" i="18"/>
  <c r="R136" i="18"/>
  <c r="A137" i="18"/>
  <c r="C137" i="18"/>
  <c r="E137" i="18"/>
  <c r="F137" i="18"/>
  <c r="H137" i="18"/>
  <c r="I137" i="18"/>
  <c r="K137" i="18"/>
  <c r="L137" i="18"/>
  <c r="M137" i="18"/>
  <c r="O137" i="18"/>
  <c r="P137" i="18"/>
  <c r="Q137" i="18"/>
  <c r="R137" i="18"/>
  <c r="A138" i="18"/>
  <c r="C138" i="18"/>
  <c r="E138" i="18"/>
  <c r="F138" i="18"/>
  <c r="H138" i="18"/>
  <c r="I138" i="18"/>
  <c r="K138" i="18"/>
  <c r="L138" i="18"/>
  <c r="M138" i="18"/>
  <c r="O138" i="18"/>
  <c r="P138" i="18"/>
  <c r="Q138" i="18"/>
  <c r="R138" i="18"/>
  <c r="A139" i="18"/>
  <c r="C139" i="18"/>
  <c r="E139" i="18"/>
  <c r="F139" i="18"/>
  <c r="H139" i="18"/>
  <c r="I139" i="18"/>
  <c r="K139" i="18"/>
  <c r="L139" i="18"/>
  <c r="M139" i="18"/>
  <c r="O139" i="18"/>
  <c r="P139" i="18"/>
  <c r="Q139" i="18"/>
  <c r="R139" i="18"/>
  <c r="A140" i="18"/>
  <c r="C140" i="18"/>
  <c r="E140" i="18"/>
  <c r="F140" i="18"/>
  <c r="H140" i="18"/>
  <c r="I140" i="18"/>
  <c r="K140" i="18"/>
  <c r="L140" i="18"/>
  <c r="M140" i="18"/>
  <c r="O140" i="18"/>
  <c r="P140" i="18"/>
  <c r="Q140" i="18"/>
  <c r="R140" i="18"/>
  <c r="A141" i="18"/>
  <c r="C141" i="18"/>
  <c r="E141" i="18"/>
  <c r="F141" i="18"/>
  <c r="H141" i="18"/>
  <c r="I141" i="18"/>
  <c r="K141" i="18"/>
  <c r="L141" i="18"/>
  <c r="M141" i="18"/>
  <c r="O141" i="18"/>
  <c r="P141" i="18"/>
  <c r="Q141" i="18"/>
  <c r="R141" i="18"/>
  <c r="A142" i="18"/>
  <c r="C142" i="18"/>
  <c r="E142" i="18"/>
  <c r="F142" i="18"/>
  <c r="H142" i="18"/>
  <c r="I142" i="18"/>
  <c r="K142" i="18"/>
  <c r="L142" i="18"/>
  <c r="M142" i="18"/>
  <c r="O142" i="18"/>
  <c r="P142" i="18"/>
  <c r="Q142" i="18"/>
  <c r="R142" i="18"/>
  <c r="A143" i="18"/>
  <c r="C143" i="18"/>
  <c r="E143" i="18"/>
  <c r="F143" i="18"/>
  <c r="H143" i="18"/>
  <c r="I143" i="18"/>
  <c r="K143" i="18"/>
  <c r="L143" i="18"/>
  <c r="M143" i="18"/>
  <c r="O143" i="18"/>
  <c r="P143" i="18"/>
  <c r="Q143" i="18"/>
  <c r="R143" i="18"/>
  <c r="A144" i="18"/>
  <c r="C144" i="18"/>
  <c r="E144" i="18"/>
  <c r="F144" i="18"/>
  <c r="H144" i="18"/>
  <c r="I144" i="18"/>
  <c r="K144" i="18"/>
  <c r="L144" i="18"/>
  <c r="M144" i="18"/>
  <c r="O144" i="18"/>
  <c r="P144" i="18"/>
  <c r="Q144" i="18"/>
  <c r="R144" i="18"/>
  <c r="A145" i="18"/>
  <c r="C145" i="18"/>
  <c r="E145" i="18"/>
  <c r="F145" i="18"/>
  <c r="H145" i="18"/>
  <c r="I145" i="18"/>
  <c r="K145" i="18"/>
  <c r="L145" i="18"/>
  <c r="M145" i="18"/>
  <c r="O145" i="18"/>
  <c r="P145" i="18"/>
  <c r="Q145" i="18"/>
  <c r="R145" i="18"/>
  <c r="A146" i="18"/>
  <c r="C146" i="18"/>
  <c r="E146" i="18"/>
  <c r="F146" i="18"/>
  <c r="H146" i="18"/>
  <c r="I146" i="18"/>
  <c r="K146" i="18"/>
  <c r="L146" i="18"/>
  <c r="M146" i="18"/>
  <c r="O146" i="18"/>
  <c r="P146" i="18"/>
  <c r="Q146" i="18"/>
  <c r="R146" i="18"/>
  <c r="A147" i="18"/>
  <c r="C147" i="18"/>
  <c r="E147" i="18"/>
  <c r="F147" i="18"/>
  <c r="H147" i="18"/>
  <c r="I147" i="18"/>
  <c r="K147" i="18"/>
  <c r="L147" i="18"/>
  <c r="M147" i="18"/>
  <c r="O147" i="18"/>
  <c r="P147" i="18"/>
  <c r="Q147" i="18"/>
  <c r="R147" i="18"/>
  <c r="A148" i="18"/>
  <c r="C148" i="18"/>
  <c r="E148" i="18"/>
  <c r="F148" i="18"/>
  <c r="H148" i="18"/>
  <c r="I148" i="18"/>
  <c r="K148" i="18"/>
  <c r="L148" i="18"/>
  <c r="M148" i="18"/>
  <c r="O148" i="18"/>
  <c r="P148" i="18"/>
  <c r="Q148" i="18"/>
  <c r="R148" i="18"/>
  <c r="A149" i="18"/>
  <c r="C149" i="18"/>
  <c r="E149" i="18"/>
  <c r="F149" i="18"/>
  <c r="H149" i="18"/>
  <c r="I149" i="18"/>
  <c r="K149" i="18"/>
  <c r="L149" i="18"/>
  <c r="M149" i="18"/>
  <c r="O149" i="18"/>
  <c r="P149" i="18"/>
  <c r="Q149" i="18"/>
  <c r="R149" i="18"/>
  <c r="A150" i="18"/>
  <c r="C150" i="18"/>
  <c r="E150" i="18"/>
  <c r="F150" i="18"/>
  <c r="H150" i="18"/>
  <c r="I150" i="18"/>
  <c r="K150" i="18"/>
  <c r="L150" i="18"/>
  <c r="M150" i="18"/>
  <c r="O150" i="18"/>
  <c r="P150" i="18"/>
  <c r="Q150" i="18"/>
  <c r="R150" i="18"/>
  <c r="A151" i="18"/>
  <c r="C151" i="18"/>
  <c r="E151" i="18"/>
  <c r="F151" i="18"/>
  <c r="H151" i="18"/>
  <c r="I151" i="18"/>
  <c r="K151" i="18"/>
  <c r="L151" i="18"/>
  <c r="M151" i="18"/>
  <c r="O151" i="18"/>
  <c r="P151" i="18"/>
  <c r="Q151" i="18"/>
  <c r="R151" i="18"/>
  <c r="A152" i="18"/>
  <c r="C152" i="18"/>
  <c r="E152" i="18"/>
  <c r="F152" i="18"/>
  <c r="H152" i="18"/>
  <c r="I152" i="18"/>
  <c r="K152" i="18"/>
  <c r="L152" i="18"/>
  <c r="M152" i="18"/>
  <c r="O152" i="18"/>
  <c r="P152" i="18"/>
  <c r="Q152" i="18"/>
  <c r="R152" i="18"/>
  <c r="A153" i="18"/>
  <c r="C153" i="18"/>
  <c r="E153" i="18"/>
  <c r="F153" i="18"/>
  <c r="H153" i="18"/>
  <c r="I153" i="18"/>
  <c r="K153" i="18"/>
  <c r="L153" i="18"/>
  <c r="M153" i="18"/>
  <c r="O153" i="18"/>
  <c r="P153" i="18"/>
  <c r="Q153" i="18"/>
  <c r="R153" i="18"/>
  <c r="A154" i="18"/>
  <c r="C154" i="18"/>
  <c r="E154" i="18"/>
  <c r="F154" i="18"/>
  <c r="H154" i="18"/>
  <c r="I154" i="18"/>
  <c r="K154" i="18"/>
  <c r="L154" i="18"/>
  <c r="M154" i="18"/>
  <c r="O154" i="18"/>
  <c r="P154" i="18"/>
  <c r="Q154" i="18"/>
  <c r="R154" i="18"/>
  <c r="A155" i="18"/>
  <c r="C155" i="18"/>
  <c r="E155" i="18"/>
  <c r="F155" i="18"/>
  <c r="H155" i="18"/>
  <c r="I155" i="18"/>
  <c r="K155" i="18"/>
  <c r="L155" i="18"/>
  <c r="M155" i="18"/>
  <c r="O155" i="18"/>
  <c r="P155" i="18"/>
  <c r="Q155" i="18"/>
  <c r="R155" i="18"/>
  <c r="A156" i="18"/>
  <c r="C156" i="18"/>
  <c r="E156" i="18"/>
  <c r="F156" i="18"/>
  <c r="H156" i="18"/>
  <c r="I156" i="18"/>
  <c r="K156" i="18"/>
  <c r="L156" i="18"/>
  <c r="M156" i="18"/>
  <c r="O156" i="18"/>
  <c r="P156" i="18"/>
  <c r="Q156" i="18"/>
  <c r="R156" i="18"/>
  <c r="A157" i="18"/>
  <c r="C157" i="18"/>
  <c r="E157" i="18"/>
  <c r="F157" i="18"/>
  <c r="H157" i="18"/>
  <c r="I157" i="18"/>
  <c r="K157" i="18"/>
  <c r="L157" i="18"/>
  <c r="M157" i="18"/>
  <c r="O157" i="18"/>
  <c r="P157" i="18"/>
  <c r="Q157" i="18"/>
  <c r="R157" i="18"/>
  <c r="A158" i="18"/>
  <c r="C158" i="18"/>
  <c r="E158" i="18"/>
  <c r="F158" i="18"/>
  <c r="H158" i="18"/>
  <c r="I158" i="18"/>
  <c r="K158" i="18"/>
  <c r="L158" i="18"/>
  <c r="M158" i="18"/>
  <c r="O158" i="18"/>
  <c r="P158" i="18"/>
  <c r="Q158" i="18"/>
  <c r="R158" i="18"/>
  <c r="A159" i="18"/>
  <c r="C159" i="18"/>
  <c r="E159" i="18"/>
  <c r="F159" i="18"/>
  <c r="H159" i="18"/>
  <c r="I159" i="18"/>
  <c r="K159" i="18"/>
  <c r="L159" i="18"/>
  <c r="M159" i="18"/>
  <c r="O159" i="18"/>
  <c r="P159" i="18"/>
  <c r="Q159" i="18"/>
  <c r="R159" i="18"/>
  <c r="A160" i="18"/>
  <c r="C160" i="18"/>
  <c r="E160" i="18"/>
  <c r="F160" i="18"/>
  <c r="H160" i="18"/>
  <c r="I160" i="18"/>
  <c r="K160" i="18"/>
  <c r="L160" i="18"/>
  <c r="M160" i="18"/>
  <c r="O160" i="18"/>
  <c r="P160" i="18"/>
  <c r="Q160" i="18"/>
  <c r="R160" i="18"/>
  <c r="A161" i="18"/>
  <c r="C161" i="18"/>
  <c r="E161" i="18"/>
  <c r="F161" i="18"/>
  <c r="H161" i="18"/>
  <c r="I161" i="18"/>
  <c r="K161" i="18"/>
  <c r="L161" i="18"/>
  <c r="M161" i="18"/>
  <c r="O161" i="18"/>
  <c r="P161" i="18"/>
  <c r="Q161" i="18"/>
  <c r="R161" i="18"/>
  <c r="A162" i="18"/>
  <c r="C162" i="18"/>
  <c r="E162" i="18"/>
  <c r="F162" i="18"/>
  <c r="H162" i="18"/>
  <c r="I162" i="18"/>
  <c r="K162" i="18"/>
  <c r="L162" i="18"/>
  <c r="M162" i="18"/>
  <c r="O162" i="18"/>
  <c r="P162" i="18"/>
  <c r="Q162" i="18"/>
  <c r="R162" i="18"/>
  <c r="A163" i="18"/>
  <c r="C163" i="18"/>
  <c r="E163" i="18"/>
  <c r="F163" i="18"/>
  <c r="H163" i="18"/>
  <c r="I163" i="18"/>
  <c r="K163" i="18"/>
  <c r="L163" i="18"/>
  <c r="M163" i="18"/>
  <c r="O163" i="18"/>
  <c r="P163" i="18"/>
  <c r="Q163" i="18"/>
  <c r="R163" i="18"/>
  <c r="A164" i="18"/>
  <c r="C164" i="18"/>
  <c r="E164" i="18"/>
  <c r="F164" i="18"/>
  <c r="H164" i="18"/>
  <c r="I164" i="18"/>
  <c r="K164" i="18"/>
  <c r="L164" i="18"/>
  <c r="M164" i="18"/>
  <c r="O164" i="18"/>
  <c r="P164" i="18"/>
  <c r="Q164" i="18"/>
  <c r="R164" i="18"/>
  <c r="A165" i="18"/>
  <c r="C165" i="18"/>
  <c r="E165" i="18"/>
  <c r="F165" i="18"/>
  <c r="H165" i="18"/>
  <c r="I165" i="18"/>
  <c r="K165" i="18"/>
  <c r="L165" i="18"/>
  <c r="M165" i="18"/>
  <c r="O165" i="18"/>
  <c r="P165" i="18"/>
  <c r="Q165" i="18"/>
  <c r="R165" i="18"/>
  <c r="A166" i="18"/>
  <c r="C166" i="18"/>
  <c r="E166" i="18"/>
  <c r="F166" i="18"/>
  <c r="H166" i="18"/>
  <c r="I166" i="18"/>
  <c r="K166" i="18"/>
  <c r="L166" i="18"/>
  <c r="M166" i="18"/>
  <c r="O166" i="18"/>
  <c r="P166" i="18"/>
  <c r="Q166" i="18"/>
  <c r="R166" i="18"/>
  <c r="A167" i="18"/>
  <c r="C167" i="18"/>
  <c r="E167" i="18"/>
  <c r="F167" i="18"/>
  <c r="H167" i="18"/>
  <c r="I167" i="18"/>
  <c r="K167" i="18"/>
  <c r="L167" i="18"/>
  <c r="M167" i="18"/>
  <c r="O167" i="18"/>
  <c r="P167" i="18"/>
  <c r="Q167" i="18"/>
  <c r="R167" i="18"/>
  <c r="A168" i="18"/>
  <c r="C168" i="18"/>
  <c r="E168" i="18"/>
  <c r="F168" i="18"/>
  <c r="H168" i="18"/>
  <c r="I168" i="18"/>
  <c r="K168" i="18"/>
  <c r="L168" i="18"/>
  <c r="M168" i="18"/>
  <c r="O168" i="18"/>
  <c r="P168" i="18"/>
  <c r="Q168" i="18"/>
  <c r="R168" i="18"/>
  <c r="A169" i="18"/>
  <c r="C169" i="18"/>
  <c r="E169" i="18"/>
  <c r="F169" i="18"/>
  <c r="H169" i="18"/>
  <c r="I169" i="18"/>
  <c r="K169" i="18"/>
  <c r="L169" i="18"/>
  <c r="M169" i="18"/>
  <c r="O169" i="18"/>
  <c r="P169" i="18"/>
  <c r="Q169" i="18"/>
  <c r="R169" i="18"/>
  <c r="A170" i="18"/>
  <c r="C170" i="18"/>
  <c r="E170" i="18"/>
  <c r="F170" i="18"/>
  <c r="H170" i="18"/>
  <c r="I170" i="18"/>
  <c r="K170" i="18"/>
  <c r="L170" i="18"/>
  <c r="M170" i="18"/>
  <c r="O170" i="18"/>
  <c r="P170" i="18"/>
  <c r="Q170" i="18"/>
  <c r="R170" i="18"/>
  <c r="A171" i="18"/>
  <c r="C171" i="18"/>
  <c r="E171" i="18"/>
  <c r="F171" i="18"/>
  <c r="H171" i="18"/>
  <c r="I171" i="18"/>
  <c r="K171" i="18"/>
  <c r="L171" i="18"/>
  <c r="M171" i="18"/>
  <c r="O171" i="18"/>
  <c r="P171" i="18"/>
  <c r="Q171" i="18"/>
  <c r="R171" i="18"/>
  <c r="A172" i="18"/>
  <c r="C172" i="18"/>
  <c r="E172" i="18"/>
  <c r="F172" i="18"/>
  <c r="H172" i="18"/>
  <c r="I172" i="18"/>
  <c r="K172" i="18"/>
  <c r="L172" i="18"/>
  <c r="M172" i="18"/>
  <c r="O172" i="18"/>
  <c r="P172" i="18"/>
  <c r="Q172" i="18"/>
  <c r="R172" i="18"/>
  <c r="A173" i="18"/>
  <c r="C173" i="18"/>
  <c r="E173" i="18"/>
  <c r="F173" i="18"/>
  <c r="H173" i="18"/>
  <c r="I173" i="18"/>
  <c r="K173" i="18"/>
  <c r="L173" i="18"/>
  <c r="M173" i="18"/>
  <c r="O173" i="18"/>
  <c r="P173" i="18"/>
  <c r="Q173" i="18"/>
  <c r="R173" i="18"/>
  <c r="A174" i="18"/>
  <c r="C174" i="18"/>
  <c r="E174" i="18"/>
  <c r="F174" i="18"/>
  <c r="H174" i="18"/>
  <c r="I174" i="18"/>
  <c r="K174" i="18"/>
  <c r="L174" i="18"/>
  <c r="M174" i="18"/>
  <c r="O174" i="18"/>
  <c r="P174" i="18"/>
  <c r="Q174" i="18"/>
  <c r="R174" i="18"/>
  <c r="A175" i="18"/>
  <c r="C175" i="18"/>
  <c r="E175" i="18"/>
  <c r="F175" i="18"/>
  <c r="H175" i="18"/>
  <c r="I175" i="18"/>
  <c r="K175" i="18"/>
  <c r="L175" i="18"/>
  <c r="M175" i="18"/>
  <c r="O175" i="18"/>
  <c r="P175" i="18"/>
  <c r="Q175" i="18"/>
  <c r="R175" i="18"/>
  <c r="A176" i="18"/>
  <c r="C176" i="18"/>
  <c r="E176" i="18"/>
  <c r="F176" i="18"/>
  <c r="H176" i="18"/>
  <c r="I176" i="18"/>
  <c r="K176" i="18"/>
  <c r="L176" i="18"/>
  <c r="M176" i="18"/>
  <c r="O176" i="18"/>
  <c r="P176" i="18"/>
  <c r="Q176" i="18"/>
  <c r="R176" i="18"/>
  <c r="A177" i="18"/>
  <c r="C177" i="18"/>
  <c r="E177" i="18"/>
  <c r="F177" i="18"/>
  <c r="H177" i="18"/>
  <c r="I177" i="18"/>
  <c r="K177" i="18"/>
  <c r="L177" i="18"/>
  <c r="M177" i="18"/>
  <c r="O177" i="18"/>
  <c r="P177" i="18"/>
  <c r="Q177" i="18"/>
  <c r="R177" i="18"/>
  <c r="A178" i="18"/>
  <c r="C178" i="18"/>
  <c r="E178" i="18"/>
  <c r="F178" i="18"/>
  <c r="H178" i="18"/>
  <c r="I178" i="18"/>
  <c r="K178" i="18"/>
  <c r="L178" i="18"/>
  <c r="M178" i="18"/>
  <c r="O178" i="18"/>
  <c r="P178" i="18"/>
  <c r="Q178" i="18"/>
  <c r="R178" i="18"/>
  <c r="A179" i="18"/>
  <c r="C179" i="18"/>
  <c r="E179" i="18"/>
  <c r="F179" i="18"/>
  <c r="H179" i="18"/>
  <c r="I179" i="18"/>
  <c r="K179" i="18"/>
  <c r="L179" i="18"/>
  <c r="M179" i="18"/>
  <c r="O179" i="18"/>
  <c r="P179" i="18"/>
  <c r="Q179" i="18"/>
  <c r="R179" i="18"/>
  <c r="A180" i="18"/>
  <c r="C180" i="18"/>
  <c r="E180" i="18"/>
  <c r="F180" i="18"/>
  <c r="H180" i="18"/>
  <c r="I180" i="18"/>
  <c r="K180" i="18"/>
  <c r="L180" i="18"/>
  <c r="M180" i="18"/>
  <c r="O180" i="18"/>
  <c r="P180" i="18"/>
  <c r="Q180" i="18"/>
  <c r="R180" i="18"/>
  <c r="A181" i="18"/>
  <c r="C181" i="18"/>
  <c r="E181" i="18"/>
  <c r="F181" i="18"/>
  <c r="H181" i="18"/>
  <c r="I181" i="18"/>
  <c r="K181" i="18"/>
  <c r="L181" i="18"/>
  <c r="M181" i="18"/>
  <c r="O181" i="18"/>
  <c r="P181" i="18"/>
  <c r="Q181" i="18"/>
  <c r="R181" i="18"/>
  <c r="A182" i="18"/>
  <c r="C182" i="18"/>
  <c r="E182" i="18"/>
  <c r="F182" i="18"/>
  <c r="H182" i="18"/>
  <c r="I182" i="18"/>
  <c r="K182" i="18"/>
  <c r="L182" i="18"/>
  <c r="M182" i="18"/>
  <c r="O182" i="18"/>
  <c r="P182" i="18"/>
  <c r="Q182" i="18"/>
  <c r="R182" i="18"/>
  <c r="A183" i="18"/>
  <c r="C183" i="18"/>
  <c r="E183" i="18"/>
  <c r="F183" i="18"/>
  <c r="H183" i="18"/>
  <c r="I183" i="18"/>
  <c r="K183" i="18"/>
  <c r="L183" i="18"/>
  <c r="M183" i="18"/>
  <c r="O183" i="18"/>
  <c r="P183" i="18"/>
  <c r="Q183" i="18"/>
  <c r="R183" i="18"/>
  <c r="A184" i="18"/>
  <c r="C184" i="18"/>
  <c r="E184" i="18"/>
  <c r="F184" i="18"/>
  <c r="H184" i="18"/>
  <c r="I184" i="18"/>
  <c r="K184" i="18"/>
  <c r="L184" i="18"/>
  <c r="M184" i="18"/>
  <c r="O184" i="18"/>
  <c r="P184" i="18"/>
  <c r="Q184" i="18"/>
  <c r="R184" i="18"/>
  <c r="A185" i="18"/>
  <c r="C185" i="18"/>
  <c r="E185" i="18"/>
  <c r="F185" i="18"/>
  <c r="H185" i="18"/>
  <c r="I185" i="18"/>
  <c r="K185" i="18"/>
  <c r="L185" i="18"/>
  <c r="M185" i="18"/>
  <c r="O185" i="18"/>
  <c r="P185" i="18"/>
  <c r="Q185" i="18"/>
  <c r="R185" i="18"/>
  <c r="A186" i="18"/>
  <c r="C186" i="18"/>
  <c r="E186" i="18"/>
  <c r="F186" i="18"/>
  <c r="H186" i="18"/>
  <c r="I186" i="18"/>
  <c r="K186" i="18"/>
  <c r="L186" i="18"/>
  <c r="M186" i="18"/>
  <c r="O186" i="18"/>
  <c r="P186" i="18"/>
  <c r="Q186" i="18"/>
  <c r="R186" i="18"/>
  <c r="A187" i="18"/>
  <c r="C187" i="18"/>
  <c r="E187" i="18"/>
  <c r="F187" i="18"/>
  <c r="H187" i="18"/>
  <c r="I187" i="18"/>
  <c r="K187" i="18"/>
  <c r="L187" i="18"/>
  <c r="M187" i="18"/>
  <c r="O187" i="18"/>
  <c r="P187" i="18"/>
  <c r="Q187" i="18"/>
  <c r="R187" i="18"/>
  <c r="A188" i="18"/>
  <c r="C188" i="18"/>
  <c r="E188" i="18"/>
  <c r="F188" i="18"/>
  <c r="H188" i="18"/>
  <c r="I188" i="18"/>
  <c r="K188" i="18"/>
  <c r="L188" i="18"/>
  <c r="M188" i="18"/>
  <c r="O188" i="18"/>
  <c r="P188" i="18"/>
  <c r="Q188" i="18"/>
  <c r="R188" i="18"/>
  <c r="A189" i="18"/>
  <c r="C189" i="18"/>
  <c r="E189" i="18"/>
  <c r="F189" i="18"/>
  <c r="H189" i="18"/>
  <c r="I189" i="18"/>
  <c r="K189" i="18"/>
  <c r="L189" i="18"/>
  <c r="M189" i="18"/>
  <c r="O189" i="18"/>
  <c r="P189" i="18"/>
  <c r="Q189" i="18"/>
  <c r="R189" i="18"/>
  <c r="A190" i="18"/>
  <c r="C190" i="18"/>
  <c r="E190" i="18"/>
  <c r="F190" i="18"/>
  <c r="H190" i="18"/>
  <c r="I190" i="18"/>
  <c r="K190" i="18"/>
  <c r="L190" i="18"/>
  <c r="M190" i="18"/>
  <c r="O190" i="18"/>
  <c r="P190" i="18"/>
  <c r="Q190" i="18"/>
  <c r="R190" i="18"/>
  <c r="A191" i="18"/>
  <c r="C191" i="18"/>
  <c r="E191" i="18"/>
  <c r="F191" i="18"/>
  <c r="H191" i="18"/>
  <c r="I191" i="18"/>
  <c r="K191" i="18"/>
  <c r="L191" i="18"/>
  <c r="M191" i="18"/>
  <c r="O191" i="18"/>
  <c r="P191" i="18"/>
  <c r="Q191" i="18"/>
  <c r="R191" i="18"/>
  <c r="A192" i="18"/>
  <c r="C192" i="18"/>
  <c r="E192" i="18"/>
  <c r="F192" i="18"/>
  <c r="H192" i="18"/>
  <c r="I192" i="18"/>
  <c r="K192" i="18"/>
  <c r="L192" i="18"/>
  <c r="M192" i="18"/>
  <c r="O192" i="18"/>
  <c r="P192" i="18"/>
  <c r="Q192" i="18"/>
  <c r="R192" i="18"/>
  <c r="A193" i="18"/>
  <c r="C193" i="18"/>
  <c r="E193" i="18"/>
  <c r="F193" i="18"/>
  <c r="H193" i="18"/>
  <c r="I193" i="18"/>
  <c r="K193" i="18"/>
  <c r="L193" i="18"/>
  <c r="M193" i="18"/>
  <c r="O193" i="18"/>
  <c r="P193" i="18"/>
  <c r="Q193" i="18"/>
  <c r="R193" i="18"/>
  <c r="A194" i="18"/>
  <c r="C194" i="18"/>
  <c r="E194" i="18"/>
  <c r="F194" i="18"/>
  <c r="H194" i="18"/>
  <c r="I194" i="18"/>
  <c r="K194" i="18"/>
  <c r="L194" i="18"/>
  <c r="M194" i="18"/>
  <c r="O194" i="18"/>
  <c r="P194" i="18"/>
  <c r="Q194" i="18"/>
  <c r="R194" i="18"/>
  <c r="A195" i="18"/>
  <c r="C195" i="18"/>
  <c r="E195" i="18"/>
  <c r="F195" i="18"/>
  <c r="H195" i="18"/>
  <c r="I195" i="18"/>
  <c r="K195" i="18"/>
  <c r="L195" i="18"/>
  <c r="M195" i="18"/>
  <c r="O195" i="18"/>
  <c r="P195" i="18"/>
  <c r="Q195" i="18"/>
  <c r="R195" i="18"/>
  <c r="A196" i="18"/>
  <c r="C196" i="18"/>
  <c r="E196" i="18"/>
  <c r="F196" i="18"/>
  <c r="H196" i="18"/>
  <c r="I196" i="18"/>
  <c r="K196" i="18"/>
  <c r="L196" i="18"/>
  <c r="M196" i="18"/>
  <c r="O196" i="18"/>
  <c r="P196" i="18"/>
  <c r="Q196" i="18"/>
  <c r="R196" i="18"/>
  <c r="A197" i="18"/>
  <c r="C197" i="18"/>
  <c r="E197" i="18"/>
  <c r="F197" i="18"/>
  <c r="H197" i="18"/>
  <c r="I197" i="18"/>
  <c r="K197" i="18"/>
  <c r="L197" i="18"/>
  <c r="M197" i="18"/>
  <c r="O197" i="18"/>
  <c r="P197" i="18"/>
  <c r="Q197" i="18"/>
  <c r="R197" i="18"/>
  <c r="A198" i="18"/>
  <c r="C198" i="18"/>
  <c r="E198" i="18"/>
  <c r="F198" i="18"/>
  <c r="H198" i="18"/>
  <c r="I198" i="18"/>
  <c r="K198" i="18"/>
  <c r="L198" i="18"/>
  <c r="M198" i="18"/>
  <c r="O198" i="18"/>
  <c r="P198" i="18"/>
  <c r="Q198" i="18"/>
  <c r="R198" i="18"/>
  <c r="A199" i="18"/>
  <c r="C199" i="18"/>
  <c r="E199" i="18"/>
  <c r="F199" i="18"/>
  <c r="H199" i="18"/>
  <c r="I199" i="18"/>
  <c r="K199" i="18"/>
  <c r="L199" i="18"/>
  <c r="M199" i="18"/>
  <c r="O199" i="18"/>
  <c r="P199" i="18"/>
  <c r="Q199" i="18"/>
  <c r="R199" i="18"/>
  <c r="A200" i="18"/>
  <c r="C200" i="18"/>
  <c r="E200" i="18"/>
  <c r="F200" i="18"/>
  <c r="H200" i="18"/>
  <c r="I200" i="18"/>
  <c r="K200" i="18"/>
  <c r="L200" i="18"/>
  <c r="M200" i="18"/>
  <c r="O200" i="18"/>
  <c r="P200" i="18"/>
  <c r="Q200" i="18"/>
  <c r="R200" i="18"/>
  <c r="A201" i="18"/>
  <c r="C201" i="18"/>
  <c r="E201" i="18"/>
  <c r="F201" i="18"/>
  <c r="H201" i="18"/>
  <c r="I201" i="18"/>
  <c r="K201" i="18"/>
  <c r="L201" i="18"/>
  <c r="M201" i="18"/>
  <c r="O201" i="18"/>
  <c r="P201" i="18"/>
  <c r="Q201" i="18"/>
  <c r="R201" i="18"/>
  <c r="A202" i="18"/>
  <c r="C202" i="18"/>
  <c r="E202" i="18"/>
  <c r="F202" i="18"/>
  <c r="H202" i="18"/>
  <c r="I202" i="18"/>
  <c r="K202" i="18"/>
  <c r="L202" i="18"/>
  <c r="M202" i="18"/>
  <c r="O202" i="18"/>
  <c r="P202" i="18"/>
  <c r="Q202" i="18"/>
  <c r="R202" i="18"/>
  <c r="A203" i="18"/>
  <c r="C203" i="18"/>
  <c r="E203" i="18"/>
  <c r="F203" i="18"/>
  <c r="H203" i="18"/>
  <c r="I203" i="18"/>
  <c r="K203" i="18"/>
  <c r="L203" i="18"/>
  <c r="M203" i="18"/>
  <c r="O203" i="18"/>
  <c r="P203" i="18"/>
  <c r="Q203" i="18"/>
  <c r="R203" i="18"/>
  <c r="A204" i="18"/>
  <c r="C204" i="18"/>
  <c r="E204" i="18"/>
  <c r="F204" i="18"/>
  <c r="H204" i="18"/>
  <c r="I204" i="18"/>
  <c r="K204" i="18"/>
  <c r="L204" i="18"/>
  <c r="M204" i="18"/>
  <c r="O204" i="18"/>
  <c r="P204" i="18"/>
  <c r="Q204" i="18"/>
  <c r="R204" i="18"/>
  <c r="A205" i="18"/>
  <c r="C205" i="18"/>
  <c r="E205" i="18"/>
  <c r="F205" i="18"/>
  <c r="H205" i="18"/>
  <c r="I205" i="18"/>
  <c r="K205" i="18"/>
  <c r="L205" i="18"/>
  <c r="M205" i="18"/>
  <c r="O205" i="18"/>
  <c r="P205" i="18"/>
  <c r="Q205" i="18"/>
  <c r="R205" i="18"/>
  <c r="A206" i="18"/>
  <c r="C206" i="18"/>
  <c r="E206" i="18"/>
  <c r="F206" i="18"/>
  <c r="H206" i="18"/>
  <c r="I206" i="18"/>
  <c r="K206" i="18"/>
  <c r="L206" i="18"/>
  <c r="M206" i="18"/>
  <c r="O206" i="18"/>
  <c r="P206" i="18"/>
  <c r="Q206" i="18"/>
  <c r="R206" i="18"/>
  <c r="A207" i="18"/>
  <c r="C207" i="18"/>
  <c r="E207" i="18"/>
  <c r="F207" i="18"/>
  <c r="H207" i="18"/>
  <c r="I207" i="18"/>
  <c r="K207" i="18"/>
  <c r="L207" i="18"/>
  <c r="M207" i="18"/>
  <c r="O207" i="18"/>
  <c r="P207" i="18"/>
  <c r="Q207" i="18"/>
  <c r="R207" i="18"/>
  <c r="A208" i="18"/>
  <c r="C208" i="18"/>
  <c r="E208" i="18"/>
  <c r="F208" i="18"/>
  <c r="H208" i="18"/>
  <c r="I208" i="18"/>
  <c r="K208" i="18"/>
  <c r="L208" i="18"/>
  <c r="M208" i="18"/>
  <c r="O208" i="18"/>
  <c r="P208" i="18"/>
  <c r="Q208" i="18"/>
  <c r="R208" i="18"/>
  <c r="A209" i="18"/>
  <c r="C209" i="18"/>
  <c r="E209" i="18"/>
  <c r="F209" i="18"/>
  <c r="H209" i="18"/>
  <c r="I209" i="18"/>
  <c r="K209" i="18"/>
  <c r="L209" i="18"/>
  <c r="M209" i="18"/>
  <c r="O209" i="18"/>
  <c r="P209" i="18"/>
  <c r="Q209" i="18"/>
  <c r="R209" i="18"/>
  <c r="A210" i="18"/>
  <c r="C210" i="18"/>
  <c r="E210" i="18"/>
  <c r="F210" i="18"/>
  <c r="H210" i="18"/>
  <c r="I210" i="18"/>
  <c r="K210" i="18"/>
  <c r="L210" i="18"/>
  <c r="M210" i="18"/>
  <c r="O210" i="18"/>
  <c r="P210" i="18"/>
  <c r="Q210" i="18"/>
  <c r="R210" i="18"/>
  <c r="A211" i="18"/>
  <c r="C211" i="18"/>
  <c r="E211" i="18"/>
  <c r="F211" i="18"/>
  <c r="H211" i="18"/>
  <c r="I211" i="18"/>
  <c r="K211" i="18"/>
  <c r="L211" i="18"/>
  <c r="M211" i="18"/>
  <c r="O211" i="18"/>
  <c r="P211" i="18"/>
  <c r="Q211" i="18"/>
  <c r="R211" i="18"/>
  <c r="A212" i="18"/>
  <c r="C212" i="18"/>
  <c r="E212" i="18"/>
  <c r="F212" i="18"/>
  <c r="H212" i="18"/>
  <c r="I212" i="18"/>
  <c r="K212" i="18"/>
  <c r="L212" i="18"/>
  <c r="M212" i="18"/>
  <c r="O212" i="18"/>
  <c r="P212" i="18"/>
  <c r="Q212" i="18"/>
  <c r="R212" i="18"/>
  <c r="A213" i="18"/>
  <c r="C213" i="18"/>
  <c r="E213" i="18"/>
  <c r="F213" i="18"/>
  <c r="H213" i="18"/>
  <c r="I213" i="18"/>
  <c r="K213" i="18"/>
  <c r="L213" i="18"/>
  <c r="M213" i="18"/>
  <c r="O213" i="18"/>
  <c r="P213" i="18"/>
  <c r="Q213" i="18"/>
  <c r="R213" i="18"/>
  <c r="A214" i="18"/>
  <c r="C214" i="18"/>
  <c r="E214" i="18"/>
  <c r="F214" i="18"/>
  <c r="H214" i="18"/>
  <c r="I214" i="18"/>
  <c r="K214" i="18"/>
  <c r="L214" i="18"/>
  <c r="M214" i="18"/>
  <c r="O214" i="18"/>
  <c r="P214" i="18"/>
  <c r="Q214" i="18"/>
  <c r="R214" i="18"/>
  <c r="A215" i="18"/>
  <c r="C215" i="18"/>
  <c r="E215" i="18"/>
  <c r="F215" i="18"/>
  <c r="H215" i="18"/>
  <c r="I215" i="18"/>
  <c r="K215" i="18"/>
  <c r="L215" i="18"/>
  <c r="M215" i="18"/>
  <c r="O215" i="18"/>
  <c r="P215" i="18"/>
  <c r="Q215" i="18"/>
  <c r="R215" i="18"/>
  <c r="A216" i="18"/>
  <c r="C216" i="18"/>
  <c r="E216" i="18"/>
  <c r="F216" i="18"/>
  <c r="H216" i="18"/>
  <c r="I216" i="18"/>
  <c r="K216" i="18"/>
  <c r="L216" i="18"/>
  <c r="M216" i="18"/>
  <c r="O216" i="18"/>
  <c r="P216" i="18"/>
  <c r="Q216" i="18"/>
  <c r="R216" i="18"/>
  <c r="A217" i="18"/>
  <c r="C217" i="18"/>
  <c r="E217" i="18"/>
  <c r="F217" i="18"/>
  <c r="H217" i="18"/>
  <c r="I217" i="18"/>
  <c r="K217" i="18"/>
  <c r="L217" i="18"/>
  <c r="M217" i="18"/>
  <c r="O217" i="18"/>
  <c r="P217" i="18"/>
  <c r="Q217" i="18"/>
  <c r="R217" i="18"/>
  <c r="A218" i="18"/>
  <c r="C218" i="18"/>
  <c r="E218" i="18"/>
  <c r="F218" i="18"/>
  <c r="H218" i="18"/>
  <c r="I218" i="18"/>
  <c r="K218" i="18"/>
  <c r="L218" i="18"/>
  <c r="M218" i="18"/>
  <c r="O218" i="18"/>
  <c r="P218" i="18"/>
  <c r="Q218" i="18"/>
  <c r="R218" i="18"/>
  <c r="A219" i="18"/>
  <c r="C219" i="18"/>
  <c r="E219" i="18"/>
  <c r="F219" i="18"/>
  <c r="H219" i="18"/>
  <c r="I219" i="18"/>
  <c r="K219" i="18"/>
  <c r="L219" i="18"/>
  <c r="M219" i="18"/>
  <c r="O219" i="18"/>
  <c r="P219" i="18"/>
  <c r="Q219" i="18"/>
  <c r="R219" i="18"/>
  <c r="A220" i="18"/>
  <c r="C220" i="18"/>
  <c r="E220" i="18"/>
  <c r="F220" i="18"/>
  <c r="H220" i="18"/>
  <c r="I220" i="18"/>
  <c r="K220" i="18"/>
  <c r="L220" i="18"/>
  <c r="M220" i="18"/>
  <c r="O220" i="18"/>
  <c r="P220" i="18"/>
  <c r="Q220" i="18"/>
  <c r="R220" i="18"/>
  <c r="A221" i="18"/>
  <c r="C221" i="18"/>
  <c r="E221" i="18"/>
  <c r="F221" i="18"/>
  <c r="H221" i="18"/>
  <c r="I221" i="18"/>
  <c r="K221" i="18"/>
  <c r="L221" i="18"/>
  <c r="M221" i="18"/>
  <c r="O221" i="18"/>
  <c r="P221" i="18"/>
  <c r="Q221" i="18"/>
  <c r="R221" i="18"/>
  <c r="A222" i="18"/>
  <c r="C222" i="18"/>
  <c r="E222" i="18"/>
  <c r="F222" i="18"/>
  <c r="H222" i="18"/>
  <c r="I222" i="18"/>
  <c r="K222" i="18"/>
  <c r="L222" i="18"/>
  <c r="M222" i="18"/>
  <c r="O222" i="18"/>
  <c r="P222" i="18"/>
  <c r="Q222" i="18"/>
  <c r="R222" i="18"/>
  <c r="A223" i="18"/>
  <c r="C223" i="18"/>
  <c r="E223" i="18"/>
  <c r="F223" i="18"/>
  <c r="H223" i="18"/>
  <c r="I223" i="18"/>
  <c r="K223" i="18"/>
  <c r="L223" i="18"/>
  <c r="M223" i="18"/>
  <c r="O223" i="18"/>
  <c r="P223" i="18"/>
  <c r="Q223" i="18"/>
  <c r="R223" i="18"/>
  <c r="A224" i="18"/>
  <c r="C224" i="18"/>
  <c r="E224" i="18"/>
  <c r="F224" i="18"/>
  <c r="H224" i="18"/>
  <c r="I224" i="18"/>
  <c r="K224" i="18"/>
  <c r="L224" i="18"/>
  <c r="M224" i="18"/>
  <c r="O224" i="18"/>
  <c r="P224" i="18"/>
  <c r="Q224" i="18"/>
  <c r="R224" i="18"/>
  <c r="A225" i="18"/>
  <c r="C225" i="18"/>
  <c r="E225" i="18"/>
  <c r="F225" i="18"/>
  <c r="H225" i="18"/>
  <c r="I225" i="18"/>
  <c r="K225" i="18"/>
  <c r="L225" i="18"/>
  <c r="M225" i="18"/>
  <c r="O225" i="18"/>
  <c r="P225" i="18"/>
  <c r="Q225" i="18"/>
  <c r="R225" i="18"/>
  <c r="A226" i="18"/>
  <c r="C226" i="18"/>
  <c r="E226" i="18"/>
  <c r="F226" i="18"/>
  <c r="H226" i="18"/>
  <c r="I226" i="18"/>
  <c r="K226" i="18"/>
  <c r="L226" i="18"/>
  <c r="M226" i="18"/>
  <c r="O226" i="18"/>
  <c r="P226" i="18"/>
  <c r="Q226" i="18"/>
  <c r="R226" i="18"/>
  <c r="A227" i="18"/>
  <c r="C227" i="18"/>
  <c r="E227" i="18"/>
  <c r="F227" i="18"/>
  <c r="H227" i="18"/>
  <c r="I227" i="18"/>
  <c r="K227" i="18"/>
  <c r="L227" i="18"/>
  <c r="M227" i="18"/>
  <c r="O227" i="18"/>
  <c r="P227" i="18"/>
  <c r="Q227" i="18"/>
  <c r="R227" i="18"/>
  <c r="A228" i="18"/>
  <c r="C228" i="18"/>
  <c r="E228" i="18"/>
  <c r="F228" i="18"/>
  <c r="H228" i="18"/>
  <c r="I228" i="18"/>
  <c r="K228" i="18"/>
  <c r="L228" i="18"/>
  <c r="M228" i="18"/>
  <c r="O228" i="18"/>
  <c r="P228" i="18"/>
  <c r="Q228" i="18"/>
  <c r="R228" i="18"/>
  <c r="A229" i="18"/>
  <c r="C229" i="18"/>
  <c r="E229" i="18"/>
  <c r="F229" i="18"/>
  <c r="H229" i="18"/>
  <c r="I229" i="18"/>
  <c r="K229" i="18"/>
  <c r="L229" i="18"/>
  <c r="M229" i="18"/>
  <c r="O229" i="18"/>
  <c r="P229" i="18"/>
  <c r="Q229" i="18"/>
  <c r="R229" i="18"/>
  <c r="A230" i="18"/>
  <c r="C230" i="18"/>
  <c r="E230" i="18"/>
  <c r="F230" i="18"/>
  <c r="H230" i="18"/>
  <c r="I230" i="18"/>
  <c r="K230" i="18"/>
  <c r="L230" i="18"/>
  <c r="M230" i="18"/>
  <c r="O230" i="18"/>
  <c r="P230" i="18"/>
  <c r="Q230" i="18"/>
  <c r="R230" i="18"/>
  <c r="A231" i="18"/>
  <c r="C231" i="18"/>
  <c r="E231" i="18"/>
  <c r="F231" i="18"/>
  <c r="H231" i="18"/>
  <c r="I231" i="18"/>
  <c r="K231" i="18"/>
  <c r="L231" i="18"/>
  <c r="M231" i="18"/>
  <c r="O231" i="18"/>
  <c r="P231" i="18"/>
  <c r="Q231" i="18"/>
  <c r="R231" i="18"/>
  <c r="A232" i="18"/>
  <c r="C232" i="18"/>
  <c r="E232" i="18"/>
  <c r="F232" i="18"/>
  <c r="H232" i="18"/>
  <c r="I232" i="18"/>
  <c r="K232" i="18"/>
  <c r="L232" i="18"/>
  <c r="M232" i="18"/>
  <c r="O232" i="18"/>
  <c r="P232" i="18"/>
  <c r="Q232" i="18"/>
  <c r="R232" i="18"/>
  <c r="A233" i="18"/>
  <c r="C233" i="18"/>
  <c r="E233" i="18"/>
  <c r="F233" i="18"/>
  <c r="H233" i="18"/>
  <c r="I233" i="18"/>
  <c r="K233" i="18"/>
  <c r="L233" i="18"/>
  <c r="M233" i="18"/>
  <c r="O233" i="18"/>
  <c r="P233" i="18"/>
  <c r="Q233" i="18"/>
  <c r="R233" i="18"/>
  <c r="A234" i="18"/>
  <c r="C234" i="18"/>
  <c r="E234" i="18"/>
  <c r="F234" i="18"/>
  <c r="H234" i="18"/>
  <c r="I234" i="18"/>
  <c r="K234" i="18"/>
  <c r="L234" i="18"/>
  <c r="M234" i="18"/>
  <c r="O234" i="18"/>
  <c r="P234" i="18"/>
  <c r="Q234" i="18"/>
  <c r="R234" i="18"/>
  <c r="A235" i="18"/>
  <c r="C235" i="18"/>
  <c r="E235" i="18"/>
  <c r="F235" i="18"/>
  <c r="H235" i="18"/>
  <c r="I235" i="18"/>
  <c r="K235" i="18"/>
  <c r="L235" i="18"/>
  <c r="M235" i="18"/>
  <c r="O235" i="18"/>
  <c r="P235" i="18"/>
  <c r="Q235" i="18"/>
  <c r="R235" i="18"/>
  <c r="A236" i="18"/>
  <c r="C236" i="18"/>
  <c r="E236" i="18"/>
  <c r="F236" i="18"/>
  <c r="H236" i="18"/>
  <c r="I236" i="18"/>
  <c r="K236" i="18"/>
  <c r="L236" i="18"/>
  <c r="M236" i="18"/>
  <c r="O236" i="18"/>
  <c r="P236" i="18"/>
  <c r="Q236" i="18"/>
  <c r="R236" i="18"/>
  <c r="A237" i="18"/>
  <c r="C237" i="18"/>
  <c r="E237" i="18"/>
  <c r="F237" i="18"/>
  <c r="H237" i="18"/>
  <c r="I237" i="18"/>
  <c r="K237" i="18"/>
  <c r="L237" i="18"/>
  <c r="M237" i="18"/>
  <c r="O237" i="18"/>
  <c r="P237" i="18"/>
  <c r="Q237" i="18"/>
  <c r="R237" i="18"/>
  <c r="A238" i="18"/>
  <c r="C238" i="18"/>
  <c r="E238" i="18"/>
  <c r="F238" i="18"/>
  <c r="H238" i="18"/>
  <c r="I238" i="18"/>
  <c r="K238" i="18"/>
  <c r="L238" i="18"/>
  <c r="M238" i="18"/>
  <c r="O238" i="18"/>
  <c r="P238" i="18"/>
  <c r="Q238" i="18"/>
  <c r="R238" i="18"/>
  <c r="A239" i="18"/>
  <c r="C239" i="18"/>
  <c r="E239" i="18"/>
  <c r="F239" i="18"/>
  <c r="H239" i="18"/>
  <c r="I239" i="18"/>
  <c r="K239" i="18"/>
  <c r="L239" i="18"/>
  <c r="M239" i="18"/>
  <c r="O239" i="18"/>
  <c r="P239" i="18"/>
  <c r="Q239" i="18"/>
  <c r="R239" i="18"/>
  <c r="A240" i="18"/>
  <c r="C240" i="18"/>
  <c r="E240" i="18"/>
  <c r="F240" i="18"/>
  <c r="H240" i="18"/>
  <c r="I240" i="18"/>
  <c r="K240" i="18"/>
  <c r="L240" i="18"/>
  <c r="M240" i="18"/>
  <c r="O240" i="18"/>
  <c r="P240" i="18"/>
  <c r="Q240" i="18"/>
  <c r="R240" i="18"/>
  <c r="A241" i="18"/>
  <c r="C241" i="18"/>
  <c r="E241" i="18"/>
  <c r="F241" i="18"/>
  <c r="H241" i="18"/>
  <c r="I241" i="18"/>
  <c r="K241" i="18"/>
  <c r="L241" i="18"/>
  <c r="M241" i="18"/>
  <c r="O241" i="18"/>
  <c r="P241" i="18"/>
  <c r="Q241" i="18"/>
  <c r="R241" i="18"/>
  <c r="A242" i="18"/>
  <c r="C242" i="18"/>
  <c r="E242" i="18"/>
  <c r="F242" i="18"/>
  <c r="H242" i="18"/>
  <c r="I242" i="18"/>
  <c r="K242" i="18"/>
  <c r="L242" i="18"/>
  <c r="M242" i="18"/>
  <c r="O242" i="18"/>
  <c r="P242" i="18"/>
  <c r="Q242" i="18"/>
  <c r="R242" i="18"/>
  <c r="A243" i="18"/>
  <c r="C243" i="18"/>
  <c r="E243" i="18"/>
  <c r="F243" i="18"/>
  <c r="H243" i="18"/>
  <c r="I243" i="18"/>
  <c r="K243" i="18"/>
  <c r="L243" i="18"/>
  <c r="M243" i="18"/>
  <c r="O243" i="18"/>
  <c r="P243" i="18"/>
  <c r="Q243" i="18"/>
  <c r="R243" i="18"/>
  <c r="A244" i="18"/>
  <c r="C244" i="18"/>
  <c r="E244" i="18"/>
  <c r="F244" i="18"/>
  <c r="H244" i="18"/>
  <c r="I244" i="18"/>
  <c r="K244" i="18"/>
  <c r="L244" i="18"/>
  <c r="M244" i="18"/>
  <c r="O244" i="18"/>
  <c r="P244" i="18"/>
  <c r="Q244" i="18"/>
  <c r="R244" i="18"/>
  <c r="A245" i="18"/>
  <c r="C245" i="18"/>
  <c r="E245" i="18"/>
  <c r="F245" i="18"/>
  <c r="H245" i="18"/>
  <c r="I245" i="18"/>
  <c r="K245" i="18"/>
  <c r="L245" i="18"/>
  <c r="M245" i="18"/>
  <c r="O245" i="18"/>
  <c r="P245" i="18"/>
  <c r="Q245" i="18"/>
  <c r="R245" i="18"/>
  <c r="A246" i="18"/>
  <c r="C246" i="18"/>
  <c r="E246" i="18"/>
  <c r="F246" i="18"/>
  <c r="H246" i="18"/>
  <c r="I246" i="18"/>
  <c r="K246" i="18"/>
  <c r="L246" i="18"/>
  <c r="M246" i="18"/>
  <c r="O246" i="18"/>
  <c r="P246" i="18"/>
  <c r="Q246" i="18"/>
  <c r="R246" i="18"/>
  <c r="A247" i="18"/>
  <c r="C247" i="18"/>
  <c r="E247" i="18"/>
  <c r="F247" i="18"/>
  <c r="H247" i="18"/>
  <c r="I247" i="18"/>
  <c r="K247" i="18"/>
  <c r="L247" i="18"/>
  <c r="M247" i="18"/>
  <c r="O247" i="18"/>
  <c r="P247" i="18"/>
  <c r="Q247" i="18"/>
  <c r="R247" i="18"/>
  <c r="A248" i="18"/>
  <c r="C248" i="18"/>
  <c r="E248" i="18"/>
  <c r="F248" i="18"/>
  <c r="H248" i="18"/>
  <c r="I248" i="18"/>
  <c r="K248" i="18"/>
  <c r="L248" i="18"/>
  <c r="M248" i="18"/>
  <c r="O248" i="18"/>
  <c r="P248" i="18"/>
  <c r="Q248" i="18"/>
  <c r="R248" i="18"/>
  <c r="A249" i="18"/>
  <c r="C249" i="18"/>
  <c r="E249" i="18"/>
  <c r="F249" i="18"/>
  <c r="H249" i="18"/>
  <c r="I249" i="18"/>
  <c r="K249" i="18"/>
  <c r="L249" i="18"/>
  <c r="M249" i="18"/>
  <c r="O249" i="18"/>
  <c r="P249" i="18"/>
  <c r="Q249" i="18"/>
  <c r="R249" i="18"/>
  <c r="A250" i="18"/>
  <c r="C250" i="18"/>
  <c r="E250" i="18"/>
  <c r="F250" i="18"/>
  <c r="H250" i="18"/>
  <c r="I250" i="18"/>
  <c r="K250" i="18"/>
  <c r="L250" i="18"/>
  <c r="M250" i="18"/>
  <c r="O250" i="18"/>
  <c r="P250" i="18"/>
  <c r="Q250" i="18"/>
  <c r="R250" i="18"/>
  <c r="A251" i="18"/>
  <c r="C251" i="18"/>
  <c r="E251" i="18"/>
  <c r="F251" i="18"/>
  <c r="H251" i="18"/>
  <c r="I251" i="18"/>
  <c r="K251" i="18"/>
  <c r="L251" i="18"/>
  <c r="M251" i="18"/>
  <c r="O251" i="18"/>
  <c r="P251" i="18"/>
  <c r="Q251" i="18"/>
  <c r="R251" i="18"/>
  <c r="A252" i="18"/>
  <c r="C252" i="18"/>
  <c r="E252" i="18"/>
  <c r="F252" i="18"/>
  <c r="H252" i="18"/>
  <c r="I252" i="18"/>
  <c r="K252" i="18"/>
  <c r="L252" i="18"/>
  <c r="M252" i="18"/>
  <c r="O252" i="18"/>
  <c r="P252" i="18"/>
  <c r="Q252" i="18"/>
  <c r="R252" i="18"/>
  <c r="A253" i="18"/>
  <c r="C253" i="18"/>
  <c r="E253" i="18"/>
  <c r="F253" i="18"/>
  <c r="H253" i="18"/>
  <c r="I253" i="18"/>
  <c r="K253" i="18"/>
  <c r="L253" i="18"/>
  <c r="M253" i="18"/>
  <c r="O253" i="18"/>
  <c r="P253" i="18"/>
  <c r="Q253" i="18"/>
  <c r="R253" i="18"/>
  <c r="A254" i="18"/>
  <c r="C254" i="18"/>
  <c r="E254" i="18"/>
  <c r="F254" i="18"/>
  <c r="H254" i="18"/>
  <c r="I254" i="18"/>
  <c r="K254" i="18"/>
  <c r="L254" i="18"/>
  <c r="M254" i="18"/>
  <c r="O254" i="18"/>
  <c r="P254" i="18"/>
  <c r="Q254" i="18"/>
  <c r="R254" i="18"/>
  <c r="A255" i="18"/>
  <c r="C255" i="18"/>
  <c r="E255" i="18"/>
  <c r="F255" i="18"/>
  <c r="H255" i="18"/>
  <c r="I255" i="18"/>
  <c r="K255" i="18"/>
  <c r="L255" i="18"/>
  <c r="M255" i="18"/>
  <c r="O255" i="18"/>
  <c r="P255" i="18"/>
  <c r="Q255" i="18"/>
  <c r="R255" i="18"/>
  <c r="A256" i="18"/>
  <c r="C256" i="18"/>
  <c r="E256" i="18"/>
  <c r="F256" i="18"/>
  <c r="H256" i="18"/>
  <c r="I256" i="18"/>
  <c r="K256" i="18"/>
  <c r="L256" i="18"/>
  <c r="M256" i="18"/>
  <c r="O256" i="18"/>
  <c r="P256" i="18"/>
  <c r="Q256" i="18"/>
  <c r="R256" i="18"/>
  <c r="A257" i="18"/>
  <c r="C257" i="18"/>
  <c r="E257" i="18"/>
  <c r="F257" i="18"/>
  <c r="H257" i="18"/>
  <c r="I257" i="18"/>
  <c r="K257" i="18"/>
  <c r="L257" i="18"/>
  <c r="M257" i="18"/>
  <c r="O257" i="18"/>
  <c r="P257" i="18"/>
  <c r="Q257" i="18"/>
  <c r="R257" i="18"/>
  <c r="A258" i="18"/>
  <c r="C258" i="18"/>
  <c r="E258" i="18"/>
  <c r="F258" i="18"/>
  <c r="H258" i="18"/>
  <c r="I258" i="18"/>
  <c r="K258" i="18"/>
  <c r="L258" i="18"/>
  <c r="M258" i="18"/>
  <c r="O258" i="18"/>
  <c r="P258" i="18"/>
  <c r="Q258" i="18"/>
  <c r="R258" i="18"/>
  <c r="A259" i="18"/>
  <c r="C259" i="18"/>
  <c r="E259" i="18"/>
  <c r="F259" i="18"/>
  <c r="H259" i="18"/>
  <c r="I259" i="18"/>
  <c r="K259" i="18"/>
  <c r="L259" i="18"/>
  <c r="M259" i="18"/>
  <c r="O259" i="18"/>
  <c r="P259" i="18"/>
  <c r="Q259" i="18"/>
  <c r="R259" i="18"/>
  <c r="A260" i="18"/>
  <c r="C260" i="18"/>
  <c r="E260" i="18"/>
  <c r="F260" i="18"/>
  <c r="H260" i="18"/>
  <c r="I260" i="18"/>
  <c r="K260" i="18"/>
  <c r="L260" i="18"/>
  <c r="M260" i="18"/>
  <c r="O260" i="18"/>
  <c r="P260" i="18"/>
  <c r="Q260" i="18"/>
  <c r="R260" i="18"/>
  <c r="A261" i="18"/>
  <c r="C261" i="18"/>
  <c r="E261" i="18"/>
  <c r="F261" i="18"/>
  <c r="H261" i="18"/>
  <c r="I261" i="18"/>
  <c r="K261" i="18"/>
  <c r="L261" i="18"/>
  <c r="M261" i="18"/>
  <c r="O261" i="18"/>
  <c r="P261" i="18"/>
  <c r="Q261" i="18"/>
  <c r="R261" i="18"/>
  <c r="A262" i="18"/>
  <c r="C262" i="18"/>
  <c r="E262" i="18"/>
  <c r="F262" i="18"/>
  <c r="H262" i="18"/>
  <c r="I262" i="18"/>
  <c r="K262" i="18"/>
  <c r="L262" i="18"/>
  <c r="M262" i="18"/>
  <c r="O262" i="18"/>
  <c r="P262" i="18"/>
  <c r="Q262" i="18"/>
  <c r="R262" i="18"/>
  <c r="A263" i="18"/>
  <c r="C263" i="18"/>
  <c r="E263" i="18"/>
  <c r="F263" i="18"/>
  <c r="H263" i="18"/>
  <c r="I263" i="18"/>
  <c r="K263" i="18"/>
  <c r="L263" i="18"/>
  <c r="M263" i="18"/>
  <c r="O263" i="18"/>
  <c r="P263" i="18"/>
  <c r="Q263" i="18"/>
  <c r="R263" i="18"/>
  <c r="A264" i="18"/>
  <c r="C264" i="18"/>
  <c r="E264" i="18"/>
  <c r="F264" i="18"/>
  <c r="H264" i="18"/>
  <c r="I264" i="18"/>
  <c r="K264" i="18"/>
  <c r="L264" i="18"/>
  <c r="M264" i="18"/>
  <c r="O264" i="18"/>
  <c r="P264" i="18"/>
  <c r="Q264" i="18"/>
  <c r="R264" i="18"/>
  <c r="A265" i="18"/>
  <c r="C265" i="18"/>
  <c r="E265" i="18"/>
  <c r="F265" i="18"/>
  <c r="H265" i="18"/>
  <c r="I265" i="18"/>
  <c r="K265" i="18"/>
  <c r="L265" i="18"/>
  <c r="M265" i="18"/>
  <c r="O265" i="18"/>
  <c r="P265" i="18"/>
  <c r="Q265" i="18"/>
  <c r="R265" i="18"/>
  <c r="A266" i="18"/>
  <c r="C266" i="18"/>
  <c r="E266" i="18"/>
  <c r="F266" i="18"/>
  <c r="H266" i="18"/>
  <c r="I266" i="18"/>
  <c r="K266" i="18"/>
  <c r="L266" i="18"/>
  <c r="M266" i="18"/>
  <c r="O266" i="18"/>
  <c r="P266" i="18"/>
  <c r="Q266" i="18"/>
  <c r="R266" i="18"/>
  <c r="A267" i="18"/>
  <c r="C267" i="18"/>
  <c r="E267" i="18"/>
  <c r="F267" i="18"/>
  <c r="H267" i="18"/>
  <c r="I267" i="18"/>
  <c r="K267" i="18"/>
  <c r="L267" i="18"/>
  <c r="M267" i="18"/>
  <c r="O267" i="18"/>
  <c r="P267" i="18"/>
  <c r="Q267" i="18"/>
  <c r="R267" i="18"/>
  <c r="A268" i="18"/>
  <c r="C268" i="18"/>
  <c r="E268" i="18"/>
  <c r="F268" i="18"/>
  <c r="H268" i="18"/>
  <c r="I268" i="18"/>
  <c r="K268" i="18"/>
  <c r="L268" i="18"/>
  <c r="M268" i="18"/>
  <c r="O268" i="18"/>
  <c r="P268" i="18"/>
  <c r="Q268" i="18"/>
  <c r="R268" i="18"/>
  <c r="A269" i="18"/>
  <c r="C269" i="18"/>
  <c r="E269" i="18"/>
  <c r="F269" i="18"/>
  <c r="H269" i="18"/>
  <c r="I269" i="18"/>
  <c r="K269" i="18"/>
  <c r="L269" i="18"/>
  <c r="M269" i="18"/>
  <c r="O269" i="18"/>
  <c r="P269" i="18"/>
  <c r="Q269" i="18"/>
  <c r="R269" i="18"/>
  <c r="A270" i="18"/>
  <c r="C270" i="18"/>
  <c r="E270" i="18"/>
  <c r="F270" i="18"/>
  <c r="H270" i="18"/>
  <c r="I270" i="18"/>
  <c r="K270" i="18"/>
  <c r="L270" i="18"/>
  <c r="M270" i="18"/>
  <c r="O270" i="18"/>
  <c r="P270" i="18"/>
  <c r="Q270" i="18"/>
  <c r="R270" i="18"/>
  <c r="A271" i="18"/>
  <c r="C271" i="18"/>
  <c r="E271" i="18"/>
  <c r="F271" i="18"/>
  <c r="H271" i="18"/>
  <c r="I271" i="18"/>
  <c r="K271" i="18"/>
  <c r="L271" i="18"/>
  <c r="M271" i="18"/>
  <c r="O271" i="18"/>
  <c r="P271" i="18"/>
  <c r="Q271" i="18"/>
  <c r="R271" i="18"/>
  <c r="A272" i="18"/>
  <c r="C272" i="18"/>
  <c r="E272" i="18"/>
  <c r="F272" i="18"/>
  <c r="H272" i="18"/>
  <c r="I272" i="18"/>
  <c r="K272" i="18"/>
  <c r="L272" i="18"/>
  <c r="M272" i="18"/>
  <c r="O272" i="18"/>
  <c r="P272" i="18"/>
  <c r="Q272" i="18"/>
  <c r="R272" i="18"/>
  <c r="A273" i="18"/>
  <c r="C273" i="18"/>
  <c r="E273" i="18"/>
  <c r="F273" i="18"/>
  <c r="H273" i="18"/>
  <c r="I273" i="18"/>
  <c r="K273" i="18"/>
  <c r="L273" i="18"/>
  <c r="M273" i="18"/>
  <c r="O273" i="18"/>
  <c r="P273" i="18"/>
  <c r="Q273" i="18"/>
  <c r="R273" i="18"/>
  <c r="A274" i="18"/>
  <c r="C274" i="18"/>
  <c r="E274" i="18"/>
  <c r="F274" i="18"/>
  <c r="H274" i="18"/>
  <c r="I274" i="18"/>
  <c r="K274" i="18"/>
  <c r="L274" i="18"/>
  <c r="M274" i="18"/>
  <c r="O274" i="18"/>
  <c r="P274" i="18"/>
  <c r="Q274" i="18"/>
  <c r="R274" i="18"/>
  <c r="A275" i="18"/>
  <c r="C275" i="18"/>
  <c r="E275" i="18"/>
  <c r="F275" i="18"/>
  <c r="H275" i="18"/>
  <c r="I275" i="18"/>
  <c r="K275" i="18"/>
  <c r="L275" i="18"/>
  <c r="M275" i="18"/>
  <c r="O275" i="18"/>
  <c r="P275" i="18"/>
  <c r="Q275" i="18"/>
  <c r="R275" i="18"/>
  <c r="A276" i="18"/>
  <c r="C276" i="18"/>
  <c r="E276" i="18"/>
  <c r="F276" i="18"/>
  <c r="H276" i="18"/>
  <c r="I276" i="18"/>
  <c r="K276" i="18"/>
  <c r="L276" i="18"/>
  <c r="M276" i="18"/>
  <c r="O276" i="18"/>
  <c r="P276" i="18"/>
  <c r="Q276" i="18"/>
  <c r="R276" i="18"/>
  <c r="A277" i="18"/>
  <c r="C277" i="18"/>
  <c r="E277" i="18"/>
  <c r="F277" i="18"/>
  <c r="H277" i="18"/>
  <c r="I277" i="18"/>
  <c r="K277" i="18"/>
  <c r="L277" i="18"/>
  <c r="M277" i="18"/>
  <c r="O277" i="18"/>
  <c r="P277" i="18"/>
  <c r="Q277" i="18"/>
  <c r="R277" i="18"/>
  <c r="A278" i="18"/>
  <c r="C278" i="18"/>
  <c r="E278" i="18"/>
  <c r="F278" i="18"/>
  <c r="H278" i="18"/>
  <c r="I278" i="18"/>
  <c r="K278" i="18"/>
  <c r="L278" i="18"/>
  <c r="M278" i="18"/>
  <c r="O278" i="18"/>
  <c r="P278" i="18"/>
  <c r="Q278" i="18"/>
  <c r="R278" i="18"/>
  <c r="A279" i="18"/>
  <c r="C279" i="18"/>
  <c r="E279" i="18"/>
  <c r="F279" i="18"/>
  <c r="H279" i="18"/>
  <c r="I279" i="18"/>
  <c r="K279" i="18"/>
  <c r="L279" i="18"/>
  <c r="M279" i="18"/>
  <c r="O279" i="18"/>
  <c r="P279" i="18"/>
  <c r="Q279" i="18"/>
  <c r="R279" i="18"/>
  <c r="A280" i="18"/>
  <c r="C280" i="18"/>
  <c r="E280" i="18"/>
  <c r="F280" i="18"/>
  <c r="H280" i="18"/>
  <c r="I280" i="18"/>
  <c r="K280" i="18"/>
  <c r="L280" i="18"/>
  <c r="M280" i="18"/>
  <c r="O280" i="18"/>
  <c r="P280" i="18"/>
  <c r="Q280" i="18"/>
  <c r="R280" i="18"/>
  <c r="A281" i="18"/>
  <c r="C281" i="18"/>
  <c r="E281" i="18"/>
  <c r="F281" i="18"/>
  <c r="H281" i="18"/>
  <c r="I281" i="18"/>
  <c r="K281" i="18"/>
  <c r="L281" i="18"/>
  <c r="M281" i="18"/>
  <c r="O281" i="18"/>
  <c r="P281" i="18"/>
  <c r="Q281" i="18"/>
  <c r="R281" i="18"/>
  <c r="A282" i="18"/>
  <c r="C282" i="18"/>
  <c r="E282" i="18"/>
  <c r="F282" i="18"/>
  <c r="H282" i="18"/>
  <c r="I282" i="18"/>
  <c r="K282" i="18"/>
  <c r="L282" i="18"/>
  <c r="M282" i="18"/>
  <c r="O282" i="18"/>
  <c r="P282" i="18"/>
  <c r="Q282" i="18"/>
  <c r="R282" i="18"/>
  <c r="A283" i="18"/>
  <c r="C283" i="18"/>
  <c r="E283" i="18"/>
  <c r="F283" i="18"/>
  <c r="H283" i="18"/>
  <c r="I283" i="18"/>
  <c r="K283" i="18"/>
  <c r="L283" i="18"/>
  <c r="M283" i="18"/>
  <c r="O283" i="18"/>
  <c r="P283" i="18"/>
  <c r="Q283" i="18"/>
  <c r="R283" i="18"/>
  <c r="A284" i="18"/>
  <c r="C284" i="18"/>
  <c r="E284" i="18"/>
  <c r="F284" i="18"/>
  <c r="H284" i="18"/>
  <c r="I284" i="18"/>
  <c r="K284" i="18"/>
  <c r="L284" i="18"/>
  <c r="M284" i="18"/>
  <c r="O284" i="18"/>
  <c r="P284" i="18"/>
  <c r="Q284" i="18"/>
  <c r="R284" i="18"/>
  <c r="A285" i="18"/>
  <c r="C285" i="18"/>
  <c r="E285" i="18"/>
  <c r="F285" i="18"/>
  <c r="H285" i="18"/>
  <c r="I285" i="18"/>
  <c r="K285" i="18"/>
  <c r="L285" i="18"/>
  <c r="M285" i="18"/>
  <c r="O285" i="18"/>
  <c r="P285" i="18"/>
  <c r="Q285" i="18"/>
  <c r="R285" i="18"/>
  <c r="A286" i="18"/>
  <c r="C286" i="18"/>
  <c r="E286" i="18"/>
  <c r="F286" i="18"/>
  <c r="H286" i="18"/>
  <c r="I286" i="18"/>
  <c r="K286" i="18"/>
  <c r="L286" i="18"/>
  <c r="M286" i="18"/>
  <c r="O286" i="18"/>
  <c r="P286" i="18"/>
  <c r="Q286" i="18"/>
  <c r="R286" i="18"/>
  <c r="A287" i="18"/>
  <c r="C287" i="18"/>
  <c r="E287" i="18"/>
  <c r="F287" i="18"/>
  <c r="H287" i="18"/>
  <c r="I287" i="18"/>
  <c r="K287" i="18"/>
  <c r="L287" i="18"/>
  <c r="M287" i="18"/>
  <c r="O287" i="18"/>
  <c r="P287" i="18"/>
  <c r="Q287" i="18"/>
  <c r="R287" i="18"/>
  <c r="A288" i="18"/>
  <c r="C288" i="18"/>
  <c r="E288" i="18"/>
  <c r="F288" i="18"/>
  <c r="H288" i="18"/>
  <c r="I288" i="18"/>
  <c r="K288" i="18"/>
  <c r="L288" i="18"/>
  <c r="M288" i="18"/>
  <c r="O288" i="18"/>
  <c r="P288" i="18"/>
  <c r="Q288" i="18"/>
  <c r="R288" i="18"/>
  <c r="A289" i="18"/>
  <c r="C289" i="18"/>
  <c r="E289" i="18"/>
  <c r="F289" i="18"/>
  <c r="H289" i="18"/>
  <c r="I289" i="18"/>
  <c r="K289" i="18"/>
  <c r="L289" i="18"/>
  <c r="M289" i="18"/>
  <c r="O289" i="18"/>
  <c r="P289" i="18"/>
  <c r="Q289" i="18"/>
  <c r="R289" i="18"/>
  <c r="A290" i="18"/>
  <c r="C290" i="18"/>
  <c r="E290" i="18"/>
  <c r="F290" i="18"/>
  <c r="H290" i="18"/>
  <c r="I290" i="18"/>
  <c r="K290" i="18"/>
  <c r="L290" i="18"/>
  <c r="M290" i="18"/>
  <c r="O290" i="18"/>
  <c r="P290" i="18"/>
  <c r="Q290" i="18"/>
  <c r="R290" i="18"/>
  <c r="A291" i="18"/>
  <c r="C291" i="18"/>
  <c r="E291" i="18"/>
  <c r="F291" i="18"/>
  <c r="H291" i="18"/>
  <c r="I291" i="18"/>
  <c r="K291" i="18"/>
  <c r="L291" i="18"/>
  <c r="M291" i="18"/>
  <c r="O291" i="18"/>
  <c r="P291" i="18"/>
  <c r="Q291" i="18"/>
  <c r="R291" i="18"/>
  <c r="A292" i="18"/>
  <c r="C292" i="18"/>
  <c r="E292" i="18"/>
  <c r="F292" i="18"/>
  <c r="H292" i="18"/>
  <c r="I292" i="18"/>
  <c r="K292" i="18"/>
  <c r="L292" i="18"/>
  <c r="M292" i="18"/>
  <c r="O292" i="18"/>
  <c r="P292" i="18"/>
  <c r="Q292" i="18"/>
  <c r="R292" i="18"/>
  <c r="A293" i="18"/>
  <c r="C293" i="18"/>
  <c r="E293" i="18"/>
  <c r="F293" i="18"/>
  <c r="H293" i="18"/>
  <c r="I293" i="18"/>
  <c r="K293" i="18"/>
  <c r="L293" i="18"/>
  <c r="M293" i="18"/>
  <c r="O293" i="18"/>
  <c r="P293" i="18"/>
  <c r="Q293" i="18"/>
  <c r="R293" i="18"/>
  <c r="A294" i="18"/>
  <c r="C294" i="18"/>
  <c r="E294" i="18"/>
  <c r="F294" i="18"/>
  <c r="H294" i="18"/>
  <c r="I294" i="18"/>
  <c r="K294" i="18"/>
  <c r="L294" i="18"/>
  <c r="M294" i="18"/>
  <c r="O294" i="18"/>
  <c r="P294" i="18"/>
  <c r="Q294" i="18"/>
  <c r="R294" i="18"/>
  <c r="A295" i="18"/>
  <c r="C295" i="18"/>
  <c r="E295" i="18"/>
  <c r="F295" i="18"/>
  <c r="H295" i="18"/>
  <c r="I295" i="18"/>
  <c r="K295" i="18"/>
  <c r="L295" i="18"/>
  <c r="M295" i="18"/>
  <c r="O295" i="18"/>
  <c r="P295" i="18"/>
  <c r="Q295" i="18"/>
  <c r="R295" i="18"/>
  <c r="A296" i="18"/>
  <c r="C296" i="18"/>
  <c r="E296" i="18"/>
  <c r="F296" i="18"/>
  <c r="H296" i="18"/>
  <c r="I296" i="18"/>
  <c r="K296" i="18"/>
  <c r="L296" i="18"/>
  <c r="M296" i="18"/>
  <c r="O296" i="18"/>
  <c r="P296" i="18"/>
  <c r="Q296" i="18"/>
  <c r="R296" i="18"/>
  <c r="A297" i="18"/>
  <c r="C297" i="18"/>
  <c r="E297" i="18"/>
  <c r="F297" i="18"/>
  <c r="H297" i="18"/>
  <c r="I297" i="18"/>
  <c r="K297" i="18"/>
  <c r="L297" i="18"/>
  <c r="M297" i="18"/>
  <c r="O297" i="18"/>
  <c r="P297" i="18"/>
  <c r="Q297" i="18"/>
  <c r="R297" i="18"/>
  <c r="A298" i="18"/>
  <c r="C298" i="18"/>
  <c r="E298" i="18"/>
  <c r="F298" i="18"/>
  <c r="H298" i="18"/>
  <c r="I298" i="18"/>
  <c r="K298" i="18"/>
  <c r="L298" i="18"/>
  <c r="M298" i="18"/>
  <c r="O298" i="18"/>
  <c r="P298" i="18"/>
  <c r="Q298" i="18"/>
  <c r="R298" i="18"/>
  <c r="A299" i="18"/>
  <c r="C299" i="18"/>
  <c r="E299" i="18"/>
  <c r="F299" i="18"/>
  <c r="H299" i="18"/>
  <c r="I299" i="18"/>
  <c r="K299" i="18"/>
  <c r="L299" i="18"/>
  <c r="M299" i="18"/>
  <c r="O299" i="18"/>
  <c r="P299" i="18"/>
  <c r="Q299" i="18"/>
  <c r="R299" i="18"/>
  <c r="A300" i="18"/>
  <c r="C300" i="18"/>
  <c r="E300" i="18"/>
  <c r="F300" i="18"/>
  <c r="H300" i="18"/>
  <c r="I300" i="18"/>
  <c r="K300" i="18"/>
  <c r="L300" i="18"/>
  <c r="M300" i="18"/>
  <c r="O300" i="18"/>
  <c r="P300" i="18"/>
  <c r="Q300" i="18"/>
  <c r="R300" i="18"/>
  <c r="A301" i="18"/>
  <c r="C301" i="18"/>
  <c r="E301" i="18"/>
  <c r="F301" i="18"/>
  <c r="H301" i="18"/>
  <c r="I301" i="18"/>
  <c r="K301" i="18"/>
  <c r="L301" i="18"/>
  <c r="M301" i="18"/>
  <c r="O301" i="18"/>
  <c r="P301" i="18"/>
  <c r="Q301" i="18"/>
  <c r="R301" i="18"/>
  <c r="A302" i="18"/>
  <c r="C302" i="18"/>
  <c r="E302" i="18"/>
  <c r="F302" i="18"/>
  <c r="H302" i="18"/>
  <c r="I302" i="18"/>
  <c r="K302" i="18"/>
  <c r="L302" i="18"/>
  <c r="M302" i="18"/>
  <c r="O302" i="18"/>
  <c r="P302" i="18"/>
  <c r="Q302" i="18"/>
  <c r="R302" i="18"/>
  <c r="A303" i="18"/>
  <c r="C303" i="18"/>
  <c r="E303" i="18"/>
  <c r="F303" i="18"/>
  <c r="H303" i="18"/>
  <c r="I303" i="18"/>
  <c r="K303" i="18"/>
  <c r="L303" i="18"/>
  <c r="M303" i="18"/>
  <c r="O303" i="18"/>
  <c r="P303" i="18"/>
  <c r="Q303" i="18"/>
  <c r="R303" i="18"/>
  <c r="A304" i="18"/>
  <c r="C304" i="18"/>
  <c r="E304" i="18"/>
  <c r="F304" i="18"/>
  <c r="H304" i="18"/>
  <c r="I304" i="18"/>
  <c r="K304" i="18"/>
  <c r="L304" i="18"/>
  <c r="M304" i="18"/>
  <c r="O304" i="18"/>
  <c r="P304" i="18"/>
  <c r="Q304" i="18"/>
  <c r="R304" i="18"/>
  <c r="A305" i="18"/>
  <c r="C305" i="18"/>
  <c r="E305" i="18"/>
  <c r="F305" i="18"/>
  <c r="H305" i="18"/>
  <c r="I305" i="18"/>
  <c r="K305" i="18"/>
  <c r="L305" i="18"/>
  <c r="M305" i="18"/>
  <c r="O305" i="18"/>
  <c r="P305" i="18"/>
  <c r="Q305" i="18"/>
  <c r="R305" i="18"/>
  <c r="A306" i="18"/>
  <c r="C306" i="18"/>
  <c r="E306" i="18"/>
  <c r="F306" i="18"/>
  <c r="H306" i="18"/>
  <c r="I306" i="18"/>
  <c r="K306" i="18"/>
  <c r="L306" i="18"/>
  <c r="M306" i="18"/>
  <c r="O306" i="18"/>
  <c r="P306" i="18"/>
  <c r="Q306" i="18"/>
  <c r="R306" i="18"/>
  <c r="A307" i="18"/>
  <c r="C307" i="18"/>
  <c r="E307" i="18"/>
  <c r="F307" i="18"/>
  <c r="H307" i="18"/>
  <c r="I307" i="18"/>
  <c r="K307" i="18"/>
  <c r="L307" i="18"/>
  <c r="M307" i="18"/>
  <c r="O307" i="18"/>
  <c r="P307" i="18"/>
  <c r="Q307" i="18"/>
  <c r="R307" i="18"/>
  <c r="A308" i="18"/>
  <c r="C308" i="18"/>
  <c r="E308" i="18"/>
  <c r="F308" i="18"/>
  <c r="H308" i="18"/>
  <c r="I308" i="18"/>
  <c r="K308" i="18"/>
  <c r="L308" i="18"/>
  <c r="M308" i="18"/>
  <c r="O308" i="18"/>
  <c r="P308" i="18"/>
  <c r="Q308" i="18"/>
  <c r="R308" i="18"/>
  <c r="A309" i="18"/>
  <c r="C309" i="18"/>
  <c r="E309" i="18"/>
  <c r="F309" i="18"/>
  <c r="H309" i="18"/>
  <c r="I309" i="18"/>
  <c r="K309" i="18"/>
  <c r="L309" i="18"/>
  <c r="M309" i="18"/>
  <c r="O309" i="18"/>
  <c r="P309" i="18"/>
  <c r="Q309" i="18"/>
  <c r="R309" i="18"/>
  <c r="A310" i="18"/>
  <c r="C310" i="18"/>
  <c r="E310" i="18"/>
  <c r="F310" i="18"/>
  <c r="H310" i="18"/>
  <c r="I310" i="18"/>
  <c r="K310" i="18"/>
  <c r="L310" i="18"/>
  <c r="M310" i="18"/>
  <c r="O310" i="18"/>
  <c r="P310" i="18"/>
  <c r="Q310" i="18"/>
  <c r="R310" i="18"/>
  <c r="A311" i="18"/>
  <c r="C311" i="18"/>
  <c r="E311" i="18"/>
  <c r="F311" i="18"/>
  <c r="H311" i="18"/>
  <c r="I311" i="18"/>
  <c r="K311" i="18"/>
  <c r="L311" i="18"/>
  <c r="M311" i="18"/>
  <c r="O311" i="18"/>
  <c r="P311" i="18"/>
  <c r="Q311" i="18"/>
  <c r="R311" i="18"/>
  <c r="A312" i="18"/>
  <c r="C312" i="18"/>
  <c r="E312" i="18"/>
  <c r="F312" i="18"/>
  <c r="H312" i="18"/>
  <c r="I312" i="18"/>
  <c r="K312" i="18"/>
  <c r="L312" i="18"/>
  <c r="M312" i="18"/>
  <c r="O312" i="18"/>
  <c r="P312" i="18"/>
  <c r="Q312" i="18"/>
  <c r="R312" i="18"/>
  <c r="A313" i="18"/>
  <c r="C313" i="18"/>
  <c r="E313" i="18"/>
  <c r="F313" i="18"/>
  <c r="H313" i="18"/>
  <c r="I313" i="18"/>
  <c r="K313" i="18"/>
  <c r="L313" i="18"/>
  <c r="M313" i="18"/>
  <c r="O313" i="18"/>
  <c r="P313" i="18"/>
  <c r="Q313" i="18"/>
  <c r="R313" i="18"/>
  <c r="A314" i="18"/>
  <c r="C314" i="18"/>
  <c r="E314" i="18"/>
  <c r="F314" i="18"/>
  <c r="H314" i="18"/>
  <c r="I314" i="18"/>
  <c r="K314" i="18"/>
  <c r="L314" i="18"/>
  <c r="M314" i="18"/>
  <c r="O314" i="18"/>
  <c r="P314" i="18"/>
  <c r="Q314" i="18"/>
  <c r="R314" i="18"/>
  <c r="A315" i="18"/>
  <c r="C315" i="18"/>
  <c r="E315" i="18"/>
  <c r="F315" i="18"/>
  <c r="H315" i="18"/>
  <c r="I315" i="18"/>
  <c r="K315" i="18"/>
  <c r="L315" i="18"/>
  <c r="M315" i="18"/>
  <c r="O315" i="18"/>
  <c r="P315" i="18"/>
  <c r="Q315" i="18"/>
  <c r="R315" i="18"/>
  <c r="A316" i="18"/>
  <c r="C316" i="18"/>
  <c r="E316" i="18"/>
  <c r="F316" i="18"/>
  <c r="H316" i="18"/>
  <c r="I316" i="18"/>
  <c r="K316" i="18"/>
  <c r="L316" i="18"/>
  <c r="M316" i="18"/>
  <c r="O316" i="18"/>
  <c r="P316" i="18"/>
  <c r="Q316" i="18"/>
  <c r="R316" i="18"/>
  <c r="A317" i="18"/>
  <c r="C317" i="18"/>
  <c r="E317" i="18"/>
  <c r="F317" i="18"/>
  <c r="H317" i="18"/>
  <c r="I317" i="18"/>
  <c r="K317" i="18"/>
  <c r="L317" i="18"/>
  <c r="M317" i="18"/>
  <c r="O317" i="18"/>
  <c r="P317" i="18"/>
  <c r="Q317" i="18"/>
  <c r="R317" i="18"/>
  <c r="A318" i="18"/>
  <c r="C318" i="18"/>
  <c r="E318" i="18"/>
  <c r="F318" i="18"/>
  <c r="H318" i="18"/>
  <c r="I318" i="18"/>
  <c r="K318" i="18"/>
  <c r="L318" i="18"/>
  <c r="M318" i="18"/>
  <c r="O318" i="18"/>
  <c r="P318" i="18"/>
  <c r="Q318" i="18"/>
  <c r="R318" i="18"/>
  <c r="A319" i="18"/>
  <c r="C319" i="18"/>
  <c r="E319" i="18"/>
  <c r="F319" i="18"/>
  <c r="H319" i="18"/>
  <c r="I319" i="18"/>
  <c r="K319" i="18"/>
  <c r="L319" i="18"/>
  <c r="M319" i="18"/>
  <c r="O319" i="18"/>
  <c r="P319" i="18"/>
  <c r="Q319" i="18"/>
  <c r="R319" i="18"/>
  <c r="A320" i="18"/>
  <c r="C320" i="18"/>
  <c r="E320" i="18"/>
  <c r="F320" i="18"/>
  <c r="H320" i="18"/>
  <c r="I320" i="18"/>
  <c r="K320" i="18"/>
  <c r="L320" i="18"/>
  <c r="M320" i="18"/>
  <c r="O320" i="18"/>
  <c r="P320" i="18"/>
  <c r="Q320" i="18"/>
  <c r="R320" i="18"/>
  <c r="A321" i="18"/>
  <c r="C321" i="18"/>
  <c r="E321" i="18"/>
  <c r="F321" i="18"/>
  <c r="H321" i="18"/>
  <c r="I321" i="18"/>
  <c r="K321" i="18"/>
  <c r="L321" i="18"/>
  <c r="M321" i="18"/>
  <c r="O321" i="18"/>
  <c r="P321" i="18"/>
  <c r="Q321" i="18"/>
  <c r="R321" i="18"/>
  <c r="A322" i="18"/>
  <c r="C322" i="18"/>
  <c r="E322" i="18"/>
  <c r="F322" i="18"/>
  <c r="H322" i="18"/>
  <c r="I322" i="18"/>
  <c r="K322" i="18"/>
  <c r="L322" i="18"/>
  <c r="M322" i="18"/>
  <c r="O322" i="18"/>
  <c r="P322" i="18"/>
  <c r="Q322" i="18"/>
  <c r="R322" i="18"/>
  <c r="A323" i="18"/>
  <c r="C323" i="18"/>
  <c r="E323" i="18"/>
  <c r="F323" i="18"/>
  <c r="H323" i="18"/>
  <c r="I323" i="18"/>
  <c r="K323" i="18"/>
  <c r="L323" i="18"/>
  <c r="M323" i="18"/>
  <c r="O323" i="18"/>
  <c r="P323" i="18"/>
  <c r="Q323" i="18"/>
  <c r="R323" i="18"/>
  <c r="A324" i="18"/>
  <c r="C324" i="18"/>
  <c r="E324" i="18"/>
  <c r="F324" i="18"/>
  <c r="H324" i="18"/>
  <c r="I324" i="18"/>
  <c r="K324" i="18"/>
  <c r="L324" i="18"/>
  <c r="M324" i="18"/>
  <c r="O324" i="18"/>
  <c r="P324" i="18"/>
  <c r="Q324" i="18"/>
  <c r="R324" i="18"/>
  <c r="A325" i="18"/>
  <c r="C325" i="18"/>
  <c r="E325" i="18"/>
  <c r="F325" i="18"/>
  <c r="H325" i="18"/>
  <c r="I325" i="18"/>
  <c r="K325" i="18"/>
  <c r="L325" i="18"/>
  <c r="M325" i="18"/>
  <c r="O325" i="18"/>
  <c r="P325" i="18"/>
  <c r="Q325" i="18"/>
  <c r="R325" i="18"/>
  <c r="A326" i="18"/>
  <c r="C326" i="18"/>
  <c r="E326" i="18"/>
  <c r="F326" i="18"/>
  <c r="H326" i="18"/>
  <c r="I326" i="18"/>
  <c r="K326" i="18"/>
  <c r="L326" i="18"/>
  <c r="M326" i="18"/>
  <c r="O326" i="18"/>
  <c r="P326" i="18"/>
  <c r="Q326" i="18"/>
  <c r="R326" i="18"/>
  <c r="A327" i="18"/>
  <c r="C327" i="18"/>
  <c r="E327" i="18"/>
  <c r="F327" i="18"/>
  <c r="H327" i="18"/>
  <c r="I327" i="18"/>
  <c r="K327" i="18"/>
  <c r="L327" i="18"/>
  <c r="M327" i="18"/>
  <c r="O327" i="18"/>
  <c r="P327" i="18"/>
  <c r="Q327" i="18"/>
  <c r="R327" i="18"/>
  <c r="A328" i="18"/>
  <c r="C328" i="18"/>
  <c r="E328" i="18"/>
  <c r="F328" i="18"/>
  <c r="H328" i="18"/>
  <c r="I328" i="18"/>
  <c r="K328" i="18"/>
  <c r="L328" i="18"/>
  <c r="M328" i="18"/>
  <c r="O328" i="18"/>
  <c r="P328" i="18"/>
  <c r="Q328" i="18"/>
  <c r="R328" i="18"/>
  <c r="A329" i="18"/>
  <c r="C329" i="18"/>
  <c r="E329" i="18"/>
  <c r="F329" i="18"/>
  <c r="H329" i="18"/>
  <c r="I329" i="18"/>
  <c r="K329" i="18"/>
  <c r="L329" i="18"/>
  <c r="M329" i="18"/>
  <c r="O329" i="18"/>
  <c r="P329" i="18"/>
  <c r="Q329" i="18"/>
  <c r="R329" i="18"/>
  <c r="A330" i="18"/>
  <c r="C330" i="18"/>
  <c r="E330" i="18"/>
  <c r="F330" i="18"/>
  <c r="H330" i="18"/>
  <c r="I330" i="18"/>
  <c r="K330" i="18"/>
  <c r="L330" i="18"/>
  <c r="M330" i="18"/>
  <c r="O330" i="18"/>
  <c r="P330" i="18"/>
  <c r="Q330" i="18"/>
  <c r="R330" i="18"/>
  <c r="A331" i="18"/>
  <c r="C331" i="18"/>
  <c r="E331" i="18"/>
  <c r="F331" i="18"/>
  <c r="H331" i="18"/>
  <c r="I331" i="18"/>
  <c r="K331" i="18"/>
  <c r="L331" i="18"/>
  <c r="M331" i="18"/>
  <c r="O331" i="18"/>
  <c r="P331" i="18"/>
  <c r="Q331" i="18"/>
  <c r="R331" i="18"/>
  <c r="A332" i="18"/>
  <c r="C332" i="18"/>
  <c r="E332" i="18"/>
  <c r="F332" i="18"/>
  <c r="H332" i="18"/>
  <c r="I332" i="18"/>
  <c r="K332" i="18"/>
  <c r="L332" i="18"/>
  <c r="M332" i="18"/>
  <c r="O332" i="18"/>
  <c r="P332" i="18"/>
  <c r="Q332" i="18"/>
  <c r="R332" i="18"/>
  <c r="A333" i="18"/>
  <c r="C333" i="18"/>
  <c r="E333" i="18"/>
  <c r="F333" i="18"/>
  <c r="H333" i="18"/>
  <c r="I333" i="18"/>
  <c r="K333" i="18"/>
  <c r="L333" i="18"/>
  <c r="M333" i="18"/>
  <c r="O333" i="18"/>
  <c r="P333" i="18"/>
  <c r="Q333" i="18"/>
  <c r="R333" i="18"/>
  <c r="A334" i="18"/>
  <c r="C334" i="18"/>
  <c r="E334" i="18"/>
  <c r="F334" i="18"/>
  <c r="H334" i="18"/>
  <c r="I334" i="18"/>
  <c r="K334" i="18"/>
  <c r="L334" i="18"/>
  <c r="M334" i="18"/>
  <c r="O334" i="18"/>
  <c r="P334" i="18"/>
  <c r="Q334" i="18"/>
  <c r="R334" i="18"/>
  <c r="A335" i="18"/>
  <c r="C335" i="18"/>
  <c r="E335" i="18"/>
  <c r="F335" i="18"/>
  <c r="H335" i="18"/>
  <c r="I335" i="18"/>
  <c r="K335" i="18"/>
  <c r="L335" i="18"/>
  <c r="M335" i="18"/>
  <c r="O335" i="18"/>
  <c r="P335" i="18"/>
  <c r="Q335" i="18"/>
  <c r="R335" i="18"/>
  <c r="A336" i="18"/>
  <c r="C336" i="18"/>
  <c r="E336" i="18"/>
  <c r="F336" i="18"/>
  <c r="H336" i="18"/>
  <c r="I336" i="18"/>
  <c r="K336" i="18"/>
  <c r="L336" i="18"/>
  <c r="M336" i="18"/>
  <c r="O336" i="18"/>
  <c r="P336" i="18"/>
  <c r="Q336" i="18"/>
  <c r="R336" i="18"/>
  <c r="A337" i="18"/>
  <c r="C337" i="18"/>
  <c r="E337" i="18"/>
  <c r="F337" i="18"/>
  <c r="H337" i="18"/>
  <c r="I337" i="18"/>
  <c r="K337" i="18"/>
  <c r="L337" i="18"/>
  <c r="M337" i="18"/>
  <c r="O337" i="18"/>
  <c r="P337" i="18"/>
  <c r="Q337" i="18"/>
  <c r="R337" i="18"/>
  <c r="A338" i="18"/>
  <c r="C338" i="18"/>
  <c r="E338" i="18"/>
  <c r="F338" i="18"/>
  <c r="H338" i="18"/>
  <c r="I338" i="18"/>
  <c r="K338" i="18"/>
  <c r="L338" i="18"/>
  <c r="M338" i="18"/>
  <c r="O338" i="18"/>
  <c r="P338" i="18"/>
  <c r="Q338" i="18"/>
  <c r="R338" i="18"/>
  <c r="A339" i="18"/>
  <c r="C339" i="18"/>
  <c r="E339" i="18"/>
  <c r="F339" i="18"/>
  <c r="H339" i="18"/>
  <c r="I339" i="18"/>
  <c r="K339" i="18"/>
  <c r="L339" i="18"/>
  <c r="M339" i="18"/>
  <c r="O339" i="18"/>
  <c r="P339" i="18"/>
  <c r="Q339" i="18"/>
  <c r="R339" i="18"/>
  <c r="A340" i="18"/>
  <c r="C340" i="18"/>
  <c r="E340" i="18"/>
  <c r="F340" i="18"/>
  <c r="H340" i="18"/>
  <c r="I340" i="18"/>
  <c r="K340" i="18"/>
  <c r="L340" i="18"/>
  <c r="M340" i="18"/>
  <c r="O340" i="18"/>
  <c r="P340" i="18"/>
  <c r="Q340" i="18"/>
  <c r="R340" i="18"/>
  <c r="A341" i="18"/>
  <c r="C341" i="18"/>
  <c r="E341" i="18"/>
  <c r="F341" i="18"/>
  <c r="H341" i="18"/>
  <c r="I341" i="18"/>
  <c r="K341" i="18"/>
  <c r="L341" i="18"/>
  <c r="M341" i="18"/>
  <c r="O341" i="18"/>
  <c r="P341" i="18"/>
  <c r="Q341" i="18"/>
  <c r="R341" i="18"/>
  <c r="A342" i="18"/>
  <c r="C342" i="18"/>
  <c r="E342" i="18"/>
  <c r="F342" i="18"/>
  <c r="H342" i="18"/>
  <c r="I342" i="18"/>
  <c r="K342" i="18"/>
  <c r="L342" i="18"/>
  <c r="M342" i="18"/>
  <c r="O342" i="18"/>
  <c r="P342" i="18"/>
  <c r="Q342" i="18"/>
  <c r="R342" i="18"/>
  <c r="A343" i="18"/>
  <c r="C343" i="18"/>
  <c r="E343" i="18"/>
  <c r="F343" i="18"/>
  <c r="H343" i="18"/>
  <c r="I343" i="18"/>
  <c r="K343" i="18"/>
  <c r="L343" i="18"/>
  <c r="M343" i="18"/>
  <c r="O343" i="18"/>
  <c r="P343" i="18"/>
  <c r="Q343" i="18"/>
  <c r="R343" i="18"/>
  <c r="A344" i="18"/>
  <c r="C344" i="18"/>
  <c r="E344" i="18"/>
  <c r="F344" i="18"/>
  <c r="H344" i="18"/>
  <c r="I344" i="18"/>
  <c r="K344" i="18"/>
  <c r="L344" i="18"/>
  <c r="M344" i="18"/>
  <c r="O344" i="18"/>
  <c r="P344" i="18"/>
  <c r="Q344" i="18"/>
  <c r="R344" i="18"/>
  <c r="A345" i="18"/>
  <c r="C345" i="18"/>
  <c r="E345" i="18"/>
  <c r="F345" i="18"/>
  <c r="H345" i="18"/>
  <c r="I345" i="18"/>
  <c r="K345" i="18"/>
  <c r="L345" i="18"/>
  <c r="M345" i="18"/>
  <c r="O345" i="18"/>
  <c r="P345" i="18"/>
  <c r="Q345" i="18"/>
  <c r="R345" i="18"/>
  <c r="A346" i="18"/>
  <c r="C346" i="18"/>
  <c r="E346" i="18"/>
  <c r="F346" i="18"/>
  <c r="H346" i="18"/>
  <c r="I346" i="18"/>
  <c r="K346" i="18"/>
  <c r="L346" i="18"/>
  <c r="M346" i="18"/>
  <c r="O346" i="18"/>
  <c r="P346" i="18"/>
  <c r="Q346" i="18"/>
  <c r="R346" i="18"/>
  <c r="A347" i="18"/>
  <c r="C347" i="18"/>
  <c r="E347" i="18"/>
  <c r="F347" i="18"/>
  <c r="H347" i="18"/>
  <c r="I347" i="18"/>
  <c r="K347" i="18"/>
  <c r="L347" i="18"/>
  <c r="M347" i="18"/>
  <c r="O347" i="18"/>
  <c r="P347" i="18"/>
  <c r="Q347" i="18"/>
  <c r="R347" i="18"/>
  <c r="A348" i="18"/>
  <c r="C348" i="18"/>
  <c r="E348" i="18"/>
  <c r="F348" i="18"/>
  <c r="H348" i="18"/>
  <c r="I348" i="18"/>
  <c r="K348" i="18"/>
  <c r="L348" i="18"/>
  <c r="M348" i="18"/>
  <c r="O348" i="18"/>
  <c r="P348" i="18"/>
  <c r="Q348" i="18"/>
  <c r="R348" i="18"/>
  <c r="A349" i="18"/>
  <c r="C349" i="18"/>
  <c r="E349" i="18"/>
  <c r="F349" i="18"/>
  <c r="H349" i="18"/>
  <c r="I349" i="18"/>
  <c r="K349" i="18"/>
  <c r="L349" i="18"/>
  <c r="M349" i="18"/>
  <c r="O349" i="18"/>
  <c r="P349" i="18"/>
  <c r="Q349" i="18"/>
  <c r="R349" i="18"/>
  <c r="A350" i="18"/>
  <c r="C350" i="18"/>
  <c r="E350" i="18"/>
  <c r="F350" i="18"/>
  <c r="H350" i="18"/>
  <c r="I350" i="18"/>
  <c r="K350" i="18"/>
  <c r="L350" i="18"/>
  <c r="M350" i="18"/>
  <c r="O350" i="18"/>
  <c r="P350" i="18"/>
  <c r="Q350" i="18"/>
  <c r="R350" i="18"/>
  <c r="A351" i="18"/>
  <c r="C351" i="18"/>
  <c r="E351" i="18"/>
  <c r="F351" i="18"/>
  <c r="H351" i="18"/>
  <c r="I351" i="18"/>
  <c r="K351" i="18"/>
  <c r="L351" i="18"/>
  <c r="M351" i="18"/>
  <c r="O351" i="18"/>
  <c r="P351" i="18"/>
  <c r="Q351" i="18"/>
  <c r="R351" i="18"/>
  <c r="A352" i="18"/>
  <c r="C352" i="18"/>
  <c r="E352" i="18"/>
  <c r="F352" i="18"/>
  <c r="H352" i="18"/>
  <c r="I352" i="18"/>
  <c r="K352" i="18"/>
  <c r="L352" i="18"/>
  <c r="M352" i="18"/>
  <c r="O352" i="18"/>
  <c r="P352" i="18"/>
  <c r="Q352" i="18"/>
  <c r="R352" i="18"/>
  <c r="A353" i="18"/>
  <c r="C353" i="18"/>
  <c r="E353" i="18"/>
  <c r="F353" i="18"/>
  <c r="H353" i="18"/>
  <c r="I353" i="18"/>
  <c r="K353" i="18"/>
  <c r="L353" i="18"/>
  <c r="M353" i="18"/>
  <c r="O353" i="18"/>
  <c r="P353" i="18"/>
  <c r="Q353" i="18"/>
  <c r="R353" i="18"/>
  <c r="A354" i="18"/>
  <c r="C354" i="18"/>
  <c r="E354" i="18"/>
  <c r="F354" i="18"/>
  <c r="H354" i="18"/>
  <c r="I354" i="18"/>
  <c r="K354" i="18"/>
  <c r="L354" i="18"/>
  <c r="M354" i="18"/>
  <c r="O354" i="18"/>
  <c r="P354" i="18"/>
  <c r="Q354" i="18"/>
  <c r="R354" i="18"/>
  <c r="A355" i="18"/>
  <c r="C355" i="18"/>
  <c r="E355" i="18"/>
  <c r="F355" i="18"/>
  <c r="H355" i="18"/>
  <c r="I355" i="18"/>
  <c r="K355" i="18"/>
  <c r="L355" i="18"/>
  <c r="M355" i="18"/>
  <c r="O355" i="18"/>
  <c r="P355" i="18"/>
  <c r="Q355" i="18"/>
  <c r="R355" i="18"/>
  <c r="A356" i="18"/>
  <c r="C356" i="18"/>
  <c r="E356" i="18"/>
  <c r="F356" i="18"/>
  <c r="H356" i="18"/>
  <c r="I356" i="18"/>
  <c r="K356" i="18"/>
  <c r="L356" i="18"/>
  <c r="M356" i="18"/>
  <c r="O356" i="18"/>
  <c r="P356" i="18"/>
  <c r="Q356" i="18"/>
  <c r="R356" i="18"/>
  <c r="A357" i="18"/>
  <c r="C357" i="18"/>
  <c r="E357" i="18"/>
  <c r="F357" i="18"/>
  <c r="H357" i="18"/>
  <c r="I357" i="18"/>
  <c r="K357" i="18"/>
  <c r="L357" i="18"/>
  <c r="M357" i="18"/>
  <c r="O357" i="18"/>
  <c r="P357" i="18"/>
  <c r="Q357" i="18"/>
  <c r="R357" i="18"/>
  <c r="A358" i="18"/>
  <c r="C358" i="18"/>
  <c r="E358" i="18"/>
  <c r="F358" i="18"/>
  <c r="H358" i="18"/>
  <c r="I358" i="18"/>
  <c r="K358" i="18"/>
  <c r="L358" i="18"/>
  <c r="M358" i="18"/>
  <c r="O358" i="18"/>
  <c r="P358" i="18"/>
  <c r="Q358" i="18"/>
  <c r="R358" i="18"/>
  <c r="A359" i="18"/>
  <c r="C359" i="18"/>
  <c r="E359" i="18"/>
  <c r="F359" i="18"/>
  <c r="H359" i="18"/>
  <c r="I359" i="18"/>
  <c r="K359" i="18"/>
  <c r="L359" i="18"/>
  <c r="M359" i="18"/>
  <c r="O359" i="18"/>
  <c r="P359" i="18"/>
  <c r="Q359" i="18"/>
  <c r="R359" i="18"/>
  <c r="A360" i="18"/>
  <c r="C360" i="18"/>
  <c r="E360" i="18"/>
  <c r="F360" i="18"/>
  <c r="H360" i="18"/>
  <c r="I360" i="18"/>
  <c r="K360" i="18"/>
  <c r="L360" i="18"/>
  <c r="M360" i="18"/>
  <c r="O360" i="18"/>
  <c r="P360" i="18"/>
  <c r="Q360" i="18"/>
  <c r="R360" i="18"/>
  <c r="A361" i="18"/>
  <c r="C361" i="18"/>
  <c r="E361" i="18"/>
  <c r="F361" i="18"/>
  <c r="H361" i="18"/>
  <c r="I361" i="18"/>
  <c r="K361" i="18"/>
  <c r="L361" i="18"/>
  <c r="M361" i="18"/>
  <c r="O361" i="18"/>
  <c r="P361" i="18"/>
  <c r="Q361" i="18"/>
  <c r="R361" i="18"/>
  <c r="A362" i="18"/>
  <c r="C362" i="18"/>
  <c r="E362" i="18"/>
  <c r="F362" i="18"/>
  <c r="H362" i="18"/>
  <c r="I362" i="18"/>
  <c r="K362" i="18"/>
  <c r="L362" i="18"/>
  <c r="M362" i="18"/>
  <c r="O362" i="18"/>
  <c r="P362" i="18"/>
  <c r="Q362" i="18"/>
  <c r="R362" i="18"/>
  <c r="A363" i="18"/>
  <c r="C363" i="18"/>
  <c r="E363" i="18"/>
  <c r="F363" i="18"/>
  <c r="H363" i="18"/>
  <c r="I363" i="18"/>
  <c r="K363" i="18"/>
  <c r="L363" i="18"/>
  <c r="M363" i="18"/>
  <c r="O363" i="18"/>
  <c r="P363" i="18"/>
  <c r="Q363" i="18"/>
  <c r="R363" i="18"/>
  <c r="A364" i="18"/>
  <c r="C364" i="18"/>
  <c r="E364" i="18"/>
  <c r="F364" i="18"/>
  <c r="H364" i="18"/>
  <c r="I364" i="18"/>
  <c r="K364" i="18"/>
  <c r="L364" i="18"/>
  <c r="M364" i="18"/>
  <c r="O364" i="18"/>
  <c r="P364" i="18"/>
  <c r="Q364" i="18"/>
  <c r="R364" i="18"/>
  <c r="A365" i="18"/>
  <c r="C365" i="18"/>
  <c r="E365" i="18"/>
  <c r="F365" i="18"/>
  <c r="H365" i="18"/>
  <c r="I365" i="18"/>
  <c r="K365" i="18"/>
  <c r="L365" i="18"/>
  <c r="M365" i="18"/>
  <c r="O365" i="18"/>
  <c r="P365" i="18"/>
  <c r="Q365" i="18"/>
  <c r="R365" i="18"/>
  <c r="A366" i="18"/>
  <c r="C366" i="18"/>
  <c r="E366" i="18"/>
  <c r="F366" i="18"/>
  <c r="H366" i="18"/>
  <c r="I366" i="18"/>
  <c r="K366" i="18"/>
  <c r="L366" i="18"/>
  <c r="M366" i="18"/>
  <c r="O366" i="18"/>
  <c r="P366" i="18"/>
  <c r="Q366" i="18"/>
  <c r="R366" i="18"/>
  <c r="A367" i="18"/>
  <c r="C367" i="18"/>
  <c r="E367" i="18"/>
  <c r="F367" i="18"/>
  <c r="H367" i="18"/>
  <c r="I367" i="18"/>
  <c r="K367" i="18"/>
  <c r="L367" i="18"/>
  <c r="M367" i="18"/>
  <c r="O367" i="18"/>
  <c r="P367" i="18"/>
  <c r="Q367" i="18"/>
  <c r="R367" i="18"/>
  <c r="A368" i="18"/>
  <c r="C368" i="18"/>
  <c r="E368" i="18"/>
  <c r="F368" i="18"/>
  <c r="H368" i="18"/>
  <c r="I368" i="18"/>
  <c r="K368" i="18"/>
  <c r="L368" i="18"/>
  <c r="M368" i="18"/>
  <c r="O368" i="18"/>
  <c r="P368" i="18"/>
  <c r="Q368" i="18"/>
  <c r="R368" i="18"/>
  <c r="A369" i="18"/>
  <c r="C369" i="18"/>
  <c r="E369" i="18"/>
  <c r="F369" i="18"/>
  <c r="H369" i="18"/>
  <c r="I369" i="18"/>
  <c r="K369" i="18"/>
  <c r="L369" i="18"/>
  <c r="M369" i="18"/>
  <c r="O369" i="18"/>
  <c r="P369" i="18"/>
  <c r="Q369" i="18"/>
  <c r="R369" i="18"/>
  <c r="A370" i="18"/>
  <c r="C370" i="18"/>
  <c r="E370" i="18"/>
  <c r="F370" i="18"/>
  <c r="H370" i="18"/>
  <c r="I370" i="18"/>
  <c r="K370" i="18"/>
  <c r="L370" i="18"/>
  <c r="M370" i="18"/>
  <c r="O370" i="18"/>
  <c r="P370" i="18"/>
  <c r="Q370" i="18"/>
  <c r="R370" i="18"/>
  <c r="A371" i="18"/>
  <c r="C371" i="18"/>
  <c r="E371" i="18"/>
  <c r="F371" i="18"/>
  <c r="H371" i="18"/>
  <c r="I371" i="18"/>
  <c r="K371" i="18"/>
  <c r="L371" i="18"/>
  <c r="M371" i="18"/>
  <c r="O371" i="18"/>
  <c r="P371" i="18"/>
  <c r="Q371" i="18"/>
  <c r="R371" i="18"/>
  <c r="A372" i="18"/>
  <c r="C372" i="18"/>
  <c r="E372" i="18"/>
  <c r="F372" i="18"/>
  <c r="H372" i="18"/>
  <c r="I372" i="18"/>
  <c r="K372" i="18"/>
  <c r="L372" i="18"/>
  <c r="M372" i="18"/>
  <c r="O372" i="18"/>
  <c r="P372" i="18"/>
  <c r="Q372" i="18"/>
  <c r="R372" i="18"/>
  <c r="A373" i="18"/>
  <c r="C373" i="18"/>
  <c r="E373" i="18"/>
  <c r="F373" i="18"/>
  <c r="H373" i="18"/>
  <c r="I373" i="18"/>
  <c r="K373" i="18"/>
  <c r="L373" i="18"/>
  <c r="M373" i="18"/>
  <c r="O373" i="18"/>
  <c r="P373" i="18"/>
  <c r="Q373" i="18"/>
  <c r="R373" i="18"/>
  <c r="A374" i="18"/>
  <c r="C374" i="18"/>
  <c r="E374" i="18"/>
  <c r="F374" i="18"/>
  <c r="H374" i="18"/>
  <c r="I374" i="18"/>
  <c r="K374" i="18"/>
  <c r="L374" i="18"/>
  <c r="M374" i="18"/>
  <c r="O374" i="18"/>
  <c r="P374" i="18"/>
  <c r="Q374" i="18"/>
  <c r="R374" i="18"/>
  <c r="A375" i="18"/>
  <c r="C375" i="18"/>
  <c r="E375" i="18"/>
  <c r="F375" i="18"/>
  <c r="H375" i="18"/>
  <c r="I375" i="18"/>
  <c r="K375" i="18"/>
  <c r="L375" i="18"/>
  <c r="M375" i="18"/>
  <c r="O375" i="18"/>
  <c r="P375" i="18"/>
  <c r="Q375" i="18"/>
  <c r="R375" i="18"/>
  <c r="A376" i="18"/>
  <c r="C376" i="18"/>
  <c r="E376" i="18"/>
  <c r="F376" i="18"/>
  <c r="H376" i="18"/>
  <c r="I376" i="18"/>
  <c r="K376" i="18"/>
  <c r="L376" i="18"/>
  <c r="M376" i="18"/>
  <c r="O376" i="18"/>
  <c r="P376" i="18"/>
  <c r="Q376" i="18"/>
  <c r="R376" i="18"/>
  <c r="A377" i="18"/>
  <c r="C377" i="18"/>
  <c r="E377" i="18"/>
  <c r="F377" i="18"/>
  <c r="H377" i="18"/>
  <c r="I377" i="18"/>
  <c r="K377" i="18"/>
  <c r="L377" i="18"/>
  <c r="M377" i="18"/>
  <c r="O377" i="18"/>
  <c r="P377" i="18"/>
  <c r="Q377" i="18"/>
  <c r="R377" i="18"/>
  <c r="A378" i="18"/>
  <c r="C378" i="18"/>
  <c r="E378" i="18"/>
  <c r="F378" i="18"/>
  <c r="H378" i="18"/>
  <c r="I378" i="18"/>
  <c r="K378" i="18"/>
  <c r="L378" i="18"/>
  <c r="M378" i="18"/>
  <c r="O378" i="18"/>
  <c r="P378" i="18"/>
  <c r="Q378" i="18"/>
  <c r="R378" i="18"/>
  <c r="A379" i="18"/>
  <c r="C379" i="18"/>
  <c r="E379" i="18"/>
  <c r="F379" i="18"/>
  <c r="H379" i="18"/>
  <c r="I379" i="18"/>
  <c r="K379" i="18"/>
  <c r="L379" i="18"/>
  <c r="M379" i="18"/>
  <c r="O379" i="18"/>
  <c r="P379" i="18"/>
  <c r="Q379" i="18"/>
  <c r="R379" i="18"/>
  <c r="A380" i="18"/>
  <c r="C380" i="18"/>
  <c r="E380" i="18"/>
  <c r="F380" i="18"/>
  <c r="H380" i="18"/>
  <c r="I380" i="18"/>
  <c r="K380" i="18"/>
  <c r="L380" i="18"/>
  <c r="M380" i="18"/>
  <c r="O380" i="18"/>
  <c r="P380" i="18"/>
  <c r="Q380" i="18"/>
  <c r="R380" i="18"/>
  <c r="A381" i="18"/>
  <c r="C381" i="18"/>
  <c r="E381" i="18"/>
  <c r="F381" i="18"/>
  <c r="H381" i="18"/>
  <c r="I381" i="18"/>
  <c r="K381" i="18"/>
  <c r="L381" i="18"/>
  <c r="M381" i="18"/>
  <c r="O381" i="18"/>
  <c r="P381" i="18"/>
  <c r="Q381" i="18"/>
  <c r="R381" i="18"/>
  <c r="A382" i="18"/>
  <c r="C382" i="18"/>
  <c r="E382" i="18"/>
  <c r="F382" i="18"/>
  <c r="H382" i="18"/>
  <c r="I382" i="18"/>
  <c r="K382" i="18"/>
  <c r="L382" i="18"/>
  <c r="M382" i="18"/>
  <c r="O382" i="18"/>
  <c r="P382" i="18"/>
  <c r="Q382" i="18"/>
  <c r="R382" i="18"/>
  <c r="A383" i="18"/>
  <c r="C383" i="18"/>
  <c r="E383" i="18"/>
  <c r="F383" i="18"/>
  <c r="H383" i="18"/>
  <c r="I383" i="18"/>
  <c r="K383" i="18"/>
  <c r="L383" i="18"/>
  <c r="M383" i="18"/>
  <c r="O383" i="18"/>
  <c r="P383" i="18"/>
  <c r="Q383" i="18"/>
  <c r="R383" i="18"/>
  <c r="A384" i="18"/>
  <c r="C384" i="18"/>
  <c r="E384" i="18"/>
  <c r="F384" i="18"/>
  <c r="H384" i="18"/>
  <c r="I384" i="18"/>
  <c r="K384" i="18"/>
  <c r="L384" i="18"/>
  <c r="M384" i="18"/>
  <c r="O384" i="18"/>
  <c r="P384" i="18"/>
  <c r="Q384" i="18"/>
  <c r="R384" i="18"/>
  <c r="A385" i="18"/>
  <c r="C385" i="18"/>
  <c r="E385" i="18"/>
  <c r="F385" i="18"/>
  <c r="H385" i="18"/>
  <c r="I385" i="18"/>
  <c r="K385" i="18"/>
  <c r="L385" i="18"/>
  <c r="M385" i="18"/>
  <c r="O385" i="18"/>
  <c r="P385" i="18"/>
  <c r="Q385" i="18"/>
  <c r="R385" i="18"/>
  <c r="A386" i="18"/>
  <c r="C386" i="18"/>
  <c r="E386" i="18"/>
  <c r="F386" i="18"/>
  <c r="H386" i="18"/>
  <c r="I386" i="18"/>
  <c r="K386" i="18"/>
  <c r="L386" i="18"/>
  <c r="M386" i="18"/>
  <c r="O386" i="18"/>
  <c r="P386" i="18"/>
  <c r="Q386" i="18"/>
  <c r="R386" i="18"/>
  <c r="A387" i="18"/>
  <c r="C387" i="18"/>
  <c r="E387" i="18"/>
  <c r="F387" i="18"/>
  <c r="H387" i="18"/>
  <c r="I387" i="18"/>
  <c r="K387" i="18"/>
  <c r="L387" i="18"/>
  <c r="M387" i="18"/>
  <c r="O387" i="18"/>
  <c r="P387" i="18"/>
  <c r="Q387" i="18"/>
  <c r="R387" i="18"/>
  <c r="A388" i="18"/>
  <c r="C388" i="18"/>
  <c r="E388" i="18"/>
  <c r="F388" i="18"/>
  <c r="H388" i="18"/>
  <c r="I388" i="18"/>
  <c r="K388" i="18"/>
  <c r="L388" i="18"/>
  <c r="M388" i="18"/>
  <c r="O388" i="18"/>
  <c r="P388" i="18"/>
  <c r="Q388" i="18"/>
  <c r="R388" i="18"/>
  <c r="A389" i="18"/>
  <c r="C389" i="18"/>
  <c r="E389" i="18"/>
  <c r="F389" i="18"/>
  <c r="H389" i="18"/>
  <c r="I389" i="18"/>
  <c r="K389" i="18"/>
  <c r="L389" i="18"/>
  <c r="M389" i="18"/>
  <c r="O389" i="18"/>
  <c r="P389" i="18"/>
  <c r="Q389" i="18"/>
  <c r="R389" i="18"/>
  <c r="A390" i="18"/>
  <c r="C390" i="18"/>
  <c r="E390" i="18"/>
  <c r="F390" i="18"/>
  <c r="H390" i="18"/>
  <c r="I390" i="18"/>
  <c r="K390" i="18"/>
  <c r="L390" i="18"/>
  <c r="M390" i="18"/>
  <c r="O390" i="18"/>
  <c r="P390" i="18"/>
  <c r="Q390" i="18"/>
  <c r="R390" i="18"/>
  <c r="A391" i="18"/>
  <c r="C391" i="18"/>
  <c r="E391" i="18"/>
  <c r="F391" i="18"/>
  <c r="H391" i="18"/>
  <c r="I391" i="18"/>
  <c r="K391" i="18"/>
  <c r="L391" i="18"/>
  <c r="M391" i="18"/>
  <c r="O391" i="18"/>
  <c r="P391" i="18"/>
  <c r="Q391" i="18"/>
  <c r="R391" i="18"/>
  <c r="A392" i="18"/>
  <c r="C392" i="18"/>
  <c r="E392" i="18"/>
  <c r="F392" i="18"/>
  <c r="H392" i="18"/>
  <c r="I392" i="18"/>
  <c r="K392" i="18"/>
  <c r="L392" i="18"/>
  <c r="M392" i="18"/>
  <c r="O392" i="18"/>
  <c r="P392" i="18"/>
  <c r="Q392" i="18"/>
  <c r="R392" i="18"/>
  <c r="A393" i="18"/>
  <c r="C393" i="18"/>
  <c r="E393" i="18"/>
  <c r="F393" i="18"/>
  <c r="H393" i="18"/>
  <c r="I393" i="18"/>
  <c r="K393" i="18"/>
  <c r="L393" i="18"/>
  <c r="M393" i="18"/>
  <c r="O393" i="18"/>
  <c r="P393" i="18"/>
  <c r="Q393" i="18"/>
  <c r="R393" i="18"/>
  <c r="A394" i="18"/>
  <c r="C394" i="18"/>
  <c r="E394" i="18"/>
  <c r="F394" i="18"/>
  <c r="H394" i="18"/>
  <c r="I394" i="18"/>
  <c r="K394" i="18"/>
  <c r="L394" i="18"/>
  <c r="M394" i="18"/>
  <c r="O394" i="18"/>
  <c r="P394" i="18"/>
  <c r="Q394" i="18"/>
  <c r="R394" i="18"/>
  <c r="A395" i="18"/>
  <c r="C395" i="18"/>
  <c r="E395" i="18"/>
  <c r="F395" i="18"/>
  <c r="H395" i="18"/>
  <c r="I395" i="18"/>
  <c r="K395" i="18"/>
  <c r="L395" i="18"/>
  <c r="M395" i="18"/>
  <c r="O395" i="18"/>
  <c r="P395" i="18"/>
  <c r="Q395" i="18"/>
  <c r="R395" i="18"/>
  <c r="A396" i="18"/>
  <c r="C396" i="18"/>
  <c r="E396" i="18"/>
  <c r="F396" i="18"/>
  <c r="H396" i="18"/>
  <c r="I396" i="18"/>
  <c r="K396" i="18"/>
  <c r="L396" i="18"/>
  <c r="M396" i="18"/>
  <c r="O396" i="18"/>
  <c r="P396" i="18"/>
  <c r="Q396" i="18"/>
  <c r="R396" i="18"/>
  <c r="A397" i="18"/>
  <c r="C397" i="18"/>
  <c r="E397" i="18"/>
  <c r="F397" i="18"/>
  <c r="H397" i="18"/>
  <c r="I397" i="18"/>
  <c r="K397" i="18"/>
  <c r="L397" i="18"/>
  <c r="M397" i="18"/>
  <c r="O397" i="18"/>
  <c r="P397" i="18"/>
  <c r="Q397" i="18"/>
  <c r="R397" i="18"/>
  <c r="A398" i="18"/>
  <c r="C398" i="18"/>
  <c r="E398" i="18"/>
  <c r="F398" i="18"/>
  <c r="H398" i="18"/>
  <c r="I398" i="18"/>
  <c r="K398" i="18"/>
  <c r="L398" i="18"/>
  <c r="M398" i="18"/>
  <c r="O398" i="18"/>
  <c r="P398" i="18"/>
  <c r="Q398" i="18"/>
  <c r="R398" i="18"/>
  <c r="A399" i="18"/>
  <c r="C399" i="18"/>
  <c r="E399" i="18"/>
  <c r="F399" i="18"/>
  <c r="H399" i="18"/>
  <c r="I399" i="18"/>
  <c r="K399" i="18"/>
  <c r="L399" i="18"/>
  <c r="M399" i="18"/>
  <c r="O399" i="18"/>
  <c r="P399" i="18"/>
  <c r="Q399" i="18"/>
  <c r="R399" i="18"/>
  <c r="A400" i="18"/>
  <c r="C400" i="18"/>
  <c r="E400" i="18"/>
  <c r="F400" i="18"/>
  <c r="H400" i="18"/>
  <c r="I400" i="18"/>
  <c r="K400" i="18"/>
  <c r="L400" i="18"/>
  <c r="M400" i="18"/>
  <c r="O400" i="18"/>
  <c r="P400" i="18"/>
  <c r="Q400" i="18"/>
  <c r="R400" i="18"/>
  <c r="A401" i="18"/>
  <c r="C401" i="18"/>
  <c r="E401" i="18"/>
  <c r="F401" i="18"/>
  <c r="H401" i="18"/>
  <c r="I401" i="18"/>
  <c r="K401" i="18"/>
  <c r="L401" i="18"/>
  <c r="M401" i="18"/>
  <c r="O401" i="18"/>
  <c r="P401" i="18"/>
  <c r="Q401" i="18"/>
  <c r="R401" i="18"/>
  <c r="A402" i="18"/>
  <c r="C402" i="18"/>
  <c r="E402" i="18"/>
  <c r="F402" i="18"/>
  <c r="H402" i="18"/>
  <c r="I402" i="18"/>
  <c r="K402" i="18"/>
  <c r="L402" i="18"/>
  <c r="M402" i="18"/>
  <c r="O402" i="18"/>
  <c r="P402" i="18"/>
  <c r="Q402" i="18"/>
  <c r="R402" i="18"/>
  <c r="A403" i="18"/>
  <c r="C403" i="18"/>
  <c r="E403" i="18"/>
  <c r="F403" i="18"/>
  <c r="H403" i="18"/>
  <c r="I403" i="18"/>
  <c r="K403" i="18"/>
  <c r="L403" i="18"/>
  <c r="M403" i="18"/>
  <c r="O403" i="18"/>
  <c r="P403" i="18"/>
  <c r="Q403" i="18"/>
  <c r="R403" i="18"/>
  <c r="A404" i="18"/>
  <c r="C404" i="18"/>
  <c r="E404" i="18"/>
  <c r="F404" i="18"/>
  <c r="H404" i="18"/>
  <c r="I404" i="18"/>
  <c r="K404" i="18"/>
  <c r="L404" i="18"/>
  <c r="M404" i="18"/>
  <c r="O404" i="18"/>
  <c r="P404" i="18"/>
  <c r="Q404" i="18"/>
  <c r="R404" i="18"/>
  <c r="A405" i="18"/>
  <c r="C405" i="18"/>
  <c r="E405" i="18"/>
  <c r="F405" i="18"/>
  <c r="H405" i="18"/>
  <c r="I405" i="18"/>
  <c r="K405" i="18"/>
  <c r="L405" i="18"/>
  <c r="M405" i="18"/>
  <c r="O405" i="18"/>
  <c r="P405" i="18"/>
  <c r="Q405" i="18"/>
  <c r="R405" i="18"/>
  <c r="A406" i="18"/>
  <c r="C406" i="18"/>
  <c r="E406" i="18"/>
  <c r="F406" i="18"/>
  <c r="H406" i="18"/>
  <c r="I406" i="18"/>
  <c r="K406" i="18"/>
  <c r="L406" i="18"/>
  <c r="M406" i="18"/>
  <c r="O406" i="18"/>
  <c r="P406" i="18"/>
  <c r="Q406" i="18"/>
  <c r="R406" i="18"/>
  <c r="A407" i="18"/>
  <c r="C407" i="18"/>
  <c r="E407" i="18"/>
  <c r="F407" i="18"/>
  <c r="H407" i="18"/>
  <c r="I407" i="18"/>
  <c r="K407" i="18"/>
  <c r="L407" i="18"/>
  <c r="M407" i="18"/>
  <c r="O407" i="18"/>
  <c r="P407" i="18"/>
  <c r="Q407" i="18"/>
  <c r="R407" i="18"/>
  <c r="A408" i="18"/>
  <c r="C408" i="18"/>
  <c r="E408" i="18"/>
  <c r="F408" i="18"/>
  <c r="H408" i="18"/>
  <c r="I408" i="18"/>
  <c r="K408" i="18"/>
  <c r="L408" i="18"/>
  <c r="M408" i="18"/>
  <c r="O408" i="18"/>
  <c r="P408" i="18"/>
  <c r="Q408" i="18"/>
  <c r="R408" i="18"/>
  <c r="A409" i="18"/>
  <c r="C409" i="18"/>
  <c r="E409" i="18"/>
  <c r="F409" i="18"/>
  <c r="H409" i="18"/>
  <c r="I409" i="18"/>
  <c r="K409" i="18"/>
  <c r="L409" i="18"/>
  <c r="M409" i="18"/>
  <c r="O409" i="18"/>
  <c r="P409" i="18"/>
  <c r="Q409" i="18"/>
  <c r="R409" i="18"/>
  <c r="A410" i="18"/>
  <c r="C410" i="18"/>
  <c r="E410" i="18"/>
  <c r="F410" i="18"/>
  <c r="H410" i="18"/>
  <c r="I410" i="18"/>
  <c r="K410" i="18"/>
  <c r="L410" i="18"/>
  <c r="M410" i="18"/>
  <c r="O410" i="18"/>
  <c r="P410" i="18"/>
  <c r="Q410" i="18"/>
  <c r="R410" i="18"/>
  <c r="A411" i="18"/>
  <c r="C411" i="18"/>
  <c r="E411" i="18"/>
  <c r="F411" i="18"/>
  <c r="H411" i="18"/>
  <c r="I411" i="18"/>
  <c r="K411" i="18"/>
  <c r="L411" i="18"/>
  <c r="M411" i="18"/>
  <c r="O411" i="18"/>
  <c r="P411" i="18"/>
  <c r="Q411" i="18"/>
  <c r="R411" i="18"/>
  <c r="A412" i="18"/>
  <c r="C412" i="18"/>
  <c r="E412" i="18"/>
  <c r="F412" i="18"/>
  <c r="H412" i="18"/>
  <c r="I412" i="18"/>
  <c r="K412" i="18"/>
  <c r="L412" i="18"/>
  <c r="M412" i="18"/>
  <c r="O412" i="18"/>
  <c r="P412" i="18"/>
  <c r="Q412" i="18"/>
  <c r="R412" i="18"/>
  <c r="A413" i="18"/>
  <c r="C413" i="18"/>
  <c r="E413" i="18"/>
  <c r="F413" i="18"/>
  <c r="H413" i="18"/>
  <c r="I413" i="18"/>
  <c r="K413" i="18"/>
  <c r="L413" i="18"/>
  <c r="M413" i="18"/>
  <c r="O413" i="18"/>
  <c r="P413" i="18"/>
  <c r="Q413" i="18"/>
  <c r="R413" i="18"/>
  <c r="A414" i="18"/>
  <c r="C414" i="18"/>
  <c r="E414" i="18"/>
  <c r="F414" i="18"/>
  <c r="H414" i="18"/>
  <c r="I414" i="18"/>
  <c r="K414" i="18"/>
  <c r="L414" i="18"/>
  <c r="M414" i="18"/>
  <c r="O414" i="18"/>
  <c r="P414" i="18"/>
  <c r="Q414" i="18"/>
  <c r="R414" i="18"/>
  <c r="A415" i="18"/>
  <c r="C415" i="18"/>
  <c r="E415" i="18"/>
  <c r="F415" i="18"/>
  <c r="H415" i="18"/>
  <c r="I415" i="18"/>
  <c r="K415" i="18"/>
  <c r="L415" i="18"/>
  <c r="M415" i="18"/>
  <c r="O415" i="18"/>
  <c r="P415" i="18"/>
  <c r="Q415" i="18"/>
  <c r="R415" i="18"/>
  <c r="A416" i="18"/>
  <c r="C416" i="18"/>
  <c r="E416" i="18"/>
  <c r="F416" i="18"/>
  <c r="H416" i="18"/>
  <c r="I416" i="18"/>
  <c r="K416" i="18"/>
  <c r="L416" i="18"/>
  <c r="M416" i="18"/>
  <c r="O416" i="18"/>
  <c r="P416" i="18"/>
  <c r="Q416" i="18"/>
  <c r="R416" i="18"/>
  <c r="A417" i="18"/>
  <c r="C417" i="18"/>
  <c r="E417" i="18"/>
  <c r="F417" i="18"/>
  <c r="H417" i="18"/>
  <c r="I417" i="18"/>
  <c r="K417" i="18"/>
  <c r="L417" i="18"/>
  <c r="M417" i="18"/>
  <c r="O417" i="18"/>
  <c r="P417" i="18"/>
  <c r="Q417" i="18"/>
  <c r="R417" i="18"/>
  <c r="A418" i="18"/>
  <c r="C418" i="18"/>
  <c r="E418" i="18"/>
  <c r="F418" i="18"/>
  <c r="H418" i="18"/>
  <c r="I418" i="18"/>
  <c r="K418" i="18"/>
  <c r="L418" i="18"/>
  <c r="M418" i="18"/>
  <c r="O418" i="18"/>
  <c r="P418" i="18"/>
  <c r="Q418" i="18"/>
  <c r="R418" i="18"/>
  <c r="A419" i="18"/>
  <c r="C419" i="18"/>
  <c r="E419" i="18"/>
  <c r="F419" i="18"/>
  <c r="H419" i="18"/>
  <c r="I419" i="18"/>
  <c r="K419" i="18"/>
  <c r="L419" i="18"/>
  <c r="M419" i="18"/>
  <c r="O419" i="18"/>
  <c r="P419" i="18"/>
  <c r="Q419" i="18"/>
  <c r="R419" i="18"/>
  <c r="A420" i="18"/>
  <c r="C420" i="18"/>
  <c r="E420" i="18"/>
  <c r="F420" i="18"/>
  <c r="H420" i="18"/>
  <c r="I420" i="18"/>
  <c r="K420" i="18"/>
  <c r="L420" i="18"/>
  <c r="M420" i="18"/>
  <c r="O420" i="18"/>
  <c r="P420" i="18"/>
  <c r="Q420" i="18"/>
  <c r="R420" i="18"/>
  <c r="A421" i="18"/>
  <c r="C421" i="18"/>
  <c r="E421" i="18"/>
  <c r="F421" i="18"/>
  <c r="H421" i="18"/>
  <c r="I421" i="18"/>
  <c r="K421" i="18"/>
  <c r="L421" i="18"/>
  <c r="M421" i="18"/>
  <c r="O421" i="18"/>
  <c r="P421" i="18"/>
  <c r="Q421" i="18"/>
  <c r="R421" i="18"/>
  <c r="A422" i="18"/>
  <c r="C422" i="18"/>
  <c r="E422" i="18"/>
  <c r="F422" i="18"/>
  <c r="H422" i="18"/>
  <c r="I422" i="18"/>
  <c r="K422" i="18"/>
  <c r="L422" i="18"/>
  <c r="M422" i="18"/>
  <c r="O422" i="18"/>
  <c r="P422" i="18"/>
  <c r="Q422" i="18"/>
  <c r="R422" i="18"/>
  <c r="A423" i="18"/>
  <c r="C423" i="18"/>
  <c r="E423" i="18"/>
  <c r="F423" i="18"/>
  <c r="H423" i="18"/>
  <c r="I423" i="18"/>
  <c r="K423" i="18"/>
  <c r="L423" i="18"/>
  <c r="M423" i="18"/>
  <c r="O423" i="18"/>
  <c r="P423" i="18"/>
  <c r="Q423" i="18"/>
  <c r="R423" i="18"/>
  <c r="A424" i="18"/>
  <c r="C424" i="18"/>
  <c r="E424" i="18"/>
  <c r="F424" i="18"/>
  <c r="H424" i="18"/>
  <c r="I424" i="18"/>
  <c r="K424" i="18"/>
  <c r="L424" i="18"/>
  <c r="M424" i="18"/>
  <c r="O424" i="18"/>
  <c r="P424" i="18"/>
  <c r="Q424" i="18"/>
  <c r="R424" i="18"/>
  <c r="A425" i="18"/>
  <c r="C425" i="18"/>
  <c r="E425" i="18"/>
  <c r="F425" i="18"/>
  <c r="H425" i="18"/>
  <c r="I425" i="18"/>
  <c r="K425" i="18"/>
  <c r="L425" i="18"/>
  <c r="M425" i="18"/>
  <c r="O425" i="18"/>
  <c r="P425" i="18"/>
  <c r="Q425" i="18"/>
  <c r="R425" i="18"/>
  <c r="A426" i="18"/>
  <c r="C426" i="18"/>
  <c r="E426" i="18"/>
  <c r="F426" i="18"/>
  <c r="H426" i="18"/>
  <c r="I426" i="18"/>
  <c r="K426" i="18"/>
  <c r="L426" i="18"/>
  <c r="M426" i="18"/>
  <c r="O426" i="18"/>
  <c r="P426" i="18"/>
  <c r="Q426" i="18"/>
  <c r="R426" i="18"/>
  <c r="A427" i="18"/>
  <c r="C427" i="18"/>
  <c r="E427" i="18"/>
  <c r="F427" i="18"/>
  <c r="H427" i="18"/>
  <c r="I427" i="18"/>
  <c r="K427" i="18"/>
  <c r="L427" i="18"/>
  <c r="M427" i="18"/>
  <c r="O427" i="18"/>
  <c r="P427" i="18"/>
  <c r="Q427" i="18"/>
  <c r="R427" i="18"/>
  <c r="A428" i="18"/>
  <c r="C428" i="18"/>
  <c r="E428" i="18"/>
  <c r="F428" i="18"/>
  <c r="H428" i="18"/>
  <c r="I428" i="18"/>
  <c r="K428" i="18"/>
  <c r="L428" i="18"/>
  <c r="M428" i="18"/>
  <c r="O428" i="18"/>
  <c r="P428" i="18"/>
  <c r="Q428" i="18"/>
  <c r="R428" i="18"/>
  <c r="A429" i="18"/>
  <c r="C429" i="18"/>
  <c r="E429" i="18"/>
  <c r="F429" i="18"/>
  <c r="H429" i="18"/>
  <c r="I429" i="18"/>
  <c r="K429" i="18"/>
  <c r="L429" i="18"/>
  <c r="M429" i="18"/>
  <c r="O429" i="18"/>
  <c r="P429" i="18"/>
  <c r="Q429" i="18"/>
  <c r="R429" i="18"/>
  <c r="A430" i="18"/>
  <c r="C430" i="18"/>
  <c r="E430" i="18"/>
  <c r="F430" i="18"/>
  <c r="H430" i="18"/>
  <c r="I430" i="18"/>
  <c r="K430" i="18"/>
  <c r="L430" i="18"/>
  <c r="M430" i="18"/>
  <c r="O430" i="18"/>
  <c r="P430" i="18"/>
  <c r="Q430" i="18"/>
  <c r="R430" i="18"/>
  <c r="A431" i="18"/>
  <c r="C431" i="18"/>
  <c r="E431" i="18"/>
  <c r="F431" i="18"/>
  <c r="H431" i="18"/>
  <c r="I431" i="18"/>
  <c r="K431" i="18"/>
  <c r="L431" i="18"/>
  <c r="M431" i="18"/>
  <c r="O431" i="18"/>
  <c r="P431" i="18"/>
  <c r="Q431" i="18"/>
  <c r="R431" i="18"/>
  <c r="A432" i="18"/>
  <c r="C432" i="18"/>
  <c r="E432" i="18"/>
  <c r="F432" i="18"/>
  <c r="H432" i="18"/>
  <c r="I432" i="18"/>
  <c r="K432" i="18"/>
  <c r="L432" i="18"/>
  <c r="M432" i="18"/>
  <c r="O432" i="18"/>
  <c r="P432" i="18"/>
  <c r="Q432" i="18"/>
  <c r="R432" i="18"/>
  <c r="A433" i="18"/>
  <c r="C433" i="18"/>
  <c r="E433" i="18"/>
  <c r="F433" i="18"/>
  <c r="H433" i="18"/>
  <c r="I433" i="18"/>
  <c r="K433" i="18"/>
  <c r="L433" i="18"/>
  <c r="M433" i="18"/>
  <c r="O433" i="18"/>
  <c r="P433" i="18"/>
  <c r="Q433" i="18"/>
  <c r="R433" i="18"/>
  <c r="A434" i="18"/>
  <c r="C434" i="18"/>
  <c r="E434" i="18"/>
  <c r="F434" i="18"/>
  <c r="H434" i="18"/>
  <c r="I434" i="18"/>
  <c r="K434" i="18"/>
  <c r="L434" i="18"/>
  <c r="M434" i="18"/>
  <c r="O434" i="18"/>
  <c r="P434" i="18"/>
  <c r="Q434" i="18"/>
  <c r="R434" i="18"/>
  <c r="A435" i="18"/>
  <c r="C435" i="18"/>
  <c r="E435" i="18"/>
  <c r="F435" i="18"/>
  <c r="H435" i="18"/>
  <c r="I435" i="18"/>
  <c r="K435" i="18"/>
  <c r="L435" i="18"/>
  <c r="M435" i="18"/>
  <c r="O435" i="18"/>
  <c r="P435" i="18"/>
  <c r="Q435" i="18"/>
  <c r="R435" i="18"/>
  <c r="A436" i="18"/>
  <c r="C436" i="18"/>
  <c r="E436" i="18"/>
  <c r="F436" i="18"/>
  <c r="H436" i="18"/>
  <c r="I436" i="18"/>
  <c r="K436" i="18"/>
  <c r="L436" i="18"/>
  <c r="M436" i="18"/>
  <c r="O436" i="18"/>
  <c r="P436" i="18"/>
  <c r="Q436" i="18"/>
  <c r="R436" i="18"/>
  <c r="A437" i="18"/>
  <c r="C437" i="18"/>
  <c r="E437" i="18"/>
  <c r="F437" i="18"/>
  <c r="H437" i="18"/>
  <c r="I437" i="18"/>
  <c r="K437" i="18"/>
  <c r="L437" i="18"/>
  <c r="M437" i="18"/>
  <c r="O437" i="18"/>
  <c r="P437" i="18"/>
  <c r="Q437" i="18"/>
  <c r="R437" i="18"/>
  <c r="A438" i="18"/>
  <c r="C438" i="18"/>
  <c r="E438" i="18"/>
  <c r="F438" i="18"/>
  <c r="H438" i="18"/>
  <c r="I438" i="18"/>
  <c r="K438" i="18"/>
  <c r="L438" i="18"/>
  <c r="M438" i="18"/>
  <c r="O438" i="18"/>
  <c r="P438" i="18"/>
  <c r="Q438" i="18"/>
  <c r="R438" i="18"/>
  <c r="A439" i="18"/>
  <c r="C439" i="18"/>
  <c r="E439" i="18"/>
  <c r="F439" i="18"/>
  <c r="H439" i="18"/>
  <c r="I439" i="18"/>
  <c r="K439" i="18"/>
  <c r="L439" i="18"/>
  <c r="M439" i="18"/>
  <c r="O439" i="18"/>
  <c r="P439" i="18"/>
  <c r="Q439" i="18"/>
  <c r="R439" i="18"/>
  <c r="A440" i="18"/>
  <c r="C440" i="18"/>
  <c r="E440" i="18"/>
  <c r="F440" i="18"/>
  <c r="H440" i="18"/>
  <c r="I440" i="18"/>
  <c r="K440" i="18"/>
  <c r="L440" i="18"/>
  <c r="M440" i="18"/>
  <c r="O440" i="18"/>
  <c r="P440" i="18"/>
  <c r="Q440" i="18"/>
  <c r="R440" i="18"/>
  <c r="A441" i="18"/>
  <c r="C441" i="18"/>
  <c r="E441" i="18"/>
  <c r="F441" i="18"/>
  <c r="H441" i="18"/>
  <c r="I441" i="18"/>
  <c r="K441" i="18"/>
  <c r="L441" i="18"/>
  <c r="M441" i="18"/>
  <c r="O441" i="18"/>
  <c r="P441" i="18"/>
  <c r="Q441" i="18"/>
  <c r="R441" i="18"/>
  <c r="A442" i="18"/>
  <c r="C442" i="18"/>
  <c r="E442" i="18"/>
  <c r="F442" i="18"/>
  <c r="H442" i="18"/>
  <c r="I442" i="18"/>
  <c r="K442" i="18"/>
  <c r="L442" i="18"/>
  <c r="M442" i="18"/>
  <c r="O442" i="18"/>
  <c r="P442" i="18"/>
  <c r="Q442" i="18"/>
  <c r="R442" i="18"/>
  <c r="A443" i="18"/>
  <c r="C443" i="18"/>
  <c r="E443" i="18"/>
  <c r="F443" i="18"/>
  <c r="H443" i="18"/>
  <c r="I443" i="18"/>
  <c r="K443" i="18"/>
  <c r="L443" i="18"/>
  <c r="M443" i="18"/>
  <c r="O443" i="18"/>
  <c r="P443" i="18"/>
  <c r="Q443" i="18"/>
  <c r="R443" i="18"/>
  <c r="A444" i="18"/>
  <c r="C444" i="18"/>
  <c r="E444" i="18"/>
  <c r="F444" i="18"/>
  <c r="H444" i="18"/>
  <c r="I444" i="18"/>
  <c r="K444" i="18"/>
  <c r="L444" i="18"/>
  <c r="M444" i="18"/>
  <c r="O444" i="18"/>
  <c r="P444" i="18"/>
  <c r="Q444" i="18"/>
  <c r="R444" i="18"/>
  <c r="A445" i="18"/>
  <c r="C445" i="18"/>
  <c r="E445" i="18"/>
  <c r="F445" i="18"/>
  <c r="H445" i="18"/>
  <c r="I445" i="18"/>
  <c r="K445" i="18"/>
  <c r="L445" i="18"/>
  <c r="M445" i="18"/>
  <c r="O445" i="18"/>
  <c r="P445" i="18"/>
  <c r="Q445" i="18"/>
  <c r="R445" i="18"/>
  <c r="A446" i="18"/>
  <c r="C446" i="18"/>
  <c r="E446" i="18"/>
  <c r="F446" i="18"/>
  <c r="H446" i="18"/>
  <c r="I446" i="18"/>
  <c r="K446" i="18"/>
  <c r="L446" i="18"/>
  <c r="M446" i="18"/>
  <c r="O446" i="18"/>
  <c r="P446" i="18"/>
  <c r="Q446" i="18"/>
  <c r="R446" i="18"/>
  <c r="A447" i="18"/>
  <c r="C447" i="18"/>
  <c r="E447" i="18"/>
  <c r="F447" i="18"/>
  <c r="H447" i="18"/>
  <c r="I447" i="18"/>
  <c r="K447" i="18"/>
  <c r="L447" i="18"/>
  <c r="M447" i="18"/>
  <c r="O447" i="18"/>
  <c r="P447" i="18"/>
  <c r="Q447" i="18"/>
  <c r="R447" i="18"/>
  <c r="A448" i="18"/>
  <c r="C448" i="18"/>
  <c r="E448" i="18"/>
  <c r="F448" i="18"/>
  <c r="H448" i="18"/>
  <c r="I448" i="18"/>
  <c r="K448" i="18"/>
  <c r="L448" i="18"/>
  <c r="M448" i="18"/>
  <c r="O448" i="18"/>
  <c r="P448" i="18"/>
  <c r="Q448" i="18"/>
  <c r="R448" i="18"/>
  <c r="A449" i="18"/>
  <c r="C449" i="18"/>
  <c r="E449" i="18"/>
  <c r="F449" i="18"/>
  <c r="H449" i="18"/>
  <c r="I449" i="18"/>
  <c r="K449" i="18"/>
  <c r="L449" i="18"/>
  <c r="M449" i="18"/>
  <c r="O449" i="18"/>
  <c r="P449" i="18"/>
  <c r="Q449" i="18"/>
  <c r="R449" i="18"/>
  <c r="A450" i="18"/>
  <c r="C450" i="18"/>
  <c r="E450" i="18"/>
  <c r="F450" i="18"/>
  <c r="H450" i="18"/>
  <c r="I450" i="18"/>
  <c r="K450" i="18"/>
  <c r="L450" i="18"/>
  <c r="M450" i="18"/>
  <c r="O450" i="18"/>
  <c r="P450" i="18"/>
  <c r="Q450" i="18"/>
  <c r="R450" i="18"/>
  <c r="A451" i="18"/>
  <c r="C451" i="18"/>
  <c r="E451" i="18"/>
  <c r="F451" i="18"/>
  <c r="H451" i="18"/>
  <c r="I451" i="18"/>
  <c r="K451" i="18"/>
  <c r="L451" i="18"/>
  <c r="M451" i="18"/>
  <c r="O451" i="18"/>
  <c r="P451" i="18"/>
  <c r="Q451" i="18"/>
  <c r="R451" i="18"/>
  <c r="A452" i="18"/>
  <c r="C452" i="18"/>
  <c r="E452" i="18"/>
  <c r="F452" i="18"/>
  <c r="H452" i="18"/>
  <c r="I452" i="18"/>
  <c r="K452" i="18"/>
  <c r="L452" i="18"/>
  <c r="M452" i="18"/>
  <c r="O452" i="18"/>
  <c r="P452" i="18"/>
  <c r="Q452" i="18"/>
  <c r="R452" i="18"/>
  <c r="A453" i="18"/>
  <c r="C453" i="18"/>
  <c r="E453" i="18"/>
  <c r="F453" i="18"/>
  <c r="H453" i="18"/>
  <c r="I453" i="18"/>
  <c r="K453" i="18"/>
  <c r="L453" i="18"/>
  <c r="M453" i="18"/>
  <c r="O453" i="18"/>
  <c r="P453" i="18"/>
  <c r="Q453" i="18"/>
  <c r="R453" i="18"/>
  <c r="A454" i="18"/>
  <c r="C454" i="18"/>
  <c r="E454" i="18"/>
  <c r="F454" i="18"/>
  <c r="H454" i="18"/>
  <c r="I454" i="18"/>
  <c r="K454" i="18"/>
  <c r="L454" i="18"/>
  <c r="M454" i="18"/>
  <c r="O454" i="18"/>
  <c r="P454" i="18"/>
  <c r="Q454" i="18"/>
  <c r="R454" i="18"/>
  <c r="A455" i="18"/>
  <c r="C455" i="18"/>
  <c r="E455" i="18"/>
  <c r="F455" i="18"/>
  <c r="H455" i="18"/>
  <c r="I455" i="18"/>
  <c r="K455" i="18"/>
  <c r="L455" i="18"/>
  <c r="M455" i="18"/>
  <c r="O455" i="18"/>
  <c r="P455" i="18"/>
  <c r="Q455" i="18"/>
  <c r="R455" i="18"/>
  <c r="A456" i="18"/>
  <c r="C456" i="18"/>
  <c r="E456" i="18"/>
  <c r="F456" i="18"/>
  <c r="H456" i="18"/>
  <c r="I456" i="18"/>
  <c r="K456" i="18"/>
  <c r="L456" i="18"/>
  <c r="M456" i="18"/>
  <c r="O456" i="18"/>
  <c r="P456" i="18"/>
  <c r="Q456" i="18"/>
  <c r="R456" i="18"/>
  <c r="A457" i="18"/>
  <c r="C457" i="18"/>
  <c r="E457" i="18"/>
  <c r="F457" i="18"/>
  <c r="H457" i="18"/>
  <c r="I457" i="18"/>
  <c r="K457" i="18"/>
  <c r="L457" i="18"/>
  <c r="M457" i="18"/>
  <c r="O457" i="18"/>
  <c r="P457" i="18"/>
  <c r="Q457" i="18"/>
  <c r="R457" i="18"/>
  <c r="A458" i="18"/>
  <c r="C458" i="18"/>
  <c r="E458" i="18"/>
  <c r="F458" i="18"/>
  <c r="H458" i="18"/>
  <c r="I458" i="18"/>
  <c r="K458" i="18"/>
  <c r="L458" i="18"/>
  <c r="M458" i="18"/>
  <c r="O458" i="18"/>
  <c r="P458" i="18"/>
  <c r="Q458" i="18"/>
  <c r="R458" i="18"/>
  <c r="A459" i="18"/>
  <c r="C459" i="18"/>
  <c r="E459" i="18"/>
  <c r="F459" i="18"/>
  <c r="H459" i="18"/>
  <c r="I459" i="18"/>
  <c r="K459" i="18"/>
  <c r="L459" i="18"/>
  <c r="M459" i="18"/>
  <c r="O459" i="18"/>
  <c r="P459" i="18"/>
  <c r="Q459" i="18"/>
  <c r="R459" i="18"/>
  <c r="A460" i="18"/>
  <c r="C460" i="18"/>
  <c r="E460" i="18"/>
  <c r="F460" i="18"/>
  <c r="H460" i="18"/>
  <c r="I460" i="18"/>
  <c r="K460" i="18"/>
  <c r="L460" i="18"/>
  <c r="M460" i="18"/>
  <c r="O460" i="18"/>
  <c r="P460" i="18"/>
  <c r="Q460" i="18"/>
  <c r="R460" i="18"/>
  <c r="A461" i="18"/>
  <c r="C461" i="18"/>
  <c r="E461" i="18"/>
  <c r="F461" i="18"/>
  <c r="H461" i="18"/>
  <c r="I461" i="18"/>
  <c r="K461" i="18"/>
  <c r="L461" i="18"/>
  <c r="M461" i="18"/>
  <c r="O461" i="18"/>
  <c r="P461" i="18"/>
  <c r="Q461" i="18"/>
  <c r="R461" i="18"/>
  <c r="A462" i="18"/>
  <c r="C462" i="18"/>
  <c r="E462" i="18"/>
  <c r="F462" i="18"/>
  <c r="H462" i="18"/>
  <c r="I462" i="18"/>
  <c r="K462" i="18"/>
  <c r="L462" i="18"/>
  <c r="M462" i="18"/>
  <c r="O462" i="18"/>
  <c r="P462" i="18"/>
  <c r="Q462" i="18"/>
  <c r="R462" i="18"/>
  <c r="A463" i="18"/>
  <c r="C463" i="18"/>
  <c r="E463" i="18"/>
  <c r="F463" i="18"/>
  <c r="H463" i="18"/>
  <c r="I463" i="18"/>
  <c r="K463" i="18"/>
  <c r="L463" i="18"/>
  <c r="M463" i="18"/>
  <c r="O463" i="18"/>
  <c r="P463" i="18"/>
  <c r="Q463" i="18"/>
  <c r="R463" i="18"/>
  <c r="A464" i="18"/>
  <c r="C464" i="18"/>
  <c r="E464" i="18"/>
  <c r="F464" i="18"/>
  <c r="H464" i="18"/>
  <c r="I464" i="18"/>
  <c r="K464" i="18"/>
  <c r="L464" i="18"/>
  <c r="M464" i="18"/>
  <c r="O464" i="18"/>
  <c r="P464" i="18"/>
  <c r="Q464" i="18"/>
  <c r="R464" i="18"/>
  <c r="A465" i="18"/>
  <c r="C465" i="18"/>
  <c r="E465" i="18"/>
  <c r="F465" i="18"/>
  <c r="H465" i="18"/>
  <c r="I465" i="18"/>
  <c r="K465" i="18"/>
  <c r="L465" i="18"/>
  <c r="M465" i="18"/>
  <c r="O465" i="18"/>
  <c r="P465" i="18"/>
  <c r="Q465" i="18"/>
  <c r="R465" i="18"/>
  <c r="A466" i="18"/>
  <c r="C466" i="18"/>
  <c r="E466" i="18"/>
  <c r="F466" i="18"/>
  <c r="H466" i="18"/>
  <c r="I466" i="18"/>
  <c r="K466" i="18"/>
  <c r="L466" i="18"/>
  <c r="M466" i="18"/>
  <c r="O466" i="18"/>
  <c r="P466" i="18"/>
  <c r="Q466" i="18"/>
  <c r="R466" i="18"/>
  <c r="A467" i="18"/>
  <c r="C467" i="18"/>
  <c r="E467" i="18"/>
  <c r="F467" i="18"/>
  <c r="H467" i="18"/>
  <c r="I467" i="18"/>
  <c r="K467" i="18"/>
  <c r="L467" i="18"/>
  <c r="M467" i="18"/>
  <c r="O467" i="18"/>
  <c r="P467" i="18"/>
  <c r="Q467" i="18"/>
  <c r="R467" i="18"/>
  <c r="A468" i="18"/>
  <c r="C468" i="18"/>
  <c r="E468" i="18"/>
  <c r="F468" i="18"/>
  <c r="H468" i="18"/>
  <c r="I468" i="18"/>
  <c r="K468" i="18"/>
  <c r="L468" i="18"/>
  <c r="M468" i="18"/>
  <c r="O468" i="18"/>
  <c r="P468" i="18"/>
  <c r="Q468" i="18"/>
  <c r="R468" i="18"/>
  <c r="A469" i="18"/>
  <c r="C469" i="18"/>
  <c r="E469" i="18"/>
  <c r="F469" i="18"/>
  <c r="H469" i="18"/>
  <c r="I469" i="18"/>
  <c r="K469" i="18"/>
  <c r="L469" i="18"/>
  <c r="M469" i="18"/>
  <c r="O469" i="18"/>
  <c r="P469" i="18"/>
  <c r="Q469" i="18"/>
  <c r="R469" i="18"/>
  <c r="A470" i="18"/>
  <c r="C470" i="18"/>
  <c r="E470" i="18"/>
  <c r="F470" i="18"/>
  <c r="H470" i="18"/>
  <c r="I470" i="18"/>
  <c r="K470" i="18"/>
  <c r="L470" i="18"/>
  <c r="M470" i="18"/>
  <c r="O470" i="18"/>
  <c r="P470" i="18"/>
  <c r="Q470" i="18"/>
  <c r="R470" i="18"/>
  <c r="A471" i="18"/>
  <c r="C471" i="18"/>
  <c r="E471" i="18"/>
  <c r="F471" i="18"/>
  <c r="H471" i="18"/>
  <c r="I471" i="18"/>
  <c r="K471" i="18"/>
  <c r="L471" i="18"/>
  <c r="M471" i="18"/>
  <c r="O471" i="18"/>
  <c r="P471" i="18"/>
  <c r="Q471" i="18"/>
  <c r="R471" i="18"/>
  <c r="A472" i="18"/>
  <c r="C472" i="18"/>
  <c r="E472" i="18"/>
  <c r="F472" i="18"/>
  <c r="H472" i="18"/>
  <c r="I472" i="18"/>
  <c r="K472" i="18"/>
  <c r="L472" i="18"/>
  <c r="M472" i="18"/>
  <c r="O472" i="18"/>
  <c r="P472" i="18"/>
  <c r="Q472" i="18"/>
  <c r="R472" i="18"/>
  <c r="A473" i="18"/>
  <c r="C473" i="18"/>
  <c r="E473" i="18"/>
  <c r="F473" i="18"/>
  <c r="H473" i="18"/>
  <c r="I473" i="18"/>
  <c r="K473" i="18"/>
  <c r="L473" i="18"/>
  <c r="M473" i="18"/>
  <c r="O473" i="18"/>
  <c r="P473" i="18"/>
  <c r="Q473" i="18"/>
  <c r="R473" i="18"/>
  <c r="A474" i="18"/>
  <c r="C474" i="18"/>
  <c r="E474" i="18"/>
  <c r="F474" i="18"/>
  <c r="H474" i="18"/>
  <c r="I474" i="18"/>
  <c r="K474" i="18"/>
  <c r="L474" i="18"/>
  <c r="M474" i="18"/>
  <c r="O474" i="18"/>
  <c r="P474" i="18"/>
  <c r="Q474" i="18"/>
  <c r="R474" i="18"/>
  <c r="A475" i="18"/>
  <c r="C475" i="18"/>
  <c r="E475" i="18"/>
  <c r="F475" i="18"/>
  <c r="H475" i="18"/>
  <c r="I475" i="18"/>
  <c r="K475" i="18"/>
  <c r="L475" i="18"/>
  <c r="M475" i="18"/>
  <c r="O475" i="18"/>
  <c r="P475" i="18"/>
  <c r="Q475" i="18"/>
  <c r="R475" i="18"/>
  <c r="A476" i="18"/>
  <c r="C476" i="18"/>
  <c r="E476" i="18"/>
  <c r="F476" i="18"/>
  <c r="H476" i="18"/>
  <c r="I476" i="18"/>
  <c r="K476" i="18"/>
  <c r="L476" i="18"/>
  <c r="M476" i="18"/>
  <c r="O476" i="18"/>
  <c r="P476" i="18"/>
  <c r="Q476" i="18"/>
  <c r="R476" i="18"/>
  <c r="A477" i="18"/>
  <c r="C477" i="18"/>
  <c r="E477" i="18"/>
  <c r="F477" i="18"/>
  <c r="H477" i="18"/>
  <c r="I477" i="18"/>
  <c r="K477" i="18"/>
  <c r="L477" i="18"/>
  <c r="M477" i="18"/>
  <c r="O477" i="18"/>
  <c r="P477" i="18"/>
  <c r="Q477" i="18"/>
  <c r="R477" i="18"/>
  <c r="A478" i="18"/>
  <c r="C478" i="18"/>
  <c r="E478" i="18"/>
  <c r="F478" i="18"/>
  <c r="H478" i="18"/>
  <c r="I478" i="18"/>
  <c r="K478" i="18"/>
  <c r="L478" i="18"/>
  <c r="M478" i="18"/>
  <c r="O478" i="18"/>
  <c r="P478" i="18"/>
  <c r="Q478" i="18"/>
  <c r="R478" i="18"/>
  <c r="A479" i="18"/>
  <c r="C479" i="18"/>
  <c r="E479" i="18"/>
  <c r="F479" i="18"/>
  <c r="H479" i="18"/>
  <c r="I479" i="18"/>
  <c r="K479" i="18"/>
  <c r="L479" i="18"/>
  <c r="M479" i="18"/>
  <c r="O479" i="18"/>
  <c r="P479" i="18"/>
  <c r="Q479" i="18"/>
  <c r="R479" i="18"/>
  <c r="A480" i="18"/>
  <c r="C480" i="18"/>
  <c r="E480" i="18"/>
  <c r="F480" i="18"/>
  <c r="H480" i="18"/>
  <c r="I480" i="18"/>
  <c r="K480" i="18"/>
  <c r="L480" i="18"/>
  <c r="M480" i="18"/>
  <c r="O480" i="18"/>
  <c r="P480" i="18"/>
  <c r="Q480" i="18"/>
  <c r="R480" i="18"/>
  <c r="A481" i="18"/>
  <c r="C481" i="18"/>
  <c r="E481" i="18"/>
  <c r="F481" i="18"/>
  <c r="H481" i="18"/>
  <c r="I481" i="18"/>
  <c r="K481" i="18"/>
  <c r="L481" i="18"/>
  <c r="M481" i="18"/>
  <c r="O481" i="18"/>
  <c r="P481" i="18"/>
  <c r="Q481" i="18"/>
  <c r="R481" i="18"/>
  <c r="A482" i="18"/>
  <c r="C482" i="18"/>
  <c r="E482" i="18"/>
  <c r="F482" i="18"/>
  <c r="H482" i="18"/>
  <c r="I482" i="18"/>
  <c r="K482" i="18"/>
  <c r="L482" i="18"/>
  <c r="M482" i="18"/>
  <c r="O482" i="18"/>
  <c r="P482" i="18"/>
  <c r="Q482" i="18"/>
  <c r="R482" i="18"/>
  <c r="A483" i="18"/>
  <c r="C483" i="18"/>
  <c r="E483" i="18"/>
  <c r="F483" i="18"/>
  <c r="H483" i="18"/>
  <c r="I483" i="18"/>
  <c r="K483" i="18"/>
  <c r="L483" i="18"/>
  <c r="M483" i="18"/>
  <c r="O483" i="18"/>
  <c r="P483" i="18"/>
  <c r="Q483" i="18"/>
  <c r="R483" i="18"/>
  <c r="A484" i="18"/>
  <c r="C484" i="18"/>
  <c r="E484" i="18"/>
  <c r="F484" i="18"/>
  <c r="H484" i="18"/>
  <c r="I484" i="18"/>
  <c r="K484" i="18"/>
  <c r="L484" i="18"/>
  <c r="M484" i="18"/>
  <c r="O484" i="18"/>
  <c r="P484" i="18"/>
  <c r="Q484" i="18"/>
  <c r="R484" i="18"/>
  <c r="A485" i="18"/>
  <c r="C485" i="18"/>
  <c r="E485" i="18"/>
  <c r="F485" i="18"/>
  <c r="H485" i="18"/>
  <c r="I485" i="18"/>
  <c r="K485" i="18"/>
  <c r="L485" i="18"/>
  <c r="M485" i="18"/>
  <c r="O485" i="18"/>
  <c r="P485" i="18"/>
  <c r="Q485" i="18"/>
  <c r="R485" i="18"/>
  <c r="A486" i="18"/>
  <c r="C486" i="18"/>
  <c r="E486" i="18"/>
  <c r="F486" i="18"/>
  <c r="H486" i="18"/>
  <c r="I486" i="18"/>
  <c r="K486" i="18"/>
  <c r="L486" i="18"/>
  <c r="M486" i="18"/>
  <c r="O486" i="18"/>
  <c r="P486" i="18"/>
  <c r="Q486" i="18"/>
  <c r="R486" i="18"/>
  <c r="A487" i="18"/>
  <c r="C487" i="18"/>
  <c r="E487" i="18"/>
  <c r="F487" i="18"/>
  <c r="H487" i="18"/>
  <c r="I487" i="18"/>
  <c r="K487" i="18"/>
  <c r="L487" i="18"/>
  <c r="M487" i="18"/>
  <c r="O487" i="18"/>
  <c r="P487" i="18"/>
  <c r="Q487" i="18"/>
  <c r="R487" i="18"/>
  <c r="A488" i="18"/>
  <c r="C488" i="18"/>
  <c r="E488" i="18"/>
  <c r="F488" i="18"/>
  <c r="H488" i="18"/>
  <c r="I488" i="18"/>
  <c r="K488" i="18"/>
  <c r="L488" i="18"/>
  <c r="M488" i="18"/>
  <c r="O488" i="18"/>
  <c r="P488" i="18"/>
  <c r="Q488" i="18"/>
  <c r="R488" i="18"/>
  <c r="A489" i="18"/>
  <c r="C489" i="18"/>
  <c r="E489" i="18"/>
  <c r="F489" i="18"/>
  <c r="H489" i="18"/>
  <c r="I489" i="18"/>
  <c r="K489" i="18"/>
  <c r="L489" i="18"/>
  <c r="M489" i="18"/>
  <c r="O489" i="18"/>
  <c r="P489" i="18"/>
  <c r="Q489" i="18"/>
  <c r="R489" i="18"/>
  <c r="A490" i="18"/>
  <c r="C490" i="18"/>
  <c r="E490" i="18"/>
  <c r="F490" i="18"/>
  <c r="H490" i="18"/>
  <c r="I490" i="18"/>
  <c r="K490" i="18"/>
  <c r="L490" i="18"/>
  <c r="M490" i="18"/>
  <c r="O490" i="18"/>
  <c r="P490" i="18"/>
  <c r="Q490" i="18"/>
  <c r="R490" i="18"/>
  <c r="A491" i="18"/>
  <c r="C491" i="18"/>
  <c r="E491" i="18"/>
  <c r="F491" i="18"/>
  <c r="H491" i="18"/>
  <c r="I491" i="18"/>
  <c r="K491" i="18"/>
  <c r="L491" i="18"/>
  <c r="M491" i="18"/>
  <c r="O491" i="18"/>
  <c r="P491" i="18"/>
  <c r="Q491" i="18"/>
  <c r="R491" i="18"/>
  <c r="A492" i="18"/>
  <c r="C492" i="18"/>
  <c r="E492" i="18"/>
  <c r="F492" i="18"/>
  <c r="H492" i="18"/>
  <c r="I492" i="18"/>
  <c r="K492" i="18"/>
  <c r="L492" i="18"/>
  <c r="M492" i="18"/>
  <c r="O492" i="18"/>
  <c r="P492" i="18"/>
  <c r="Q492" i="18"/>
  <c r="R492" i="18"/>
  <c r="A493" i="18"/>
  <c r="C493" i="18"/>
  <c r="E493" i="18"/>
  <c r="F493" i="18"/>
  <c r="H493" i="18"/>
  <c r="I493" i="18"/>
  <c r="K493" i="18"/>
  <c r="L493" i="18"/>
  <c r="M493" i="18"/>
  <c r="O493" i="18"/>
  <c r="P493" i="18"/>
  <c r="Q493" i="18"/>
  <c r="R493" i="18"/>
  <c r="A494" i="18"/>
  <c r="C494" i="18"/>
  <c r="E494" i="18"/>
  <c r="F494" i="18"/>
  <c r="H494" i="18"/>
  <c r="I494" i="18"/>
  <c r="K494" i="18"/>
  <c r="L494" i="18"/>
  <c r="M494" i="18"/>
  <c r="O494" i="18"/>
  <c r="P494" i="18"/>
  <c r="Q494" i="18"/>
  <c r="R494" i="18"/>
  <c r="A495" i="18"/>
  <c r="C495" i="18"/>
  <c r="E495" i="18"/>
  <c r="F495" i="18"/>
  <c r="H495" i="18"/>
  <c r="I495" i="18"/>
  <c r="K495" i="18"/>
  <c r="L495" i="18"/>
  <c r="M495" i="18"/>
  <c r="O495" i="18"/>
  <c r="P495" i="18"/>
  <c r="Q495" i="18"/>
  <c r="R495" i="18"/>
  <c r="A496" i="18"/>
  <c r="C496" i="18"/>
  <c r="E496" i="18"/>
  <c r="F496" i="18"/>
  <c r="H496" i="18"/>
  <c r="I496" i="18"/>
  <c r="K496" i="18"/>
  <c r="L496" i="18"/>
  <c r="M496" i="18"/>
  <c r="O496" i="18"/>
  <c r="P496" i="18"/>
  <c r="Q496" i="18"/>
  <c r="R496" i="18"/>
  <c r="A497" i="18"/>
  <c r="C497" i="18"/>
  <c r="E497" i="18"/>
  <c r="F497" i="18"/>
  <c r="H497" i="18"/>
  <c r="I497" i="18"/>
  <c r="K497" i="18"/>
  <c r="L497" i="18"/>
  <c r="M497" i="18"/>
  <c r="O497" i="18"/>
  <c r="P497" i="18"/>
  <c r="Q497" i="18"/>
  <c r="R497" i="18"/>
  <c r="A498" i="18"/>
  <c r="C498" i="18"/>
  <c r="E498" i="18"/>
  <c r="F498" i="18"/>
  <c r="H498" i="18"/>
  <c r="I498" i="18"/>
  <c r="K498" i="18"/>
  <c r="L498" i="18"/>
  <c r="M498" i="18"/>
  <c r="O498" i="18"/>
  <c r="P498" i="18"/>
  <c r="Q498" i="18"/>
  <c r="R498" i="18"/>
  <c r="A499" i="18"/>
  <c r="C499" i="18"/>
  <c r="E499" i="18"/>
  <c r="F499" i="18"/>
  <c r="H499" i="18"/>
  <c r="I499" i="18"/>
  <c r="K499" i="18"/>
  <c r="L499" i="18"/>
  <c r="M499" i="18"/>
  <c r="O499" i="18"/>
  <c r="P499" i="18"/>
  <c r="Q499" i="18"/>
  <c r="R499" i="18"/>
  <c r="A500" i="18"/>
  <c r="C500" i="18"/>
  <c r="E500" i="18"/>
  <c r="F500" i="18"/>
  <c r="H500" i="18"/>
  <c r="I500" i="18"/>
  <c r="K500" i="18"/>
  <c r="L500" i="18"/>
  <c r="M500" i="18"/>
  <c r="O500" i="18"/>
  <c r="P500" i="18"/>
  <c r="Q500" i="18"/>
  <c r="R500" i="18"/>
  <c r="A501" i="18"/>
  <c r="C501" i="18"/>
  <c r="E501" i="18"/>
  <c r="F501" i="18"/>
  <c r="H501" i="18"/>
  <c r="I501" i="18"/>
  <c r="K501" i="18"/>
  <c r="L501" i="18"/>
  <c r="M501" i="18"/>
  <c r="O501" i="18"/>
  <c r="P501" i="18"/>
  <c r="Q501" i="18"/>
  <c r="R501" i="18"/>
  <c r="A502" i="18"/>
  <c r="C502" i="18"/>
  <c r="E502" i="18"/>
  <c r="F502" i="18"/>
  <c r="H502" i="18"/>
  <c r="I502" i="18"/>
  <c r="K502" i="18"/>
  <c r="L502" i="18"/>
  <c r="M502" i="18"/>
  <c r="O502" i="18"/>
  <c r="P502" i="18"/>
  <c r="Q502" i="18"/>
  <c r="R502" i="18"/>
  <c r="A503" i="18"/>
  <c r="C503" i="18"/>
  <c r="E503" i="18"/>
  <c r="F503" i="18"/>
  <c r="H503" i="18"/>
  <c r="I503" i="18"/>
  <c r="K503" i="18"/>
  <c r="L503" i="18"/>
  <c r="M503" i="18"/>
  <c r="O503" i="18"/>
  <c r="P503" i="18"/>
  <c r="Q503" i="18"/>
  <c r="R503" i="18"/>
  <c r="A504" i="18"/>
  <c r="C504" i="18"/>
  <c r="E504" i="18"/>
  <c r="F504" i="18"/>
  <c r="H504" i="18"/>
  <c r="I504" i="18"/>
  <c r="K504" i="18"/>
  <c r="L504" i="18"/>
  <c r="M504" i="18"/>
  <c r="O504" i="18"/>
  <c r="P504" i="18"/>
  <c r="Q504" i="18"/>
  <c r="R504" i="18"/>
  <c r="A505" i="18"/>
  <c r="C505" i="18"/>
  <c r="E505" i="18"/>
  <c r="F505" i="18"/>
  <c r="H505" i="18"/>
  <c r="I505" i="18"/>
  <c r="K505" i="18"/>
  <c r="L505" i="18"/>
  <c r="M505" i="18"/>
  <c r="O505" i="18"/>
  <c r="P505" i="18"/>
  <c r="Q505" i="18"/>
  <c r="R505" i="18"/>
  <c r="A506" i="18"/>
  <c r="C506" i="18"/>
  <c r="E506" i="18"/>
  <c r="F506" i="18"/>
  <c r="H506" i="18"/>
  <c r="I506" i="18"/>
  <c r="K506" i="18"/>
  <c r="L506" i="18"/>
  <c r="M506" i="18"/>
  <c r="O506" i="18"/>
  <c r="P506" i="18"/>
  <c r="Q506" i="18"/>
  <c r="R506" i="18"/>
  <c r="A507" i="18"/>
  <c r="C507" i="18"/>
  <c r="E507" i="18"/>
  <c r="F507" i="18"/>
  <c r="H507" i="18"/>
  <c r="I507" i="18"/>
  <c r="K507" i="18"/>
  <c r="L507" i="18"/>
  <c r="M507" i="18"/>
  <c r="O507" i="18"/>
  <c r="P507" i="18"/>
  <c r="Q507" i="18"/>
  <c r="R507" i="18"/>
  <c r="A508" i="18"/>
  <c r="C508" i="18"/>
  <c r="E508" i="18"/>
  <c r="F508" i="18"/>
  <c r="H508" i="18"/>
  <c r="I508" i="18"/>
  <c r="K508" i="18"/>
  <c r="L508" i="18"/>
  <c r="M508" i="18"/>
  <c r="O508" i="18"/>
  <c r="P508" i="18"/>
  <c r="Q508" i="18"/>
  <c r="R508" i="18"/>
  <c r="A509" i="18"/>
  <c r="C509" i="18"/>
  <c r="E509" i="18"/>
  <c r="F509" i="18"/>
  <c r="H509" i="18"/>
  <c r="I509" i="18"/>
  <c r="K509" i="18"/>
  <c r="L509" i="18"/>
  <c r="M509" i="18"/>
  <c r="O509" i="18"/>
  <c r="P509" i="18"/>
  <c r="Q509" i="18"/>
  <c r="R509" i="18"/>
  <c r="A510" i="18"/>
  <c r="C510" i="18"/>
  <c r="E510" i="18"/>
  <c r="F510" i="18"/>
  <c r="H510" i="18"/>
  <c r="I510" i="18"/>
  <c r="K510" i="18"/>
  <c r="L510" i="18"/>
  <c r="M510" i="18"/>
  <c r="O510" i="18"/>
  <c r="P510" i="18"/>
  <c r="Q510" i="18"/>
  <c r="R510" i="18"/>
  <c r="A511" i="18"/>
  <c r="C511" i="18"/>
  <c r="E511" i="18"/>
  <c r="F511" i="18"/>
  <c r="H511" i="18"/>
  <c r="I511" i="18"/>
  <c r="K511" i="18"/>
  <c r="L511" i="18"/>
  <c r="M511" i="18"/>
  <c r="O511" i="18"/>
  <c r="P511" i="18"/>
  <c r="Q511" i="18"/>
  <c r="R511" i="18"/>
  <c r="A512" i="18"/>
  <c r="C512" i="18"/>
  <c r="E512" i="18"/>
  <c r="F512" i="18"/>
  <c r="H512" i="18"/>
  <c r="I512" i="18"/>
  <c r="K512" i="18"/>
  <c r="L512" i="18"/>
  <c r="M512" i="18"/>
  <c r="O512" i="18"/>
  <c r="P512" i="18"/>
  <c r="Q512" i="18"/>
  <c r="R512" i="18"/>
  <c r="A513" i="18"/>
  <c r="C513" i="18"/>
  <c r="E513" i="18"/>
  <c r="F513" i="18"/>
  <c r="H513" i="18"/>
  <c r="I513" i="18"/>
  <c r="K513" i="18"/>
  <c r="L513" i="18"/>
  <c r="M513" i="18"/>
  <c r="O513" i="18"/>
  <c r="P513" i="18"/>
  <c r="Q513" i="18"/>
  <c r="R513" i="18"/>
  <c r="A514" i="18"/>
  <c r="C514" i="18"/>
  <c r="E514" i="18"/>
  <c r="F514" i="18"/>
  <c r="H514" i="18"/>
  <c r="I514" i="18"/>
  <c r="K514" i="18"/>
  <c r="L514" i="18"/>
  <c r="M514" i="18"/>
  <c r="O514" i="18"/>
  <c r="P514" i="18"/>
  <c r="Q514" i="18"/>
  <c r="R514" i="18"/>
  <c r="A515" i="18"/>
  <c r="C515" i="18"/>
  <c r="E515" i="18"/>
  <c r="F515" i="18"/>
  <c r="H515" i="18"/>
  <c r="I515" i="18"/>
  <c r="K515" i="18"/>
  <c r="L515" i="18"/>
  <c r="M515" i="18"/>
  <c r="O515" i="18"/>
  <c r="P515" i="18"/>
  <c r="Q515" i="18"/>
  <c r="R515" i="18"/>
  <c r="A516" i="18"/>
  <c r="C516" i="18"/>
  <c r="E516" i="18"/>
  <c r="F516" i="18"/>
  <c r="H516" i="18"/>
  <c r="I516" i="18"/>
  <c r="K516" i="18"/>
  <c r="L516" i="18"/>
  <c r="M516" i="18"/>
  <c r="O516" i="18"/>
  <c r="P516" i="18"/>
  <c r="Q516" i="18"/>
  <c r="R516" i="18"/>
  <c r="A517" i="18"/>
  <c r="C517" i="18"/>
  <c r="E517" i="18"/>
  <c r="F517" i="18"/>
  <c r="H517" i="18"/>
  <c r="I517" i="18"/>
  <c r="K517" i="18"/>
  <c r="L517" i="18"/>
  <c r="M517" i="18"/>
  <c r="O517" i="18"/>
  <c r="P517" i="18"/>
  <c r="Q517" i="18"/>
  <c r="R517" i="18"/>
  <c r="A518" i="18"/>
  <c r="C518" i="18"/>
  <c r="E518" i="18"/>
  <c r="F518" i="18"/>
  <c r="H518" i="18"/>
  <c r="I518" i="18"/>
  <c r="K518" i="18"/>
  <c r="L518" i="18"/>
  <c r="M518" i="18"/>
  <c r="O518" i="18"/>
  <c r="P518" i="18"/>
  <c r="Q518" i="18"/>
  <c r="R518" i="18"/>
  <c r="A519" i="18"/>
  <c r="C519" i="18"/>
  <c r="E519" i="18"/>
  <c r="F519" i="18"/>
  <c r="H519" i="18"/>
  <c r="I519" i="18"/>
  <c r="K519" i="18"/>
  <c r="L519" i="18"/>
  <c r="M519" i="18"/>
  <c r="O519" i="18"/>
  <c r="P519" i="18"/>
  <c r="Q519" i="18"/>
  <c r="R519" i="18"/>
  <c r="A520" i="18"/>
  <c r="C520" i="18"/>
  <c r="E520" i="18"/>
  <c r="F520" i="18"/>
  <c r="H520" i="18"/>
  <c r="I520" i="18"/>
  <c r="K520" i="18"/>
  <c r="L520" i="18"/>
  <c r="M520" i="18"/>
  <c r="O520" i="18"/>
  <c r="P520" i="18"/>
  <c r="Q520" i="18"/>
  <c r="R520" i="18"/>
  <c r="A521" i="18"/>
  <c r="C521" i="18"/>
  <c r="E521" i="18"/>
  <c r="F521" i="18"/>
  <c r="H521" i="18"/>
  <c r="I521" i="18"/>
  <c r="K521" i="18"/>
  <c r="L521" i="18"/>
  <c r="M521" i="18"/>
  <c r="O521" i="18"/>
  <c r="P521" i="18"/>
  <c r="Q521" i="18"/>
  <c r="R521" i="18"/>
  <c r="A522" i="18"/>
  <c r="C522" i="18"/>
  <c r="E522" i="18"/>
  <c r="F522" i="18"/>
  <c r="H522" i="18"/>
  <c r="I522" i="18"/>
  <c r="K522" i="18"/>
  <c r="L522" i="18"/>
  <c r="M522" i="18"/>
  <c r="O522" i="18"/>
  <c r="P522" i="18"/>
  <c r="Q522" i="18"/>
  <c r="R522" i="18"/>
  <c r="A523" i="18"/>
  <c r="C523" i="18"/>
  <c r="E523" i="18"/>
  <c r="F523" i="18"/>
  <c r="H523" i="18"/>
  <c r="I523" i="18"/>
  <c r="K523" i="18"/>
  <c r="L523" i="18"/>
  <c r="M523" i="18"/>
  <c r="O523" i="18"/>
  <c r="P523" i="18"/>
  <c r="Q523" i="18"/>
  <c r="R523" i="18"/>
  <c r="A524" i="18"/>
  <c r="C524" i="18"/>
  <c r="E524" i="18"/>
  <c r="F524" i="18"/>
  <c r="H524" i="18"/>
  <c r="I524" i="18"/>
  <c r="K524" i="18"/>
  <c r="L524" i="18"/>
  <c r="M524" i="18"/>
  <c r="O524" i="18"/>
  <c r="P524" i="18"/>
  <c r="Q524" i="18"/>
  <c r="R524" i="18"/>
  <c r="A525" i="18"/>
  <c r="C525" i="18"/>
  <c r="E525" i="18"/>
  <c r="F525" i="18"/>
  <c r="H525" i="18"/>
  <c r="I525" i="18"/>
  <c r="K525" i="18"/>
  <c r="L525" i="18"/>
  <c r="M525" i="18"/>
  <c r="O525" i="18"/>
  <c r="P525" i="18"/>
  <c r="Q525" i="18"/>
  <c r="R525" i="18"/>
  <c r="A526" i="18"/>
  <c r="C526" i="18"/>
  <c r="E526" i="18"/>
  <c r="F526" i="18"/>
  <c r="H526" i="18"/>
  <c r="I526" i="18"/>
  <c r="K526" i="18"/>
  <c r="L526" i="18"/>
  <c r="M526" i="18"/>
  <c r="O526" i="18"/>
  <c r="P526" i="18"/>
  <c r="Q526" i="18"/>
  <c r="R526" i="18"/>
  <c r="A527" i="18"/>
  <c r="C527" i="18"/>
  <c r="E527" i="18"/>
  <c r="F527" i="18"/>
  <c r="H527" i="18"/>
  <c r="I527" i="18"/>
  <c r="K527" i="18"/>
  <c r="L527" i="18"/>
  <c r="M527" i="18"/>
  <c r="O527" i="18"/>
  <c r="P527" i="18"/>
  <c r="Q527" i="18"/>
  <c r="R527" i="18"/>
  <c r="A528" i="18"/>
  <c r="C528" i="18"/>
  <c r="E528" i="18"/>
  <c r="F528" i="18"/>
  <c r="H528" i="18"/>
  <c r="I528" i="18"/>
  <c r="K528" i="18"/>
  <c r="L528" i="18"/>
  <c r="M528" i="18"/>
  <c r="O528" i="18"/>
  <c r="P528" i="18"/>
  <c r="Q528" i="18"/>
  <c r="R528" i="18"/>
  <c r="A529" i="18"/>
  <c r="C529" i="18"/>
  <c r="E529" i="18"/>
  <c r="F529" i="18"/>
  <c r="H529" i="18"/>
  <c r="I529" i="18"/>
  <c r="K529" i="18"/>
  <c r="L529" i="18"/>
  <c r="M529" i="18"/>
  <c r="O529" i="18"/>
  <c r="P529" i="18"/>
  <c r="Q529" i="18"/>
  <c r="R529" i="18"/>
  <c r="A530" i="18"/>
  <c r="C530" i="18"/>
  <c r="E530" i="18"/>
  <c r="F530" i="18"/>
  <c r="H530" i="18"/>
  <c r="I530" i="18"/>
  <c r="K530" i="18"/>
  <c r="L530" i="18"/>
  <c r="M530" i="18"/>
  <c r="O530" i="18"/>
  <c r="P530" i="18"/>
  <c r="Q530" i="18"/>
  <c r="R530" i="18"/>
  <c r="A531" i="18"/>
  <c r="C531" i="18"/>
  <c r="E531" i="18"/>
  <c r="F531" i="18"/>
  <c r="H531" i="18"/>
  <c r="I531" i="18"/>
  <c r="K531" i="18"/>
  <c r="L531" i="18"/>
  <c r="M531" i="18"/>
  <c r="O531" i="18"/>
  <c r="P531" i="18"/>
  <c r="Q531" i="18"/>
  <c r="R531" i="18"/>
  <c r="A532" i="18"/>
  <c r="C532" i="18"/>
  <c r="E532" i="18"/>
  <c r="F532" i="18"/>
  <c r="H532" i="18"/>
  <c r="I532" i="18"/>
  <c r="K532" i="18"/>
  <c r="L532" i="18"/>
  <c r="M532" i="18"/>
  <c r="O532" i="18"/>
  <c r="P532" i="18"/>
  <c r="Q532" i="18"/>
  <c r="R532" i="18"/>
  <c r="A533" i="18"/>
  <c r="C533" i="18"/>
  <c r="E533" i="18"/>
  <c r="F533" i="18"/>
  <c r="H533" i="18"/>
  <c r="I533" i="18"/>
  <c r="K533" i="18"/>
  <c r="L533" i="18"/>
  <c r="M533" i="18"/>
  <c r="O533" i="18"/>
  <c r="P533" i="18"/>
  <c r="Q533" i="18"/>
  <c r="R533" i="18"/>
  <c r="A534" i="18"/>
  <c r="C534" i="18"/>
  <c r="E534" i="18"/>
  <c r="F534" i="18"/>
  <c r="H534" i="18"/>
  <c r="I534" i="18"/>
  <c r="K534" i="18"/>
  <c r="L534" i="18"/>
  <c r="M534" i="18"/>
  <c r="O534" i="18"/>
  <c r="P534" i="18"/>
  <c r="Q534" i="18"/>
  <c r="R534" i="18"/>
  <c r="A535" i="18"/>
  <c r="C535" i="18"/>
  <c r="E535" i="18"/>
  <c r="F535" i="18"/>
  <c r="H535" i="18"/>
  <c r="I535" i="18"/>
  <c r="K535" i="18"/>
  <c r="L535" i="18"/>
  <c r="M535" i="18"/>
  <c r="O535" i="18"/>
  <c r="P535" i="18"/>
  <c r="Q535" i="18"/>
  <c r="R535" i="18"/>
  <c r="A536" i="18"/>
  <c r="C536" i="18"/>
  <c r="E536" i="18"/>
  <c r="F536" i="18"/>
  <c r="H536" i="18"/>
  <c r="I536" i="18"/>
  <c r="K536" i="18"/>
  <c r="L536" i="18"/>
  <c r="M536" i="18"/>
  <c r="O536" i="18"/>
  <c r="P536" i="18"/>
  <c r="Q536" i="18"/>
  <c r="R536" i="18"/>
  <c r="A537" i="18"/>
  <c r="C537" i="18"/>
  <c r="E537" i="18"/>
  <c r="F537" i="18"/>
  <c r="H537" i="18"/>
  <c r="I537" i="18"/>
  <c r="K537" i="18"/>
  <c r="L537" i="18"/>
  <c r="M537" i="18"/>
  <c r="O537" i="18"/>
  <c r="P537" i="18"/>
  <c r="Q537" i="18"/>
  <c r="R537" i="18"/>
  <c r="A538" i="18"/>
  <c r="C538" i="18"/>
  <c r="E538" i="18"/>
  <c r="F538" i="18"/>
  <c r="H538" i="18"/>
  <c r="I538" i="18"/>
  <c r="K538" i="18"/>
  <c r="L538" i="18"/>
  <c r="M538" i="18"/>
  <c r="O538" i="18"/>
  <c r="P538" i="18"/>
  <c r="Q538" i="18"/>
  <c r="R538" i="18"/>
  <c r="A539" i="18"/>
  <c r="C539" i="18"/>
  <c r="E539" i="18"/>
  <c r="F539" i="18"/>
  <c r="H539" i="18"/>
  <c r="I539" i="18"/>
  <c r="K539" i="18"/>
  <c r="L539" i="18"/>
  <c r="M539" i="18"/>
  <c r="O539" i="18"/>
  <c r="P539" i="18"/>
  <c r="Q539" i="18"/>
  <c r="R539" i="18"/>
  <c r="A540" i="18"/>
  <c r="C540" i="18"/>
  <c r="E540" i="18"/>
  <c r="F540" i="18"/>
  <c r="H540" i="18"/>
  <c r="I540" i="18"/>
  <c r="K540" i="18"/>
  <c r="L540" i="18"/>
  <c r="M540" i="18"/>
  <c r="O540" i="18"/>
  <c r="P540" i="18"/>
  <c r="Q540" i="18"/>
  <c r="R540" i="18"/>
  <c r="A541" i="18"/>
  <c r="C541" i="18"/>
  <c r="E541" i="18"/>
  <c r="F541" i="18"/>
  <c r="H541" i="18"/>
  <c r="I541" i="18"/>
  <c r="K541" i="18"/>
  <c r="L541" i="18"/>
  <c r="M541" i="18"/>
  <c r="O541" i="18"/>
  <c r="P541" i="18"/>
  <c r="Q541" i="18"/>
  <c r="R541" i="18"/>
  <c r="A542" i="18"/>
  <c r="C542" i="18"/>
  <c r="E542" i="18"/>
  <c r="F542" i="18"/>
  <c r="H542" i="18"/>
  <c r="I542" i="18"/>
  <c r="K542" i="18"/>
  <c r="L542" i="18"/>
  <c r="M542" i="18"/>
  <c r="O542" i="18"/>
  <c r="P542" i="18"/>
  <c r="Q542" i="18"/>
  <c r="R542" i="18"/>
  <c r="A543" i="18"/>
  <c r="C543" i="18"/>
  <c r="E543" i="18"/>
  <c r="F543" i="18"/>
  <c r="H543" i="18"/>
  <c r="I543" i="18"/>
  <c r="K543" i="18"/>
  <c r="L543" i="18"/>
  <c r="M543" i="18"/>
  <c r="O543" i="18"/>
  <c r="P543" i="18"/>
  <c r="Q543" i="18"/>
  <c r="R543" i="18"/>
  <c r="A544" i="18"/>
  <c r="C544" i="18"/>
  <c r="E544" i="18"/>
  <c r="F544" i="18"/>
  <c r="H544" i="18"/>
  <c r="I544" i="18"/>
  <c r="K544" i="18"/>
  <c r="L544" i="18"/>
  <c r="M544" i="18"/>
  <c r="O544" i="18"/>
  <c r="P544" i="18"/>
  <c r="Q544" i="18"/>
  <c r="R544" i="18"/>
  <c r="A545" i="18"/>
  <c r="C545" i="18"/>
  <c r="E545" i="18"/>
  <c r="F545" i="18"/>
  <c r="H545" i="18"/>
  <c r="I545" i="18"/>
  <c r="K545" i="18"/>
  <c r="L545" i="18"/>
  <c r="M545" i="18"/>
  <c r="O545" i="18"/>
  <c r="P545" i="18"/>
  <c r="Q545" i="18"/>
  <c r="R545" i="18"/>
  <c r="A546" i="18"/>
  <c r="C546" i="18"/>
  <c r="E546" i="18"/>
  <c r="F546" i="18"/>
  <c r="H546" i="18"/>
  <c r="I546" i="18"/>
  <c r="K546" i="18"/>
  <c r="L546" i="18"/>
  <c r="M546" i="18"/>
  <c r="O546" i="18"/>
  <c r="P546" i="18"/>
  <c r="Q546" i="18"/>
  <c r="R546" i="18"/>
  <c r="A547" i="18"/>
  <c r="C547" i="18"/>
  <c r="E547" i="18"/>
  <c r="F547" i="18"/>
  <c r="H547" i="18"/>
  <c r="I547" i="18"/>
  <c r="K547" i="18"/>
  <c r="L547" i="18"/>
  <c r="M547" i="18"/>
  <c r="O547" i="18"/>
  <c r="P547" i="18"/>
  <c r="Q547" i="18"/>
  <c r="R547" i="18"/>
  <c r="A548" i="18"/>
  <c r="C548" i="18"/>
  <c r="E548" i="18"/>
  <c r="F548" i="18"/>
  <c r="H548" i="18"/>
  <c r="I548" i="18"/>
  <c r="K548" i="18"/>
  <c r="L548" i="18"/>
  <c r="M548" i="18"/>
  <c r="O548" i="18"/>
  <c r="P548" i="18"/>
  <c r="Q548" i="18"/>
  <c r="R548" i="18"/>
  <c r="A549" i="18"/>
  <c r="C549" i="18"/>
  <c r="E549" i="18"/>
  <c r="F549" i="18"/>
  <c r="H549" i="18"/>
  <c r="I549" i="18"/>
  <c r="K549" i="18"/>
  <c r="L549" i="18"/>
  <c r="M549" i="18"/>
  <c r="O549" i="18"/>
  <c r="P549" i="18"/>
  <c r="Q549" i="18"/>
  <c r="R549" i="18"/>
  <c r="A550" i="18"/>
  <c r="C550" i="18"/>
  <c r="E550" i="18"/>
  <c r="F550" i="18"/>
  <c r="H550" i="18"/>
  <c r="I550" i="18"/>
  <c r="K550" i="18"/>
  <c r="L550" i="18"/>
  <c r="M550" i="18"/>
  <c r="O550" i="18"/>
  <c r="P550" i="18"/>
  <c r="Q550" i="18"/>
  <c r="R550" i="18"/>
  <c r="A551" i="18"/>
  <c r="C551" i="18"/>
  <c r="E551" i="18"/>
  <c r="F551" i="18"/>
  <c r="H551" i="18"/>
  <c r="I551" i="18"/>
  <c r="K551" i="18"/>
  <c r="L551" i="18"/>
  <c r="M551" i="18"/>
  <c r="O551" i="18"/>
  <c r="P551" i="18"/>
  <c r="Q551" i="18"/>
  <c r="R551" i="18"/>
  <c r="A552" i="18"/>
  <c r="C552" i="18"/>
  <c r="E552" i="18"/>
  <c r="F552" i="18"/>
  <c r="H552" i="18"/>
  <c r="I552" i="18"/>
  <c r="K552" i="18"/>
  <c r="L552" i="18"/>
  <c r="M552" i="18"/>
  <c r="O552" i="18"/>
  <c r="P552" i="18"/>
  <c r="Q552" i="18"/>
  <c r="R552" i="18"/>
  <c r="A553" i="18"/>
  <c r="C553" i="18"/>
  <c r="E553" i="18"/>
  <c r="F553" i="18"/>
  <c r="H553" i="18"/>
  <c r="I553" i="18"/>
  <c r="K553" i="18"/>
  <c r="L553" i="18"/>
  <c r="M553" i="18"/>
  <c r="O553" i="18"/>
  <c r="P553" i="18"/>
  <c r="Q553" i="18"/>
  <c r="R553" i="18"/>
  <c r="A554" i="18"/>
  <c r="C554" i="18"/>
  <c r="E554" i="18"/>
  <c r="F554" i="18"/>
  <c r="H554" i="18"/>
  <c r="I554" i="18"/>
  <c r="K554" i="18"/>
  <c r="L554" i="18"/>
  <c r="M554" i="18"/>
  <c r="O554" i="18"/>
  <c r="P554" i="18"/>
  <c r="Q554" i="18"/>
  <c r="R554" i="18"/>
  <c r="A555" i="18"/>
  <c r="C555" i="18"/>
  <c r="E555" i="18"/>
  <c r="F555" i="18"/>
  <c r="H555" i="18"/>
  <c r="I555" i="18"/>
  <c r="K555" i="18"/>
  <c r="L555" i="18"/>
  <c r="M555" i="18"/>
  <c r="O555" i="18"/>
  <c r="P555" i="18"/>
  <c r="Q555" i="18"/>
  <c r="R555" i="18"/>
  <c r="A556" i="18"/>
  <c r="C556" i="18"/>
  <c r="E556" i="18"/>
  <c r="F556" i="18"/>
  <c r="H556" i="18"/>
  <c r="I556" i="18"/>
  <c r="K556" i="18"/>
  <c r="L556" i="18"/>
  <c r="M556" i="18"/>
  <c r="O556" i="18"/>
  <c r="P556" i="18"/>
  <c r="Q556" i="18"/>
  <c r="R556" i="18"/>
  <c r="A557" i="18"/>
  <c r="C557" i="18"/>
  <c r="E557" i="18"/>
  <c r="F557" i="18"/>
  <c r="H557" i="18"/>
  <c r="I557" i="18"/>
  <c r="K557" i="18"/>
  <c r="L557" i="18"/>
  <c r="M557" i="18"/>
  <c r="O557" i="18"/>
  <c r="P557" i="18"/>
  <c r="Q557" i="18"/>
  <c r="R557" i="18"/>
  <c r="A558" i="18"/>
  <c r="C558" i="18"/>
  <c r="E558" i="18"/>
  <c r="F558" i="18"/>
  <c r="H558" i="18"/>
  <c r="I558" i="18"/>
  <c r="K558" i="18"/>
  <c r="L558" i="18"/>
  <c r="M558" i="18"/>
  <c r="O558" i="18"/>
  <c r="P558" i="18"/>
  <c r="Q558" i="18"/>
  <c r="R558" i="18"/>
  <c r="A559" i="18"/>
  <c r="C559" i="18"/>
  <c r="E559" i="18"/>
  <c r="F559" i="18"/>
  <c r="H559" i="18"/>
  <c r="I559" i="18"/>
  <c r="K559" i="18"/>
  <c r="L559" i="18"/>
  <c r="M559" i="18"/>
  <c r="O559" i="18"/>
  <c r="P559" i="18"/>
  <c r="Q559" i="18"/>
  <c r="R559" i="18"/>
  <c r="A560" i="18"/>
  <c r="C560" i="18"/>
  <c r="E560" i="18"/>
  <c r="F560" i="18"/>
  <c r="H560" i="18"/>
  <c r="I560" i="18"/>
  <c r="K560" i="18"/>
  <c r="L560" i="18"/>
  <c r="M560" i="18"/>
  <c r="O560" i="18"/>
  <c r="P560" i="18"/>
  <c r="Q560" i="18"/>
  <c r="R560" i="18"/>
  <c r="A561" i="18"/>
  <c r="C561" i="18"/>
  <c r="E561" i="18"/>
  <c r="F561" i="18"/>
  <c r="H561" i="18"/>
  <c r="I561" i="18"/>
  <c r="K561" i="18"/>
  <c r="L561" i="18"/>
  <c r="M561" i="18"/>
  <c r="O561" i="18"/>
  <c r="P561" i="18"/>
  <c r="Q561" i="18"/>
  <c r="R561" i="18"/>
  <c r="A562" i="18"/>
  <c r="C562" i="18"/>
  <c r="E562" i="18"/>
  <c r="F562" i="18"/>
  <c r="H562" i="18"/>
  <c r="I562" i="18"/>
  <c r="K562" i="18"/>
  <c r="L562" i="18"/>
  <c r="M562" i="18"/>
  <c r="O562" i="18"/>
  <c r="P562" i="18"/>
  <c r="Q562" i="18"/>
  <c r="R562" i="18"/>
  <c r="A563" i="18"/>
  <c r="C563" i="18"/>
  <c r="E563" i="18"/>
  <c r="F563" i="18"/>
  <c r="H563" i="18"/>
  <c r="I563" i="18"/>
  <c r="K563" i="18"/>
  <c r="L563" i="18"/>
  <c r="M563" i="18"/>
  <c r="O563" i="18"/>
  <c r="P563" i="18"/>
  <c r="Q563" i="18"/>
  <c r="R563" i="18"/>
  <c r="A564" i="18"/>
  <c r="C564" i="18"/>
  <c r="E564" i="18"/>
  <c r="F564" i="18"/>
  <c r="H564" i="18"/>
  <c r="I564" i="18"/>
  <c r="K564" i="18"/>
  <c r="L564" i="18"/>
  <c r="M564" i="18"/>
  <c r="O564" i="18"/>
  <c r="P564" i="18"/>
  <c r="Q564" i="18"/>
  <c r="R564" i="18"/>
  <c r="A565" i="18"/>
  <c r="C565" i="18"/>
  <c r="E565" i="18"/>
  <c r="F565" i="18"/>
  <c r="H565" i="18"/>
  <c r="I565" i="18"/>
  <c r="K565" i="18"/>
  <c r="L565" i="18"/>
  <c r="M565" i="18"/>
  <c r="O565" i="18"/>
  <c r="P565" i="18"/>
  <c r="Q565" i="18"/>
  <c r="R565" i="18"/>
  <c r="A566" i="18"/>
  <c r="C566" i="18"/>
  <c r="E566" i="18"/>
  <c r="F566" i="18"/>
  <c r="H566" i="18"/>
  <c r="I566" i="18"/>
  <c r="K566" i="18"/>
  <c r="L566" i="18"/>
  <c r="M566" i="18"/>
  <c r="O566" i="18"/>
  <c r="P566" i="18"/>
  <c r="Q566" i="18"/>
  <c r="R566" i="18"/>
  <c r="A567" i="18"/>
  <c r="C567" i="18"/>
  <c r="E567" i="18"/>
  <c r="F567" i="18"/>
  <c r="H567" i="18"/>
  <c r="I567" i="18"/>
  <c r="K567" i="18"/>
  <c r="L567" i="18"/>
  <c r="M567" i="18"/>
  <c r="O567" i="18"/>
  <c r="P567" i="18"/>
  <c r="Q567" i="18"/>
  <c r="R567" i="18"/>
  <c r="A568" i="18"/>
  <c r="C568" i="18"/>
  <c r="E568" i="18"/>
  <c r="F568" i="18"/>
  <c r="H568" i="18"/>
  <c r="I568" i="18"/>
  <c r="K568" i="18"/>
  <c r="L568" i="18"/>
  <c r="M568" i="18"/>
  <c r="O568" i="18"/>
  <c r="P568" i="18"/>
  <c r="Q568" i="18"/>
  <c r="R568" i="18"/>
  <c r="A569" i="18"/>
  <c r="C569" i="18"/>
  <c r="E569" i="18"/>
  <c r="F569" i="18"/>
  <c r="H569" i="18"/>
  <c r="I569" i="18"/>
  <c r="K569" i="18"/>
  <c r="L569" i="18"/>
  <c r="M569" i="18"/>
  <c r="O569" i="18"/>
  <c r="P569" i="18"/>
  <c r="Q569" i="18"/>
  <c r="R569" i="18"/>
  <c r="A570" i="18"/>
  <c r="C570" i="18"/>
  <c r="E570" i="18"/>
  <c r="F570" i="18"/>
  <c r="H570" i="18"/>
  <c r="I570" i="18"/>
  <c r="K570" i="18"/>
  <c r="L570" i="18"/>
  <c r="M570" i="18"/>
  <c r="O570" i="18"/>
  <c r="P570" i="18"/>
  <c r="Q570" i="18"/>
  <c r="R570" i="18"/>
  <c r="A571" i="18"/>
  <c r="C571" i="18"/>
  <c r="E571" i="18"/>
  <c r="F571" i="18"/>
  <c r="H571" i="18"/>
  <c r="I571" i="18"/>
  <c r="K571" i="18"/>
  <c r="L571" i="18"/>
  <c r="M571" i="18"/>
  <c r="O571" i="18"/>
  <c r="P571" i="18"/>
  <c r="Q571" i="18"/>
  <c r="R571" i="18"/>
  <c r="A572" i="18"/>
  <c r="C572" i="18"/>
  <c r="E572" i="18"/>
  <c r="F572" i="18"/>
  <c r="H572" i="18"/>
  <c r="I572" i="18"/>
  <c r="K572" i="18"/>
  <c r="L572" i="18"/>
  <c r="M572" i="18"/>
  <c r="O572" i="18"/>
  <c r="P572" i="18"/>
  <c r="Q572" i="18"/>
  <c r="R572" i="18"/>
  <c r="A573" i="18"/>
  <c r="C573" i="18"/>
  <c r="E573" i="18"/>
  <c r="F573" i="18"/>
  <c r="H573" i="18"/>
  <c r="I573" i="18"/>
  <c r="K573" i="18"/>
  <c r="L573" i="18"/>
  <c r="M573" i="18"/>
  <c r="O573" i="18"/>
  <c r="P573" i="18"/>
  <c r="Q573" i="18"/>
  <c r="R573" i="18"/>
  <c r="A574" i="18"/>
  <c r="C574" i="18"/>
  <c r="E574" i="18"/>
  <c r="F574" i="18"/>
  <c r="H574" i="18"/>
  <c r="I574" i="18"/>
  <c r="K574" i="18"/>
  <c r="L574" i="18"/>
  <c r="M574" i="18"/>
  <c r="O574" i="18"/>
  <c r="P574" i="18"/>
  <c r="Q574" i="18"/>
  <c r="R574" i="18"/>
  <c r="A575" i="18"/>
  <c r="C575" i="18"/>
  <c r="E575" i="18"/>
  <c r="F575" i="18"/>
  <c r="H575" i="18"/>
  <c r="I575" i="18"/>
  <c r="K575" i="18"/>
  <c r="L575" i="18"/>
  <c r="M575" i="18"/>
  <c r="O575" i="18"/>
  <c r="P575" i="18"/>
  <c r="Q575" i="18"/>
  <c r="R575" i="18"/>
  <c r="A576" i="18"/>
  <c r="C576" i="18"/>
  <c r="E576" i="18"/>
  <c r="F576" i="18"/>
  <c r="H576" i="18"/>
  <c r="I576" i="18"/>
  <c r="K576" i="18"/>
  <c r="L576" i="18"/>
  <c r="M576" i="18"/>
  <c r="O576" i="18"/>
  <c r="P576" i="18"/>
  <c r="Q576" i="18"/>
  <c r="R576" i="18"/>
  <c r="A577" i="18"/>
  <c r="C577" i="18"/>
  <c r="E577" i="18"/>
  <c r="F577" i="18"/>
  <c r="H577" i="18"/>
  <c r="I577" i="18"/>
  <c r="K577" i="18"/>
  <c r="L577" i="18"/>
  <c r="M577" i="18"/>
  <c r="O577" i="18"/>
  <c r="P577" i="18"/>
  <c r="Q577" i="18"/>
  <c r="R577" i="18"/>
  <c r="A578" i="18"/>
  <c r="C578" i="18"/>
  <c r="E578" i="18"/>
  <c r="F578" i="18"/>
  <c r="H578" i="18"/>
  <c r="I578" i="18"/>
  <c r="K578" i="18"/>
  <c r="L578" i="18"/>
  <c r="M578" i="18"/>
  <c r="O578" i="18"/>
  <c r="P578" i="18"/>
  <c r="Q578" i="18"/>
  <c r="R578" i="18"/>
  <c r="A579" i="18"/>
  <c r="C579" i="18"/>
  <c r="E579" i="18"/>
  <c r="F579" i="18"/>
  <c r="H579" i="18"/>
  <c r="I579" i="18"/>
  <c r="K579" i="18"/>
  <c r="L579" i="18"/>
  <c r="M579" i="18"/>
  <c r="O579" i="18"/>
  <c r="P579" i="18"/>
  <c r="Q579" i="18"/>
  <c r="R579" i="18"/>
  <c r="A580" i="18"/>
  <c r="C580" i="18"/>
  <c r="E580" i="18"/>
  <c r="F580" i="18"/>
  <c r="H580" i="18"/>
  <c r="I580" i="18"/>
  <c r="K580" i="18"/>
  <c r="L580" i="18"/>
  <c r="M580" i="18"/>
  <c r="O580" i="18"/>
  <c r="P580" i="18"/>
  <c r="Q580" i="18"/>
  <c r="R580" i="18"/>
  <c r="A581" i="18"/>
  <c r="C581" i="18"/>
  <c r="E581" i="18"/>
  <c r="F581" i="18"/>
  <c r="H581" i="18"/>
  <c r="I581" i="18"/>
  <c r="K581" i="18"/>
  <c r="L581" i="18"/>
  <c r="M581" i="18"/>
  <c r="O581" i="18"/>
  <c r="P581" i="18"/>
  <c r="Q581" i="18"/>
  <c r="R581" i="18"/>
  <c r="A582" i="18"/>
  <c r="C582" i="18"/>
  <c r="E582" i="18"/>
  <c r="F582" i="18"/>
  <c r="H582" i="18"/>
  <c r="I582" i="18"/>
  <c r="K582" i="18"/>
  <c r="L582" i="18"/>
  <c r="M582" i="18"/>
  <c r="O582" i="18"/>
  <c r="P582" i="18"/>
  <c r="Q582" i="18"/>
  <c r="R582" i="18"/>
  <c r="A583" i="18"/>
  <c r="C583" i="18"/>
  <c r="E583" i="18"/>
  <c r="F583" i="18"/>
  <c r="H583" i="18"/>
  <c r="I583" i="18"/>
  <c r="K583" i="18"/>
  <c r="L583" i="18"/>
  <c r="M583" i="18"/>
  <c r="O583" i="18"/>
  <c r="P583" i="18"/>
  <c r="Q583" i="18"/>
  <c r="R583" i="18"/>
  <c r="A584" i="18"/>
  <c r="C584" i="18"/>
  <c r="E584" i="18"/>
  <c r="F584" i="18"/>
  <c r="H584" i="18"/>
  <c r="I584" i="18"/>
  <c r="K584" i="18"/>
  <c r="L584" i="18"/>
  <c r="M584" i="18"/>
  <c r="O584" i="18"/>
  <c r="P584" i="18"/>
  <c r="Q584" i="18"/>
  <c r="R584" i="18"/>
  <c r="A585" i="18"/>
  <c r="C585" i="18"/>
  <c r="E585" i="18"/>
  <c r="F585" i="18"/>
  <c r="H585" i="18"/>
  <c r="I585" i="18"/>
  <c r="K585" i="18"/>
  <c r="L585" i="18"/>
  <c r="M585" i="18"/>
  <c r="O585" i="18"/>
  <c r="P585" i="18"/>
  <c r="Q585" i="18"/>
  <c r="R585" i="18"/>
  <c r="A586" i="18"/>
  <c r="C586" i="18"/>
  <c r="E586" i="18"/>
  <c r="F586" i="18"/>
  <c r="H586" i="18"/>
  <c r="I586" i="18"/>
  <c r="K586" i="18"/>
  <c r="L586" i="18"/>
  <c r="M586" i="18"/>
  <c r="O586" i="18"/>
  <c r="P586" i="18"/>
  <c r="Q586" i="18"/>
  <c r="R586" i="18"/>
  <c r="A587" i="18"/>
  <c r="C587" i="18"/>
  <c r="E587" i="18"/>
  <c r="F587" i="18"/>
  <c r="H587" i="18"/>
  <c r="I587" i="18"/>
  <c r="K587" i="18"/>
  <c r="L587" i="18"/>
  <c r="M587" i="18"/>
  <c r="O587" i="18"/>
  <c r="P587" i="18"/>
  <c r="Q587" i="18"/>
  <c r="R587" i="18"/>
  <c r="A588" i="18"/>
  <c r="C588" i="18"/>
  <c r="E588" i="18"/>
  <c r="F588" i="18"/>
  <c r="H588" i="18"/>
  <c r="I588" i="18"/>
  <c r="K588" i="18"/>
  <c r="L588" i="18"/>
  <c r="M588" i="18"/>
  <c r="O588" i="18"/>
  <c r="P588" i="18"/>
  <c r="Q588" i="18"/>
  <c r="R588" i="18"/>
  <c r="A589" i="18"/>
  <c r="C589" i="18"/>
  <c r="E589" i="18"/>
  <c r="F589" i="18"/>
  <c r="H589" i="18"/>
  <c r="I589" i="18"/>
  <c r="K589" i="18"/>
  <c r="L589" i="18"/>
  <c r="M589" i="18"/>
  <c r="O589" i="18"/>
  <c r="P589" i="18"/>
  <c r="Q589" i="18"/>
  <c r="R589" i="18"/>
  <c r="A590" i="18"/>
  <c r="C590" i="18"/>
  <c r="E590" i="18"/>
  <c r="F590" i="18"/>
  <c r="H590" i="18"/>
  <c r="I590" i="18"/>
  <c r="K590" i="18"/>
  <c r="L590" i="18"/>
  <c r="M590" i="18"/>
  <c r="O590" i="18"/>
  <c r="P590" i="18"/>
  <c r="Q590" i="18"/>
  <c r="R590" i="18"/>
  <c r="A591" i="18"/>
  <c r="C591" i="18"/>
  <c r="E591" i="18"/>
  <c r="F591" i="18"/>
  <c r="H591" i="18"/>
  <c r="I591" i="18"/>
  <c r="K591" i="18"/>
  <c r="L591" i="18"/>
  <c r="M591" i="18"/>
  <c r="O591" i="18"/>
  <c r="P591" i="18"/>
  <c r="Q591" i="18"/>
  <c r="R591" i="18"/>
  <c r="A592" i="18"/>
  <c r="C592" i="18"/>
  <c r="E592" i="18"/>
  <c r="F592" i="18"/>
  <c r="H592" i="18"/>
  <c r="I592" i="18"/>
  <c r="K592" i="18"/>
  <c r="L592" i="18"/>
  <c r="M592" i="18"/>
  <c r="O592" i="18"/>
  <c r="P592" i="18"/>
  <c r="Q592" i="18"/>
  <c r="R592" i="18"/>
  <c r="A593" i="18"/>
  <c r="C593" i="18"/>
  <c r="E593" i="18"/>
  <c r="F593" i="18"/>
  <c r="H593" i="18"/>
  <c r="I593" i="18"/>
  <c r="K593" i="18"/>
  <c r="L593" i="18"/>
  <c r="M593" i="18"/>
  <c r="O593" i="18"/>
  <c r="P593" i="18"/>
  <c r="Q593" i="18"/>
  <c r="R593" i="18"/>
  <c r="A594" i="18"/>
  <c r="C594" i="18"/>
  <c r="E594" i="18"/>
  <c r="F594" i="18"/>
  <c r="H594" i="18"/>
  <c r="I594" i="18"/>
  <c r="K594" i="18"/>
  <c r="L594" i="18"/>
  <c r="M594" i="18"/>
  <c r="O594" i="18"/>
  <c r="P594" i="18"/>
  <c r="Q594" i="18"/>
  <c r="R594" i="18"/>
  <c r="A595" i="18"/>
  <c r="C595" i="18"/>
  <c r="E595" i="18"/>
  <c r="F595" i="18"/>
  <c r="H595" i="18"/>
  <c r="I595" i="18"/>
  <c r="K595" i="18"/>
  <c r="L595" i="18"/>
  <c r="M595" i="18"/>
  <c r="O595" i="18"/>
  <c r="P595" i="18"/>
  <c r="Q595" i="18"/>
  <c r="R595" i="18"/>
  <c r="A596" i="18"/>
  <c r="C596" i="18"/>
  <c r="E596" i="18"/>
  <c r="F596" i="18"/>
  <c r="H596" i="18"/>
  <c r="I596" i="18"/>
  <c r="K596" i="18"/>
  <c r="L596" i="18"/>
  <c r="M596" i="18"/>
  <c r="O596" i="18"/>
  <c r="P596" i="18"/>
  <c r="Q596" i="18"/>
  <c r="R596" i="18"/>
  <c r="A597" i="18"/>
  <c r="C597" i="18"/>
  <c r="E597" i="18"/>
  <c r="F597" i="18"/>
  <c r="H597" i="18"/>
  <c r="I597" i="18"/>
  <c r="K597" i="18"/>
  <c r="L597" i="18"/>
  <c r="M597" i="18"/>
  <c r="O597" i="18"/>
  <c r="P597" i="18"/>
  <c r="Q597" i="18"/>
  <c r="R597" i="18"/>
  <c r="A598" i="18"/>
  <c r="C598" i="18"/>
  <c r="E598" i="18"/>
  <c r="F598" i="18"/>
  <c r="H598" i="18"/>
  <c r="I598" i="18"/>
  <c r="K598" i="18"/>
  <c r="L598" i="18"/>
  <c r="M598" i="18"/>
  <c r="O598" i="18"/>
  <c r="P598" i="18"/>
  <c r="Q598" i="18"/>
  <c r="R598" i="18"/>
  <c r="A599" i="18"/>
  <c r="C599" i="18"/>
  <c r="E599" i="18"/>
  <c r="F599" i="18"/>
  <c r="H599" i="18"/>
  <c r="I599" i="18"/>
  <c r="K599" i="18"/>
  <c r="L599" i="18"/>
  <c r="M599" i="18"/>
  <c r="O599" i="18"/>
  <c r="P599" i="18"/>
  <c r="Q599" i="18"/>
  <c r="R599" i="18"/>
  <c r="A600" i="18"/>
  <c r="C600" i="18"/>
  <c r="E600" i="18"/>
  <c r="F600" i="18"/>
  <c r="H600" i="18"/>
  <c r="I600" i="18"/>
  <c r="K600" i="18"/>
  <c r="L600" i="18"/>
  <c r="M600" i="18"/>
  <c r="O600" i="18"/>
  <c r="P600" i="18"/>
  <c r="Q600" i="18"/>
  <c r="R600" i="18"/>
  <c r="A601" i="18"/>
  <c r="C601" i="18"/>
  <c r="E601" i="18"/>
  <c r="F601" i="18"/>
  <c r="H601" i="18"/>
  <c r="I601" i="18"/>
  <c r="K601" i="18"/>
  <c r="L601" i="18"/>
  <c r="M601" i="18"/>
  <c r="O601" i="18"/>
  <c r="P601" i="18"/>
  <c r="Q601" i="18"/>
  <c r="R601" i="18"/>
  <c r="A602" i="18"/>
  <c r="C602" i="18"/>
  <c r="E602" i="18"/>
  <c r="F602" i="18"/>
  <c r="H602" i="18"/>
  <c r="I602" i="18"/>
  <c r="K602" i="18"/>
  <c r="L602" i="18"/>
  <c r="M602" i="18"/>
  <c r="O602" i="18"/>
  <c r="P602" i="18"/>
  <c r="Q602" i="18"/>
  <c r="R602" i="18"/>
  <c r="A603" i="18"/>
  <c r="C603" i="18"/>
  <c r="E603" i="18"/>
  <c r="F603" i="18"/>
  <c r="H603" i="18"/>
  <c r="I603" i="18"/>
  <c r="K603" i="18"/>
  <c r="L603" i="18"/>
  <c r="M603" i="18"/>
  <c r="O603" i="18"/>
  <c r="P603" i="18"/>
  <c r="Q603" i="18"/>
  <c r="R603" i="18"/>
  <c r="A604" i="18"/>
  <c r="C604" i="18"/>
  <c r="E604" i="18"/>
  <c r="F604" i="18"/>
  <c r="H604" i="18"/>
  <c r="I604" i="18"/>
  <c r="K604" i="18"/>
  <c r="L604" i="18"/>
  <c r="M604" i="18"/>
  <c r="O604" i="18"/>
  <c r="P604" i="18"/>
  <c r="Q604" i="18"/>
  <c r="R604" i="18"/>
  <c r="A605" i="18"/>
  <c r="C605" i="18"/>
  <c r="E605" i="18"/>
  <c r="F605" i="18"/>
  <c r="H605" i="18"/>
  <c r="I605" i="18"/>
  <c r="K605" i="18"/>
  <c r="L605" i="18"/>
  <c r="M605" i="18"/>
  <c r="O605" i="18"/>
  <c r="P605" i="18"/>
  <c r="Q605" i="18"/>
  <c r="R605" i="18"/>
  <c r="A606" i="18"/>
  <c r="C606" i="18"/>
  <c r="E606" i="18"/>
  <c r="F606" i="18"/>
  <c r="H606" i="18"/>
  <c r="I606" i="18"/>
  <c r="K606" i="18"/>
  <c r="L606" i="18"/>
  <c r="M606" i="18"/>
  <c r="O606" i="18"/>
  <c r="P606" i="18"/>
  <c r="Q606" i="18"/>
  <c r="R606" i="18"/>
  <c r="A607" i="18"/>
  <c r="C607" i="18"/>
  <c r="E607" i="18"/>
  <c r="F607" i="18"/>
  <c r="H607" i="18"/>
  <c r="I607" i="18"/>
  <c r="K607" i="18"/>
  <c r="L607" i="18"/>
  <c r="M607" i="18"/>
  <c r="O607" i="18"/>
  <c r="P607" i="18"/>
  <c r="Q607" i="18"/>
  <c r="R607" i="18"/>
  <c r="A608" i="18"/>
  <c r="C608" i="18"/>
  <c r="E608" i="18"/>
  <c r="F608" i="18"/>
  <c r="H608" i="18"/>
  <c r="I608" i="18"/>
  <c r="K608" i="18"/>
  <c r="L608" i="18"/>
  <c r="M608" i="18"/>
  <c r="O608" i="18"/>
  <c r="P608" i="18"/>
  <c r="Q608" i="18"/>
  <c r="R608" i="18"/>
  <c r="A609" i="18"/>
  <c r="C609" i="18"/>
  <c r="E609" i="18"/>
  <c r="F609" i="18"/>
  <c r="H609" i="18"/>
  <c r="I609" i="18"/>
  <c r="K609" i="18"/>
  <c r="L609" i="18"/>
  <c r="M609" i="18"/>
  <c r="O609" i="18"/>
  <c r="P609" i="18"/>
  <c r="Q609" i="18"/>
  <c r="R609" i="18"/>
  <c r="A610" i="18"/>
  <c r="C610" i="18"/>
  <c r="E610" i="18"/>
  <c r="F610" i="18"/>
  <c r="H610" i="18"/>
  <c r="I610" i="18"/>
  <c r="K610" i="18"/>
  <c r="L610" i="18"/>
  <c r="M610" i="18"/>
  <c r="O610" i="18"/>
  <c r="P610" i="18"/>
  <c r="Q610" i="18"/>
  <c r="R610" i="18"/>
  <c r="A611" i="18"/>
  <c r="C611" i="18"/>
  <c r="E611" i="18"/>
  <c r="F611" i="18"/>
  <c r="H611" i="18"/>
  <c r="I611" i="18"/>
  <c r="K611" i="18"/>
  <c r="L611" i="18"/>
  <c r="M611" i="18"/>
  <c r="O611" i="18"/>
  <c r="P611" i="18"/>
  <c r="Q611" i="18"/>
  <c r="R611" i="18"/>
  <c r="A612" i="18"/>
  <c r="C612" i="18"/>
  <c r="E612" i="18"/>
  <c r="F612" i="18"/>
  <c r="H612" i="18"/>
  <c r="I612" i="18"/>
  <c r="K612" i="18"/>
  <c r="L612" i="18"/>
  <c r="M612" i="18"/>
  <c r="O612" i="18"/>
  <c r="P612" i="18"/>
  <c r="Q612" i="18"/>
  <c r="R612" i="18"/>
  <c r="A613" i="18"/>
  <c r="C613" i="18"/>
  <c r="E613" i="18"/>
  <c r="F613" i="18"/>
  <c r="H613" i="18"/>
  <c r="I613" i="18"/>
  <c r="K613" i="18"/>
  <c r="L613" i="18"/>
  <c r="M613" i="18"/>
  <c r="O613" i="18"/>
  <c r="P613" i="18"/>
  <c r="Q613" i="18"/>
  <c r="R613" i="18"/>
  <c r="A614" i="18"/>
  <c r="C614" i="18"/>
  <c r="E614" i="18"/>
  <c r="F614" i="18"/>
  <c r="H614" i="18"/>
  <c r="I614" i="18"/>
  <c r="K614" i="18"/>
  <c r="L614" i="18"/>
  <c r="M614" i="18"/>
  <c r="O614" i="18"/>
  <c r="P614" i="18"/>
  <c r="Q614" i="18"/>
  <c r="R614" i="18"/>
  <c r="A615" i="18"/>
  <c r="C615" i="18"/>
  <c r="E615" i="18"/>
  <c r="F615" i="18"/>
  <c r="H615" i="18"/>
  <c r="I615" i="18"/>
  <c r="K615" i="18"/>
  <c r="L615" i="18"/>
  <c r="M615" i="18"/>
  <c r="O615" i="18"/>
  <c r="P615" i="18"/>
  <c r="Q615" i="18"/>
  <c r="R615" i="18"/>
  <c r="A616" i="18"/>
  <c r="C616" i="18"/>
  <c r="E616" i="18"/>
  <c r="F616" i="18"/>
  <c r="H616" i="18"/>
  <c r="I616" i="18"/>
  <c r="K616" i="18"/>
  <c r="L616" i="18"/>
  <c r="M616" i="18"/>
  <c r="O616" i="18"/>
  <c r="P616" i="18"/>
  <c r="Q616" i="18"/>
  <c r="R616" i="18"/>
  <c r="A617" i="18"/>
  <c r="C617" i="18"/>
  <c r="E617" i="18"/>
  <c r="F617" i="18"/>
  <c r="H617" i="18"/>
  <c r="I617" i="18"/>
  <c r="K617" i="18"/>
  <c r="L617" i="18"/>
  <c r="M617" i="18"/>
  <c r="O617" i="18"/>
  <c r="P617" i="18"/>
  <c r="Q617" i="18"/>
  <c r="R617" i="18"/>
  <c r="A618" i="18"/>
  <c r="C618" i="18"/>
  <c r="E618" i="18"/>
  <c r="F618" i="18"/>
  <c r="H618" i="18"/>
  <c r="I618" i="18"/>
  <c r="K618" i="18"/>
  <c r="L618" i="18"/>
  <c r="M618" i="18"/>
  <c r="O618" i="18"/>
  <c r="P618" i="18"/>
  <c r="Q618" i="18"/>
  <c r="R618" i="18"/>
  <c r="A619" i="18"/>
  <c r="C619" i="18"/>
  <c r="E619" i="18"/>
  <c r="F619" i="18"/>
  <c r="H619" i="18"/>
  <c r="I619" i="18"/>
  <c r="K619" i="18"/>
  <c r="L619" i="18"/>
  <c r="M619" i="18"/>
  <c r="O619" i="18"/>
  <c r="P619" i="18"/>
  <c r="Q619" i="18"/>
  <c r="R619" i="18"/>
  <c r="A620" i="18"/>
  <c r="C620" i="18"/>
  <c r="E620" i="18"/>
  <c r="F620" i="18"/>
  <c r="H620" i="18"/>
  <c r="I620" i="18"/>
  <c r="K620" i="18"/>
  <c r="L620" i="18"/>
  <c r="M620" i="18"/>
  <c r="O620" i="18"/>
  <c r="P620" i="18"/>
  <c r="Q620" i="18"/>
  <c r="R620" i="18"/>
  <c r="A621" i="18"/>
  <c r="C621" i="18"/>
  <c r="E621" i="18"/>
  <c r="F621" i="18"/>
  <c r="H621" i="18"/>
  <c r="I621" i="18"/>
  <c r="K621" i="18"/>
  <c r="L621" i="18"/>
  <c r="M621" i="18"/>
  <c r="O621" i="18"/>
  <c r="P621" i="18"/>
  <c r="Q621" i="18"/>
  <c r="R621" i="18"/>
  <c r="A622" i="18"/>
  <c r="C622" i="18"/>
  <c r="E622" i="18"/>
  <c r="F622" i="18"/>
  <c r="H622" i="18"/>
  <c r="I622" i="18"/>
  <c r="K622" i="18"/>
  <c r="L622" i="18"/>
  <c r="M622" i="18"/>
  <c r="O622" i="18"/>
  <c r="P622" i="18"/>
  <c r="Q622" i="18"/>
  <c r="R622" i="18"/>
  <c r="A623" i="18"/>
  <c r="C623" i="18"/>
  <c r="E623" i="18"/>
  <c r="F623" i="18"/>
  <c r="H623" i="18"/>
  <c r="I623" i="18"/>
  <c r="K623" i="18"/>
  <c r="L623" i="18"/>
  <c r="M623" i="18"/>
  <c r="O623" i="18"/>
  <c r="P623" i="18"/>
  <c r="Q623" i="18"/>
  <c r="R623" i="18"/>
  <c r="A624" i="18"/>
  <c r="C624" i="18"/>
  <c r="E624" i="18"/>
  <c r="F624" i="18"/>
  <c r="H624" i="18"/>
  <c r="I624" i="18"/>
  <c r="K624" i="18"/>
  <c r="L624" i="18"/>
  <c r="M624" i="18"/>
  <c r="O624" i="18"/>
  <c r="P624" i="18"/>
  <c r="Q624" i="18"/>
  <c r="R624" i="18"/>
  <c r="A625" i="18"/>
  <c r="C625" i="18"/>
  <c r="E625" i="18"/>
  <c r="F625" i="18"/>
  <c r="H625" i="18"/>
  <c r="I625" i="18"/>
  <c r="K625" i="18"/>
  <c r="L625" i="18"/>
  <c r="M625" i="18"/>
  <c r="O625" i="18"/>
  <c r="P625" i="18"/>
  <c r="Q625" i="18"/>
  <c r="R625" i="18"/>
  <c r="A626" i="18"/>
  <c r="C626" i="18"/>
  <c r="E626" i="18"/>
  <c r="F626" i="18"/>
  <c r="H626" i="18"/>
  <c r="I626" i="18"/>
  <c r="K626" i="18"/>
  <c r="L626" i="18"/>
  <c r="M626" i="18"/>
  <c r="O626" i="18"/>
  <c r="P626" i="18"/>
  <c r="Q626" i="18"/>
  <c r="R626" i="18"/>
  <c r="A627" i="18"/>
  <c r="C627" i="18"/>
  <c r="E627" i="18"/>
  <c r="F627" i="18"/>
  <c r="H627" i="18"/>
  <c r="I627" i="18"/>
  <c r="K627" i="18"/>
  <c r="L627" i="18"/>
  <c r="M627" i="18"/>
  <c r="O627" i="18"/>
  <c r="P627" i="18"/>
  <c r="Q627" i="18"/>
  <c r="R627" i="18"/>
  <c r="A628" i="18"/>
  <c r="C628" i="18"/>
  <c r="E628" i="18"/>
  <c r="F628" i="18"/>
  <c r="H628" i="18"/>
  <c r="I628" i="18"/>
  <c r="K628" i="18"/>
  <c r="L628" i="18"/>
  <c r="M628" i="18"/>
  <c r="O628" i="18"/>
  <c r="P628" i="18"/>
  <c r="Q628" i="18"/>
  <c r="R628" i="18"/>
  <c r="A629" i="18"/>
  <c r="C629" i="18"/>
  <c r="E629" i="18"/>
  <c r="F629" i="18"/>
  <c r="H629" i="18"/>
  <c r="I629" i="18"/>
  <c r="K629" i="18"/>
  <c r="L629" i="18"/>
  <c r="M629" i="18"/>
  <c r="O629" i="18"/>
  <c r="P629" i="18"/>
  <c r="Q629" i="18"/>
  <c r="R629" i="18"/>
  <c r="A630" i="18"/>
  <c r="C630" i="18"/>
  <c r="E630" i="18"/>
  <c r="F630" i="18"/>
  <c r="H630" i="18"/>
  <c r="I630" i="18"/>
  <c r="K630" i="18"/>
  <c r="L630" i="18"/>
  <c r="M630" i="18"/>
  <c r="O630" i="18"/>
  <c r="P630" i="18"/>
  <c r="Q630" i="18"/>
  <c r="R630" i="18"/>
  <c r="A631" i="18"/>
  <c r="C631" i="18"/>
  <c r="E631" i="18"/>
  <c r="F631" i="18"/>
  <c r="H631" i="18"/>
  <c r="I631" i="18"/>
  <c r="K631" i="18"/>
  <c r="L631" i="18"/>
  <c r="M631" i="18"/>
  <c r="O631" i="18"/>
  <c r="P631" i="18"/>
  <c r="Q631" i="18"/>
  <c r="R631" i="18"/>
  <c r="A632" i="18"/>
  <c r="C632" i="18"/>
  <c r="E632" i="18"/>
  <c r="F632" i="18"/>
  <c r="H632" i="18"/>
  <c r="I632" i="18"/>
  <c r="K632" i="18"/>
  <c r="L632" i="18"/>
  <c r="M632" i="18"/>
  <c r="O632" i="18"/>
  <c r="P632" i="18"/>
  <c r="Q632" i="18"/>
  <c r="R632" i="18"/>
  <c r="A633" i="18"/>
  <c r="C633" i="18"/>
  <c r="E633" i="18"/>
  <c r="F633" i="18"/>
  <c r="H633" i="18"/>
  <c r="I633" i="18"/>
  <c r="K633" i="18"/>
  <c r="L633" i="18"/>
  <c r="M633" i="18"/>
  <c r="O633" i="18"/>
  <c r="P633" i="18"/>
  <c r="Q633" i="18"/>
  <c r="R633" i="18"/>
  <c r="A634" i="18"/>
  <c r="C634" i="18"/>
  <c r="E634" i="18"/>
  <c r="F634" i="18"/>
  <c r="H634" i="18"/>
  <c r="I634" i="18"/>
  <c r="K634" i="18"/>
  <c r="L634" i="18"/>
  <c r="M634" i="18"/>
  <c r="O634" i="18"/>
  <c r="P634" i="18"/>
  <c r="Q634" i="18"/>
  <c r="R634" i="18"/>
  <c r="A635" i="18"/>
  <c r="C635" i="18"/>
  <c r="E635" i="18"/>
  <c r="F635" i="18"/>
  <c r="H635" i="18"/>
  <c r="I635" i="18"/>
  <c r="K635" i="18"/>
  <c r="L635" i="18"/>
  <c r="M635" i="18"/>
  <c r="O635" i="18"/>
  <c r="P635" i="18"/>
  <c r="Q635" i="18"/>
  <c r="R635" i="18"/>
  <c r="A636" i="18"/>
  <c r="C636" i="18"/>
  <c r="E636" i="18"/>
  <c r="F636" i="18"/>
  <c r="H636" i="18"/>
  <c r="I636" i="18"/>
  <c r="K636" i="18"/>
  <c r="L636" i="18"/>
  <c r="M636" i="18"/>
  <c r="O636" i="18"/>
  <c r="P636" i="18"/>
  <c r="Q636" i="18"/>
  <c r="R636" i="18"/>
  <c r="A637" i="18"/>
  <c r="C637" i="18"/>
  <c r="E637" i="18"/>
  <c r="F637" i="18"/>
  <c r="H637" i="18"/>
  <c r="I637" i="18"/>
  <c r="K637" i="18"/>
  <c r="L637" i="18"/>
  <c r="M637" i="18"/>
  <c r="O637" i="18"/>
  <c r="P637" i="18"/>
  <c r="Q637" i="18"/>
  <c r="R637" i="18"/>
  <c r="A638" i="18"/>
  <c r="C638" i="18"/>
  <c r="E638" i="18"/>
  <c r="F638" i="18"/>
  <c r="H638" i="18"/>
  <c r="I638" i="18"/>
  <c r="K638" i="18"/>
  <c r="L638" i="18"/>
  <c r="M638" i="18"/>
  <c r="O638" i="18"/>
  <c r="P638" i="18"/>
  <c r="Q638" i="18"/>
  <c r="R638" i="18"/>
  <c r="A639" i="18"/>
  <c r="C639" i="18"/>
  <c r="E639" i="18"/>
  <c r="F639" i="18"/>
  <c r="H639" i="18"/>
  <c r="I639" i="18"/>
  <c r="K639" i="18"/>
  <c r="L639" i="18"/>
  <c r="M639" i="18"/>
  <c r="O639" i="18"/>
  <c r="P639" i="18"/>
  <c r="Q639" i="18"/>
  <c r="R639" i="18"/>
  <c r="A640" i="18"/>
  <c r="C640" i="18"/>
  <c r="E640" i="18"/>
  <c r="F640" i="18"/>
  <c r="H640" i="18"/>
  <c r="I640" i="18"/>
  <c r="K640" i="18"/>
  <c r="L640" i="18"/>
  <c r="M640" i="18"/>
  <c r="O640" i="18"/>
  <c r="P640" i="18"/>
  <c r="Q640" i="18"/>
  <c r="R640" i="18"/>
  <c r="A641" i="18"/>
  <c r="C641" i="18"/>
  <c r="E641" i="18"/>
  <c r="F641" i="18"/>
  <c r="H641" i="18"/>
  <c r="I641" i="18"/>
  <c r="K641" i="18"/>
  <c r="L641" i="18"/>
  <c r="M641" i="18"/>
  <c r="O641" i="18"/>
  <c r="P641" i="18"/>
  <c r="Q641" i="18"/>
  <c r="R641" i="18"/>
  <c r="A642" i="18"/>
  <c r="C642" i="18"/>
  <c r="E642" i="18"/>
  <c r="F642" i="18"/>
  <c r="H642" i="18"/>
  <c r="I642" i="18"/>
  <c r="K642" i="18"/>
  <c r="L642" i="18"/>
  <c r="M642" i="18"/>
  <c r="O642" i="18"/>
  <c r="P642" i="18"/>
  <c r="Q642" i="18"/>
  <c r="R642" i="18"/>
  <c r="A643" i="18"/>
  <c r="C643" i="18"/>
  <c r="E643" i="18"/>
  <c r="F643" i="18"/>
  <c r="H643" i="18"/>
  <c r="I643" i="18"/>
  <c r="K643" i="18"/>
  <c r="L643" i="18"/>
  <c r="M643" i="18"/>
  <c r="O643" i="18"/>
  <c r="P643" i="18"/>
  <c r="Q643" i="18"/>
  <c r="R643" i="18"/>
  <c r="A644" i="18"/>
  <c r="C644" i="18"/>
  <c r="E644" i="18"/>
  <c r="F644" i="18"/>
  <c r="H644" i="18"/>
  <c r="I644" i="18"/>
  <c r="K644" i="18"/>
  <c r="L644" i="18"/>
  <c r="M644" i="18"/>
  <c r="O644" i="18"/>
  <c r="P644" i="18"/>
  <c r="Q644" i="18"/>
  <c r="R644" i="18"/>
  <c r="A645" i="18"/>
  <c r="C645" i="18"/>
  <c r="E645" i="18"/>
  <c r="F645" i="18"/>
  <c r="H645" i="18"/>
  <c r="I645" i="18"/>
  <c r="K645" i="18"/>
  <c r="L645" i="18"/>
  <c r="M645" i="18"/>
  <c r="O645" i="18"/>
  <c r="P645" i="18"/>
  <c r="Q645" i="18"/>
  <c r="R645" i="18"/>
  <c r="A646" i="18"/>
  <c r="C646" i="18"/>
  <c r="E646" i="18"/>
  <c r="F646" i="18"/>
  <c r="H646" i="18"/>
  <c r="I646" i="18"/>
  <c r="K646" i="18"/>
  <c r="L646" i="18"/>
  <c r="M646" i="18"/>
  <c r="O646" i="18"/>
  <c r="P646" i="18"/>
  <c r="Q646" i="18"/>
  <c r="R646" i="18"/>
  <c r="A647" i="18"/>
  <c r="C647" i="18"/>
  <c r="E647" i="18"/>
  <c r="F647" i="18"/>
  <c r="H647" i="18"/>
  <c r="I647" i="18"/>
  <c r="K647" i="18"/>
  <c r="L647" i="18"/>
  <c r="M647" i="18"/>
  <c r="O647" i="18"/>
  <c r="P647" i="18"/>
  <c r="Q647" i="18"/>
  <c r="R647" i="18"/>
  <c r="A648" i="18"/>
  <c r="C648" i="18"/>
  <c r="E648" i="18"/>
  <c r="F648" i="18"/>
  <c r="H648" i="18"/>
  <c r="I648" i="18"/>
  <c r="K648" i="18"/>
  <c r="L648" i="18"/>
  <c r="M648" i="18"/>
  <c r="O648" i="18"/>
  <c r="P648" i="18"/>
  <c r="Q648" i="18"/>
  <c r="R648" i="18"/>
  <c r="A649" i="18"/>
  <c r="C649" i="18"/>
  <c r="E649" i="18"/>
  <c r="F649" i="18"/>
  <c r="H649" i="18"/>
  <c r="I649" i="18"/>
  <c r="K649" i="18"/>
  <c r="L649" i="18"/>
  <c r="M649" i="18"/>
  <c r="O649" i="18"/>
  <c r="P649" i="18"/>
  <c r="Q649" i="18"/>
  <c r="R649" i="18"/>
  <c r="A650" i="18"/>
  <c r="C650" i="18"/>
  <c r="E650" i="18"/>
  <c r="F650" i="18"/>
  <c r="H650" i="18"/>
  <c r="I650" i="18"/>
  <c r="K650" i="18"/>
  <c r="L650" i="18"/>
  <c r="M650" i="18"/>
  <c r="O650" i="18"/>
  <c r="P650" i="18"/>
  <c r="Q650" i="18"/>
  <c r="R650" i="18"/>
  <c r="A651" i="18"/>
  <c r="C651" i="18"/>
  <c r="E651" i="18"/>
  <c r="F651" i="18"/>
  <c r="H651" i="18"/>
  <c r="I651" i="18"/>
  <c r="K651" i="18"/>
  <c r="L651" i="18"/>
  <c r="M651" i="18"/>
  <c r="O651" i="18"/>
  <c r="P651" i="18"/>
  <c r="Q651" i="18"/>
  <c r="R651" i="18"/>
  <c r="A652" i="18"/>
  <c r="C652" i="18"/>
  <c r="E652" i="18"/>
  <c r="F652" i="18"/>
  <c r="H652" i="18"/>
  <c r="I652" i="18"/>
  <c r="K652" i="18"/>
  <c r="L652" i="18"/>
  <c r="M652" i="18"/>
  <c r="O652" i="18"/>
  <c r="P652" i="18"/>
  <c r="Q652" i="18"/>
  <c r="R652" i="18"/>
  <c r="A653" i="18"/>
  <c r="C653" i="18"/>
  <c r="E653" i="18"/>
  <c r="F653" i="18"/>
  <c r="H653" i="18"/>
  <c r="I653" i="18"/>
  <c r="K653" i="18"/>
  <c r="L653" i="18"/>
  <c r="M653" i="18"/>
  <c r="O653" i="18"/>
  <c r="P653" i="18"/>
  <c r="Q653" i="18"/>
  <c r="R653" i="18"/>
  <c r="A654" i="18"/>
  <c r="C654" i="18"/>
  <c r="E654" i="18"/>
  <c r="F654" i="18"/>
  <c r="H654" i="18"/>
  <c r="I654" i="18"/>
  <c r="K654" i="18"/>
  <c r="L654" i="18"/>
  <c r="M654" i="18"/>
  <c r="O654" i="18"/>
  <c r="P654" i="18"/>
  <c r="Q654" i="18"/>
  <c r="R654" i="18"/>
  <c r="A655" i="18"/>
  <c r="C655" i="18"/>
  <c r="E655" i="18"/>
  <c r="F655" i="18"/>
  <c r="H655" i="18"/>
  <c r="I655" i="18"/>
  <c r="K655" i="18"/>
  <c r="L655" i="18"/>
  <c r="M655" i="18"/>
  <c r="O655" i="18"/>
  <c r="P655" i="18"/>
  <c r="Q655" i="18"/>
  <c r="R655" i="18"/>
  <c r="A656" i="18"/>
  <c r="C656" i="18"/>
  <c r="E656" i="18"/>
  <c r="F656" i="18"/>
  <c r="H656" i="18"/>
  <c r="I656" i="18"/>
  <c r="K656" i="18"/>
  <c r="L656" i="18"/>
  <c r="M656" i="18"/>
  <c r="O656" i="18"/>
  <c r="P656" i="18"/>
  <c r="Q656" i="18"/>
  <c r="R656" i="18"/>
  <c r="A657" i="18"/>
  <c r="C657" i="18"/>
  <c r="E657" i="18"/>
  <c r="F657" i="18"/>
  <c r="H657" i="18"/>
  <c r="I657" i="18"/>
  <c r="K657" i="18"/>
  <c r="L657" i="18"/>
  <c r="M657" i="18"/>
  <c r="O657" i="18"/>
  <c r="P657" i="18"/>
  <c r="Q657" i="18"/>
  <c r="R657" i="18"/>
  <c r="A658" i="18"/>
  <c r="C658" i="18"/>
  <c r="E658" i="18"/>
  <c r="F658" i="18"/>
  <c r="H658" i="18"/>
  <c r="I658" i="18"/>
  <c r="K658" i="18"/>
  <c r="L658" i="18"/>
  <c r="M658" i="18"/>
  <c r="O658" i="18"/>
  <c r="P658" i="18"/>
  <c r="Q658" i="18"/>
  <c r="R658" i="18"/>
  <c r="A659" i="18"/>
  <c r="C659" i="18"/>
  <c r="E659" i="18"/>
  <c r="F659" i="18"/>
  <c r="H659" i="18"/>
  <c r="I659" i="18"/>
  <c r="K659" i="18"/>
  <c r="L659" i="18"/>
  <c r="M659" i="18"/>
  <c r="O659" i="18"/>
  <c r="P659" i="18"/>
  <c r="Q659" i="18"/>
  <c r="R659" i="18"/>
  <c r="A660" i="18"/>
  <c r="C660" i="18"/>
  <c r="E660" i="18"/>
  <c r="F660" i="18"/>
  <c r="H660" i="18"/>
  <c r="I660" i="18"/>
  <c r="K660" i="18"/>
  <c r="L660" i="18"/>
  <c r="M660" i="18"/>
  <c r="O660" i="18"/>
  <c r="P660" i="18"/>
  <c r="Q660" i="18"/>
  <c r="R660" i="18"/>
  <c r="A661" i="18"/>
  <c r="C661" i="18"/>
  <c r="E661" i="18"/>
  <c r="F661" i="18"/>
  <c r="H661" i="18"/>
  <c r="I661" i="18"/>
  <c r="K661" i="18"/>
  <c r="L661" i="18"/>
  <c r="M661" i="18"/>
  <c r="O661" i="18"/>
  <c r="P661" i="18"/>
  <c r="Q661" i="18"/>
  <c r="R661" i="18"/>
  <c r="A662" i="18"/>
  <c r="C662" i="18"/>
  <c r="E662" i="18"/>
  <c r="F662" i="18"/>
  <c r="H662" i="18"/>
  <c r="I662" i="18"/>
  <c r="K662" i="18"/>
  <c r="L662" i="18"/>
  <c r="M662" i="18"/>
  <c r="O662" i="18"/>
  <c r="P662" i="18"/>
  <c r="Q662" i="18"/>
  <c r="R662" i="18"/>
  <c r="A663" i="18"/>
  <c r="C663" i="18"/>
  <c r="E663" i="18"/>
  <c r="F663" i="18"/>
  <c r="H663" i="18"/>
  <c r="I663" i="18"/>
  <c r="K663" i="18"/>
  <c r="L663" i="18"/>
  <c r="M663" i="18"/>
  <c r="O663" i="18"/>
  <c r="P663" i="18"/>
  <c r="Q663" i="18"/>
  <c r="R663" i="18"/>
  <c r="A664" i="18"/>
  <c r="C664" i="18"/>
  <c r="E664" i="18"/>
  <c r="F664" i="18"/>
  <c r="H664" i="18"/>
  <c r="I664" i="18"/>
  <c r="K664" i="18"/>
  <c r="L664" i="18"/>
  <c r="M664" i="18"/>
  <c r="O664" i="18"/>
  <c r="P664" i="18"/>
  <c r="Q664" i="18"/>
  <c r="R664" i="18"/>
  <c r="A665" i="18"/>
  <c r="C665" i="18"/>
  <c r="E665" i="18"/>
  <c r="F665" i="18"/>
  <c r="H665" i="18"/>
  <c r="I665" i="18"/>
  <c r="K665" i="18"/>
  <c r="L665" i="18"/>
  <c r="M665" i="18"/>
  <c r="O665" i="18"/>
  <c r="P665" i="18"/>
  <c r="Q665" i="18"/>
  <c r="R665" i="18"/>
  <c r="A666" i="18"/>
  <c r="C666" i="18"/>
  <c r="E666" i="18"/>
  <c r="F666" i="18"/>
  <c r="H666" i="18"/>
  <c r="I666" i="18"/>
  <c r="K666" i="18"/>
  <c r="L666" i="18"/>
  <c r="M666" i="18"/>
  <c r="O666" i="18"/>
  <c r="P666" i="18"/>
  <c r="Q666" i="18"/>
  <c r="R666" i="18"/>
  <c r="A667" i="18"/>
  <c r="C667" i="18"/>
  <c r="E667" i="18"/>
  <c r="F667" i="18"/>
  <c r="H667" i="18"/>
  <c r="I667" i="18"/>
  <c r="K667" i="18"/>
  <c r="L667" i="18"/>
  <c r="M667" i="18"/>
  <c r="O667" i="18"/>
  <c r="P667" i="18"/>
  <c r="Q667" i="18"/>
  <c r="R667" i="18"/>
  <c r="A668" i="18"/>
  <c r="C668" i="18"/>
  <c r="E668" i="18"/>
  <c r="F668" i="18"/>
  <c r="H668" i="18"/>
  <c r="I668" i="18"/>
  <c r="K668" i="18"/>
  <c r="L668" i="18"/>
  <c r="M668" i="18"/>
  <c r="O668" i="18"/>
  <c r="P668" i="18"/>
  <c r="Q668" i="18"/>
  <c r="R668" i="18"/>
  <c r="A669" i="18"/>
  <c r="C669" i="18"/>
  <c r="E669" i="18"/>
  <c r="F669" i="18"/>
  <c r="H669" i="18"/>
  <c r="I669" i="18"/>
  <c r="K669" i="18"/>
  <c r="L669" i="18"/>
  <c r="M669" i="18"/>
  <c r="O669" i="18"/>
  <c r="P669" i="18"/>
  <c r="Q669" i="18"/>
  <c r="R669" i="18"/>
  <c r="A670" i="18"/>
  <c r="C670" i="18"/>
  <c r="E670" i="18"/>
  <c r="F670" i="18"/>
  <c r="H670" i="18"/>
  <c r="I670" i="18"/>
  <c r="K670" i="18"/>
  <c r="L670" i="18"/>
  <c r="M670" i="18"/>
  <c r="O670" i="18"/>
  <c r="P670" i="18"/>
  <c r="Q670" i="18"/>
  <c r="R670" i="18"/>
  <c r="A671" i="18"/>
  <c r="C671" i="18"/>
  <c r="E671" i="18"/>
  <c r="F671" i="18"/>
  <c r="H671" i="18"/>
  <c r="I671" i="18"/>
  <c r="K671" i="18"/>
  <c r="L671" i="18"/>
  <c r="M671" i="18"/>
  <c r="O671" i="18"/>
  <c r="P671" i="18"/>
  <c r="Q671" i="18"/>
  <c r="R671" i="18"/>
  <c r="A672" i="18"/>
  <c r="C672" i="18"/>
  <c r="E672" i="18"/>
  <c r="F672" i="18"/>
  <c r="H672" i="18"/>
  <c r="I672" i="18"/>
  <c r="K672" i="18"/>
  <c r="L672" i="18"/>
  <c r="M672" i="18"/>
  <c r="O672" i="18"/>
  <c r="P672" i="18"/>
  <c r="Q672" i="18"/>
  <c r="R672" i="18"/>
  <c r="A673" i="18"/>
  <c r="C673" i="18"/>
  <c r="E673" i="18"/>
  <c r="F673" i="18"/>
  <c r="H673" i="18"/>
  <c r="I673" i="18"/>
  <c r="K673" i="18"/>
  <c r="L673" i="18"/>
  <c r="M673" i="18"/>
  <c r="O673" i="18"/>
  <c r="P673" i="18"/>
  <c r="Q673" i="18"/>
  <c r="R673" i="18"/>
  <c r="A674" i="18"/>
  <c r="C674" i="18"/>
  <c r="E674" i="18"/>
  <c r="F674" i="18"/>
  <c r="H674" i="18"/>
  <c r="I674" i="18"/>
  <c r="K674" i="18"/>
  <c r="L674" i="18"/>
  <c r="M674" i="18"/>
  <c r="O674" i="18"/>
  <c r="P674" i="18"/>
  <c r="Q674" i="18"/>
  <c r="R674" i="18"/>
  <c r="A675" i="18"/>
  <c r="C675" i="18"/>
  <c r="E675" i="18"/>
  <c r="F675" i="18"/>
  <c r="H675" i="18"/>
  <c r="I675" i="18"/>
  <c r="K675" i="18"/>
  <c r="L675" i="18"/>
  <c r="M675" i="18"/>
  <c r="O675" i="18"/>
  <c r="P675" i="18"/>
  <c r="Q675" i="18"/>
  <c r="R675" i="18"/>
  <c r="A676" i="18"/>
  <c r="C676" i="18"/>
  <c r="E676" i="18"/>
  <c r="F676" i="18"/>
  <c r="H676" i="18"/>
  <c r="I676" i="18"/>
  <c r="K676" i="18"/>
  <c r="L676" i="18"/>
  <c r="M676" i="18"/>
  <c r="O676" i="18"/>
  <c r="P676" i="18"/>
  <c r="Q676" i="18"/>
  <c r="R676" i="18"/>
  <c r="A677" i="18"/>
  <c r="C677" i="18"/>
  <c r="E677" i="18"/>
  <c r="F677" i="18"/>
  <c r="H677" i="18"/>
  <c r="I677" i="18"/>
  <c r="K677" i="18"/>
  <c r="L677" i="18"/>
  <c r="M677" i="18"/>
  <c r="O677" i="18"/>
  <c r="P677" i="18"/>
  <c r="Q677" i="18"/>
  <c r="R677" i="18"/>
  <c r="A678" i="18"/>
  <c r="C678" i="18"/>
  <c r="E678" i="18"/>
  <c r="F678" i="18"/>
  <c r="H678" i="18"/>
  <c r="I678" i="18"/>
  <c r="K678" i="18"/>
  <c r="L678" i="18"/>
  <c r="M678" i="18"/>
  <c r="O678" i="18"/>
  <c r="P678" i="18"/>
  <c r="Q678" i="18"/>
  <c r="R678" i="18"/>
  <c r="A679" i="18"/>
  <c r="C679" i="18"/>
  <c r="E679" i="18"/>
  <c r="F679" i="18"/>
  <c r="H679" i="18"/>
  <c r="I679" i="18"/>
  <c r="K679" i="18"/>
  <c r="L679" i="18"/>
  <c r="M679" i="18"/>
  <c r="O679" i="18"/>
  <c r="P679" i="18"/>
  <c r="Q679" i="18"/>
  <c r="R679" i="18"/>
  <c r="A680" i="18"/>
  <c r="C680" i="18"/>
  <c r="E680" i="18"/>
  <c r="F680" i="18"/>
  <c r="H680" i="18"/>
  <c r="I680" i="18"/>
  <c r="K680" i="18"/>
  <c r="L680" i="18"/>
  <c r="M680" i="18"/>
  <c r="O680" i="18"/>
  <c r="P680" i="18"/>
  <c r="Q680" i="18"/>
  <c r="R680" i="18"/>
  <c r="A681" i="18"/>
  <c r="C681" i="18"/>
  <c r="E681" i="18"/>
  <c r="F681" i="18"/>
  <c r="H681" i="18"/>
  <c r="I681" i="18"/>
  <c r="K681" i="18"/>
  <c r="L681" i="18"/>
  <c r="M681" i="18"/>
  <c r="O681" i="18"/>
  <c r="P681" i="18"/>
  <c r="Q681" i="18"/>
  <c r="R681" i="18"/>
  <c r="A682" i="18"/>
  <c r="C682" i="18"/>
  <c r="E682" i="18"/>
  <c r="F682" i="18"/>
  <c r="H682" i="18"/>
  <c r="I682" i="18"/>
  <c r="K682" i="18"/>
  <c r="L682" i="18"/>
  <c r="M682" i="18"/>
  <c r="O682" i="18"/>
  <c r="P682" i="18"/>
  <c r="Q682" i="18"/>
  <c r="R682" i="18"/>
  <c r="A683" i="18"/>
  <c r="C683" i="18"/>
  <c r="E683" i="18"/>
  <c r="F683" i="18"/>
  <c r="H683" i="18"/>
  <c r="I683" i="18"/>
  <c r="K683" i="18"/>
  <c r="L683" i="18"/>
  <c r="M683" i="18"/>
  <c r="O683" i="18"/>
  <c r="P683" i="18"/>
  <c r="Q683" i="18"/>
  <c r="R683" i="18"/>
  <c r="A684" i="18"/>
  <c r="C684" i="18"/>
  <c r="E684" i="18"/>
  <c r="F684" i="18"/>
  <c r="H684" i="18"/>
  <c r="I684" i="18"/>
  <c r="K684" i="18"/>
  <c r="L684" i="18"/>
  <c r="M684" i="18"/>
  <c r="O684" i="18"/>
  <c r="P684" i="18"/>
  <c r="Q684" i="18"/>
  <c r="R684" i="18"/>
  <c r="A685" i="18"/>
  <c r="C685" i="18"/>
  <c r="E685" i="18"/>
  <c r="F685" i="18"/>
  <c r="H685" i="18"/>
  <c r="I685" i="18"/>
  <c r="K685" i="18"/>
  <c r="L685" i="18"/>
  <c r="M685" i="18"/>
  <c r="O685" i="18"/>
  <c r="P685" i="18"/>
  <c r="Q685" i="18"/>
  <c r="R685" i="18"/>
  <c r="A686" i="18"/>
  <c r="C686" i="18"/>
  <c r="E686" i="18"/>
  <c r="F686" i="18"/>
  <c r="H686" i="18"/>
  <c r="I686" i="18"/>
  <c r="K686" i="18"/>
  <c r="L686" i="18"/>
  <c r="M686" i="18"/>
  <c r="O686" i="18"/>
  <c r="P686" i="18"/>
  <c r="Q686" i="18"/>
  <c r="R686" i="18"/>
  <c r="A687" i="18"/>
  <c r="C687" i="18"/>
  <c r="E687" i="18"/>
  <c r="F687" i="18"/>
  <c r="H687" i="18"/>
  <c r="I687" i="18"/>
  <c r="K687" i="18"/>
  <c r="L687" i="18"/>
  <c r="M687" i="18"/>
  <c r="O687" i="18"/>
  <c r="P687" i="18"/>
  <c r="Q687" i="18"/>
  <c r="R687" i="18"/>
  <c r="A688" i="18"/>
  <c r="C688" i="18"/>
  <c r="E688" i="18"/>
  <c r="F688" i="18"/>
  <c r="H688" i="18"/>
  <c r="I688" i="18"/>
  <c r="K688" i="18"/>
  <c r="L688" i="18"/>
  <c r="M688" i="18"/>
  <c r="O688" i="18"/>
  <c r="P688" i="18"/>
  <c r="Q688" i="18"/>
  <c r="R688" i="18"/>
  <c r="A689" i="18"/>
  <c r="C689" i="18"/>
  <c r="E689" i="18"/>
  <c r="F689" i="18"/>
  <c r="H689" i="18"/>
  <c r="I689" i="18"/>
  <c r="K689" i="18"/>
  <c r="L689" i="18"/>
  <c r="M689" i="18"/>
  <c r="O689" i="18"/>
  <c r="P689" i="18"/>
  <c r="Q689" i="18"/>
  <c r="R689" i="18"/>
  <c r="A690" i="18"/>
  <c r="C690" i="18"/>
  <c r="E690" i="18"/>
  <c r="F690" i="18"/>
  <c r="H690" i="18"/>
  <c r="I690" i="18"/>
  <c r="K690" i="18"/>
  <c r="L690" i="18"/>
  <c r="M690" i="18"/>
  <c r="O690" i="18"/>
  <c r="P690" i="18"/>
  <c r="Q690" i="18"/>
  <c r="R690" i="18"/>
  <c r="A691" i="18"/>
  <c r="C691" i="18"/>
  <c r="E691" i="18"/>
  <c r="F691" i="18"/>
  <c r="H691" i="18"/>
  <c r="I691" i="18"/>
  <c r="K691" i="18"/>
  <c r="L691" i="18"/>
  <c r="M691" i="18"/>
  <c r="O691" i="18"/>
  <c r="P691" i="18"/>
  <c r="Q691" i="18"/>
  <c r="R691" i="18"/>
  <c r="A692" i="18"/>
  <c r="C692" i="18"/>
  <c r="E692" i="18"/>
  <c r="F692" i="18"/>
  <c r="H692" i="18"/>
  <c r="I692" i="18"/>
  <c r="K692" i="18"/>
  <c r="L692" i="18"/>
  <c r="M692" i="18"/>
  <c r="O692" i="18"/>
  <c r="P692" i="18"/>
  <c r="Q692" i="18"/>
  <c r="R692" i="18"/>
  <c r="A693" i="18"/>
  <c r="C693" i="18"/>
  <c r="E693" i="18"/>
  <c r="F693" i="18"/>
  <c r="H693" i="18"/>
  <c r="I693" i="18"/>
  <c r="K693" i="18"/>
  <c r="L693" i="18"/>
  <c r="M693" i="18"/>
  <c r="O693" i="18"/>
  <c r="P693" i="18"/>
  <c r="Q693" i="18"/>
  <c r="R693" i="18"/>
  <c r="A694" i="18"/>
  <c r="C694" i="18"/>
  <c r="E694" i="18"/>
  <c r="F694" i="18"/>
  <c r="H694" i="18"/>
  <c r="I694" i="18"/>
  <c r="K694" i="18"/>
  <c r="L694" i="18"/>
  <c r="M694" i="18"/>
  <c r="O694" i="18"/>
  <c r="P694" i="18"/>
  <c r="Q694" i="18"/>
  <c r="R694" i="18"/>
  <c r="A695" i="18"/>
  <c r="C695" i="18"/>
  <c r="E695" i="18"/>
  <c r="F695" i="18"/>
  <c r="H695" i="18"/>
  <c r="I695" i="18"/>
  <c r="K695" i="18"/>
  <c r="L695" i="18"/>
  <c r="M695" i="18"/>
  <c r="O695" i="18"/>
  <c r="P695" i="18"/>
  <c r="Q695" i="18"/>
  <c r="R695" i="18"/>
  <c r="A696" i="18"/>
  <c r="C696" i="18"/>
  <c r="E696" i="18"/>
  <c r="F696" i="18"/>
  <c r="H696" i="18"/>
  <c r="I696" i="18"/>
  <c r="K696" i="18"/>
  <c r="L696" i="18"/>
  <c r="M696" i="18"/>
  <c r="O696" i="18"/>
  <c r="P696" i="18"/>
  <c r="Q696" i="18"/>
  <c r="R696" i="18"/>
  <c r="A697" i="18"/>
  <c r="C697" i="18"/>
  <c r="E697" i="18"/>
  <c r="F697" i="18"/>
  <c r="H697" i="18"/>
  <c r="I697" i="18"/>
  <c r="K697" i="18"/>
  <c r="L697" i="18"/>
  <c r="M697" i="18"/>
  <c r="O697" i="18"/>
  <c r="P697" i="18"/>
  <c r="Q697" i="18"/>
  <c r="R697" i="18"/>
  <c r="A698" i="18"/>
  <c r="C698" i="18"/>
  <c r="E698" i="18"/>
  <c r="F698" i="18"/>
  <c r="H698" i="18"/>
  <c r="I698" i="18"/>
  <c r="K698" i="18"/>
  <c r="L698" i="18"/>
  <c r="M698" i="18"/>
  <c r="O698" i="18"/>
  <c r="P698" i="18"/>
  <c r="Q698" i="18"/>
  <c r="R698" i="18"/>
  <c r="A699" i="18"/>
  <c r="C699" i="18"/>
  <c r="E699" i="18"/>
  <c r="F699" i="18"/>
  <c r="H699" i="18"/>
  <c r="I699" i="18"/>
  <c r="K699" i="18"/>
  <c r="L699" i="18"/>
  <c r="M699" i="18"/>
  <c r="O699" i="18"/>
  <c r="P699" i="18"/>
  <c r="Q699" i="18"/>
  <c r="R699" i="18"/>
  <c r="A700" i="18"/>
  <c r="C700" i="18"/>
  <c r="E700" i="18"/>
  <c r="F700" i="18"/>
  <c r="H700" i="18"/>
  <c r="I700" i="18"/>
  <c r="K700" i="18"/>
  <c r="L700" i="18"/>
  <c r="M700" i="18"/>
  <c r="O700" i="18"/>
  <c r="P700" i="18"/>
  <c r="Q700" i="18"/>
  <c r="R700" i="18"/>
  <c r="A701" i="18"/>
  <c r="C701" i="18"/>
  <c r="E701" i="18"/>
  <c r="F701" i="18"/>
  <c r="H701" i="18"/>
  <c r="I701" i="18"/>
  <c r="K701" i="18"/>
  <c r="L701" i="18"/>
  <c r="M701" i="18"/>
  <c r="O701" i="18"/>
  <c r="P701" i="18"/>
  <c r="Q701" i="18"/>
  <c r="R701" i="18"/>
  <c r="A702" i="18"/>
  <c r="C702" i="18"/>
  <c r="E702" i="18"/>
  <c r="F702" i="18"/>
  <c r="H702" i="18"/>
  <c r="I702" i="18"/>
  <c r="K702" i="18"/>
  <c r="L702" i="18"/>
  <c r="M702" i="18"/>
  <c r="O702" i="18"/>
  <c r="P702" i="18"/>
  <c r="Q702" i="18"/>
  <c r="R702" i="18"/>
  <c r="A703" i="18"/>
  <c r="C703" i="18"/>
  <c r="E703" i="18"/>
  <c r="F703" i="18"/>
  <c r="H703" i="18"/>
  <c r="I703" i="18"/>
  <c r="K703" i="18"/>
  <c r="L703" i="18"/>
  <c r="M703" i="18"/>
  <c r="O703" i="18"/>
  <c r="P703" i="18"/>
  <c r="Q703" i="18"/>
  <c r="R703" i="18"/>
  <c r="A704" i="18"/>
  <c r="C704" i="18"/>
  <c r="E704" i="18"/>
  <c r="F704" i="18"/>
  <c r="H704" i="18"/>
  <c r="I704" i="18"/>
  <c r="K704" i="18"/>
  <c r="L704" i="18"/>
  <c r="M704" i="18"/>
  <c r="O704" i="18"/>
  <c r="P704" i="18"/>
  <c r="Q704" i="18"/>
  <c r="R704" i="18"/>
  <c r="A705" i="18"/>
  <c r="C705" i="18"/>
  <c r="E705" i="18"/>
  <c r="F705" i="18"/>
  <c r="H705" i="18"/>
  <c r="I705" i="18"/>
  <c r="K705" i="18"/>
  <c r="L705" i="18"/>
  <c r="M705" i="18"/>
  <c r="O705" i="18"/>
  <c r="P705" i="18"/>
  <c r="Q705" i="18"/>
  <c r="R705" i="18"/>
  <c r="A706" i="18"/>
  <c r="C706" i="18"/>
  <c r="E706" i="18"/>
  <c r="F706" i="18"/>
  <c r="H706" i="18"/>
  <c r="I706" i="18"/>
  <c r="K706" i="18"/>
  <c r="L706" i="18"/>
  <c r="M706" i="18"/>
  <c r="O706" i="18"/>
  <c r="P706" i="18"/>
  <c r="Q706" i="18"/>
  <c r="R706" i="18"/>
  <c r="A707" i="18"/>
  <c r="C707" i="18"/>
  <c r="E707" i="18"/>
  <c r="F707" i="18"/>
  <c r="H707" i="18"/>
  <c r="I707" i="18"/>
  <c r="K707" i="18"/>
  <c r="L707" i="18"/>
  <c r="M707" i="18"/>
  <c r="O707" i="18"/>
  <c r="P707" i="18"/>
  <c r="Q707" i="18"/>
  <c r="R707" i="18"/>
  <c r="A708" i="18"/>
  <c r="C708" i="18"/>
  <c r="E708" i="18"/>
  <c r="F708" i="18"/>
  <c r="H708" i="18"/>
  <c r="I708" i="18"/>
  <c r="K708" i="18"/>
  <c r="L708" i="18"/>
  <c r="M708" i="18"/>
  <c r="O708" i="18"/>
  <c r="P708" i="18"/>
  <c r="Q708" i="18"/>
  <c r="R708" i="18"/>
  <c r="A709" i="18"/>
  <c r="C709" i="18"/>
  <c r="E709" i="18"/>
  <c r="F709" i="18"/>
  <c r="H709" i="18"/>
  <c r="I709" i="18"/>
  <c r="K709" i="18"/>
  <c r="L709" i="18"/>
  <c r="M709" i="18"/>
  <c r="O709" i="18"/>
  <c r="P709" i="18"/>
  <c r="Q709" i="18"/>
  <c r="R709" i="18"/>
  <c r="A710" i="18"/>
  <c r="C710" i="18"/>
  <c r="E710" i="18"/>
  <c r="F710" i="18"/>
  <c r="H710" i="18"/>
  <c r="I710" i="18"/>
  <c r="K710" i="18"/>
  <c r="L710" i="18"/>
  <c r="M710" i="18"/>
  <c r="O710" i="18"/>
  <c r="P710" i="18"/>
  <c r="Q710" i="18"/>
  <c r="R710" i="18"/>
  <c r="A711" i="18"/>
  <c r="C711" i="18"/>
  <c r="E711" i="18"/>
  <c r="F711" i="18"/>
  <c r="H711" i="18"/>
  <c r="I711" i="18"/>
  <c r="K711" i="18"/>
  <c r="L711" i="18"/>
  <c r="M711" i="18"/>
  <c r="O711" i="18"/>
  <c r="P711" i="18"/>
  <c r="Q711" i="18"/>
  <c r="R711" i="18"/>
  <c r="A712" i="18"/>
  <c r="C712" i="18"/>
  <c r="E712" i="18"/>
  <c r="F712" i="18"/>
  <c r="H712" i="18"/>
  <c r="I712" i="18"/>
  <c r="K712" i="18"/>
  <c r="L712" i="18"/>
  <c r="M712" i="18"/>
  <c r="O712" i="18"/>
  <c r="P712" i="18"/>
  <c r="Q712" i="18"/>
  <c r="R712" i="18"/>
  <c r="A713" i="18"/>
  <c r="C713" i="18"/>
  <c r="E713" i="18"/>
  <c r="F713" i="18"/>
  <c r="H713" i="18"/>
  <c r="I713" i="18"/>
  <c r="K713" i="18"/>
  <c r="L713" i="18"/>
  <c r="M713" i="18"/>
  <c r="O713" i="18"/>
  <c r="P713" i="18"/>
  <c r="Q713" i="18"/>
  <c r="R713" i="18"/>
  <c r="A714" i="18"/>
  <c r="C714" i="18"/>
  <c r="E714" i="18"/>
  <c r="F714" i="18"/>
  <c r="H714" i="18"/>
  <c r="I714" i="18"/>
  <c r="K714" i="18"/>
  <c r="L714" i="18"/>
  <c r="M714" i="18"/>
  <c r="O714" i="18"/>
  <c r="P714" i="18"/>
  <c r="Q714" i="18"/>
  <c r="R714" i="18"/>
  <c r="A715" i="18"/>
  <c r="C715" i="18"/>
  <c r="E715" i="18"/>
  <c r="F715" i="18"/>
  <c r="H715" i="18"/>
  <c r="I715" i="18"/>
  <c r="K715" i="18"/>
  <c r="L715" i="18"/>
  <c r="M715" i="18"/>
  <c r="O715" i="18"/>
  <c r="P715" i="18"/>
  <c r="Q715" i="18"/>
  <c r="R715" i="18"/>
  <c r="A716" i="18"/>
  <c r="C716" i="18"/>
  <c r="E716" i="18"/>
  <c r="F716" i="18"/>
  <c r="H716" i="18"/>
  <c r="I716" i="18"/>
  <c r="K716" i="18"/>
  <c r="L716" i="18"/>
  <c r="M716" i="18"/>
  <c r="O716" i="18"/>
  <c r="P716" i="18"/>
  <c r="Q716" i="18"/>
  <c r="R716" i="18"/>
  <c r="A717" i="18"/>
  <c r="C717" i="18"/>
  <c r="E717" i="18"/>
  <c r="F717" i="18"/>
  <c r="H717" i="18"/>
  <c r="I717" i="18"/>
  <c r="K717" i="18"/>
  <c r="L717" i="18"/>
  <c r="M717" i="18"/>
  <c r="O717" i="18"/>
  <c r="P717" i="18"/>
  <c r="Q717" i="18"/>
  <c r="R717" i="18"/>
  <c r="A718" i="18"/>
  <c r="C718" i="18"/>
  <c r="E718" i="18"/>
  <c r="F718" i="18"/>
  <c r="H718" i="18"/>
  <c r="I718" i="18"/>
  <c r="K718" i="18"/>
  <c r="L718" i="18"/>
  <c r="M718" i="18"/>
  <c r="O718" i="18"/>
  <c r="P718" i="18"/>
  <c r="Q718" i="18"/>
  <c r="R718" i="18"/>
  <c r="A719" i="18"/>
  <c r="C719" i="18"/>
  <c r="E719" i="18"/>
  <c r="F719" i="18"/>
  <c r="H719" i="18"/>
  <c r="I719" i="18"/>
  <c r="K719" i="18"/>
  <c r="L719" i="18"/>
  <c r="M719" i="18"/>
  <c r="O719" i="18"/>
  <c r="P719" i="18"/>
  <c r="Q719" i="18"/>
  <c r="R719" i="18"/>
  <c r="A720" i="18"/>
  <c r="C720" i="18"/>
  <c r="E720" i="18"/>
  <c r="F720" i="18"/>
  <c r="H720" i="18"/>
  <c r="I720" i="18"/>
  <c r="K720" i="18"/>
  <c r="L720" i="18"/>
  <c r="M720" i="18"/>
  <c r="O720" i="18"/>
  <c r="P720" i="18"/>
  <c r="Q720" i="18"/>
  <c r="R720" i="18"/>
  <c r="A721" i="18"/>
  <c r="C721" i="18"/>
  <c r="E721" i="18"/>
  <c r="F721" i="18"/>
  <c r="H721" i="18"/>
  <c r="I721" i="18"/>
  <c r="K721" i="18"/>
  <c r="L721" i="18"/>
  <c r="M721" i="18"/>
  <c r="O721" i="18"/>
  <c r="P721" i="18"/>
  <c r="Q721" i="18"/>
  <c r="R721" i="18"/>
  <c r="A722" i="18"/>
  <c r="C722" i="18"/>
  <c r="E722" i="18"/>
  <c r="F722" i="18"/>
  <c r="H722" i="18"/>
  <c r="I722" i="18"/>
  <c r="K722" i="18"/>
  <c r="L722" i="18"/>
  <c r="M722" i="18"/>
  <c r="O722" i="18"/>
  <c r="P722" i="18"/>
  <c r="Q722" i="18"/>
  <c r="R722" i="18"/>
  <c r="A723" i="18"/>
  <c r="C723" i="18"/>
  <c r="E723" i="18"/>
  <c r="F723" i="18"/>
  <c r="H723" i="18"/>
  <c r="I723" i="18"/>
  <c r="K723" i="18"/>
  <c r="L723" i="18"/>
  <c r="M723" i="18"/>
  <c r="O723" i="18"/>
  <c r="P723" i="18"/>
  <c r="Q723" i="18"/>
  <c r="R723" i="18"/>
  <c r="A724" i="18"/>
  <c r="C724" i="18"/>
  <c r="E724" i="18"/>
  <c r="F724" i="18"/>
  <c r="H724" i="18"/>
  <c r="I724" i="18"/>
  <c r="K724" i="18"/>
  <c r="L724" i="18"/>
  <c r="M724" i="18"/>
  <c r="O724" i="18"/>
  <c r="P724" i="18"/>
  <c r="Q724" i="18"/>
  <c r="R724" i="18"/>
  <c r="A725" i="18"/>
  <c r="C725" i="18"/>
  <c r="E725" i="18"/>
  <c r="F725" i="18"/>
  <c r="H725" i="18"/>
  <c r="I725" i="18"/>
  <c r="K725" i="18"/>
  <c r="L725" i="18"/>
  <c r="M725" i="18"/>
  <c r="O725" i="18"/>
  <c r="P725" i="18"/>
  <c r="Q725" i="18"/>
  <c r="R725" i="18"/>
  <c r="A726" i="18"/>
  <c r="C726" i="18"/>
  <c r="E726" i="18"/>
  <c r="F726" i="18"/>
  <c r="H726" i="18"/>
  <c r="I726" i="18"/>
  <c r="K726" i="18"/>
  <c r="L726" i="18"/>
  <c r="M726" i="18"/>
  <c r="O726" i="18"/>
  <c r="P726" i="18"/>
  <c r="Q726" i="18"/>
  <c r="R726" i="18"/>
  <c r="A727" i="18"/>
  <c r="C727" i="18"/>
  <c r="E727" i="18"/>
  <c r="F727" i="18"/>
  <c r="H727" i="18"/>
  <c r="I727" i="18"/>
  <c r="K727" i="18"/>
  <c r="L727" i="18"/>
  <c r="M727" i="18"/>
  <c r="O727" i="18"/>
  <c r="P727" i="18"/>
  <c r="Q727" i="18"/>
  <c r="R727" i="18"/>
  <c r="A728" i="18"/>
  <c r="C728" i="18"/>
  <c r="E728" i="18"/>
  <c r="F728" i="18"/>
  <c r="H728" i="18"/>
  <c r="I728" i="18"/>
  <c r="K728" i="18"/>
  <c r="L728" i="18"/>
  <c r="M728" i="18"/>
  <c r="O728" i="18"/>
  <c r="P728" i="18"/>
  <c r="Q728" i="18"/>
  <c r="R728" i="18"/>
  <c r="A729" i="18"/>
  <c r="C729" i="18"/>
  <c r="E729" i="18"/>
  <c r="F729" i="18"/>
  <c r="H729" i="18"/>
  <c r="I729" i="18"/>
  <c r="K729" i="18"/>
  <c r="L729" i="18"/>
  <c r="M729" i="18"/>
  <c r="O729" i="18"/>
  <c r="P729" i="18"/>
  <c r="Q729" i="18"/>
  <c r="R729" i="18"/>
  <c r="A730" i="18"/>
  <c r="C730" i="18"/>
  <c r="E730" i="18"/>
  <c r="F730" i="18"/>
  <c r="H730" i="18"/>
  <c r="I730" i="18"/>
  <c r="K730" i="18"/>
  <c r="L730" i="18"/>
  <c r="M730" i="18"/>
  <c r="O730" i="18"/>
  <c r="P730" i="18"/>
  <c r="Q730" i="18"/>
  <c r="R730" i="18"/>
  <c r="A731" i="18"/>
  <c r="C731" i="18"/>
  <c r="E731" i="18"/>
  <c r="F731" i="18"/>
  <c r="H731" i="18"/>
  <c r="I731" i="18"/>
  <c r="K731" i="18"/>
  <c r="L731" i="18"/>
  <c r="M731" i="18"/>
  <c r="O731" i="18"/>
  <c r="P731" i="18"/>
  <c r="Q731" i="18"/>
  <c r="R731" i="18"/>
  <c r="A732" i="18"/>
  <c r="C732" i="18"/>
  <c r="E732" i="18"/>
  <c r="F732" i="18"/>
  <c r="H732" i="18"/>
  <c r="I732" i="18"/>
  <c r="K732" i="18"/>
  <c r="L732" i="18"/>
  <c r="M732" i="18"/>
  <c r="O732" i="18"/>
  <c r="P732" i="18"/>
  <c r="Q732" i="18"/>
  <c r="R732" i="18"/>
  <c r="A733" i="18"/>
  <c r="C733" i="18"/>
  <c r="E733" i="18"/>
  <c r="F733" i="18"/>
  <c r="H733" i="18"/>
  <c r="I733" i="18"/>
  <c r="K733" i="18"/>
  <c r="L733" i="18"/>
  <c r="M733" i="18"/>
  <c r="O733" i="18"/>
  <c r="P733" i="18"/>
  <c r="Q733" i="18"/>
  <c r="R733" i="18"/>
  <c r="A734" i="18"/>
  <c r="C734" i="18"/>
  <c r="E734" i="18"/>
  <c r="F734" i="18"/>
  <c r="H734" i="18"/>
  <c r="I734" i="18"/>
  <c r="K734" i="18"/>
  <c r="L734" i="18"/>
  <c r="M734" i="18"/>
  <c r="O734" i="18"/>
  <c r="P734" i="18"/>
  <c r="Q734" i="18"/>
  <c r="R734" i="18"/>
  <c r="A735" i="18"/>
  <c r="C735" i="18"/>
  <c r="E735" i="18"/>
  <c r="F735" i="18"/>
  <c r="H735" i="18"/>
  <c r="I735" i="18"/>
  <c r="K735" i="18"/>
  <c r="L735" i="18"/>
  <c r="M735" i="18"/>
  <c r="O735" i="18"/>
  <c r="P735" i="18"/>
  <c r="Q735" i="18"/>
  <c r="R735" i="18"/>
  <c r="A736" i="18"/>
  <c r="C736" i="18"/>
  <c r="E736" i="18"/>
  <c r="F736" i="18"/>
  <c r="H736" i="18"/>
  <c r="I736" i="18"/>
  <c r="K736" i="18"/>
  <c r="L736" i="18"/>
  <c r="M736" i="18"/>
  <c r="O736" i="18"/>
  <c r="P736" i="18"/>
  <c r="Q736" i="18"/>
  <c r="R736" i="18"/>
  <c r="A737" i="18"/>
  <c r="C737" i="18"/>
  <c r="E737" i="18"/>
  <c r="F737" i="18"/>
  <c r="H737" i="18"/>
  <c r="I737" i="18"/>
  <c r="K737" i="18"/>
  <c r="L737" i="18"/>
  <c r="M737" i="18"/>
  <c r="O737" i="18"/>
  <c r="P737" i="18"/>
  <c r="Q737" i="18"/>
  <c r="R737" i="18"/>
  <c r="A738" i="18"/>
  <c r="C738" i="18"/>
  <c r="E738" i="18"/>
  <c r="F738" i="18"/>
  <c r="H738" i="18"/>
  <c r="I738" i="18"/>
  <c r="K738" i="18"/>
  <c r="L738" i="18"/>
  <c r="M738" i="18"/>
  <c r="O738" i="18"/>
  <c r="P738" i="18"/>
  <c r="Q738" i="18"/>
  <c r="R738" i="18"/>
  <c r="A739" i="18"/>
  <c r="C739" i="18"/>
  <c r="E739" i="18"/>
  <c r="F739" i="18"/>
  <c r="H739" i="18"/>
  <c r="I739" i="18"/>
  <c r="K739" i="18"/>
  <c r="L739" i="18"/>
  <c r="M739" i="18"/>
  <c r="O739" i="18"/>
  <c r="P739" i="18"/>
  <c r="Q739" i="18"/>
  <c r="R739" i="18"/>
  <c r="A740" i="18"/>
  <c r="C740" i="18"/>
  <c r="E740" i="18"/>
  <c r="F740" i="18"/>
  <c r="H740" i="18"/>
  <c r="I740" i="18"/>
  <c r="K740" i="18"/>
  <c r="L740" i="18"/>
  <c r="M740" i="18"/>
  <c r="O740" i="18"/>
  <c r="P740" i="18"/>
  <c r="Q740" i="18"/>
  <c r="R740" i="18"/>
  <c r="A741" i="18"/>
  <c r="C741" i="18"/>
  <c r="E741" i="18"/>
  <c r="F741" i="18"/>
  <c r="H741" i="18"/>
  <c r="I741" i="18"/>
  <c r="K741" i="18"/>
  <c r="L741" i="18"/>
  <c r="M741" i="18"/>
  <c r="O741" i="18"/>
  <c r="P741" i="18"/>
  <c r="Q741" i="18"/>
  <c r="R741" i="18"/>
  <c r="A742" i="18"/>
  <c r="C742" i="18"/>
  <c r="E742" i="18"/>
  <c r="F742" i="18"/>
  <c r="H742" i="18"/>
  <c r="I742" i="18"/>
  <c r="K742" i="18"/>
  <c r="L742" i="18"/>
  <c r="M742" i="18"/>
  <c r="O742" i="18"/>
  <c r="P742" i="18"/>
  <c r="Q742" i="18"/>
  <c r="R742" i="18"/>
  <c r="A743" i="18"/>
  <c r="C743" i="18"/>
  <c r="E743" i="18"/>
  <c r="F743" i="18"/>
  <c r="H743" i="18"/>
  <c r="I743" i="18"/>
  <c r="K743" i="18"/>
  <c r="L743" i="18"/>
  <c r="M743" i="18"/>
  <c r="O743" i="18"/>
  <c r="P743" i="18"/>
  <c r="Q743" i="18"/>
  <c r="R743" i="18"/>
  <c r="A744" i="18"/>
  <c r="C744" i="18"/>
  <c r="E744" i="18"/>
  <c r="F744" i="18"/>
  <c r="H744" i="18"/>
  <c r="I744" i="18"/>
  <c r="K744" i="18"/>
  <c r="L744" i="18"/>
  <c r="M744" i="18"/>
  <c r="O744" i="18"/>
  <c r="P744" i="18"/>
  <c r="Q744" i="18"/>
  <c r="R744" i="18"/>
  <c r="A745" i="18"/>
  <c r="C745" i="18"/>
  <c r="E745" i="18"/>
  <c r="F745" i="18"/>
  <c r="H745" i="18"/>
  <c r="I745" i="18"/>
  <c r="K745" i="18"/>
  <c r="L745" i="18"/>
  <c r="M745" i="18"/>
  <c r="O745" i="18"/>
  <c r="P745" i="18"/>
  <c r="Q745" i="18"/>
  <c r="R745" i="18"/>
  <c r="A746" i="18"/>
  <c r="C746" i="18"/>
  <c r="E746" i="18"/>
  <c r="F746" i="18"/>
  <c r="H746" i="18"/>
  <c r="I746" i="18"/>
  <c r="K746" i="18"/>
  <c r="L746" i="18"/>
  <c r="M746" i="18"/>
  <c r="O746" i="18"/>
  <c r="P746" i="18"/>
  <c r="Q746" i="18"/>
  <c r="R746" i="18"/>
  <c r="A747" i="18"/>
  <c r="C747" i="18"/>
  <c r="E747" i="18"/>
  <c r="F747" i="18"/>
  <c r="H747" i="18"/>
  <c r="I747" i="18"/>
  <c r="K747" i="18"/>
  <c r="L747" i="18"/>
  <c r="M747" i="18"/>
  <c r="O747" i="18"/>
  <c r="P747" i="18"/>
  <c r="Q747" i="18"/>
  <c r="R747" i="18"/>
  <c r="A748" i="18"/>
  <c r="C748" i="18"/>
  <c r="E748" i="18"/>
  <c r="F748" i="18"/>
  <c r="H748" i="18"/>
  <c r="I748" i="18"/>
  <c r="K748" i="18"/>
  <c r="L748" i="18"/>
  <c r="M748" i="18"/>
  <c r="O748" i="18"/>
  <c r="P748" i="18"/>
  <c r="Q748" i="18"/>
  <c r="R748" i="18"/>
  <c r="A749" i="18"/>
  <c r="C749" i="18"/>
  <c r="E749" i="18"/>
  <c r="F749" i="18"/>
  <c r="H749" i="18"/>
  <c r="I749" i="18"/>
  <c r="K749" i="18"/>
  <c r="L749" i="18"/>
  <c r="M749" i="18"/>
  <c r="O749" i="18"/>
  <c r="P749" i="18"/>
  <c r="Q749" i="18"/>
  <c r="R749" i="18"/>
  <c r="A750" i="18"/>
  <c r="C750" i="18"/>
  <c r="E750" i="18"/>
  <c r="F750" i="18"/>
  <c r="H750" i="18"/>
  <c r="I750" i="18"/>
  <c r="K750" i="18"/>
  <c r="L750" i="18"/>
  <c r="M750" i="18"/>
  <c r="O750" i="18"/>
  <c r="P750" i="18"/>
  <c r="Q750" i="18"/>
  <c r="R750" i="18"/>
  <c r="A751" i="18"/>
  <c r="C751" i="18"/>
  <c r="E751" i="18"/>
  <c r="F751" i="18"/>
  <c r="H751" i="18"/>
  <c r="I751" i="18"/>
  <c r="K751" i="18"/>
  <c r="L751" i="18"/>
  <c r="M751" i="18"/>
  <c r="O751" i="18"/>
  <c r="P751" i="18"/>
  <c r="Q751" i="18"/>
  <c r="R751" i="18"/>
  <c r="A752" i="18"/>
  <c r="C752" i="18"/>
  <c r="E752" i="18"/>
  <c r="F752" i="18"/>
  <c r="H752" i="18"/>
  <c r="I752" i="18"/>
  <c r="K752" i="18"/>
  <c r="L752" i="18"/>
  <c r="M752" i="18"/>
  <c r="O752" i="18"/>
  <c r="P752" i="18"/>
  <c r="Q752" i="18"/>
  <c r="R752" i="18"/>
  <c r="A753" i="18"/>
  <c r="C753" i="18"/>
  <c r="E753" i="18"/>
  <c r="F753" i="18"/>
  <c r="H753" i="18"/>
  <c r="I753" i="18"/>
  <c r="K753" i="18"/>
  <c r="L753" i="18"/>
  <c r="M753" i="18"/>
  <c r="O753" i="18"/>
  <c r="P753" i="18"/>
  <c r="Q753" i="18"/>
  <c r="R753" i="18"/>
  <c r="A754" i="18"/>
  <c r="C754" i="18"/>
  <c r="E754" i="18"/>
  <c r="F754" i="18"/>
  <c r="H754" i="18"/>
  <c r="I754" i="18"/>
  <c r="K754" i="18"/>
  <c r="L754" i="18"/>
  <c r="M754" i="18"/>
  <c r="O754" i="18"/>
  <c r="P754" i="18"/>
  <c r="Q754" i="18"/>
  <c r="R754" i="18"/>
  <c r="A755" i="18"/>
  <c r="C755" i="18"/>
  <c r="E755" i="18"/>
  <c r="F755" i="18"/>
  <c r="H755" i="18"/>
  <c r="I755" i="18"/>
  <c r="K755" i="18"/>
  <c r="L755" i="18"/>
  <c r="M755" i="18"/>
  <c r="O755" i="18"/>
  <c r="P755" i="18"/>
  <c r="Q755" i="18"/>
  <c r="R755" i="18"/>
  <c r="A756" i="18"/>
  <c r="C756" i="18"/>
  <c r="E756" i="18"/>
  <c r="F756" i="18"/>
  <c r="H756" i="18"/>
  <c r="I756" i="18"/>
  <c r="K756" i="18"/>
  <c r="L756" i="18"/>
  <c r="M756" i="18"/>
  <c r="O756" i="18"/>
  <c r="P756" i="18"/>
  <c r="Q756" i="18"/>
  <c r="R756" i="18"/>
  <c r="A757" i="18"/>
  <c r="C757" i="18"/>
  <c r="E757" i="18"/>
  <c r="F757" i="18"/>
  <c r="H757" i="18"/>
  <c r="I757" i="18"/>
  <c r="K757" i="18"/>
  <c r="L757" i="18"/>
  <c r="M757" i="18"/>
  <c r="O757" i="18"/>
  <c r="P757" i="18"/>
  <c r="Q757" i="18"/>
  <c r="R757" i="18"/>
  <c r="A758" i="18"/>
  <c r="C758" i="18"/>
  <c r="E758" i="18"/>
  <c r="F758" i="18"/>
  <c r="H758" i="18"/>
  <c r="I758" i="18"/>
  <c r="K758" i="18"/>
  <c r="L758" i="18"/>
  <c r="M758" i="18"/>
  <c r="O758" i="18"/>
  <c r="P758" i="18"/>
  <c r="Q758" i="18"/>
  <c r="R758" i="18"/>
  <c r="A759" i="18"/>
  <c r="C759" i="18"/>
  <c r="E759" i="18"/>
  <c r="F759" i="18"/>
  <c r="H759" i="18"/>
  <c r="I759" i="18"/>
  <c r="K759" i="18"/>
  <c r="L759" i="18"/>
  <c r="M759" i="18"/>
  <c r="O759" i="18"/>
  <c r="P759" i="18"/>
  <c r="Q759" i="18"/>
  <c r="R759" i="18"/>
  <c r="A760" i="18"/>
  <c r="C760" i="18"/>
  <c r="E760" i="18"/>
  <c r="F760" i="18"/>
  <c r="H760" i="18"/>
  <c r="I760" i="18"/>
  <c r="K760" i="18"/>
  <c r="L760" i="18"/>
  <c r="M760" i="18"/>
  <c r="O760" i="18"/>
  <c r="P760" i="18"/>
  <c r="Q760" i="18"/>
  <c r="R760" i="18"/>
  <c r="A761" i="18"/>
  <c r="C761" i="18"/>
  <c r="E761" i="18"/>
  <c r="F761" i="18"/>
  <c r="H761" i="18"/>
  <c r="I761" i="18"/>
  <c r="K761" i="18"/>
  <c r="L761" i="18"/>
  <c r="M761" i="18"/>
  <c r="O761" i="18"/>
  <c r="P761" i="18"/>
  <c r="Q761" i="18"/>
  <c r="R761" i="18"/>
  <c r="A762" i="18"/>
  <c r="C762" i="18"/>
  <c r="E762" i="18"/>
  <c r="F762" i="18"/>
  <c r="H762" i="18"/>
  <c r="I762" i="18"/>
  <c r="K762" i="18"/>
  <c r="L762" i="18"/>
  <c r="M762" i="18"/>
  <c r="O762" i="18"/>
  <c r="P762" i="18"/>
  <c r="Q762" i="18"/>
  <c r="R762" i="18"/>
  <c r="A763" i="18"/>
  <c r="C763" i="18"/>
  <c r="E763" i="18"/>
  <c r="F763" i="18"/>
  <c r="H763" i="18"/>
  <c r="I763" i="18"/>
  <c r="K763" i="18"/>
  <c r="L763" i="18"/>
  <c r="M763" i="18"/>
  <c r="O763" i="18"/>
  <c r="P763" i="18"/>
  <c r="Q763" i="18"/>
  <c r="R763" i="18"/>
  <c r="A764" i="18"/>
  <c r="C764" i="18"/>
  <c r="E764" i="18"/>
  <c r="F764" i="18"/>
  <c r="H764" i="18"/>
  <c r="I764" i="18"/>
  <c r="K764" i="18"/>
  <c r="L764" i="18"/>
  <c r="M764" i="18"/>
  <c r="O764" i="18"/>
  <c r="P764" i="18"/>
  <c r="Q764" i="18"/>
  <c r="R764" i="18"/>
  <c r="A765" i="18"/>
  <c r="C765" i="18"/>
  <c r="E765" i="18"/>
  <c r="F765" i="18"/>
  <c r="H765" i="18"/>
  <c r="I765" i="18"/>
  <c r="K765" i="18"/>
  <c r="L765" i="18"/>
  <c r="M765" i="18"/>
  <c r="O765" i="18"/>
  <c r="P765" i="18"/>
  <c r="Q765" i="18"/>
  <c r="R765" i="18"/>
  <c r="A766" i="18"/>
  <c r="C766" i="18"/>
  <c r="E766" i="18"/>
  <c r="F766" i="18"/>
  <c r="H766" i="18"/>
  <c r="I766" i="18"/>
  <c r="K766" i="18"/>
  <c r="L766" i="18"/>
  <c r="M766" i="18"/>
  <c r="O766" i="18"/>
  <c r="P766" i="18"/>
  <c r="Q766" i="18"/>
  <c r="R766" i="18"/>
  <c r="A767" i="18"/>
  <c r="C767" i="18"/>
  <c r="E767" i="18"/>
  <c r="F767" i="18"/>
  <c r="H767" i="18"/>
  <c r="I767" i="18"/>
  <c r="K767" i="18"/>
  <c r="L767" i="18"/>
  <c r="M767" i="18"/>
  <c r="O767" i="18"/>
  <c r="P767" i="18"/>
  <c r="Q767" i="18"/>
  <c r="R767" i="18"/>
  <c r="A768" i="18"/>
  <c r="C768" i="18"/>
  <c r="E768" i="18"/>
  <c r="F768" i="18"/>
  <c r="H768" i="18"/>
  <c r="I768" i="18"/>
  <c r="K768" i="18"/>
  <c r="L768" i="18"/>
  <c r="M768" i="18"/>
  <c r="O768" i="18"/>
  <c r="P768" i="18"/>
  <c r="Q768" i="18"/>
  <c r="R768" i="18"/>
  <c r="A769" i="18"/>
  <c r="C769" i="18"/>
  <c r="E769" i="18"/>
  <c r="F769" i="18"/>
  <c r="H769" i="18"/>
  <c r="I769" i="18"/>
  <c r="K769" i="18"/>
  <c r="L769" i="18"/>
  <c r="M769" i="18"/>
  <c r="O769" i="18"/>
  <c r="P769" i="18"/>
  <c r="Q769" i="18"/>
  <c r="R769" i="18"/>
  <c r="A770" i="18"/>
  <c r="C770" i="18"/>
  <c r="E770" i="18"/>
  <c r="F770" i="18"/>
  <c r="H770" i="18"/>
  <c r="I770" i="18"/>
  <c r="K770" i="18"/>
  <c r="L770" i="18"/>
  <c r="M770" i="18"/>
  <c r="O770" i="18"/>
  <c r="P770" i="18"/>
  <c r="Q770" i="18"/>
  <c r="R770" i="18"/>
  <c r="A771" i="18"/>
  <c r="C771" i="18"/>
  <c r="E771" i="18"/>
  <c r="F771" i="18"/>
  <c r="H771" i="18"/>
  <c r="I771" i="18"/>
  <c r="K771" i="18"/>
  <c r="L771" i="18"/>
  <c r="M771" i="18"/>
  <c r="O771" i="18"/>
  <c r="P771" i="18"/>
  <c r="Q771" i="18"/>
  <c r="R771" i="18"/>
  <c r="A772" i="18"/>
  <c r="C772" i="18"/>
  <c r="E772" i="18"/>
  <c r="F772" i="18"/>
  <c r="H772" i="18"/>
  <c r="I772" i="18"/>
  <c r="K772" i="18"/>
  <c r="L772" i="18"/>
  <c r="M772" i="18"/>
  <c r="O772" i="18"/>
  <c r="P772" i="18"/>
  <c r="Q772" i="18"/>
  <c r="R772" i="18"/>
  <c r="A773" i="18"/>
  <c r="C773" i="18"/>
  <c r="E773" i="18"/>
  <c r="F773" i="18"/>
  <c r="H773" i="18"/>
  <c r="I773" i="18"/>
  <c r="K773" i="18"/>
  <c r="L773" i="18"/>
  <c r="M773" i="18"/>
  <c r="O773" i="18"/>
  <c r="P773" i="18"/>
  <c r="Q773" i="18"/>
  <c r="R773" i="18"/>
  <c r="A774" i="18"/>
  <c r="C774" i="18"/>
  <c r="E774" i="18"/>
  <c r="F774" i="18"/>
  <c r="H774" i="18"/>
  <c r="I774" i="18"/>
  <c r="K774" i="18"/>
  <c r="L774" i="18"/>
  <c r="M774" i="18"/>
  <c r="O774" i="18"/>
  <c r="P774" i="18"/>
  <c r="Q774" i="18"/>
  <c r="R774" i="18"/>
  <c r="A775" i="18"/>
  <c r="C775" i="18"/>
  <c r="E775" i="18"/>
  <c r="F775" i="18"/>
  <c r="H775" i="18"/>
  <c r="I775" i="18"/>
  <c r="K775" i="18"/>
  <c r="L775" i="18"/>
  <c r="M775" i="18"/>
  <c r="O775" i="18"/>
  <c r="P775" i="18"/>
  <c r="Q775" i="18"/>
  <c r="R775" i="18"/>
  <c r="A776" i="18"/>
  <c r="C776" i="18"/>
  <c r="E776" i="18"/>
  <c r="F776" i="18"/>
  <c r="H776" i="18"/>
  <c r="I776" i="18"/>
  <c r="K776" i="18"/>
  <c r="L776" i="18"/>
  <c r="M776" i="18"/>
  <c r="O776" i="18"/>
  <c r="P776" i="18"/>
  <c r="Q776" i="18"/>
  <c r="R776" i="18"/>
  <c r="A777" i="18"/>
  <c r="C777" i="18"/>
  <c r="E777" i="18"/>
  <c r="F777" i="18"/>
  <c r="H777" i="18"/>
  <c r="I777" i="18"/>
  <c r="K777" i="18"/>
  <c r="L777" i="18"/>
  <c r="M777" i="18"/>
  <c r="O777" i="18"/>
  <c r="P777" i="18"/>
  <c r="Q777" i="18"/>
  <c r="R777" i="18"/>
  <c r="A778" i="18"/>
  <c r="C778" i="18"/>
  <c r="E778" i="18"/>
  <c r="F778" i="18"/>
  <c r="H778" i="18"/>
  <c r="I778" i="18"/>
  <c r="K778" i="18"/>
  <c r="L778" i="18"/>
  <c r="M778" i="18"/>
  <c r="O778" i="18"/>
  <c r="P778" i="18"/>
  <c r="Q778" i="18"/>
  <c r="R778" i="18"/>
  <c r="A779" i="18"/>
  <c r="C779" i="18"/>
  <c r="E779" i="18"/>
  <c r="F779" i="18"/>
  <c r="H779" i="18"/>
  <c r="I779" i="18"/>
  <c r="K779" i="18"/>
  <c r="L779" i="18"/>
  <c r="M779" i="18"/>
  <c r="O779" i="18"/>
  <c r="P779" i="18"/>
  <c r="Q779" i="18"/>
  <c r="R779" i="18"/>
  <c r="A780" i="18"/>
  <c r="C780" i="18"/>
  <c r="E780" i="18"/>
  <c r="F780" i="18"/>
  <c r="H780" i="18"/>
  <c r="I780" i="18"/>
  <c r="K780" i="18"/>
  <c r="L780" i="18"/>
  <c r="M780" i="18"/>
  <c r="O780" i="18"/>
  <c r="P780" i="18"/>
  <c r="Q780" i="18"/>
  <c r="R780" i="18"/>
  <c r="A781" i="18"/>
  <c r="C781" i="18"/>
  <c r="E781" i="18"/>
  <c r="F781" i="18"/>
  <c r="H781" i="18"/>
  <c r="I781" i="18"/>
  <c r="K781" i="18"/>
  <c r="L781" i="18"/>
  <c r="M781" i="18"/>
  <c r="O781" i="18"/>
  <c r="P781" i="18"/>
  <c r="Q781" i="18"/>
  <c r="R781" i="18"/>
  <c r="A782" i="18"/>
  <c r="C782" i="18"/>
  <c r="E782" i="18"/>
  <c r="F782" i="18"/>
  <c r="H782" i="18"/>
  <c r="I782" i="18"/>
  <c r="K782" i="18"/>
  <c r="L782" i="18"/>
  <c r="M782" i="18"/>
  <c r="O782" i="18"/>
  <c r="P782" i="18"/>
  <c r="Q782" i="18"/>
  <c r="R782" i="18"/>
  <c r="A783" i="18"/>
  <c r="C783" i="18"/>
  <c r="E783" i="18"/>
  <c r="F783" i="18"/>
  <c r="H783" i="18"/>
  <c r="I783" i="18"/>
  <c r="K783" i="18"/>
  <c r="L783" i="18"/>
  <c r="M783" i="18"/>
  <c r="O783" i="18"/>
  <c r="P783" i="18"/>
  <c r="Q783" i="18"/>
  <c r="R783" i="18"/>
  <c r="A784" i="18"/>
  <c r="C784" i="18"/>
  <c r="E784" i="18"/>
  <c r="F784" i="18"/>
  <c r="H784" i="18"/>
  <c r="I784" i="18"/>
  <c r="K784" i="18"/>
  <c r="L784" i="18"/>
  <c r="M784" i="18"/>
  <c r="O784" i="18"/>
  <c r="P784" i="18"/>
  <c r="Q784" i="18"/>
  <c r="R784" i="18"/>
  <c r="A785" i="18"/>
  <c r="C785" i="18"/>
  <c r="E785" i="18"/>
  <c r="F785" i="18"/>
  <c r="H785" i="18"/>
  <c r="I785" i="18"/>
  <c r="K785" i="18"/>
  <c r="L785" i="18"/>
  <c r="M785" i="18"/>
  <c r="O785" i="18"/>
  <c r="P785" i="18"/>
  <c r="Q785" i="18"/>
  <c r="R785" i="18"/>
  <c r="A786" i="18"/>
  <c r="C786" i="18"/>
  <c r="E786" i="18"/>
  <c r="F786" i="18"/>
  <c r="H786" i="18"/>
  <c r="I786" i="18"/>
  <c r="K786" i="18"/>
  <c r="L786" i="18"/>
  <c r="M786" i="18"/>
  <c r="O786" i="18"/>
  <c r="P786" i="18"/>
  <c r="Q786" i="18"/>
  <c r="R786" i="18"/>
  <c r="A787" i="18"/>
  <c r="C787" i="18"/>
  <c r="E787" i="18"/>
  <c r="F787" i="18"/>
  <c r="H787" i="18"/>
  <c r="I787" i="18"/>
  <c r="K787" i="18"/>
  <c r="L787" i="18"/>
  <c r="M787" i="18"/>
  <c r="O787" i="18"/>
  <c r="P787" i="18"/>
  <c r="Q787" i="18"/>
  <c r="R787" i="18"/>
  <c r="A788" i="18"/>
  <c r="C788" i="18"/>
  <c r="E788" i="18"/>
  <c r="F788" i="18"/>
  <c r="H788" i="18"/>
  <c r="I788" i="18"/>
  <c r="K788" i="18"/>
  <c r="L788" i="18"/>
  <c r="M788" i="18"/>
  <c r="O788" i="18"/>
  <c r="P788" i="18"/>
  <c r="Q788" i="18"/>
  <c r="R788" i="18"/>
  <c r="A789" i="18"/>
  <c r="C789" i="18"/>
  <c r="E789" i="18"/>
  <c r="F789" i="18"/>
  <c r="H789" i="18"/>
  <c r="I789" i="18"/>
  <c r="K789" i="18"/>
  <c r="L789" i="18"/>
  <c r="M789" i="18"/>
  <c r="O789" i="18"/>
  <c r="P789" i="18"/>
  <c r="Q789" i="18"/>
  <c r="R789" i="18"/>
  <c r="A790" i="18"/>
  <c r="C790" i="18"/>
  <c r="E790" i="18"/>
  <c r="F790" i="18"/>
  <c r="H790" i="18"/>
  <c r="I790" i="18"/>
  <c r="K790" i="18"/>
  <c r="L790" i="18"/>
  <c r="M790" i="18"/>
  <c r="O790" i="18"/>
  <c r="P790" i="18"/>
  <c r="Q790" i="18"/>
  <c r="R790" i="18"/>
  <c r="A791" i="18"/>
  <c r="C791" i="18"/>
  <c r="E791" i="18"/>
  <c r="F791" i="18"/>
  <c r="H791" i="18"/>
  <c r="I791" i="18"/>
  <c r="K791" i="18"/>
  <c r="L791" i="18"/>
  <c r="M791" i="18"/>
  <c r="O791" i="18"/>
  <c r="P791" i="18"/>
  <c r="Q791" i="18"/>
  <c r="R791" i="18"/>
  <c r="A792" i="18"/>
  <c r="C792" i="18"/>
  <c r="E792" i="18"/>
  <c r="F792" i="18"/>
  <c r="H792" i="18"/>
  <c r="I792" i="18"/>
  <c r="K792" i="18"/>
  <c r="L792" i="18"/>
  <c r="M792" i="18"/>
  <c r="O792" i="18"/>
  <c r="P792" i="18"/>
  <c r="Q792" i="18"/>
  <c r="R792" i="18"/>
  <c r="A793" i="18"/>
  <c r="C793" i="18"/>
  <c r="E793" i="18"/>
  <c r="F793" i="18"/>
  <c r="H793" i="18"/>
  <c r="I793" i="18"/>
  <c r="K793" i="18"/>
  <c r="L793" i="18"/>
  <c r="M793" i="18"/>
  <c r="O793" i="18"/>
  <c r="P793" i="18"/>
  <c r="Q793" i="18"/>
  <c r="R793" i="18"/>
  <c r="A794" i="18"/>
  <c r="C794" i="18"/>
  <c r="E794" i="18"/>
  <c r="F794" i="18"/>
  <c r="H794" i="18"/>
  <c r="I794" i="18"/>
  <c r="K794" i="18"/>
  <c r="L794" i="18"/>
  <c r="M794" i="18"/>
  <c r="O794" i="18"/>
  <c r="P794" i="18"/>
  <c r="Q794" i="18"/>
  <c r="R794" i="18"/>
  <c r="A795" i="18"/>
  <c r="C795" i="18"/>
  <c r="E795" i="18"/>
  <c r="F795" i="18"/>
  <c r="H795" i="18"/>
  <c r="I795" i="18"/>
  <c r="K795" i="18"/>
  <c r="L795" i="18"/>
  <c r="M795" i="18"/>
  <c r="O795" i="18"/>
  <c r="P795" i="18"/>
  <c r="Q795" i="18"/>
  <c r="R795" i="18"/>
  <c r="A796" i="18"/>
  <c r="C796" i="18"/>
  <c r="E796" i="18"/>
  <c r="F796" i="18"/>
  <c r="H796" i="18"/>
  <c r="I796" i="18"/>
  <c r="K796" i="18"/>
  <c r="L796" i="18"/>
  <c r="M796" i="18"/>
  <c r="O796" i="18"/>
  <c r="P796" i="18"/>
  <c r="Q796" i="18"/>
  <c r="R796" i="18"/>
  <c r="A797" i="18"/>
  <c r="C797" i="18"/>
  <c r="E797" i="18"/>
  <c r="F797" i="18"/>
  <c r="H797" i="18"/>
  <c r="I797" i="18"/>
  <c r="K797" i="18"/>
  <c r="L797" i="18"/>
  <c r="M797" i="18"/>
  <c r="O797" i="18"/>
  <c r="P797" i="18"/>
  <c r="Q797" i="18"/>
  <c r="R797" i="18"/>
  <c r="A798" i="18"/>
  <c r="C798" i="18"/>
  <c r="E798" i="18"/>
  <c r="F798" i="18"/>
  <c r="H798" i="18"/>
  <c r="I798" i="18"/>
  <c r="K798" i="18"/>
  <c r="L798" i="18"/>
  <c r="M798" i="18"/>
  <c r="O798" i="18"/>
  <c r="P798" i="18"/>
  <c r="Q798" i="18"/>
  <c r="R798" i="18"/>
  <c r="A799" i="18"/>
  <c r="C799" i="18"/>
  <c r="E799" i="18"/>
  <c r="F799" i="18"/>
  <c r="H799" i="18"/>
  <c r="I799" i="18"/>
  <c r="K799" i="18"/>
  <c r="L799" i="18"/>
  <c r="M799" i="18"/>
  <c r="O799" i="18"/>
  <c r="P799" i="18"/>
  <c r="Q799" i="18"/>
  <c r="R799" i="18"/>
  <c r="A800" i="18"/>
  <c r="C800" i="18"/>
  <c r="E800" i="18"/>
  <c r="F800" i="18"/>
  <c r="H800" i="18"/>
  <c r="I800" i="18"/>
  <c r="K800" i="18"/>
  <c r="L800" i="18"/>
  <c r="M800" i="18"/>
  <c r="O800" i="18"/>
  <c r="P800" i="18"/>
  <c r="Q800" i="18"/>
  <c r="R800" i="18"/>
  <c r="A801" i="18"/>
  <c r="C801" i="18"/>
  <c r="E801" i="18"/>
  <c r="F801" i="18"/>
  <c r="H801" i="18"/>
  <c r="I801" i="18"/>
  <c r="K801" i="18"/>
  <c r="L801" i="18"/>
  <c r="M801" i="18"/>
  <c r="O801" i="18"/>
  <c r="P801" i="18"/>
  <c r="Q801" i="18"/>
  <c r="R801" i="18"/>
  <c r="A802" i="18"/>
  <c r="C802" i="18"/>
  <c r="E802" i="18"/>
  <c r="F802" i="18"/>
  <c r="H802" i="18"/>
  <c r="I802" i="18"/>
  <c r="K802" i="18"/>
  <c r="L802" i="18"/>
  <c r="M802" i="18"/>
  <c r="O802" i="18"/>
  <c r="P802" i="18"/>
  <c r="Q802" i="18"/>
  <c r="R802" i="18"/>
  <c r="A803" i="18"/>
  <c r="C803" i="18"/>
  <c r="E803" i="18"/>
  <c r="F803" i="18"/>
  <c r="H803" i="18"/>
  <c r="I803" i="18"/>
  <c r="K803" i="18"/>
  <c r="L803" i="18"/>
  <c r="M803" i="18"/>
  <c r="O803" i="18"/>
  <c r="P803" i="18"/>
  <c r="Q803" i="18"/>
  <c r="R803" i="18"/>
  <c r="A804" i="18"/>
  <c r="C804" i="18"/>
  <c r="E804" i="18"/>
  <c r="F804" i="18"/>
  <c r="H804" i="18"/>
  <c r="I804" i="18"/>
  <c r="K804" i="18"/>
  <c r="L804" i="18"/>
  <c r="M804" i="18"/>
  <c r="O804" i="18"/>
  <c r="P804" i="18"/>
  <c r="Q804" i="18"/>
  <c r="R804" i="18"/>
  <c r="A805" i="18"/>
  <c r="C805" i="18"/>
  <c r="E805" i="18"/>
  <c r="F805" i="18"/>
  <c r="H805" i="18"/>
  <c r="I805" i="18"/>
  <c r="K805" i="18"/>
  <c r="L805" i="18"/>
  <c r="M805" i="18"/>
  <c r="O805" i="18"/>
  <c r="P805" i="18"/>
  <c r="Q805" i="18"/>
  <c r="R805" i="18"/>
  <c r="A806" i="18"/>
  <c r="C806" i="18"/>
  <c r="E806" i="18"/>
  <c r="F806" i="18"/>
  <c r="H806" i="18"/>
  <c r="I806" i="18"/>
  <c r="K806" i="18"/>
  <c r="L806" i="18"/>
  <c r="M806" i="18"/>
  <c r="O806" i="18"/>
  <c r="P806" i="18"/>
  <c r="Q806" i="18"/>
  <c r="R806" i="18"/>
  <c r="A807" i="18"/>
  <c r="C807" i="18"/>
  <c r="E807" i="18"/>
  <c r="F807" i="18"/>
  <c r="H807" i="18"/>
  <c r="I807" i="18"/>
  <c r="K807" i="18"/>
  <c r="L807" i="18"/>
  <c r="M807" i="18"/>
  <c r="O807" i="18"/>
  <c r="P807" i="18"/>
  <c r="Q807" i="18"/>
  <c r="R807" i="18"/>
  <c r="A808" i="18"/>
  <c r="C808" i="18"/>
  <c r="E808" i="18"/>
  <c r="F808" i="18"/>
  <c r="H808" i="18"/>
  <c r="I808" i="18"/>
  <c r="K808" i="18"/>
  <c r="L808" i="18"/>
  <c r="M808" i="18"/>
  <c r="O808" i="18"/>
  <c r="P808" i="18"/>
  <c r="Q808" i="18"/>
  <c r="R808" i="18"/>
  <c r="A809" i="18"/>
  <c r="C809" i="18"/>
  <c r="E809" i="18"/>
  <c r="F809" i="18"/>
  <c r="H809" i="18"/>
  <c r="I809" i="18"/>
  <c r="K809" i="18"/>
  <c r="L809" i="18"/>
  <c r="M809" i="18"/>
  <c r="O809" i="18"/>
  <c r="P809" i="18"/>
  <c r="Q809" i="18"/>
  <c r="R809" i="18"/>
  <c r="A810" i="18"/>
  <c r="C810" i="18"/>
  <c r="E810" i="18"/>
  <c r="F810" i="18"/>
  <c r="H810" i="18"/>
  <c r="I810" i="18"/>
  <c r="K810" i="18"/>
  <c r="L810" i="18"/>
  <c r="M810" i="18"/>
  <c r="O810" i="18"/>
  <c r="P810" i="18"/>
  <c r="Q810" i="18"/>
  <c r="R810" i="18"/>
  <c r="A811" i="18"/>
  <c r="C811" i="18"/>
  <c r="E811" i="18"/>
  <c r="F811" i="18"/>
  <c r="H811" i="18"/>
  <c r="I811" i="18"/>
  <c r="K811" i="18"/>
  <c r="L811" i="18"/>
  <c r="M811" i="18"/>
  <c r="O811" i="18"/>
  <c r="P811" i="18"/>
  <c r="Q811" i="18"/>
  <c r="R811" i="18"/>
  <c r="A812" i="18"/>
  <c r="C812" i="18"/>
  <c r="E812" i="18"/>
  <c r="F812" i="18"/>
  <c r="H812" i="18"/>
  <c r="I812" i="18"/>
  <c r="K812" i="18"/>
  <c r="L812" i="18"/>
  <c r="M812" i="18"/>
  <c r="O812" i="18"/>
  <c r="P812" i="18"/>
  <c r="Q812" i="18"/>
  <c r="R812" i="18"/>
  <c r="A813" i="18"/>
  <c r="C813" i="18"/>
  <c r="E813" i="18"/>
  <c r="F813" i="18"/>
  <c r="H813" i="18"/>
  <c r="I813" i="18"/>
  <c r="K813" i="18"/>
  <c r="L813" i="18"/>
  <c r="M813" i="18"/>
  <c r="O813" i="18"/>
  <c r="P813" i="18"/>
  <c r="Q813" i="18"/>
  <c r="R813" i="18"/>
  <c r="A814" i="18"/>
  <c r="C814" i="18"/>
  <c r="E814" i="18"/>
  <c r="F814" i="18"/>
  <c r="H814" i="18"/>
  <c r="I814" i="18"/>
  <c r="K814" i="18"/>
  <c r="L814" i="18"/>
  <c r="M814" i="18"/>
  <c r="O814" i="18"/>
  <c r="P814" i="18"/>
  <c r="Q814" i="18"/>
  <c r="R814" i="18"/>
  <c r="A815" i="18"/>
  <c r="C815" i="18"/>
  <c r="E815" i="18"/>
  <c r="F815" i="18"/>
  <c r="H815" i="18"/>
  <c r="I815" i="18"/>
  <c r="K815" i="18"/>
  <c r="L815" i="18"/>
  <c r="M815" i="18"/>
  <c r="O815" i="18"/>
  <c r="P815" i="18"/>
  <c r="Q815" i="18"/>
  <c r="R815" i="18"/>
  <c r="A816" i="18"/>
  <c r="C816" i="18"/>
  <c r="E816" i="18"/>
  <c r="F816" i="18"/>
  <c r="H816" i="18"/>
  <c r="I816" i="18"/>
  <c r="K816" i="18"/>
  <c r="L816" i="18"/>
  <c r="M816" i="18"/>
  <c r="O816" i="18"/>
  <c r="P816" i="18"/>
  <c r="Q816" i="18"/>
  <c r="R816" i="18"/>
  <c r="A817" i="18"/>
  <c r="C817" i="18"/>
  <c r="E817" i="18"/>
  <c r="F817" i="18"/>
  <c r="H817" i="18"/>
  <c r="I817" i="18"/>
  <c r="K817" i="18"/>
  <c r="L817" i="18"/>
  <c r="M817" i="18"/>
  <c r="O817" i="18"/>
  <c r="P817" i="18"/>
  <c r="Q817" i="18"/>
  <c r="R817" i="18"/>
  <c r="A818" i="18"/>
  <c r="C818" i="18"/>
  <c r="E818" i="18"/>
  <c r="F818" i="18"/>
  <c r="H818" i="18"/>
  <c r="I818" i="18"/>
  <c r="K818" i="18"/>
  <c r="L818" i="18"/>
  <c r="M818" i="18"/>
  <c r="O818" i="18"/>
  <c r="P818" i="18"/>
  <c r="Q818" i="18"/>
  <c r="R818" i="18"/>
  <c r="A819" i="18"/>
  <c r="C819" i="18"/>
  <c r="E819" i="18"/>
  <c r="F819" i="18"/>
  <c r="H819" i="18"/>
  <c r="I819" i="18"/>
  <c r="K819" i="18"/>
  <c r="L819" i="18"/>
  <c r="M819" i="18"/>
  <c r="O819" i="18"/>
  <c r="P819" i="18"/>
  <c r="Q819" i="18"/>
  <c r="R819" i="18"/>
  <c r="A820" i="18"/>
  <c r="C820" i="18"/>
  <c r="E820" i="18"/>
  <c r="F820" i="18"/>
  <c r="H820" i="18"/>
  <c r="I820" i="18"/>
  <c r="K820" i="18"/>
  <c r="L820" i="18"/>
  <c r="M820" i="18"/>
  <c r="O820" i="18"/>
  <c r="P820" i="18"/>
  <c r="Q820" i="18"/>
  <c r="R820" i="18"/>
  <c r="A821" i="18"/>
  <c r="C821" i="18"/>
  <c r="E821" i="18"/>
  <c r="F821" i="18"/>
  <c r="H821" i="18"/>
  <c r="I821" i="18"/>
  <c r="K821" i="18"/>
  <c r="L821" i="18"/>
  <c r="M821" i="18"/>
  <c r="O821" i="18"/>
  <c r="P821" i="18"/>
  <c r="Q821" i="18"/>
  <c r="R821" i="18"/>
  <c r="A822" i="18"/>
  <c r="C822" i="18"/>
  <c r="E822" i="18"/>
  <c r="F822" i="18"/>
  <c r="H822" i="18"/>
  <c r="I822" i="18"/>
  <c r="K822" i="18"/>
  <c r="L822" i="18"/>
  <c r="M822" i="18"/>
  <c r="O822" i="18"/>
  <c r="P822" i="18"/>
  <c r="Q822" i="18"/>
  <c r="R822" i="18"/>
  <c r="A823" i="18"/>
  <c r="C823" i="18"/>
  <c r="E823" i="18"/>
  <c r="F823" i="18"/>
  <c r="H823" i="18"/>
  <c r="I823" i="18"/>
  <c r="K823" i="18"/>
  <c r="L823" i="18"/>
  <c r="M823" i="18"/>
  <c r="O823" i="18"/>
  <c r="P823" i="18"/>
  <c r="Q823" i="18"/>
  <c r="R823" i="18"/>
  <c r="A824" i="18"/>
  <c r="C824" i="18"/>
  <c r="E824" i="18"/>
  <c r="F824" i="18"/>
  <c r="H824" i="18"/>
  <c r="I824" i="18"/>
  <c r="K824" i="18"/>
  <c r="L824" i="18"/>
  <c r="M824" i="18"/>
  <c r="O824" i="18"/>
  <c r="P824" i="18"/>
  <c r="Q824" i="18"/>
  <c r="R824" i="18"/>
  <c r="A825" i="18"/>
  <c r="C825" i="18"/>
  <c r="E825" i="18"/>
  <c r="F825" i="18"/>
  <c r="H825" i="18"/>
  <c r="I825" i="18"/>
  <c r="K825" i="18"/>
  <c r="L825" i="18"/>
  <c r="M825" i="18"/>
  <c r="O825" i="18"/>
  <c r="P825" i="18"/>
  <c r="Q825" i="18"/>
  <c r="R825" i="18"/>
  <c r="A826" i="18"/>
  <c r="C826" i="18"/>
  <c r="E826" i="18"/>
  <c r="F826" i="18"/>
  <c r="H826" i="18"/>
  <c r="I826" i="18"/>
  <c r="K826" i="18"/>
  <c r="L826" i="18"/>
  <c r="M826" i="18"/>
  <c r="O826" i="18"/>
  <c r="P826" i="18"/>
  <c r="Q826" i="18"/>
  <c r="R826" i="18"/>
  <c r="A827" i="18"/>
  <c r="C827" i="18"/>
  <c r="E827" i="18"/>
  <c r="F827" i="18"/>
  <c r="H827" i="18"/>
  <c r="I827" i="18"/>
  <c r="K827" i="18"/>
  <c r="L827" i="18"/>
  <c r="M827" i="18"/>
  <c r="O827" i="18"/>
  <c r="P827" i="18"/>
  <c r="Q827" i="18"/>
  <c r="R827" i="18"/>
  <c r="A828" i="18"/>
  <c r="C828" i="18"/>
  <c r="E828" i="18"/>
  <c r="F828" i="18"/>
  <c r="H828" i="18"/>
  <c r="I828" i="18"/>
  <c r="K828" i="18"/>
  <c r="L828" i="18"/>
  <c r="M828" i="18"/>
  <c r="O828" i="18"/>
  <c r="P828" i="18"/>
  <c r="Q828" i="18"/>
  <c r="R828" i="18"/>
  <c r="A829" i="18"/>
  <c r="C829" i="18"/>
  <c r="E829" i="18"/>
  <c r="F829" i="18"/>
  <c r="H829" i="18"/>
  <c r="I829" i="18"/>
  <c r="K829" i="18"/>
  <c r="L829" i="18"/>
  <c r="M829" i="18"/>
  <c r="O829" i="18"/>
  <c r="P829" i="18"/>
  <c r="Q829" i="18"/>
  <c r="R829" i="18"/>
  <c r="A830" i="18"/>
  <c r="C830" i="18"/>
  <c r="E830" i="18"/>
  <c r="F830" i="18"/>
  <c r="H830" i="18"/>
  <c r="I830" i="18"/>
  <c r="K830" i="18"/>
  <c r="L830" i="18"/>
  <c r="M830" i="18"/>
  <c r="O830" i="18"/>
  <c r="P830" i="18"/>
  <c r="Q830" i="18"/>
  <c r="R830" i="18"/>
  <c r="A831" i="18"/>
  <c r="C831" i="18"/>
  <c r="E831" i="18"/>
  <c r="F831" i="18"/>
  <c r="H831" i="18"/>
  <c r="I831" i="18"/>
  <c r="K831" i="18"/>
  <c r="L831" i="18"/>
  <c r="M831" i="18"/>
  <c r="O831" i="18"/>
  <c r="P831" i="18"/>
  <c r="Q831" i="18"/>
  <c r="R831" i="18"/>
  <c r="A832" i="18"/>
  <c r="C832" i="18"/>
  <c r="E832" i="18"/>
  <c r="F832" i="18"/>
  <c r="H832" i="18"/>
  <c r="I832" i="18"/>
  <c r="K832" i="18"/>
  <c r="L832" i="18"/>
  <c r="M832" i="18"/>
  <c r="O832" i="18"/>
  <c r="P832" i="18"/>
  <c r="Q832" i="18"/>
  <c r="R832" i="18"/>
  <c r="A833" i="18"/>
  <c r="C833" i="18"/>
  <c r="E833" i="18"/>
  <c r="F833" i="18"/>
  <c r="H833" i="18"/>
  <c r="I833" i="18"/>
  <c r="K833" i="18"/>
  <c r="L833" i="18"/>
  <c r="M833" i="18"/>
  <c r="O833" i="18"/>
  <c r="P833" i="18"/>
  <c r="Q833" i="18"/>
  <c r="R833" i="18"/>
  <c r="A834" i="18"/>
  <c r="C834" i="18"/>
  <c r="E834" i="18"/>
  <c r="F834" i="18"/>
  <c r="H834" i="18"/>
  <c r="I834" i="18"/>
  <c r="K834" i="18"/>
  <c r="L834" i="18"/>
  <c r="M834" i="18"/>
  <c r="O834" i="18"/>
  <c r="P834" i="18"/>
  <c r="Q834" i="18"/>
  <c r="R834" i="18"/>
  <c r="A835" i="18"/>
  <c r="C835" i="18"/>
  <c r="E835" i="18"/>
  <c r="F835" i="18"/>
  <c r="H835" i="18"/>
  <c r="I835" i="18"/>
  <c r="K835" i="18"/>
  <c r="L835" i="18"/>
  <c r="M835" i="18"/>
  <c r="O835" i="18"/>
  <c r="P835" i="18"/>
  <c r="Q835" i="18"/>
  <c r="R835" i="18"/>
  <c r="A836" i="18"/>
  <c r="C836" i="18"/>
  <c r="E836" i="18"/>
  <c r="F836" i="18"/>
  <c r="H836" i="18"/>
  <c r="I836" i="18"/>
  <c r="K836" i="18"/>
  <c r="L836" i="18"/>
  <c r="M836" i="18"/>
  <c r="O836" i="18"/>
  <c r="P836" i="18"/>
  <c r="Q836" i="18"/>
  <c r="R836" i="18"/>
  <c r="A837" i="18"/>
  <c r="C837" i="18"/>
  <c r="E837" i="18"/>
  <c r="F837" i="18"/>
  <c r="H837" i="18"/>
  <c r="I837" i="18"/>
  <c r="K837" i="18"/>
  <c r="L837" i="18"/>
  <c r="M837" i="18"/>
  <c r="O837" i="18"/>
  <c r="P837" i="18"/>
  <c r="Q837" i="18"/>
  <c r="R837" i="18"/>
  <c r="A838" i="18"/>
  <c r="C838" i="18"/>
  <c r="E838" i="18"/>
  <c r="F838" i="18"/>
  <c r="H838" i="18"/>
  <c r="I838" i="18"/>
  <c r="K838" i="18"/>
  <c r="L838" i="18"/>
  <c r="M838" i="18"/>
  <c r="O838" i="18"/>
  <c r="P838" i="18"/>
  <c r="Q838" i="18"/>
  <c r="R838" i="18"/>
  <c r="A839" i="18"/>
  <c r="C839" i="18"/>
  <c r="E839" i="18"/>
  <c r="F839" i="18"/>
  <c r="H839" i="18"/>
  <c r="I839" i="18"/>
  <c r="K839" i="18"/>
  <c r="L839" i="18"/>
  <c r="M839" i="18"/>
  <c r="O839" i="18"/>
  <c r="P839" i="18"/>
  <c r="Q839" i="18"/>
  <c r="R839" i="18"/>
  <c r="A840" i="18"/>
  <c r="C840" i="18"/>
  <c r="E840" i="18"/>
  <c r="F840" i="18"/>
  <c r="H840" i="18"/>
  <c r="I840" i="18"/>
  <c r="K840" i="18"/>
  <c r="L840" i="18"/>
  <c r="M840" i="18"/>
  <c r="O840" i="18"/>
  <c r="P840" i="18"/>
  <c r="Q840" i="18"/>
  <c r="R840" i="18"/>
  <c r="A841" i="18"/>
  <c r="C841" i="18"/>
  <c r="E841" i="18"/>
  <c r="F841" i="18"/>
  <c r="H841" i="18"/>
  <c r="I841" i="18"/>
  <c r="K841" i="18"/>
  <c r="L841" i="18"/>
  <c r="M841" i="18"/>
  <c r="O841" i="18"/>
  <c r="P841" i="18"/>
  <c r="Q841" i="18"/>
  <c r="R841" i="18"/>
  <c r="A842" i="18"/>
  <c r="C842" i="18"/>
  <c r="E842" i="18"/>
  <c r="F842" i="18"/>
  <c r="H842" i="18"/>
  <c r="I842" i="18"/>
  <c r="K842" i="18"/>
  <c r="L842" i="18"/>
  <c r="M842" i="18"/>
  <c r="O842" i="18"/>
  <c r="P842" i="18"/>
  <c r="Q842" i="18"/>
  <c r="R842" i="18"/>
  <c r="A843" i="18"/>
  <c r="C843" i="18"/>
  <c r="E843" i="18"/>
  <c r="F843" i="18"/>
  <c r="H843" i="18"/>
  <c r="I843" i="18"/>
  <c r="K843" i="18"/>
  <c r="L843" i="18"/>
  <c r="M843" i="18"/>
  <c r="O843" i="18"/>
  <c r="P843" i="18"/>
  <c r="Q843" i="18"/>
  <c r="R843" i="18"/>
  <c r="A844" i="18"/>
  <c r="C844" i="18"/>
  <c r="E844" i="18"/>
  <c r="F844" i="18"/>
  <c r="H844" i="18"/>
  <c r="I844" i="18"/>
  <c r="K844" i="18"/>
  <c r="L844" i="18"/>
  <c r="M844" i="18"/>
  <c r="O844" i="18"/>
  <c r="P844" i="18"/>
  <c r="Q844" i="18"/>
  <c r="R844" i="18"/>
  <c r="A845" i="18"/>
  <c r="C845" i="18"/>
  <c r="E845" i="18"/>
  <c r="F845" i="18"/>
  <c r="H845" i="18"/>
  <c r="I845" i="18"/>
  <c r="K845" i="18"/>
  <c r="L845" i="18"/>
  <c r="M845" i="18"/>
  <c r="O845" i="18"/>
  <c r="P845" i="18"/>
  <c r="Q845" i="18"/>
  <c r="R845" i="18"/>
  <c r="A846" i="18"/>
  <c r="C846" i="18"/>
  <c r="E846" i="18"/>
  <c r="F846" i="18"/>
  <c r="H846" i="18"/>
  <c r="I846" i="18"/>
  <c r="K846" i="18"/>
  <c r="L846" i="18"/>
  <c r="M846" i="18"/>
  <c r="O846" i="18"/>
  <c r="P846" i="18"/>
  <c r="Q846" i="18"/>
  <c r="R846" i="18"/>
  <c r="A847" i="18"/>
  <c r="C847" i="18"/>
  <c r="E847" i="18"/>
  <c r="F847" i="18"/>
  <c r="H847" i="18"/>
  <c r="I847" i="18"/>
  <c r="K847" i="18"/>
  <c r="L847" i="18"/>
  <c r="M847" i="18"/>
  <c r="O847" i="18"/>
  <c r="P847" i="18"/>
  <c r="Q847" i="18"/>
  <c r="R847" i="18"/>
  <c r="A848" i="18"/>
  <c r="C848" i="18"/>
  <c r="E848" i="18"/>
  <c r="F848" i="18"/>
  <c r="H848" i="18"/>
  <c r="I848" i="18"/>
  <c r="K848" i="18"/>
  <c r="L848" i="18"/>
  <c r="M848" i="18"/>
  <c r="O848" i="18"/>
  <c r="P848" i="18"/>
  <c r="Q848" i="18"/>
  <c r="R848" i="18"/>
  <c r="A849" i="18"/>
  <c r="C849" i="18"/>
  <c r="E849" i="18"/>
  <c r="F849" i="18"/>
  <c r="H849" i="18"/>
  <c r="I849" i="18"/>
  <c r="K849" i="18"/>
  <c r="L849" i="18"/>
  <c r="M849" i="18"/>
  <c r="O849" i="18"/>
  <c r="P849" i="18"/>
  <c r="Q849" i="18"/>
  <c r="R849" i="18"/>
  <c r="A850" i="18"/>
  <c r="C850" i="18"/>
  <c r="E850" i="18"/>
  <c r="F850" i="18"/>
  <c r="H850" i="18"/>
  <c r="I850" i="18"/>
  <c r="K850" i="18"/>
  <c r="L850" i="18"/>
  <c r="M850" i="18"/>
  <c r="O850" i="18"/>
  <c r="P850" i="18"/>
  <c r="Q850" i="18"/>
  <c r="R850" i="18"/>
  <c r="A851" i="18"/>
  <c r="C851" i="18"/>
  <c r="E851" i="18"/>
  <c r="F851" i="18"/>
  <c r="H851" i="18"/>
  <c r="I851" i="18"/>
  <c r="K851" i="18"/>
  <c r="L851" i="18"/>
  <c r="M851" i="18"/>
  <c r="O851" i="18"/>
  <c r="P851" i="18"/>
  <c r="Q851" i="18"/>
  <c r="R851" i="18"/>
  <c r="A852" i="18"/>
  <c r="C852" i="18"/>
  <c r="E852" i="18"/>
  <c r="F852" i="18"/>
  <c r="H852" i="18"/>
  <c r="I852" i="18"/>
  <c r="K852" i="18"/>
  <c r="L852" i="18"/>
  <c r="M852" i="18"/>
  <c r="O852" i="18"/>
  <c r="P852" i="18"/>
  <c r="Q852" i="18"/>
  <c r="R852" i="18"/>
  <c r="A853" i="18"/>
  <c r="C853" i="18"/>
  <c r="E853" i="18"/>
  <c r="F853" i="18"/>
  <c r="H853" i="18"/>
  <c r="I853" i="18"/>
  <c r="K853" i="18"/>
  <c r="L853" i="18"/>
  <c r="M853" i="18"/>
  <c r="O853" i="18"/>
  <c r="P853" i="18"/>
  <c r="Q853" i="18"/>
  <c r="R853" i="18"/>
  <c r="A854" i="18"/>
  <c r="C854" i="18"/>
  <c r="E854" i="18"/>
  <c r="F854" i="18"/>
  <c r="H854" i="18"/>
  <c r="I854" i="18"/>
  <c r="K854" i="18"/>
  <c r="L854" i="18"/>
  <c r="M854" i="18"/>
  <c r="O854" i="18"/>
  <c r="P854" i="18"/>
  <c r="Q854" i="18"/>
  <c r="R854" i="18"/>
  <c r="A855" i="18"/>
  <c r="C855" i="18"/>
  <c r="E855" i="18"/>
  <c r="F855" i="18"/>
  <c r="H855" i="18"/>
  <c r="I855" i="18"/>
  <c r="K855" i="18"/>
  <c r="L855" i="18"/>
  <c r="M855" i="18"/>
  <c r="O855" i="18"/>
  <c r="P855" i="18"/>
  <c r="Q855" i="18"/>
  <c r="R855" i="18"/>
  <c r="A856" i="18"/>
  <c r="C856" i="18"/>
  <c r="E856" i="18"/>
  <c r="F856" i="18"/>
  <c r="H856" i="18"/>
  <c r="I856" i="18"/>
  <c r="K856" i="18"/>
  <c r="L856" i="18"/>
  <c r="M856" i="18"/>
  <c r="O856" i="18"/>
  <c r="P856" i="18"/>
  <c r="Q856" i="18"/>
  <c r="R856" i="18"/>
  <c r="A857" i="18"/>
  <c r="C857" i="18"/>
  <c r="E857" i="18"/>
  <c r="F857" i="18"/>
  <c r="H857" i="18"/>
  <c r="I857" i="18"/>
  <c r="K857" i="18"/>
  <c r="L857" i="18"/>
  <c r="M857" i="18"/>
  <c r="O857" i="18"/>
  <c r="P857" i="18"/>
  <c r="Q857" i="18"/>
  <c r="R857" i="18"/>
  <c r="A858" i="18"/>
  <c r="C858" i="18"/>
  <c r="E858" i="18"/>
  <c r="F858" i="18"/>
  <c r="H858" i="18"/>
  <c r="I858" i="18"/>
  <c r="K858" i="18"/>
  <c r="L858" i="18"/>
  <c r="M858" i="18"/>
  <c r="O858" i="18"/>
  <c r="P858" i="18"/>
  <c r="Q858" i="18"/>
  <c r="R858" i="18"/>
  <c r="A859" i="18"/>
  <c r="C859" i="18"/>
  <c r="E859" i="18"/>
  <c r="F859" i="18"/>
  <c r="H859" i="18"/>
  <c r="I859" i="18"/>
  <c r="K859" i="18"/>
  <c r="L859" i="18"/>
  <c r="M859" i="18"/>
  <c r="O859" i="18"/>
  <c r="P859" i="18"/>
  <c r="Q859" i="18"/>
  <c r="R859" i="18"/>
  <c r="A860" i="18"/>
  <c r="C860" i="18"/>
  <c r="E860" i="18"/>
  <c r="F860" i="18"/>
  <c r="H860" i="18"/>
  <c r="I860" i="18"/>
  <c r="K860" i="18"/>
  <c r="L860" i="18"/>
  <c r="M860" i="18"/>
  <c r="O860" i="18"/>
  <c r="P860" i="18"/>
  <c r="Q860" i="18"/>
  <c r="R860" i="18"/>
  <c r="A861" i="18"/>
  <c r="C861" i="18"/>
  <c r="E861" i="18"/>
  <c r="F861" i="18"/>
  <c r="H861" i="18"/>
  <c r="I861" i="18"/>
  <c r="K861" i="18"/>
  <c r="L861" i="18"/>
  <c r="M861" i="18"/>
  <c r="O861" i="18"/>
  <c r="P861" i="18"/>
  <c r="Q861" i="18"/>
  <c r="R861" i="18"/>
  <c r="A862" i="18"/>
  <c r="C862" i="18"/>
  <c r="E862" i="18"/>
  <c r="F862" i="18"/>
  <c r="H862" i="18"/>
  <c r="I862" i="18"/>
  <c r="K862" i="18"/>
  <c r="L862" i="18"/>
  <c r="M862" i="18"/>
  <c r="O862" i="18"/>
  <c r="P862" i="18"/>
  <c r="Q862" i="18"/>
  <c r="R862" i="18"/>
  <c r="A863" i="18"/>
  <c r="C863" i="18"/>
  <c r="E863" i="18"/>
  <c r="F863" i="18"/>
  <c r="H863" i="18"/>
  <c r="I863" i="18"/>
  <c r="K863" i="18"/>
  <c r="L863" i="18"/>
  <c r="M863" i="18"/>
  <c r="O863" i="18"/>
  <c r="P863" i="18"/>
  <c r="Q863" i="18"/>
  <c r="R863" i="18"/>
  <c r="A864" i="18"/>
  <c r="C864" i="18"/>
  <c r="E864" i="18"/>
  <c r="F864" i="18"/>
  <c r="H864" i="18"/>
  <c r="I864" i="18"/>
  <c r="K864" i="18"/>
  <c r="L864" i="18"/>
  <c r="M864" i="18"/>
  <c r="O864" i="18"/>
  <c r="P864" i="18"/>
  <c r="Q864" i="18"/>
  <c r="R864" i="18"/>
  <c r="A865" i="18"/>
  <c r="C865" i="18"/>
  <c r="E865" i="18"/>
  <c r="F865" i="18"/>
  <c r="H865" i="18"/>
  <c r="I865" i="18"/>
  <c r="K865" i="18"/>
  <c r="L865" i="18"/>
  <c r="M865" i="18"/>
  <c r="O865" i="18"/>
  <c r="P865" i="18"/>
  <c r="Q865" i="18"/>
  <c r="R865" i="18"/>
  <c r="A866" i="18"/>
  <c r="C866" i="18"/>
  <c r="E866" i="18"/>
  <c r="F866" i="18"/>
  <c r="H866" i="18"/>
  <c r="I866" i="18"/>
  <c r="K866" i="18"/>
  <c r="L866" i="18"/>
  <c r="M866" i="18"/>
  <c r="O866" i="18"/>
  <c r="P866" i="18"/>
  <c r="Q866" i="18"/>
  <c r="R866" i="18"/>
  <c r="A867" i="18"/>
  <c r="C867" i="18"/>
  <c r="E867" i="18"/>
  <c r="F867" i="18"/>
  <c r="H867" i="18"/>
  <c r="I867" i="18"/>
  <c r="K867" i="18"/>
  <c r="L867" i="18"/>
  <c r="M867" i="18"/>
  <c r="O867" i="18"/>
  <c r="P867" i="18"/>
  <c r="Q867" i="18"/>
  <c r="R867" i="18"/>
  <c r="A868" i="18"/>
  <c r="C868" i="18"/>
  <c r="E868" i="18"/>
  <c r="F868" i="18"/>
  <c r="H868" i="18"/>
  <c r="I868" i="18"/>
  <c r="K868" i="18"/>
  <c r="L868" i="18"/>
  <c r="M868" i="18"/>
  <c r="O868" i="18"/>
  <c r="P868" i="18"/>
  <c r="Q868" i="18"/>
  <c r="R868" i="18"/>
  <c r="A869" i="18"/>
  <c r="C869" i="18"/>
  <c r="E869" i="18"/>
  <c r="F869" i="18"/>
  <c r="H869" i="18"/>
  <c r="I869" i="18"/>
  <c r="K869" i="18"/>
  <c r="L869" i="18"/>
  <c r="M869" i="18"/>
  <c r="O869" i="18"/>
  <c r="P869" i="18"/>
  <c r="Q869" i="18"/>
  <c r="R869" i="18"/>
  <c r="A870" i="18"/>
  <c r="C870" i="18"/>
  <c r="E870" i="18"/>
  <c r="F870" i="18"/>
  <c r="H870" i="18"/>
  <c r="I870" i="18"/>
  <c r="K870" i="18"/>
  <c r="L870" i="18"/>
  <c r="M870" i="18"/>
  <c r="O870" i="18"/>
  <c r="P870" i="18"/>
  <c r="Q870" i="18"/>
  <c r="R870" i="18"/>
  <c r="A871" i="18"/>
  <c r="C871" i="18"/>
  <c r="E871" i="18"/>
  <c r="F871" i="18"/>
  <c r="H871" i="18"/>
  <c r="I871" i="18"/>
  <c r="K871" i="18"/>
  <c r="L871" i="18"/>
  <c r="M871" i="18"/>
  <c r="O871" i="18"/>
  <c r="P871" i="18"/>
  <c r="Q871" i="18"/>
  <c r="R871" i="18"/>
  <c r="A872" i="18"/>
  <c r="C872" i="18"/>
  <c r="E872" i="18"/>
  <c r="F872" i="18"/>
  <c r="H872" i="18"/>
  <c r="I872" i="18"/>
  <c r="K872" i="18"/>
  <c r="L872" i="18"/>
  <c r="M872" i="18"/>
  <c r="O872" i="18"/>
  <c r="P872" i="18"/>
  <c r="Q872" i="18"/>
  <c r="R872" i="18"/>
  <c r="A873" i="18"/>
  <c r="C873" i="18"/>
  <c r="E873" i="18"/>
  <c r="F873" i="18"/>
  <c r="H873" i="18"/>
  <c r="I873" i="18"/>
  <c r="K873" i="18"/>
  <c r="L873" i="18"/>
  <c r="M873" i="18"/>
  <c r="O873" i="18"/>
  <c r="P873" i="18"/>
  <c r="Q873" i="18"/>
  <c r="R873" i="18"/>
  <c r="A874" i="18"/>
  <c r="C874" i="18"/>
  <c r="E874" i="18"/>
  <c r="F874" i="18"/>
  <c r="H874" i="18"/>
  <c r="I874" i="18"/>
  <c r="K874" i="18"/>
  <c r="L874" i="18"/>
  <c r="M874" i="18"/>
  <c r="O874" i="18"/>
  <c r="P874" i="18"/>
  <c r="Q874" i="18"/>
  <c r="R874" i="18"/>
  <c r="A875" i="18"/>
  <c r="C875" i="18"/>
  <c r="E875" i="18"/>
  <c r="F875" i="18"/>
  <c r="H875" i="18"/>
  <c r="I875" i="18"/>
  <c r="K875" i="18"/>
  <c r="L875" i="18"/>
  <c r="M875" i="18"/>
  <c r="O875" i="18"/>
  <c r="P875" i="18"/>
  <c r="Q875" i="18"/>
  <c r="R875" i="18"/>
  <c r="A876" i="18"/>
  <c r="C876" i="18"/>
  <c r="E876" i="18"/>
  <c r="F876" i="18"/>
  <c r="H876" i="18"/>
  <c r="I876" i="18"/>
  <c r="K876" i="18"/>
  <c r="L876" i="18"/>
  <c r="M876" i="18"/>
  <c r="O876" i="18"/>
  <c r="P876" i="18"/>
  <c r="Q876" i="18"/>
  <c r="R876" i="18"/>
  <c r="A877" i="18"/>
  <c r="C877" i="18"/>
  <c r="E877" i="18"/>
  <c r="F877" i="18"/>
  <c r="H877" i="18"/>
  <c r="I877" i="18"/>
  <c r="K877" i="18"/>
  <c r="L877" i="18"/>
  <c r="M877" i="18"/>
  <c r="O877" i="18"/>
  <c r="P877" i="18"/>
  <c r="Q877" i="18"/>
  <c r="R877" i="18"/>
  <c r="A878" i="18"/>
  <c r="C878" i="18"/>
  <c r="E878" i="18"/>
  <c r="F878" i="18"/>
  <c r="H878" i="18"/>
  <c r="I878" i="18"/>
  <c r="K878" i="18"/>
  <c r="L878" i="18"/>
  <c r="M878" i="18"/>
  <c r="O878" i="18"/>
  <c r="P878" i="18"/>
  <c r="Q878" i="18"/>
  <c r="R878" i="18"/>
  <c r="A879" i="18"/>
  <c r="C879" i="18"/>
  <c r="E879" i="18"/>
  <c r="F879" i="18"/>
  <c r="H879" i="18"/>
  <c r="I879" i="18"/>
  <c r="K879" i="18"/>
  <c r="L879" i="18"/>
  <c r="M879" i="18"/>
  <c r="O879" i="18"/>
  <c r="P879" i="18"/>
  <c r="Q879" i="18"/>
  <c r="R879" i="18"/>
  <c r="A880" i="18"/>
  <c r="C880" i="18"/>
  <c r="E880" i="18"/>
  <c r="F880" i="18"/>
  <c r="H880" i="18"/>
  <c r="I880" i="18"/>
  <c r="K880" i="18"/>
  <c r="L880" i="18"/>
  <c r="M880" i="18"/>
  <c r="O880" i="18"/>
  <c r="P880" i="18"/>
  <c r="Q880" i="18"/>
  <c r="R880" i="18"/>
  <c r="A881" i="18"/>
  <c r="C881" i="18"/>
  <c r="E881" i="18"/>
  <c r="F881" i="18"/>
  <c r="H881" i="18"/>
  <c r="I881" i="18"/>
  <c r="K881" i="18"/>
  <c r="L881" i="18"/>
  <c r="M881" i="18"/>
  <c r="O881" i="18"/>
  <c r="P881" i="18"/>
  <c r="Q881" i="18"/>
  <c r="R881" i="18"/>
  <c r="A882" i="18"/>
  <c r="C882" i="18"/>
  <c r="E882" i="18"/>
  <c r="F882" i="18"/>
  <c r="H882" i="18"/>
  <c r="I882" i="18"/>
  <c r="K882" i="18"/>
  <c r="L882" i="18"/>
  <c r="M882" i="18"/>
  <c r="O882" i="18"/>
  <c r="P882" i="18"/>
  <c r="Q882" i="18"/>
  <c r="R882" i="18"/>
  <c r="A883" i="18"/>
  <c r="C883" i="18"/>
  <c r="E883" i="18"/>
  <c r="F883" i="18"/>
  <c r="H883" i="18"/>
  <c r="I883" i="18"/>
  <c r="K883" i="18"/>
  <c r="L883" i="18"/>
  <c r="M883" i="18"/>
  <c r="O883" i="18"/>
  <c r="P883" i="18"/>
  <c r="Q883" i="18"/>
  <c r="R883" i="18"/>
  <c r="A884" i="18"/>
  <c r="C884" i="18"/>
  <c r="E884" i="18"/>
  <c r="F884" i="18"/>
  <c r="H884" i="18"/>
  <c r="I884" i="18"/>
  <c r="K884" i="18"/>
  <c r="L884" i="18"/>
  <c r="M884" i="18"/>
  <c r="O884" i="18"/>
  <c r="P884" i="18"/>
  <c r="Q884" i="18"/>
  <c r="R884" i="18"/>
  <c r="A885" i="18"/>
  <c r="C885" i="18"/>
  <c r="E885" i="18"/>
  <c r="F885" i="18"/>
  <c r="H885" i="18"/>
  <c r="I885" i="18"/>
  <c r="K885" i="18"/>
  <c r="L885" i="18"/>
  <c r="M885" i="18"/>
  <c r="O885" i="18"/>
  <c r="P885" i="18"/>
  <c r="Q885" i="18"/>
  <c r="R885" i="18"/>
  <c r="A886" i="18"/>
  <c r="C886" i="18"/>
  <c r="E886" i="18"/>
  <c r="F886" i="18"/>
  <c r="H886" i="18"/>
  <c r="I886" i="18"/>
  <c r="K886" i="18"/>
  <c r="L886" i="18"/>
  <c r="M886" i="18"/>
  <c r="O886" i="18"/>
  <c r="P886" i="18"/>
  <c r="Q886" i="18"/>
  <c r="R886" i="18"/>
  <c r="A887" i="18"/>
  <c r="C887" i="18"/>
  <c r="E887" i="18"/>
  <c r="F887" i="18"/>
  <c r="H887" i="18"/>
  <c r="I887" i="18"/>
  <c r="K887" i="18"/>
  <c r="L887" i="18"/>
  <c r="M887" i="18"/>
  <c r="O887" i="18"/>
  <c r="P887" i="18"/>
  <c r="Q887" i="18"/>
  <c r="R887" i="18"/>
  <c r="A888" i="18"/>
  <c r="C888" i="18"/>
  <c r="E888" i="18"/>
  <c r="F888" i="18"/>
  <c r="H888" i="18"/>
  <c r="I888" i="18"/>
  <c r="K888" i="18"/>
  <c r="L888" i="18"/>
  <c r="M888" i="18"/>
  <c r="O888" i="18"/>
  <c r="P888" i="18"/>
  <c r="Q888" i="18"/>
  <c r="R888" i="18"/>
  <c r="A889" i="18"/>
  <c r="C889" i="18"/>
  <c r="E889" i="18"/>
  <c r="F889" i="18"/>
  <c r="H889" i="18"/>
  <c r="I889" i="18"/>
  <c r="K889" i="18"/>
  <c r="L889" i="18"/>
  <c r="M889" i="18"/>
  <c r="O889" i="18"/>
  <c r="P889" i="18"/>
  <c r="Q889" i="18"/>
  <c r="R889" i="18"/>
  <c r="A890" i="18"/>
  <c r="C890" i="18"/>
  <c r="E890" i="18"/>
  <c r="F890" i="18"/>
  <c r="H890" i="18"/>
  <c r="I890" i="18"/>
  <c r="K890" i="18"/>
  <c r="L890" i="18"/>
  <c r="M890" i="18"/>
  <c r="O890" i="18"/>
  <c r="P890" i="18"/>
  <c r="Q890" i="18"/>
  <c r="R890" i="18"/>
  <c r="A891" i="18"/>
  <c r="C891" i="18"/>
  <c r="E891" i="18"/>
  <c r="F891" i="18"/>
  <c r="H891" i="18"/>
  <c r="I891" i="18"/>
  <c r="K891" i="18"/>
  <c r="L891" i="18"/>
  <c r="M891" i="18"/>
  <c r="O891" i="18"/>
  <c r="P891" i="18"/>
  <c r="Q891" i="18"/>
  <c r="R891" i="18"/>
  <c r="A892" i="18"/>
  <c r="C892" i="18"/>
  <c r="E892" i="18"/>
  <c r="F892" i="18"/>
  <c r="H892" i="18"/>
  <c r="I892" i="18"/>
  <c r="K892" i="18"/>
  <c r="L892" i="18"/>
  <c r="M892" i="18"/>
  <c r="O892" i="18"/>
  <c r="P892" i="18"/>
  <c r="Q892" i="18"/>
  <c r="R892" i="18"/>
  <c r="A893" i="18"/>
  <c r="C893" i="18"/>
  <c r="E893" i="18"/>
  <c r="F893" i="18"/>
  <c r="H893" i="18"/>
  <c r="I893" i="18"/>
  <c r="K893" i="18"/>
  <c r="L893" i="18"/>
  <c r="M893" i="18"/>
  <c r="O893" i="18"/>
  <c r="P893" i="18"/>
  <c r="Q893" i="18"/>
  <c r="R893" i="18"/>
  <c r="A894" i="18"/>
  <c r="C894" i="18"/>
  <c r="E894" i="18"/>
  <c r="F894" i="18"/>
  <c r="H894" i="18"/>
  <c r="I894" i="18"/>
  <c r="K894" i="18"/>
  <c r="L894" i="18"/>
  <c r="M894" i="18"/>
  <c r="O894" i="18"/>
  <c r="P894" i="18"/>
  <c r="Q894" i="18"/>
  <c r="R894" i="18"/>
  <c r="A895" i="18"/>
  <c r="C895" i="18"/>
  <c r="E895" i="18"/>
  <c r="F895" i="18"/>
  <c r="H895" i="18"/>
  <c r="I895" i="18"/>
  <c r="K895" i="18"/>
  <c r="L895" i="18"/>
  <c r="M895" i="18"/>
  <c r="O895" i="18"/>
  <c r="P895" i="18"/>
  <c r="Q895" i="18"/>
  <c r="R895" i="18"/>
  <c r="A896" i="18"/>
  <c r="C896" i="18"/>
  <c r="E896" i="18"/>
  <c r="F896" i="18"/>
  <c r="H896" i="18"/>
  <c r="I896" i="18"/>
  <c r="K896" i="18"/>
  <c r="L896" i="18"/>
  <c r="M896" i="18"/>
  <c r="O896" i="18"/>
  <c r="P896" i="18"/>
  <c r="Q896" i="18"/>
  <c r="R896" i="18"/>
  <c r="A897" i="18"/>
  <c r="C897" i="18"/>
  <c r="E897" i="18"/>
  <c r="F897" i="18"/>
  <c r="H897" i="18"/>
  <c r="I897" i="18"/>
  <c r="K897" i="18"/>
  <c r="L897" i="18"/>
  <c r="M897" i="18"/>
  <c r="O897" i="18"/>
  <c r="P897" i="18"/>
  <c r="Q897" i="18"/>
  <c r="R897" i="18"/>
  <c r="A898" i="18"/>
  <c r="C898" i="18"/>
  <c r="E898" i="18"/>
  <c r="F898" i="18"/>
  <c r="H898" i="18"/>
  <c r="I898" i="18"/>
  <c r="K898" i="18"/>
  <c r="L898" i="18"/>
  <c r="M898" i="18"/>
  <c r="O898" i="18"/>
  <c r="P898" i="18"/>
  <c r="Q898" i="18"/>
  <c r="R898" i="18"/>
  <c r="A899" i="18"/>
  <c r="C899" i="18"/>
  <c r="E899" i="18"/>
  <c r="F899" i="18"/>
  <c r="H899" i="18"/>
  <c r="I899" i="18"/>
  <c r="K899" i="18"/>
  <c r="L899" i="18"/>
  <c r="M899" i="18"/>
  <c r="O899" i="18"/>
  <c r="P899" i="18"/>
  <c r="Q899" i="18"/>
  <c r="R899" i="18"/>
  <c r="A900" i="18"/>
  <c r="C900" i="18"/>
  <c r="E900" i="18"/>
  <c r="F900" i="18"/>
  <c r="H900" i="18"/>
  <c r="I900" i="18"/>
  <c r="K900" i="18"/>
  <c r="L900" i="18"/>
  <c r="M900" i="18"/>
  <c r="O900" i="18"/>
  <c r="P900" i="18"/>
  <c r="Q900" i="18"/>
  <c r="R900" i="18"/>
  <c r="A901" i="18"/>
  <c r="C901" i="18"/>
  <c r="E901" i="18"/>
  <c r="F901" i="18"/>
  <c r="H901" i="18"/>
  <c r="I901" i="18"/>
  <c r="K901" i="18"/>
  <c r="L901" i="18"/>
  <c r="M901" i="18"/>
  <c r="O901" i="18"/>
  <c r="P901" i="18"/>
  <c r="Q901" i="18"/>
  <c r="R901" i="18"/>
  <c r="A902" i="18"/>
  <c r="C902" i="18"/>
  <c r="E902" i="18"/>
  <c r="F902" i="18"/>
  <c r="H902" i="18"/>
  <c r="I902" i="18"/>
  <c r="K902" i="18"/>
  <c r="L902" i="18"/>
  <c r="M902" i="18"/>
  <c r="O902" i="18"/>
  <c r="P902" i="18"/>
  <c r="Q902" i="18"/>
  <c r="R902" i="18"/>
  <c r="A903" i="18"/>
  <c r="C903" i="18"/>
  <c r="E903" i="18"/>
  <c r="F903" i="18"/>
  <c r="H903" i="18"/>
  <c r="I903" i="18"/>
  <c r="K903" i="18"/>
  <c r="L903" i="18"/>
  <c r="M903" i="18"/>
  <c r="O903" i="18"/>
  <c r="P903" i="18"/>
  <c r="Q903" i="18"/>
  <c r="R903" i="18"/>
  <c r="A904" i="18"/>
  <c r="C904" i="18"/>
  <c r="E904" i="18"/>
  <c r="F904" i="18"/>
  <c r="H904" i="18"/>
  <c r="I904" i="18"/>
  <c r="K904" i="18"/>
  <c r="L904" i="18"/>
  <c r="M904" i="18"/>
  <c r="O904" i="18"/>
  <c r="P904" i="18"/>
  <c r="Q904" i="18"/>
  <c r="R904" i="18"/>
  <c r="A905" i="18"/>
  <c r="C905" i="18"/>
  <c r="E905" i="18"/>
  <c r="F905" i="18"/>
  <c r="H905" i="18"/>
  <c r="I905" i="18"/>
  <c r="K905" i="18"/>
  <c r="L905" i="18"/>
  <c r="M905" i="18"/>
  <c r="O905" i="18"/>
  <c r="P905" i="18"/>
  <c r="Q905" i="18"/>
  <c r="R905" i="18"/>
  <c r="A906" i="18"/>
  <c r="C906" i="18"/>
  <c r="E906" i="18"/>
  <c r="F906" i="18"/>
  <c r="H906" i="18"/>
  <c r="I906" i="18"/>
  <c r="K906" i="18"/>
  <c r="L906" i="18"/>
  <c r="M906" i="18"/>
  <c r="O906" i="18"/>
  <c r="P906" i="18"/>
  <c r="Q906" i="18"/>
  <c r="R906" i="18"/>
  <c r="A907" i="18"/>
  <c r="C907" i="18"/>
  <c r="E907" i="18"/>
  <c r="F907" i="18"/>
  <c r="H907" i="18"/>
  <c r="I907" i="18"/>
  <c r="K907" i="18"/>
  <c r="L907" i="18"/>
  <c r="M907" i="18"/>
  <c r="O907" i="18"/>
  <c r="P907" i="18"/>
  <c r="Q907" i="18"/>
  <c r="R907" i="18"/>
  <c r="A908" i="18"/>
  <c r="C908" i="18"/>
  <c r="E908" i="18"/>
  <c r="F908" i="18"/>
  <c r="H908" i="18"/>
  <c r="I908" i="18"/>
  <c r="K908" i="18"/>
  <c r="L908" i="18"/>
  <c r="M908" i="18"/>
  <c r="O908" i="18"/>
  <c r="P908" i="18"/>
  <c r="Q908" i="18"/>
  <c r="R908" i="18"/>
  <c r="A909" i="18"/>
  <c r="C909" i="18"/>
  <c r="E909" i="18"/>
  <c r="F909" i="18"/>
  <c r="H909" i="18"/>
  <c r="I909" i="18"/>
  <c r="K909" i="18"/>
  <c r="L909" i="18"/>
  <c r="M909" i="18"/>
  <c r="O909" i="18"/>
  <c r="P909" i="18"/>
  <c r="Q909" i="18"/>
  <c r="R909" i="18"/>
  <c r="A910" i="18"/>
  <c r="C910" i="18"/>
  <c r="E910" i="18"/>
  <c r="F910" i="18"/>
  <c r="H910" i="18"/>
  <c r="I910" i="18"/>
  <c r="K910" i="18"/>
  <c r="L910" i="18"/>
  <c r="M910" i="18"/>
  <c r="O910" i="18"/>
  <c r="P910" i="18"/>
  <c r="Q910" i="18"/>
  <c r="R910" i="18"/>
  <c r="A911" i="18"/>
  <c r="C911" i="18"/>
  <c r="E911" i="18"/>
  <c r="F911" i="18"/>
  <c r="H911" i="18"/>
  <c r="I911" i="18"/>
  <c r="K911" i="18"/>
  <c r="L911" i="18"/>
  <c r="M911" i="18"/>
  <c r="O911" i="18"/>
  <c r="P911" i="18"/>
  <c r="Q911" i="18"/>
  <c r="R911" i="18"/>
  <c r="A912" i="18"/>
  <c r="C912" i="18"/>
  <c r="E912" i="18"/>
  <c r="F912" i="18"/>
  <c r="H912" i="18"/>
  <c r="I912" i="18"/>
  <c r="K912" i="18"/>
  <c r="L912" i="18"/>
  <c r="M912" i="18"/>
  <c r="O912" i="18"/>
  <c r="P912" i="18"/>
  <c r="Q912" i="18"/>
  <c r="R912" i="18"/>
  <c r="A913" i="18"/>
  <c r="C913" i="18"/>
  <c r="E913" i="18"/>
  <c r="F913" i="18"/>
  <c r="H913" i="18"/>
  <c r="I913" i="18"/>
  <c r="K913" i="18"/>
  <c r="L913" i="18"/>
  <c r="M913" i="18"/>
  <c r="O913" i="18"/>
  <c r="P913" i="18"/>
  <c r="Q913" i="18"/>
  <c r="R913" i="18"/>
  <c r="A914" i="18"/>
  <c r="C914" i="18"/>
  <c r="E914" i="18"/>
  <c r="F914" i="18"/>
  <c r="H914" i="18"/>
  <c r="I914" i="18"/>
  <c r="K914" i="18"/>
  <c r="L914" i="18"/>
  <c r="M914" i="18"/>
  <c r="O914" i="18"/>
  <c r="P914" i="18"/>
  <c r="Q914" i="18"/>
  <c r="R914" i="18"/>
  <c r="A915" i="18"/>
  <c r="C915" i="18"/>
  <c r="E915" i="18"/>
  <c r="F915" i="18"/>
  <c r="H915" i="18"/>
  <c r="I915" i="18"/>
  <c r="K915" i="18"/>
  <c r="L915" i="18"/>
  <c r="M915" i="18"/>
  <c r="O915" i="18"/>
  <c r="P915" i="18"/>
  <c r="Q915" i="18"/>
  <c r="R915" i="18"/>
  <c r="A916" i="18"/>
  <c r="C916" i="18"/>
  <c r="E916" i="18"/>
  <c r="F916" i="18"/>
  <c r="H916" i="18"/>
  <c r="I916" i="18"/>
  <c r="K916" i="18"/>
  <c r="L916" i="18"/>
  <c r="M916" i="18"/>
  <c r="O916" i="18"/>
  <c r="P916" i="18"/>
  <c r="Q916" i="18"/>
  <c r="R916" i="18"/>
  <c r="A917" i="18"/>
  <c r="C917" i="18"/>
  <c r="E917" i="18"/>
  <c r="F917" i="18"/>
  <c r="H917" i="18"/>
  <c r="I917" i="18"/>
  <c r="K917" i="18"/>
  <c r="L917" i="18"/>
  <c r="M917" i="18"/>
  <c r="O917" i="18"/>
  <c r="P917" i="18"/>
  <c r="Q917" i="18"/>
  <c r="R917" i="18"/>
  <c r="A918" i="18"/>
  <c r="C918" i="18"/>
  <c r="E918" i="18"/>
  <c r="F918" i="18"/>
  <c r="H918" i="18"/>
  <c r="I918" i="18"/>
  <c r="K918" i="18"/>
  <c r="L918" i="18"/>
  <c r="M918" i="18"/>
  <c r="O918" i="18"/>
  <c r="P918" i="18"/>
  <c r="Q918" i="18"/>
  <c r="R918" i="18"/>
  <c r="A919" i="18"/>
  <c r="C919" i="18"/>
  <c r="E919" i="18"/>
  <c r="F919" i="18"/>
  <c r="H919" i="18"/>
  <c r="I919" i="18"/>
  <c r="K919" i="18"/>
  <c r="L919" i="18"/>
  <c r="M919" i="18"/>
  <c r="O919" i="18"/>
  <c r="P919" i="18"/>
  <c r="Q919" i="18"/>
  <c r="R919" i="18"/>
  <c r="A920" i="18"/>
  <c r="C920" i="18"/>
  <c r="E920" i="18"/>
  <c r="F920" i="18"/>
  <c r="H920" i="18"/>
  <c r="I920" i="18"/>
  <c r="K920" i="18"/>
  <c r="L920" i="18"/>
  <c r="M920" i="18"/>
  <c r="O920" i="18"/>
  <c r="P920" i="18"/>
  <c r="Q920" i="18"/>
  <c r="R920" i="18"/>
  <c r="A921" i="18"/>
  <c r="C921" i="18"/>
  <c r="E921" i="18"/>
  <c r="F921" i="18"/>
  <c r="H921" i="18"/>
  <c r="I921" i="18"/>
  <c r="K921" i="18"/>
  <c r="L921" i="18"/>
  <c r="M921" i="18"/>
  <c r="O921" i="18"/>
  <c r="P921" i="18"/>
  <c r="Q921" i="18"/>
  <c r="R921" i="18"/>
  <c r="A922" i="18"/>
  <c r="C922" i="18"/>
  <c r="E922" i="18"/>
  <c r="F922" i="18"/>
  <c r="H922" i="18"/>
  <c r="I922" i="18"/>
  <c r="K922" i="18"/>
  <c r="L922" i="18"/>
  <c r="M922" i="18"/>
  <c r="O922" i="18"/>
  <c r="P922" i="18"/>
  <c r="Q922" i="18"/>
  <c r="R922" i="18"/>
  <c r="A923" i="18"/>
  <c r="C923" i="18"/>
  <c r="E923" i="18"/>
  <c r="F923" i="18"/>
  <c r="H923" i="18"/>
  <c r="I923" i="18"/>
  <c r="K923" i="18"/>
  <c r="L923" i="18"/>
  <c r="M923" i="18"/>
  <c r="O923" i="18"/>
  <c r="P923" i="18"/>
  <c r="Q923" i="18"/>
  <c r="R923" i="18"/>
  <c r="A924" i="18"/>
  <c r="C924" i="18"/>
  <c r="E924" i="18"/>
  <c r="F924" i="18"/>
  <c r="H924" i="18"/>
  <c r="I924" i="18"/>
  <c r="K924" i="18"/>
  <c r="L924" i="18"/>
  <c r="M924" i="18"/>
  <c r="O924" i="18"/>
  <c r="P924" i="18"/>
  <c r="Q924" i="18"/>
  <c r="R924" i="18"/>
  <c r="A925" i="18"/>
  <c r="C925" i="18"/>
  <c r="E925" i="18"/>
  <c r="F925" i="18"/>
  <c r="H925" i="18"/>
  <c r="I925" i="18"/>
  <c r="K925" i="18"/>
  <c r="L925" i="18"/>
  <c r="M925" i="18"/>
  <c r="O925" i="18"/>
  <c r="P925" i="18"/>
  <c r="Q925" i="18"/>
  <c r="R925" i="18"/>
  <c r="A926" i="18"/>
  <c r="C926" i="18"/>
  <c r="E926" i="18"/>
  <c r="F926" i="18"/>
  <c r="H926" i="18"/>
  <c r="I926" i="18"/>
  <c r="K926" i="18"/>
  <c r="L926" i="18"/>
  <c r="M926" i="18"/>
  <c r="O926" i="18"/>
  <c r="P926" i="18"/>
  <c r="Q926" i="18"/>
  <c r="R926" i="18"/>
  <c r="A927" i="18"/>
  <c r="C927" i="18"/>
  <c r="E927" i="18"/>
  <c r="F927" i="18"/>
  <c r="H927" i="18"/>
  <c r="I927" i="18"/>
  <c r="K927" i="18"/>
  <c r="L927" i="18"/>
  <c r="M927" i="18"/>
  <c r="O927" i="18"/>
  <c r="P927" i="18"/>
  <c r="Q927" i="18"/>
  <c r="R927" i="18"/>
  <c r="A928" i="18"/>
  <c r="C928" i="18"/>
  <c r="E928" i="18"/>
  <c r="F928" i="18"/>
  <c r="H928" i="18"/>
  <c r="I928" i="18"/>
  <c r="K928" i="18"/>
  <c r="L928" i="18"/>
  <c r="M928" i="18"/>
  <c r="O928" i="18"/>
  <c r="P928" i="18"/>
  <c r="Q928" i="18"/>
  <c r="R928" i="18"/>
  <c r="A929" i="18"/>
  <c r="C929" i="18"/>
  <c r="E929" i="18"/>
  <c r="F929" i="18"/>
  <c r="H929" i="18"/>
  <c r="I929" i="18"/>
  <c r="K929" i="18"/>
  <c r="L929" i="18"/>
  <c r="M929" i="18"/>
  <c r="O929" i="18"/>
  <c r="P929" i="18"/>
  <c r="Q929" i="18"/>
  <c r="R929" i="18"/>
  <c r="A930" i="18"/>
  <c r="C930" i="18"/>
  <c r="E930" i="18"/>
  <c r="F930" i="18"/>
  <c r="H930" i="18"/>
  <c r="I930" i="18"/>
  <c r="K930" i="18"/>
  <c r="L930" i="18"/>
  <c r="M930" i="18"/>
  <c r="O930" i="18"/>
  <c r="P930" i="18"/>
  <c r="Q930" i="18"/>
  <c r="R930" i="18"/>
  <c r="A931" i="18"/>
  <c r="C931" i="18"/>
  <c r="E931" i="18"/>
  <c r="F931" i="18"/>
  <c r="H931" i="18"/>
  <c r="I931" i="18"/>
  <c r="K931" i="18"/>
  <c r="L931" i="18"/>
  <c r="M931" i="18"/>
  <c r="O931" i="18"/>
  <c r="P931" i="18"/>
  <c r="Q931" i="18"/>
  <c r="R931" i="18"/>
  <c r="A932" i="18"/>
  <c r="C932" i="18"/>
  <c r="E932" i="18"/>
  <c r="F932" i="18"/>
  <c r="H932" i="18"/>
  <c r="I932" i="18"/>
  <c r="K932" i="18"/>
  <c r="L932" i="18"/>
  <c r="M932" i="18"/>
  <c r="O932" i="18"/>
  <c r="P932" i="18"/>
  <c r="Q932" i="18"/>
  <c r="R932" i="18"/>
  <c r="A933" i="18"/>
  <c r="C933" i="18"/>
  <c r="E933" i="18"/>
  <c r="F933" i="18"/>
  <c r="H933" i="18"/>
  <c r="I933" i="18"/>
  <c r="K933" i="18"/>
  <c r="L933" i="18"/>
  <c r="M933" i="18"/>
  <c r="O933" i="18"/>
  <c r="P933" i="18"/>
  <c r="Q933" i="18"/>
  <c r="R933" i="18"/>
  <c r="A934" i="18"/>
  <c r="C934" i="18"/>
  <c r="E934" i="18"/>
  <c r="F934" i="18"/>
  <c r="H934" i="18"/>
  <c r="I934" i="18"/>
  <c r="K934" i="18"/>
  <c r="L934" i="18"/>
  <c r="M934" i="18"/>
  <c r="O934" i="18"/>
  <c r="P934" i="18"/>
  <c r="Q934" i="18"/>
  <c r="R934" i="18"/>
  <c r="A935" i="18"/>
  <c r="C935" i="18"/>
  <c r="E935" i="18"/>
  <c r="F935" i="18"/>
  <c r="H935" i="18"/>
  <c r="I935" i="18"/>
  <c r="K935" i="18"/>
  <c r="L935" i="18"/>
  <c r="M935" i="18"/>
  <c r="O935" i="18"/>
  <c r="P935" i="18"/>
  <c r="Q935" i="18"/>
  <c r="R935" i="18"/>
  <c r="A936" i="18"/>
  <c r="C936" i="18"/>
  <c r="E936" i="18"/>
  <c r="F936" i="18"/>
  <c r="H936" i="18"/>
  <c r="I936" i="18"/>
  <c r="K936" i="18"/>
  <c r="L936" i="18"/>
  <c r="M936" i="18"/>
  <c r="O936" i="18"/>
  <c r="P936" i="18"/>
  <c r="Q936" i="18"/>
  <c r="R936" i="18"/>
  <c r="A937" i="18"/>
  <c r="C937" i="18"/>
  <c r="E937" i="18"/>
  <c r="F937" i="18"/>
  <c r="H937" i="18"/>
  <c r="I937" i="18"/>
  <c r="K937" i="18"/>
  <c r="L937" i="18"/>
  <c r="M937" i="18"/>
  <c r="O937" i="18"/>
  <c r="P937" i="18"/>
  <c r="Q937" i="18"/>
  <c r="R937" i="18"/>
  <c r="A938" i="18"/>
  <c r="C938" i="18"/>
  <c r="E938" i="18"/>
  <c r="F938" i="18"/>
  <c r="H938" i="18"/>
  <c r="I938" i="18"/>
  <c r="K938" i="18"/>
  <c r="L938" i="18"/>
  <c r="M938" i="18"/>
  <c r="O938" i="18"/>
  <c r="P938" i="18"/>
  <c r="Q938" i="18"/>
  <c r="R938" i="18"/>
  <c r="A939" i="18"/>
  <c r="C939" i="18"/>
  <c r="E939" i="18"/>
  <c r="F939" i="18"/>
  <c r="H939" i="18"/>
  <c r="I939" i="18"/>
  <c r="K939" i="18"/>
  <c r="L939" i="18"/>
  <c r="M939" i="18"/>
  <c r="O939" i="18"/>
  <c r="P939" i="18"/>
  <c r="Q939" i="18"/>
  <c r="R939" i="18"/>
  <c r="A940" i="18"/>
  <c r="C940" i="18"/>
  <c r="E940" i="18"/>
  <c r="F940" i="18"/>
  <c r="H940" i="18"/>
  <c r="I940" i="18"/>
  <c r="K940" i="18"/>
  <c r="L940" i="18"/>
  <c r="M940" i="18"/>
  <c r="O940" i="18"/>
  <c r="P940" i="18"/>
  <c r="Q940" i="18"/>
  <c r="R940" i="18"/>
  <c r="A941" i="18"/>
  <c r="C941" i="18"/>
  <c r="E941" i="18"/>
  <c r="F941" i="18"/>
  <c r="H941" i="18"/>
  <c r="I941" i="18"/>
  <c r="K941" i="18"/>
  <c r="L941" i="18"/>
  <c r="M941" i="18"/>
  <c r="O941" i="18"/>
  <c r="P941" i="18"/>
  <c r="Q941" i="18"/>
  <c r="R941" i="18"/>
  <c r="A942" i="18"/>
  <c r="C942" i="18"/>
  <c r="E942" i="18"/>
  <c r="F942" i="18"/>
  <c r="H942" i="18"/>
  <c r="I942" i="18"/>
  <c r="K942" i="18"/>
  <c r="L942" i="18"/>
  <c r="M942" i="18"/>
  <c r="O942" i="18"/>
  <c r="P942" i="18"/>
  <c r="Q942" i="18"/>
  <c r="R942" i="18"/>
  <c r="A943" i="18"/>
  <c r="C943" i="18"/>
  <c r="E943" i="18"/>
  <c r="F943" i="18"/>
  <c r="H943" i="18"/>
  <c r="I943" i="18"/>
  <c r="K943" i="18"/>
  <c r="L943" i="18"/>
  <c r="M943" i="18"/>
  <c r="O943" i="18"/>
  <c r="P943" i="18"/>
  <c r="Q943" i="18"/>
  <c r="R943" i="18"/>
  <c r="A944" i="18"/>
  <c r="C944" i="18"/>
  <c r="E944" i="18"/>
  <c r="F944" i="18"/>
  <c r="H944" i="18"/>
  <c r="I944" i="18"/>
  <c r="K944" i="18"/>
  <c r="L944" i="18"/>
  <c r="M944" i="18"/>
  <c r="O944" i="18"/>
  <c r="P944" i="18"/>
  <c r="Q944" i="18"/>
  <c r="R944" i="18"/>
  <c r="A945" i="18"/>
  <c r="C945" i="18"/>
  <c r="E945" i="18"/>
  <c r="F945" i="18"/>
  <c r="H945" i="18"/>
  <c r="I945" i="18"/>
  <c r="K945" i="18"/>
  <c r="L945" i="18"/>
  <c r="M945" i="18"/>
  <c r="O945" i="18"/>
  <c r="P945" i="18"/>
  <c r="Q945" i="18"/>
  <c r="R945" i="18"/>
  <c r="A946" i="18"/>
  <c r="C946" i="18"/>
  <c r="E946" i="18"/>
  <c r="F946" i="18"/>
  <c r="H946" i="18"/>
  <c r="I946" i="18"/>
  <c r="K946" i="18"/>
  <c r="L946" i="18"/>
  <c r="M946" i="18"/>
  <c r="O946" i="18"/>
  <c r="P946" i="18"/>
  <c r="Q946" i="18"/>
  <c r="R946" i="18"/>
  <c r="A947" i="18"/>
  <c r="C947" i="18"/>
  <c r="E947" i="18"/>
  <c r="F947" i="18"/>
  <c r="H947" i="18"/>
  <c r="I947" i="18"/>
  <c r="K947" i="18"/>
  <c r="L947" i="18"/>
  <c r="M947" i="18"/>
  <c r="O947" i="18"/>
  <c r="P947" i="18"/>
  <c r="Q947" i="18"/>
  <c r="R947" i="18"/>
  <c r="A948" i="18"/>
  <c r="C948" i="18"/>
  <c r="E948" i="18"/>
  <c r="F948" i="18"/>
  <c r="H948" i="18"/>
  <c r="I948" i="18"/>
  <c r="K948" i="18"/>
  <c r="L948" i="18"/>
  <c r="M948" i="18"/>
  <c r="O948" i="18"/>
  <c r="P948" i="18"/>
  <c r="Q948" i="18"/>
  <c r="R948" i="18"/>
  <c r="A949" i="18"/>
  <c r="C949" i="18"/>
  <c r="E949" i="18"/>
  <c r="F949" i="18"/>
  <c r="H949" i="18"/>
  <c r="I949" i="18"/>
  <c r="K949" i="18"/>
  <c r="L949" i="18"/>
  <c r="M949" i="18"/>
  <c r="O949" i="18"/>
  <c r="P949" i="18"/>
  <c r="Q949" i="18"/>
  <c r="R949" i="18"/>
  <c r="A950" i="18"/>
  <c r="C950" i="18"/>
  <c r="E950" i="18"/>
  <c r="F950" i="18"/>
  <c r="H950" i="18"/>
  <c r="I950" i="18"/>
  <c r="K950" i="18"/>
  <c r="L950" i="18"/>
  <c r="M950" i="18"/>
  <c r="O950" i="18"/>
  <c r="P950" i="18"/>
  <c r="Q950" i="18"/>
  <c r="R950" i="18"/>
  <c r="A951" i="18"/>
  <c r="C951" i="18"/>
  <c r="E951" i="18"/>
  <c r="F951" i="18"/>
  <c r="H951" i="18"/>
  <c r="I951" i="18"/>
  <c r="K951" i="18"/>
  <c r="L951" i="18"/>
  <c r="M951" i="18"/>
  <c r="O951" i="18"/>
  <c r="P951" i="18"/>
  <c r="Q951" i="18"/>
  <c r="R951" i="18"/>
  <c r="A952" i="18"/>
  <c r="C952" i="18"/>
  <c r="E952" i="18"/>
  <c r="F952" i="18"/>
  <c r="H952" i="18"/>
  <c r="I952" i="18"/>
  <c r="K952" i="18"/>
  <c r="L952" i="18"/>
  <c r="M952" i="18"/>
  <c r="O952" i="18"/>
  <c r="P952" i="18"/>
  <c r="Q952" i="18"/>
  <c r="R952" i="18"/>
  <c r="A953" i="18"/>
  <c r="C953" i="18"/>
  <c r="E953" i="18"/>
  <c r="F953" i="18"/>
  <c r="H953" i="18"/>
  <c r="I953" i="18"/>
  <c r="K953" i="18"/>
  <c r="L953" i="18"/>
  <c r="M953" i="18"/>
  <c r="O953" i="18"/>
  <c r="P953" i="18"/>
  <c r="Q953" i="18"/>
  <c r="R953" i="18"/>
  <c r="A954" i="18"/>
  <c r="C954" i="18"/>
  <c r="E954" i="18"/>
  <c r="F954" i="18"/>
  <c r="H954" i="18"/>
  <c r="I954" i="18"/>
  <c r="K954" i="18"/>
  <c r="L954" i="18"/>
  <c r="M954" i="18"/>
  <c r="O954" i="18"/>
  <c r="P954" i="18"/>
  <c r="Q954" i="18"/>
  <c r="R954" i="18"/>
  <c r="A955" i="18"/>
  <c r="C955" i="18"/>
  <c r="E955" i="18"/>
  <c r="F955" i="18"/>
  <c r="H955" i="18"/>
  <c r="I955" i="18"/>
  <c r="K955" i="18"/>
  <c r="L955" i="18"/>
  <c r="M955" i="18"/>
  <c r="O955" i="18"/>
  <c r="P955" i="18"/>
  <c r="Q955" i="18"/>
  <c r="R955" i="18"/>
  <c r="A956" i="18"/>
  <c r="C956" i="18"/>
  <c r="E956" i="18"/>
  <c r="F956" i="18"/>
  <c r="H956" i="18"/>
  <c r="I956" i="18"/>
  <c r="K956" i="18"/>
  <c r="L956" i="18"/>
  <c r="M956" i="18"/>
  <c r="O956" i="18"/>
  <c r="P956" i="18"/>
  <c r="Q956" i="18"/>
  <c r="R956" i="18"/>
  <c r="A957" i="18"/>
  <c r="C957" i="18"/>
  <c r="E957" i="18"/>
  <c r="F957" i="18"/>
  <c r="H957" i="18"/>
  <c r="I957" i="18"/>
  <c r="K957" i="18"/>
  <c r="L957" i="18"/>
  <c r="M957" i="18"/>
  <c r="O957" i="18"/>
  <c r="P957" i="18"/>
  <c r="Q957" i="18"/>
  <c r="R957" i="18"/>
  <c r="A958" i="18"/>
  <c r="C958" i="18"/>
  <c r="E958" i="18"/>
  <c r="F958" i="18"/>
  <c r="H958" i="18"/>
  <c r="I958" i="18"/>
  <c r="K958" i="18"/>
  <c r="L958" i="18"/>
  <c r="M958" i="18"/>
  <c r="O958" i="18"/>
  <c r="P958" i="18"/>
  <c r="Q958" i="18"/>
  <c r="R958" i="18"/>
  <c r="A959" i="18"/>
  <c r="C959" i="18"/>
  <c r="E959" i="18"/>
  <c r="F959" i="18"/>
  <c r="H959" i="18"/>
  <c r="I959" i="18"/>
  <c r="K959" i="18"/>
  <c r="L959" i="18"/>
  <c r="M959" i="18"/>
  <c r="O959" i="18"/>
  <c r="P959" i="18"/>
  <c r="Q959" i="18"/>
  <c r="R959" i="18"/>
  <c r="A960" i="18"/>
  <c r="C960" i="18"/>
  <c r="E960" i="18"/>
  <c r="F960" i="18"/>
  <c r="H960" i="18"/>
  <c r="I960" i="18"/>
  <c r="K960" i="18"/>
  <c r="L960" i="18"/>
  <c r="M960" i="18"/>
  <c r="O960" i="18"/>
  <c r="P960" i="18"/>
  <c r="Q960" i="18"/>
  <c r="R960" i="18"/>
  <c r="A961" i="18"/>
  <c r="C961" i="18"/>
  <c r="E961" i="18"/>
  <c r="F961" i="18"/>
  <c r="H961" i="18"/>
  <c r="I961" i="18"/>
  <c r="K961" i="18"/>
  <c r="L961" i="18"/>
  <c r="M961" i="18"/>
  <c r="O961" i="18"/>
  <c r="P961" i="18"/>
  <c r="Q961" i="18"/>
  <c r="R961" i="18"/>
  <c r="A962" i="18"/>
  <c r="C962" i="18"/>
  <c r="E962" i="18"/>
  <c r="F962" i="18"/>
  <c r="H962" i="18"/>
  <c r="I962" i="18"/>
  <c r="K962" i="18"/>
  <c r="L962" i="18"/>
  <c r="M962" i="18"/>
  <c r="O962" i="18"/>
  <c r="P962" i="18"/>
  <c r="Q962" i="18"/>
  <c r="R962" i="18"/>
  <c r="A963" i="18"/>
  <c r="C963" i="18"/>
  <c r="E963" i="18"/>
  <c r="F963" i="18"/>
  <c r="H963" i="18"/>
  <c r="I963" i="18"/>
  <c r="K963" i="18"/>
  <c r="L963" i="18"/>
  <c r="M963" i="18"/>
  <c r="O963" i="18"/>
  <c r="P963" i="18"/>
  <c r="Q963" i="18"/>
  <c r="R963" i="18"/>
  <c r="A964" i="18"/>
  <c r="C964" i="18"/>
  <c r="E964" i="18"/>
  <c r="F964" i="18"/>
  <c r="H964" i="18"/>
  <c r="I964" i="18"/>
  <c r="K964" i="18"/>
  <c r="L964" i="18"/>
  <c r="M964" i="18"/>
  <c r="O964" i="18"/>
  <c r="P964" i="18"/>
  <c r="Q964" i="18"/>
  <c r="R964" i="18"/>
  <c r="A965" i="18"/>
  <c r="C965" i="18"/>
  <c r="E965" i="18"/>
  <c r="F965" i="18"/>
  <c r="H965" i="18"/>
  <c r="I965" i="18"/>
  <c r="K965" i="18"/>
  <c r="L965" i="18"/>
  <c r="M965" i="18"/>
  <c r="O965" i="18"/>
  <c r="P965" i="18"/>
  <c r="Q965" i="18"/>
  <c r="R965" i="18"/>
  <c r="A966" i="18"/>
  <c r="C966" i="18"/>
  <c r="E966" i="18"/>
  <c r="F966" i="18"/>
  <c r="H966" i="18"/>
  <c r="I966" i="18"/>
  <c r="K966" i="18"/>
  <c r="L966" i="18"/>
  <c r="M966" i="18"/>
  <c r="O966" i="18"/>
  <c r="P966" i="18"/>
  <c r="Q966" i="18"/>
  <c r="R966" i="18"/>
  <c r="A967" i="18"/>
  <c r="C967" i="18"/>
  <c r="E967" i="18"/>
  <c r="F967" i="18"/>
  <c r="H967" i="18"/>
  <c r="I967" i="18"/>
  <c r="K967" i="18"/>
  <c r="L967" i="18"/>
  <c r="M967" i="18"/>
  <c r="O967" i="18"/>
  <c r="P967" i="18"/>
  <c r="Q967" i="18"/>
  <c r="R967" i="18"/>
  <c r="A968" i="18"/>
  <c r="C968" i="18"/>
  <c r="E968" i="18"/>
  <c r="F968" i="18"/>
  <c r="H968" i="18"/>
  <c r="I968" i="18"/>
  <c r="K968" i="18"/>
  <c r="L968" i="18"/>
  <c r="M968" i="18"/>
  <c r="O968" i="18"/>
  <c r="P968" i="18"/>
  <c r="Q968" i="18"/>
  <c r="R968" i="18"/>
  <c r="A969" i="18"/>
  <c r="C969" i="18"/>
  <c r="E969" i="18"/>
  <c r="F969" i="18"/>
  <c r="H969" i="18"/>
  <c r="I969" i="18"/>
  <c r="K969" i="18"/>
  <c r="L969" i="18"/>
  <c r="M969" i="18"/>
  <c r="O969" i="18"/>
  <c r="P969" i="18"/>
  <c r="Q969" i="18"/>
  <c r="R969" i="18"/>
  <c r="A970" i="18"/>
  <c r="C970" i="18"/>
  <c r="E970" i="18"/>
  <c r="F970" i="18"/>
  <c r="H970" i="18"/>
  <c r="I970" i="18"/>
  <c r="K970" i="18"/>
  <c r="L970" i="18"/>
  <c r="M970" i="18"/>
  <c r="O970" i="18"/>
  <c r="P970" i="18"/>
  <c r="Q970" i="18"/>
  <c r="R970" i="18"/>
  <c r="A971" i="18"/>
  <c r="C971" i="18"/>
  <c r="E971" i="18"/>
  <c r="F971" i="18"/>
  <c r="H971" i="18"/>
  <c r="I971" i="18"/>
  <c r="K971" i="18"/>
  <c r="L971" i="18"/>
  <c r="M971" i="18"/>
  <c r="O971" i="18"/>
  <c r="P971" i="18"/>
  <c r="Q971" i="18"/>
  <c r="R971" i="18"/>
  <c r="A972" i="18"/>
  <c r="C972" i="18"/>
  <c r="E972" i="18"/>
  <c r="F972" i="18"/>
  <c r="H972" i="18"/>
  <c r="I972" i="18"/>
  <c r="K972" i="18"/>
  <c r="L972" i="18"/>
  <c r="M972" i="18"/>
  <c r="O972" i="18"/>
  <c r="P972" i="18"/>
  <c r="Q972" i="18"/>
  <c r="R972" i="18"/>
  <c r="A973" i="18"/>
  <c r="C973" i="18"/>
  <c r="E973" i="18"/>
  <c r="F973" i="18"/>
  <c r="H973" i="18"/>
  <c r="I973" i="18"/>
  <c r="K973" i="18"/>
  <c r="L973" i="18"/>
  <c r="M973" i="18"/>
  <c r="O973" i="18"/>
  <c r="P973" i="18"/>
  <c r="Q973" i="18"/>
  <c r="R973" i="18"/>
  <c r="A974" i="18"/>
  <c r="C974" i="18"/>
  <c r="E974" i="18"/>
  <c r="F974" i="18"/>
  <c r="H974" i="18"/>
  <c r="I974" i="18"/>
  <c r="K974" i="18"/>
  <c r="L974" i="18"/>
  <c r="M974" i="18"/>
  <c r="O974" i="18"/>
  <c r="P974" i="18"/>
  <c r="Q974" i="18"/>
  <c r="R974" i="18"/>
  <c r="A975" i="18"/>
  <c r="C975" i="18"/>
  <c r="E975" i="18"/>
  <c r="F975" i="18"/>
  <c r="H975" i="18"/>
  <c r="I975" i="18"/>
  <c r="K975" i="18"/>
  <c r="L975" i="18"/>
  <c r="M975" i="18"/>
  <c r="O975" i="18"/>
  <c r="P975" i="18"/>
  <c r="Q975" i="18"/>
  <c r="R975" i="18"/>
  <c r="A976" i="18"/>
  <c r="C976" i="18"/>
  <c r="E976" i="18"/>
  <c r="F976" i="18"/>
  <c r="H976" i="18"/>
  <c r="I976" i="18"/>
  <c r="K976" i="18"/>
  <c r="L976" i="18"/>
  <c r="M976" i="18"/>
  <c r="O976" i="18"/>
  <c r="P976" i="18"/>
  <c r="Q976" i="18"/>
  <c r="R976" i="18"/>
  <c r="A977" i="18"/>
  <c r="C977" i="18"/>
  <c r="E977" i="18"/>
  <c r="F977" i="18"/>
  <c r="H977" i="18"/>
  <c r="I977" i="18"/>
  <c r="K977" i="18"/>
  <c r="L977" i="18"/>
  <c r="M977" i="18"/>
  <c r="O977" i="18"/>
  <c r="P977" i="18"/>
  <c r="Q977" i="18"/>
  <c r="R977" i="18"/>
  <c r="A978" i="18"/>
  <c r="C978" i="18"/>
  <c r="E978" i="18"/>
  <c r="F978" i="18"/>
  <c r="H978" i="18"/>
  <c r="I978" i="18"/>
  <c r="K978" i="18"/>
  <c r="L978" i="18"/>
  <c r="M978" i="18"/>
  <c r="O978" i="18"/>
  <c r="P978" i="18"/>
  <c r="Q978" i="18"/>
  <c r="R978" i="18"/>
  <c r="A979" i="18"/>
  <c r="C979" i="18"/>
  <c r="E979" i="18"/>
  <c r="F979" i="18"/>
  <c r="H979" i="18"/>
  <c r="I979" i="18"/>
  <c r="K979" i="18"/>
  <c r="L979" i="18"/>
  <c r="M979" i="18"/>
  <c r="O979" i="18"/>
  <c r="P979" i="18"/>
  <c r="Q979" i="18"/>
  <c r="R979" i="18"/>
  <c r="A980" i="18"/>
  <c r="C980" i="18"/>
  <c r="E980" i="18"/>
  <c r="F980" i="18"/>
  <c r="H980" i="18"/>
  <c r="I980" i="18"/>
  <c r="K980" i="18"/>
  <c r="L980" i="18"/>
  <c r="M980" i="18"/>
  <c r="O980" i="18"/>
  <c r="P980" i="18"/>
  <c r="Q980" i="18"/>
  <c r="R980" i="18"/>
  <c r="A981" i="18"/>
  <c r="C981" i="18"/>
  <c r="E981" i="18"/>
  <c r="F981" i="18"/>
  <c r="H981" i="18"/>
  <c r="I981" i="18"/>
  <c r="K981" i="18"/>
  <c r="L981" i="18"/>
  <c r="M981" i="18"/>
  <c r="O981" i="18"/>
  <c r="P981" i="18"/>
  <c r="Q981" i="18"/>
  <c r="R981" i="18"/>
  <c r="A982" i="18"/>
  <c r="C982" i="18"/>
  <c r="E982" i="18"/>
  <c r="F982" i="18"/>
  <c r="H982" i="18"/>
  <c r="I982" i="18"/>
  <c r="K982" i="18"/>
  <c r="L982" i="18"/>
  <c r="M982" i="18"/>
  <c r="O982" i="18"/>
  <c r="P982" i="18"/>
  <c r="Q982" i="18"/>
  <c r="R982" i="18"/>
  <c r="A983" i="18"/>
  <c r="C983" i="18"/>
  <c r="E983" i="18"/>
  <c r="F983" i="18"/>
  <c r="H983" i="18"/>
  <c r="I983" i="18"/>
  <c r="K983" i="18"/>
  <c r="L983" i="18"/>
  <c r="M983" i="18"/>
  <c r="O983" i="18"/>
  <c r="P983" i="18"/>
  <c r="Q983" i="18"/>
  <c r="R983" i="18"/>
  <c r="A984" i="18"/>
  <c r="C984" i="18"/>
  <c r="E984" i="18"/>
  <c r="F984" i="18"/>
  <c r="H984" i="18"/>
  <c r="I984" i="18"/>
  <c r="K984" i="18"/>
  <c r="L984" i="18"/>
  <c r="M984" i="18"/>
  <c r="O984" i="18"/>
  <c r="P984" i="18"/>
  <c r="Q984" i="18"/>
  <c r="R984" i="18"/>
  <c r="A985" i="18"/>
  <c r="C985" i="18"/>
  <c r="E985" i="18"/>
  <c r="F985" i="18"/>
  <c r="H985" i="18"/>
  <c r="I985" i="18"/>
  <c r="K985" i="18"/>
  <c r="L985" i="18"/>
  <c r="M985" i="18"/>
  <c r="O985" i="18"/>
  <c r="P985" i="18"/>
  <c r="Q985" i="18"/>
  <c r="R985" i="18"/>
  <c r="A986" i="18"/>
  <c r="C986" i="18"/>
  <c r="E986" i="18"/>
  <c r="F986" i="18"/>
  <c r="H986" i="18"/>
  <c r="I986" i="18"/>
  <c r="K986" i="18"/>
  <c r="L986" i="18"/>
  <c r="M986" i="18"/>
  <c r="O986" i="18"/>
  <c r="P986" i="18"/>
  <c r="Q986" i="18"/>
  <c r="R986" i="18"/>
  <c r="A987" i="18"/>
  <c r="C987" i="18"/>
  <c r="E987" i="18"/>
  <c r="F987" i="18"/>
  <c r="H987" i="18"/>
  <c r="I987" i="18"/>
  <c r="K987" i="18"/>
  <c r="L987" i="18"/>
  <c r="M987" i="18"/>
  <c r="O987" i="18"/>
  <c r="P987" i="18"/>
  <c r="Q987" i="18"/>
  <c r="R987" i="18"/>
  <c r="A988" i="18"/>
  <c r="C988" i="18"/>
  <c r="E988" i="18"/>
  <c r="F988" i="18"/>
  <c r="H988" i="18"/>
  <c r="I988" i="18"/>
  <c r="K988" i="18"/>
  <c r="L988" i="18"/>
  <c r="M988" i="18"/>
  <c r="O988" i="18"/>
  <c r="P988" i="18"/>
  <c r="Q988" i="18"/>
  <c r="R988" i="18"/>
  <c r="A989" i="18"/>
  <c r="C989" i="18"/>
  <c r="E989" i="18"/>
  <c r="F989" i="18"/>
  <c r="H989" i="18"/>
  <c r="I989" i="18"/>
  <c r="K989" i="18"/>
  <c r="L989" i="18"/>
  <c r="M989" i="18"/>
  <c r="O989" i="18"/>
  <c r="P989" i="18"/>
  <c r="Q989" i="18"/>
  <c r="R989" i="18"/>
  <c r="A990" i="18"/>
  <c r="C990" i="18"/>
  <c r="E990" i="18"/>
  <c r="F990" i="18"/>
  <c r="H990" i="18"/>
  <c r="I990" i="18"/>
  <c r="K990" i="18"/>
  <c r="L990" i="18"/>
  <c r="M990" i="18"/>
  <c r="O990" i="18"/>
  <c r="P990" i="18"/>
  <c r="Q990" i="18"/>
  <c r="R990" i="18"/>
  <c r="A991" i="18"/>
  <c r="C991" i="18"/>
  <c r="E991" i="18"/>
  <c r="F991" i="18"/>
  <c r="H991" i="18"/>
  <c r="I991" i="18"/>
  <c r="K991" i="18"/>
  <c r="L991" i="18"/>
  <c r="M991" i="18"/>
  <c r="O991" i="18"/>
  <c r="P991" i="18"/>
  <c r="Q991" i="18"/>
  <c r="R991" i="18"/>
  <c r="A992" i="18"/>
  <c r="C992" i="18"/>
  <c r="E992" i="18"/>
  <c r="F992" i="18"/>
  <c r="H992" i="18"/>
  <c r="I992" i="18"/>
  <c r="K992" i="18"/>
  <c r="L992" i="18"/>
  <c r="M992" i="18"/>
  <c r="O992" i="18"/>
  <c r="P992" i="18"/>
  <c r="Q992" i="18"/>
  <c r="R992" i="18"/>
  <c r="A993" i="18"/>
  <c r="C993" i="18"/>
  <c r="E993" i="18"/>
  <c r="F993" i="18"/>
  <c r="H993" i="18"/>
  <c r="I993" i="18"/>
  <c r="K993" i="18"/>
  <c r="L993" i="18"/>
  <c r="M993" i="18"/>
  <c r="O993" i="18"/>
  <c r="P993" i="18"/>
  <c r="Q993" i="18"/>
  <c r="R993" i="18"/>
  <c r="A994" i="18"/>
  <c r="C994" i="18"/>
  <c r="E994" i="18"/>
  <c r="F994" i="18"/>
  <c r="H994" i="18"/>
  <c r="I994" i="18"/>
  <c r="K994" i="18"/>
  <c r="L994" i="18"/>
  <c r="M994" i="18"/>
  <c r="O994" i="18"/>
  <c r="P994" i="18"/>
  <c r="Q994" i="18"/>
  <c r="R994" i="18"/>
  <c r="A995" i="18"/>
  <c r="C995" i="18"/>
  <c r="E995" i="18"/>
  <c r="F995" i="18"/>
  <c r="H995" i="18"/>
  <c r="I995" i="18"/>
  <c r="K995" i="18"/>
  <c r="L995" i="18"/>
  <c r="M995" i="18"/>
  <c r="O995" i="18"/>
  <c r="P995" i="18"/>
  <c r="Q995" i="18"/>
  <c r="R995" i="18"/>
  <c r="A996" i="18"/>
  <c r="C996" i="18"/>
  <c r="E996" i="18"/>
  <c r="F996" i="18"/>
  <c r="H996" i="18"/>
  <c r="I996" i="18"/>
  <c r="K996" i="18"/>
  <c r="L996" i="18"/>
  <c r="M996" i="18"/>
  <c r="O996" i="18"/>
  <c r="P996" i="18"/>
  <c r="Q996" i="18"/>
  <c r="R996" i="18"/>
  <c r="A997" i="18"/>
  <c r="C997" i="18"/>
  <c r="E997" i="18"/>
  <c r="F997" i="18"/>
  <c r="H997" i="18"/>
  <c r="I997" i="18"/>
  <c r="K997" i="18"/>
  <c r="L997" i="18"/>
  <c r="M997" i="18"/>
  <c r="O997" i="18"/>
  <c r="P997" i="18"/>
  <c r="Q997" i="18"/>
  <c r="R997" i="18"/>
  <c r="A998" i="18"/>
  <c r="C998" i="18"/>
  <c r="E998" i="18"/>
  <c r="F998" i="18"/>
  <c r="H998" i="18"/>
  <c r="I998" i="18"/>
  <c r="K998" i="18"/>
  <c r="L998" i="18"/>
  <c r="M998" i="18"/>
  <c r="O998" i="18"/>
  <c r="P998" i="18"/>
  <c r="Q998" i="18"/>
  <c r="R998" i="18"/>
  <c r="A999" i="18"/>
  <c r="C999" i="18"/>
  <c r="E999" i="18"/>
  <c r="F999" i="18"/>
  <c r="H999" i="18"/>
  <c r="I999" i="18"/>
  <c r="K999" i="18"/>
  <c r="L999" i="18"/>
  <c r="M999" i="18"/>
  <c r="O999" i="18"/>
  <c r="P999" i="18"/>
  <c r="Q999" i="18"/>
  <c r="R999" i="18"/>
  <c r="A1000" i="18"/>
  <c r="C1000" i="18"/>
  <c r="E1000" i="18"/>
  <c r="F1000" i="18"/>
  <c r="H1000" i="18"/>
  <c r="I1000" i="18"/>
  <c r="K1000" i="18"/>
  <c r="L1000" i="18"/>
  <c r="M1000" i="18"/>
  <c r="O1000" i="18"/>
  <c r="P1000" i="18"/>
  <c r="Q1000" i="18"/>
  <c r="R1000" i="18"/>
  <c r="A1001" i="18"/>
  <c r="C1001" i="18"/>
  <c r="E1001" i="18"/>
  <c r="F1001" i="18"/>
  <c r="H1001" i="18"/>
  <c r="I1001" i="18"/>
  <c r="K1001" i="18"/>
  <c r="L1001" i="18"/>
  <c r="M1001" i="18"/>
  <c r="O1001" i="18"/>
  <c r="P1001" i="18"/>
  <c r="Q1001" i="18"/>
  <c r="R1001" i="18"/>
  <c r="A1002" i="18"/>
  <c r="C1002" i="18"/>
  <c r="E1002" i="18"/>
  <c r="F1002" i="18"/>
  <c r="H1002" i="18"/>
  <c r="I1002" i="18"/>
  <c r="K1002" i="18"/>
  <c r="L1002" i="18"/>
  <c r="M1002" i="18"/>
  <c r="O1002" i="18"/>
  <c r="P1002" i="18"/>
  <c r="Q1002" i="18"/>
  <c r="R1002" i="18"/>
  <c r="A1003" i="18"/>
  <c r="C1003" i="18"/>
  <c r="E1003" i="18"/>
  <c r="F1003" i="18"/>
  <c r="H1003" i="18"/>
  <c r="I1003" i="18"/>
  <c r="K1003" i="18"/>
  <c r="L1003" i="18"/>
  <c r="M1003" i="18"/>
  <c r="O1003" i="18"/>
  <c r="P1003" i="18"/>
  <c r="Q1003" i="18"/>
  <c r="R1003" i="18"/>
  <c r="A1004" i="18"/>
  <c r="C1004" i="18"/>
  <c r="E1004" i="18"/>
  <c r="F1004" i="18"/>
  <c r="H1004" i="18"/>
  <c r="I1004" i="18"/>
  <c r="K1004" i="18"/>
  <c r="L1004" i="18"/>
  <c r="M1004" i="18"/>
  <c r="O1004" i="18"/>
  <c r="P1004" i="18"/>
  <c r="Q1004" i="18"/>
  <c r="R1004" i="18"/>
  <c r="A1005" i="18"/>
  <c r="C1005" i="18"/>
  <c r="E1005" i="18"/>
  <c r="F1005" i="18"/>
  <c r="H1005" i="18"/>
  <c r="I1005" i="18"/>
  <c r="K1005" i="18"/>
  <c r="L1005" i="18"/>
  <c r="M1005" i="18"/>
  <c r="O1005" i="18"/>
  <c r="P1005" i="18"/>
  <c r="Q1005" i="18"/>
  <c r="R1005" i="18"/>
  <c r="A1006" i="18"/>
  <c r="C1006" i="18"/>
  <c r="E1006" i="18"/>
  <c r="F1006" i="18"/>
  <c r="H1006" i="18"/>
  <c r="I1006" i="18"/>
  <c r="K1006" i="18"/>
  <c r="L1006" i="18"/>
  <c r="M1006" i="18"/>
  <c r="O1006" i="18"/>
  <c r="P1006" i="18"/>
  <c r="Q1006" i="18"/>
  <c r="R1006" i="18"/>
  <c r="A1007" i="18"/>
  <c r="C1007" i="18"/>
  <c r="E1007" i="18"/>
  <c r="F1007" i="18"/>
  <c r="H1007" i="18"/>
  <c r="I1007" i="18"/>
  <c r="K1007" i="18"/>
  <c r="L1007" i="18"/>
  <c r="M1007" i="18"/>
  <c r="O1007" i="18"/>
  <c r="P1007" i="18"/>
  <c r="Q1007" i="18"/>
  <c r="R1007" i="18"/>
  <c r="A1008" i="18"/>
  <c r="C1008" i="18"/>
  <c r="E1008" i="18"/>
  <c r="F1008" i="18"/>
  <c r="H1008" i="18"/>
  <c r="I1008" i="18"/>
  <c r="K1008" i="18"/>
  <c r="L1008" i="18"/>
  <c r="M1008" i="18"/>
  <c r="O1008" i="18"/>
  <c r="P1008" i="18"/>
  <c r="Q1008" i="18"/>
  <c r="R1008" i="18"/>
  <c r="A1009" i="18"/>
  <c r="C1009" i="18"/>
  <c r="E1009" i="18"/>
  <c r="F1009" i="18"/>
  <c r="H1009" i="18"/>
  <c r="I1009" i="18"/>
  <c r="K1009" i="18"/>
  <c r="L1009" i="18"/>
  <c r="M1009" i="18"/>
  <c r="O1009" i="18"/>
  <c r="P1009" i="18"/>
  <c r="Q1009" i="18"/>
  <c r="R1009" i="18"/>
  <c r="A1010" i="18"/>
  <c r="C1010" i="18"/>
  <c r="E1010" i="18"/>
  <c r="F1010" i="18"/>
  <c r="H1010" i="18"/>
  <c r="I1010" i="18"/>
  <c r="K1010" i="18"/>
  <c r="L1010" i="18"/>
  <c r="M1010" i="18"/>
  <c r="O1010" i="18"/>
  <c r="P1010" i="18"/>
  <c r="Q1010" i="18"/>
  <c r="R1010" i="18"/>
  <c r="A1011" i="18"/>
  <c r="C1011" i="18"/>
  <c r="E1011" i="18"/>
  <c r="F1011" i="18"/>
  <c r="H1011" i="18"/>
  <c r="I1011" i="18"/>
  <c r="K1011" i="18"/>
  <c r="L1011" i="18"/>
  <c r="M1011" i="18"/>
  <c r="O1011" i="18"/>
  <c r="P1011" i="18"/>
  <c r="Q1011" i="18"/>
  <c r="R1011" i="18"/>
  <c r="A1012" i="18"/>
  <c r="C1012" i="18"/>
  <c r="E1012" i="18"/>
  <c r="F1012" i="18"/>
  <c r="H1012" i="18"/>
  <c r="I1012" i="18"/>
  <c r="K1012" i="18"/>
  <c r="L1012" i="18"/>
  <c r="M1012" i="18"/>
  <c r="O1012" i="18"/>
  <c r="P1012" i="18"/>
  <c r="Q1012" i="18"/>
  <c r="R1012" i="18"/>
  <c r="A1013" i="18"/>
  <c r="C1013" i="18"/>
  <c r="E1013" i="18"/>
  <c r="F1013" i="18"/>
  <c r="H1013" i="18"/>
  <c r="I1013" i="18"/>
  <c r="K1013" i="18"/>
  <c r="L1013" i="18"/>
  <c r="M1013" i="18"/>
  <c r="O1013" i="18"/>
  <c r="P1013" i="18"/>
  <c r="Q1013" i="18"/>
  <c r="R1013" i="18"/>
  <c r="A1014" i="18"/>
  <c r="C1014" i="18"/>
  <c r="E1014" i="18"/>
  <c r="F1014" i="18"/>
  <c r="H1014" i="18"/>
  <c r="I1014" i="18"/>
  <c r="K1014" i="18"/>
  <c r="L1014" i="18"/>
  <c r="M1014" i="18"/>
  <c r="O1014" i="18"/>
  <c r="P1014" i="18"/>
  <c r="Q1014" i="18"/>
  <c r="R1014" i="18"/>
  <c r="A1015" i="18"/>
  <c r="C1015" i="18"/>
  <c r="E1015" i="18"/>
  <c r="F1015" i="18"/>
  <c r="H1015" i="18"/>
  <c r="I1015" i="18"/>
  <c r="K1015" i="18"/>
  <c r="L1015" i="18"/>
  <c r="M1015" i="18"/>
  <c r="O1015" i="18"/>
  <c r="P1015" i="18"/>
  <c r="Q1015" i="18"/>
  <c r="R1015" i="18"/>
  <c r="A1016" i="18"/>
  <c r="C1016" i="18"/>
  <c r="E1016" i="18"/>
  <c r="F1016" i="18"/>
  <c r="H1016" i="18"/>
  <c r="I1016" i="18"/>
  <c r="K1016" i="18"/>
  <c r="L1016" i="18"/>
  <c r="M1016" i="18"/>
  <c r="O1016" i="18"/>
  <c r="P1016" i="18"/>
  <c r="Q1016" i="18"/>
  <c r="R1016" i="18"/>
  <c r="A1017" i="18"/>
  <c r="C1017" i="18"/>
  <c r="E1017" i="18"/>
  <c r="F1017" i="18"/>
  <c r="H1017" i="18"/>
  <c r="I1017" i="18"/>
  <c r="K1017" i="18"/>
  <c r="L1017" i="18"/>
  <c r="M1017" i="18"/>
  <c r="O1017" i="18"/>
  <c r="P1017" i="18"/>
  <c r="Q1017" i="18"/>
  <c r="R1017" i="18"/>
  <c r="A1018" i="18"/>
  <c r="C1018" i="18"/>
  <c r="E1018" i="18"/>
  <c r="F1018" i="18"/>
  <c r="H1018" i="18"/>
  <c r="I1018" i="18"/>
  <c r="K1018" i="18"/>
  <c r="L1018" i="18"/>
  <c r="M1018" i="18"/>
  <c r="O1018" i="18"/>
  <c r="P1018" i="18"/>
  <c r="Q1018" i="18"/>
  <c r="R1018" i="18"/>
  <c r="A1019" i="18"/>
  <c r="C1019" i="18"/>
  <c r="E1019" i="18"/>
  <c r="F1019" i="18"/>
  <c r="H1019" i="18"/>
  <c r="I1019" i="18"/>
  <c r="K1019" i="18"/>
  <c r="L1019" i="18"/>
  <c r="M1019" i="18"/>
  <c r="O1019" i="18"/>
  <c r="P1019" i="18"/>
  <c r="Q1019" i="18"/>
  <c r="R1019" i="18"/>
  <c r="A1020" i="18"/>
  <c r="C1020" i="18"/>
  <c r="E1020" i="18"/>
  <c r="F1020" i="18"/>
  <c r="H1020" i="18"/>
  <c r="I1020" i="18"/>
  <c r="K1020" i="18"/>
  <c r="L1020" i="18"/>
  <c r="M1020" i="18"/>
  <c r="O1020" i="18"/>
  <c r="P1020" i="18"/>
  <c r="Q1020" i="18"/>
  <c r="R1020" i="18"/>
  <c r="A1021" i="18"/>
  <c r="C1021" i="18"/>
  <c r="E1021" i="18"/>
  <c r="F1021" i="18"/>
  <c r="H1021" i="18"/>
  <c r="I1021" i="18"/>
  <c r="K1021" i="18"/>
  <c r="L1021" i="18"/>
  <c r="M1021" i="18"/>
  <c r="O1021" i="18"/>
  <c r="P1021" i="18"/>
  <c r="Q1021" i="18"/>
  <c r="R1021" i="18"/>
  <c r="A1022" i="18"/>
  <c r="C1022" i="18"/>
  <c r="E1022" i="18"/>
  <c r="F1022" i="18"/>
  <c r="H1022" i="18"/>
  <c r="I1022" i="18"/>
  <c r="K1022" i="18"/>
  <c r="L1022" i="18"/>
  <c r="M1022" i="18"/>
  <c r="O1022" i="18"/>
  <c r="P1022" i="18"/>
  <c r="Q1022" i="18"/>
  <c r="R1022" i="18"/>
  <c r="A1023" i="18"/>
  <c r="C1023" i="18"/>
  <c r="E1023" i="18"/>
  <c r="F1023" i="18"/>
  <c r="H1023" i="18"/>
  <c r="I1023" i="18"/>
  <c r="K1023" i="18"/>
  <c r="L1023" i="18"/>
  <c r="M1023" i="18"/>
  <c r="O1023" i="18"/>
  <c r="P1023" i="18"/>
  <c r="Q1023" i="18"/>
  <c r="R1023" i="18"/>
  <c r="A1024" i="18"/>
  <c r="C1024" i="18"/>
  <c r="E1024" i="18"/>
  <c r="F1024" i="18"/>
  <c r="H1024" i="18"/>
  <c r="I1024" i="18"/>
  <c r="K1024" i="18"/>
  <c r="L1024" i="18"/>
  <c r="M1024" i="18"/>
  <c r="O1024" i="18"/>
  <c r="P1024" i="18"/>
  <c r="Q1024" i="18"/>
  <c r="R1024" i="18"/>
  <c r="A1025" i="18"/>
  <c r="C1025" i="18"/>
  <c r="E1025" i="18"/>
  <c r="F1025" i="18"/>
  <c r="H1025" i="18"/>
  <c r="I1025" i="18"/>
  <c r="K1025" i="18"/>
  <c r="L1025" i="18"/>
  <c r="M1025" i="18"/>
  <c r="O1025" i="18"/>
  <c r="P1025" i="18"/>
  <c r="Q1025" i="18"/>
  <c r="R1025" i="18"/>
  <c r="A1026" i="18"/>
  <c r="C1026" i="18"/>
  <c r="E1026" i="18"/>
  <c r="F1026" i="18"/>
  <c r="H1026" i="18"/>
  <c r="I1026" i="18"/>
  <c r="K1026" i="18"/>
  <c r="L1026" i="18"/>
  <c r="M1026" i="18"/>
  <c r="O1026" i="18"/>
  <c r="P1026" i="18"/>
  <c r="Q1026" i="18"/>
  <c r="R1026" i="18"/>
  <c r="A1027" i="18"/>
  <c r="C1027" i="18"/>
  <c r="E1027" i="18"/>
  <c r="F1027" i="18"/>
  <c r="H1027" i="18"/>
  <c r="I1027" i="18"/>
  <c r="K1027" i="18"/>
  <c r="L1027" i="18"/>
  <c r="M1027" i="18"/>
  <c r="O1027" i="18"/>
  <c r="P1027" i="18"/>
  <c r="Q1027" i="18"/>
  <c r="R1027" i="18"/>
  <c r="A1028" i="18"/>
  <c r="C1028" i="18"/>
  <c r="E1028" i="18"/>
  <c r="F1028" i="18"/>
  <c r="H1028" i="18"/>
  <c r="I1028" i="18"/>
  <c r="K1028" i="18"/>
  <c r="L1028" i="18"/>
  <c r="M1028" i="18"/>
  <c r="O1028" i="18"/>
  <c r="P1028" i="18"/>
  <c r="Q1028" i="18"/>
  <c r="R1028" i="18"/>
  <c r="A1029" i="18"/>
  <c r="C1029" i="18"/>
  <c r="E1029" i="18"/>
  <c r="F1029" i="18"/>
  <c r="H1029" i="18"/>
  <c r="I1029" i="18"/>
  <c r="K1029" i="18"/>
  <c r="L1029" i="18"/>
  <c r="M1029" i="18"/>
  <c r="O1029" i="18"/>
  <c r="P1029" i="18"/>
  <c r="Q1029" i="18"/>
  <c r="R1029" i="18"/>
  <c r="A1030" i="18"/>
  <c r="C1030" i="18"/>
  <c r="E1030" i="18"/>
  <c r="F1030" i="18"/>
  <c r="H1030" i="18"/>
  <c r="I1030" i="18"/>
  <c r="K1030" i="18"/>
  <c r="L1030" i="18"/>
  <c r="M1030" i="18"/>
  <c r="O1030" i="18"/>
  <c r="P1030" i="18"/>
  <c r="Q1030" i="18"/>
  <c r="R1030" i="18"/>
  <c r="A1031" i="18"/>
  <c r="C1031" i="18"/>
  <c r="E1031" i="18"/>
  <c r="F1031" i="18"/>
  <c r="H1031" i="18"/>
  <c r="I1031" i="18"/>
  <c r="K1031" i="18"/>
  <c r="L1031" i="18"/>
  <c r="M1031" i="18"/>
  <c r="O1031" i="18"/>
  <c r="P1031" i="18"/>
  <c r="Q1031" i="18"/>
  <c r="R1031" i="18"/>
  <c r="A1032" i="18"/>
  <c r="C1032" i="18"/>
  <c r="E1032" i="18"/>
  <c r="F1032" i="18"/>
  <c r="H1032" i="18"/>
  <c r="I1032" i="18"/>
  <c r="K1032" i="18"/>
  <c r="L1032" i="18"/>
  <c r="M1032" i="18"/>
  <c r="O1032" i="18"/>
  <c r="P1032" i="18"/>
  <c r="Q1032" i="18"/>
  <c r="R1032" i="18"/>
  <c r="A1033" i="18"/>
  <c r="C1033" i="18"/>
  <c r="E1033" i="18"/>
  <c r="F1033" i="18"/>
  <c r="H1033" i="18"/>
  <c r="I1033" i="18"/>
  <c r="K1033" i="18"/>
  <c r="L1033" i="18"/>
  <c r="M1033" i="18"/>
  <c r="O1033" i="18"/>
  <c r="P1033" i="18"/>
  <c r="Q1033" i="18"/>
  <c r="R1033" i="18"/>
  <c r="A1034" i="18"/>
  <c r="C1034" i="18"/>
  <c r="E1034" i="18"/>
  <c r="F1034" i="18"/>
  <c r="H1034" i="18"/>
  <c r="I1034" i="18"/>
  <c r="K1034" i="18"/>
  <c r="L1034" i="18"/>
  <c r="M1034" i="18"/>
  <c r="O1034" i="18"/>
  <c r="P1034" i="18"/>
  <c r="Q1034" i="18"/>
  <c r="R1034" i="18"/>
  <c r="A1035" i="18"/>
  <c r="C1035" i="18"/>
  <c r="E1035" i="18"/>
  <c r="F1035" i="18"/>
  <c r="H1035" i="18"/>
  <c r="I1035" i="18"/>
  <c r="K1035" i="18"/>
  <c r="L1035" i="18"/>
  <c r="M1035" i="18"/>
  <c r="O1035" i="18"/>
  <c r="P1035" i="18"/>
  <c r="Q1035" i="18"/>
  <c r="R1035" i="18"/>
  <c r="A1036" i="18"/>
  <c r="C1036" i="18"/>
  <c r="E1036" i="18"/>
  <c r="F1036" i="18"/>
  <c r="H1036" i="18"/>
  <c r="I1036" i="18"/>
  <c r="K1036" i="18"/>
  <c r="L1036" i="18"/>
  <c r="M1036" i="18"/>
  <c r="O1036" i="18"/>
  <c r="P1036" i="18"/>
  <c r="Q1036" i="18"/>
  <c r="R1036" i="18"/>
  <c r="A1037" i="18"/>
  <c r="C1037" i="18"/>
  <c r="E1037" i="18"/>
  <c r="F1037" i="18"/>
  <c r="H1037" i="18"/>
  <c r="I1037" i="18"/>
  <c r="K1037" i="18"/>
  <c r="L1037" i="18"/>
  <c r="M1037" i="18"/>
  <c r="O1037" i="18"/>
  <c r="P1037" i="18"/>
  <c r="Q1037" i="18"/>
  <c r="R1037" i="18"/>
  <c r="A1038" i="18"/>
  <c r="C1038" i="18"/>
  <c r="E1038" i="18"/>
  <c r="F1038" i="18"/>
  <c r="H1038" i="18"/>
  <c r="I1038" i="18"/>
  <c r="K1038" i="18"/>
  <c r="L1038" i="18"/>
  <c r="M1038" i="18"/>
  <c r="O1038" i="18"/>
  <c r="P1038" i="18"/>
  <c r="Q1038" i="18"/>
  <c r="R1038" i="18"/>
  <c r="A1039" i="18"/>
  <c r="C1039" i="18"/>
  <c r="E1039" i="18"/>
  <c r="F1039" i="18"/>
  <c r="H1039" i="18"/>
  <c r="I1039" i="18"/>
  <c r="K1039" i="18"/>
  <c r="L1039" i="18"/>
  <c r="M1039" i="18"/>
  <c r="O1039" i="18"/>
  <c r="P1039" i="18"/>
  <c r="Q1039" i="18"/>
  <c r="R1039" i="18"/>
  <c r="A1040" i="18"/>
  <c r="C1040" i="18"/>
  <c r="E1040" i="18"/>
  <c r="F1040" i="18"/>
  <c r="H1040" i="18"/>
  <c r="I1040" i="18"/>
  <c r="K1040" i="18"/>
  <c r="L1040" i="18"/>
  <c r="M1040" i="18"/>
  <c r="O1040" i="18"/>
  <c r="P1040" i="18"/>
  <c r="Q1040" i="18"/>
  <c r="R1040" i="18"/>
  <c r="A1041" i="18"/>
  <c r="C1041" i="18"/>
  <c r="E1041" i="18"/>
  <c r="F1041" i="18"/>
  <c r="H1041" i="18"/>
  <c r="I1041" i="18"/>
  <c r="K1041" i="18"/>
  <c r="L1041" i="18"/>
  <c r="M1041" i="18"/>
  <c r="O1041" i="18"/>
  <c r="P1041" i="18"/>
  <c r="Q1041" i="18"/>
  <c r="R1041" i="18"/>
  <c r="A1042" i="18"/>
  <c r="C1042" i="18"/>
  <c r="E1042" i="18"/>
  <c r="F1042" i="18"/>
  <c r="H1042" i="18"/>
  <c r="I1042" i="18"/>
  <c r="K1042" i="18"/>
  <c r="L1042" i="18"/>
  <c r="M1042" i="18"/>
  <c r="O1042" i="18"/>
  <c r="P1042" i="18"/>
  <c r="Q1042" i="18"/>
  <c r="R1042" i="18"/>
  <c r="A1043" i="18"/>
  <c r="C1043" i="18"/>
  <c r="E1043" i="18"/>
  <c r="F1043" i="18"/>
  <c r="H1043" i="18"/>
  <c r="I1043" i="18"/>
  <c r="K1043" i="18"/>
  <c r="L1043" i="18"/>
  <c r="M1043" i="18"/>
  <c r="O1043" i="18"/>
  <c r="P1043" i="18"/>
  <c r="Q1043" i="18"/>
  <c r="R1043" i="18"/>
  <c r="A1044" i="18"/>
  <c r="C1044" i="18"/>
  <c r="E1044" i="18"/>
  <c r="F1044" i="18"/>
  <c r="H1044" i="18"/>
  <c r="I1044" i="18"/>
  <c r="K1044" i="18"/>
  <c r="L1044" i="18"/>
  <c r="M1044" i="18"/>
  <c r="O1044" i="18"/>
  <c r="P1044" i="18"/>
  <c r="Q1044" i="18"/>
  <c r="R1044" i="18"/>
  <c r="A1045" i="18"/>
  <c r="C1045" i="18"/>
  <c r="E1045" i="18"/>
  <c r="F1045" i="18"/>
  <c r="H1045" i="18"/>
  <c r="I1045" i="18"/>
  <c r="K1045" i="18"/>
  <c r="L1045" i="18"/>
  <c r="M1045" i="18"/>
  <c r="O1045" i="18"/>
  <c r="P1045" i="18"/>
  <c r="Q1045" i="18"/>
  <c r="R1045" i="18"/>
  <c r="A1046" i="18"/>
  <c r="C1046" i="18"/>
  <c r="E1046" i="18"/>
  <c r="F1046" i="18"/>
  <c r="H1046" i="18"/>
  <c r="I1046" i="18"/>
  <c r="K1046" i="18"/>
  <c r="L1046" i="18"/>
  <c r="M1046" i="18"/>
  <c r="O1046" i="18"/>
  <c r="P1046" i="18"/>
  <c r="Q1046" i="18"/>
  <c r="R1046" i="18"/>
  <c r="A1047" i="18"/>
  <c r="C1047" i="18"/>
  <c r="E1047" i="18"/>
  <c r="F1047" i="18"/>
  <c r="H1047" i="18"/>
  <c r="I1047" i="18"/>
  <c r="K1047" i="18"/>
  <c r="L1047" i="18"/>
  <c r="M1047" i="18"/>
  <c r="O1047" i="18"/>
  <c r="P1047" i="18"/>
  <c r="Q1047" i="18"/>
  <c r="R1047" i="18"/>
  <c r="A1048" i="18"/>
  <c r="C1048" i="18"/>
  <c r="E1048" i="18"/>
  <c r="F1048" i="18"/>
  <c r="H1048" i="18"/>
  <c r="I1048" i="18"/>
  <c r="K1048" i="18"/>
  <c r="L1048" i="18"/>
  <c r="M1048" i="18"/>
  <c r="O1048" i="18"/>
  <c r="P1048" i="18"/>
  <c r="Q1048" i="18"/>
  <c r="R1048" i="18"/>
  <c r="A1049" i="18"/>
  <c r="C1049" i="18"/>
  <c r="E1049" i="18"/>
  <c r="F1049" i="18"/>
  <c r="H1049" i="18"/>
  <c r="I1049" i="18"/>
  <c r="K1049" i="18"/>
  <c r="L1049" i="18"/>
  <c r="M1049" i="18"/>
  <c r="O1049" i="18"/>
  <c r="P1049" i="18"/>
  <c r="Q1049" i="18"/>
  <c r="R1049" i="18"/>
  <c r="A1050" i="18"/>
  <c r="C1050" i="18"/>
  <c r="E1050" i="18"/>
  <c r="F1050" i="18"/>
  <c r="H1050" i="18"/>
  <c r="I1050" i="18"/>
  <c r="K1050" i="18"/>
  <c r="L1050" i="18"/>
  <c r="M1050" i="18"/>
  <c r="O1050" i="18"/>
  <c r="P1050" i="18"/>
  <c r="Q1050" i="18"/>
  <c r="R1050" i="18"/>
  <c r="A1051" i="18"/>
  <c r="C1051" i="18"/>
  <c r="E1051" i="18"/>
  <c r="F1051" i="18"/>
  <c r="H1051" i="18"/>
  <c r="I1051" i="18"/>
  <c r="K1051" i="18"/>
  <c r="L1051" i="18"/>
  <c r="M1051" i="18"/>
  <c r="O1051" i="18"/>
  <c r="P1051" i="18"/>
  <c r="Q1051" i="18"/>
  <c r="R1051" i="18"/>
  <c r="A1052" i="18"/>
  <c r="C1052" i="18"/>
  <c r="E1052" i="18"/>
  <c r="F1052" i="18"/>
  <c r="H1052" i="18"/>
  <c r="I1052" i="18"/>
  <c r="K1052" i="18"/>
  <c r="L1052" i="18"/>
  <c r="M1052" i="18"/>
  <c r="O1052" i="18"/>
  <c r="P1052" i="18"/>
  <c r="Q1052" i="18"/>
  <c r="R1052" i="18"/>
  <c r="A1053" i="18"/>
  <c r="C1053" i="18"/>
  <c r="E1053" i="18"/>
  <c r="F1053" i="18"/>
  <c r="H1053" i="18"/>
  <c r="I1053" i="18"/>
  <c r="K1053" i="18"/>
  <c r="L1053" i="18"/>
  <c r="M1053" i="18"/>
  <c r="O1053" i="18"/>
  <c r="P1053" i="18"/>
  <c r="Q1053" i="18"/>
  <c r="R1053" i="18"/>
  <c r="A1054" i="18"/>
  <c r="C1054" i="18"/>
  <c r="E1054" i="18"/>
  <c r="F1054" i="18"/>
  <c r="H1054" i="18"/>
  <c r="I1054" i="18"/>
  <c r="K1054" i="18"/>
  <c r="L1054" i="18"/>
  <c r="M1054" i="18"/>
  <c r="O1054" i="18"/>
  <c r="P1054" i="18"/>
  <c r="Q1054" i="18"/>
  <c r="R1054" i="18"/>
  <c r="A1055" i="18"/>
  <c r="C1055" i="18"/>
  <c r="E1055" i="18"/>
  <c r="F1055" i="18"/>
  <c r="H1055" i="18"/>
  <c r="I1055" i="18"/>
  <c r="K1055" i="18"/>
  <c r="L1055" i="18"/>
  <c r="M1055" i="18"/>
  <c r="O1055" i="18"/>
  <c r="P1055" i="18"/>
  <c r="Q1055" i="18"/>
  <c r="R1055" i="18"/>
  <c r="A1056" i="18"/>
  <c r="C1056" i="18"/>
  <c r="E1056" i="18"/>
  <c r="F1056" i="18"/>
  <c r="H1056" i="18"/>
  <c r="I1056" i="18"/>
  <c r="K1056" i="18"/>
  <c r="L1056" i="18"/>
  <c r="M1056" i="18"/>
  <c r="O1056" i="18"/>
  <c r="P1056" i="18"/>
  <c r="Q1056" i="18"/>
  <c r="R1056" i="18"/>
  <c r="A1057" i="18"/>
  <c r="C1057" i="18"/>
  <c r="E1057" i="18"/>
  <c r="F1057" i="18"/>
  <c r="H1057" i="18"/>
  <c r="I1057" i="18"/>
  <c r="K1057" i="18"/>
  <c r="L1057" i="18"/>
  <c r="M1057" i="18"/>
  <c r="O1057" i="18"/>
  <c r="P1057" i="18"/>
  <c r="Q1057" i="18"/>
  <c r="R1057" i="18"/>
  <c r="A1058" i="18"/>
  <c r="C1058" i="18"/>
  <c r="E1058" i="18"/>
  <c r="F1058" i="18"/>
  <c r="H1058" i="18"/>
  <c r="I1058" i="18"/>
  <c r="K1058" i="18"/>
  <c r="L1058" i="18"/>
  <c r="M1058" i="18"/>
  <c r="O1058" i="18"/>
  <c r="P1058" i="18"/>
  <c r="Q1058" i="18"/>
  <c r="R1058" i="18"/>
  <c r="A1059" i="18"/>
  <c r="C1059" i="18"/>
  <c r="E1059" i="18"/>
  <c r="F1059" i="18"/>
  <c r="H1059" i="18"/>
  <c r="I1059" i="18"/>
  <c r="K1059" i="18"/>
  <c r="L1059" i="18"/>
  <c r="M1059" i="18"/>
  <c r="O1059" i="18"/>
  <c r="P1059" i="18"/>
  <c r="Q1059" i="18"/>
  <c r="R1059" i="18"/>
  <c r="A1060" i="18"/>
  <c r="C1060" i="18"/>
  <c r="E1060" i="18"/>
  <c r="F1060" i="18"/>
  <c r="H1060" i="18"/>
  <c r="I1060" i="18"/>
  <c r="K1060" i="18"/>
  <c r="L1060" i="18"/>
  <c r="M1060" i="18"/>
  <c r="O1060" i="18"/>
  <c r="P1060" i="18"/>
  <c r="Q1060" i="18"/>
  <c r="R1060" i="18"/>
  <c r="A1061" i="18"/>
  <c r="C1061" i="18"/>
  <c r="E1061" i="18"/>
  <c r="F1061" i="18"/>
  <c r="H1061" i="18"/>
  <c r="I1061" i="18"/>
  <c r="K1061" i="18"/>
  <c r="L1061" i="18"/>
  <c r="M1061" i="18"/>
  <c r="O1061" i="18"/>
  <c r="P1061" i="18"/>
  <c r="Q1061" i="18"/>
  <c r="R1061" i="18"/>
  <c r="A1062" i="18"/>
  <c r="C1062" i="18"/>
  <c r="E1062" i="18"/>
  <c r="F1062" i="18"/>
  <c r="H1062" i="18"/>
  <c r="I1062" i="18"/>
  <c r="K1062" i="18"/>
  <c r="L1062" i="18"/>
  <c r="M1062" i="18"/>
  <c r="O1062" i="18"/>
  <c r="P1062" i="18"/>
  <c r="Q1062" i="18"/>
  <c r="R1062" i="18"/>
  <c r="A1063" i="18"/>
  <c r="C1063" i="18"/>
  <c r="E1063" i="18"/>
  <c r="F1063" i="18"/>
  <c r="H1063" i="18"/>
  <c r="I1063" i="18"/>
  <c r="K1063" i="18"/>
  <c r="L1063" i="18"/>
  <c r="M1063" i="18"/>
  <c r="O1063" i="18"/>
  <c r="P1063" i="18"/>
  <c r="Q1063" i="18"/>
  <c r="R1063" i="18"/>
  <c r="A1064" i="18"/>
  <c r="C1064" i="18"/>
  <c r="E1064" i="18"/>
  <c r="F1064" i="18"/>
  <c r="H1064" i="18"/>
  <c r="I1064" i="18"/>
  <c r="K1064" i="18"/>
  <c r="L1064" i="18"/>
  <c r="M1064" i="18"/>
  <c r="O1064" i="18"/>
  <c r="P1064" i="18"/>
  <c r="Q1064" i="18"/>
  <c r="R1064" i="18"/>
  <c r="A1065" i="18"/>
  <c r="C1065" i="18"/>
  <c r="E1065" i="18"/>
  <c r="F1065" i="18"/>
  <c r="H1065" i="18"/>
  <c r="I1065" i="18"/>
  <c r="K1065" i="18"/>
  <c r="L1065" i="18"/>
  <c r="M1065" i="18"/>
  <c r="O1065" i="18"/>
  <c r="P1065" i="18"/>
  <c r="Q1065" i="18"/>
  <c r="R1065" i="18"/>
  <c r="A1066" i="18"/>
  <c r="C1066" i="18"/>
  <c r="E1066" i="18"/>
  <c r="F1066" i="18"/>
  <c r="H1066" i="18"/>
  <c r="I1066" i="18"/>
  <c r="K1066" i="18"/>
  <c r="L1066" i="18"/>
  <c r="M1066" i="18"/>
  <c r="O1066" i="18"/>
  <c r="P1066" i="18"/>
  <c r="Q1066" i="18"/>
  <c r="R1066" i="18"/>
  <c r="A1067" i="18"/>
  <c r="C1067" i="18"/>
  <c r="E1067" i="18"/>
  <c r="F1067" i="18"/>
  <c r="H1067" i="18"/>
  <c r="I1067" i="18"/>
  <c r="K1067" i="18"/>
  <c r="L1067" i="18"/>
  <c r="M1067" i="18"/>
  <c r="O1067" i="18"/>
  <c r="P1067" i="18"/>
  <c r="Q1067" i="18"/>
  <c r="R1067" i="18"/>
  <c r="A1068" i="18"/>
  <c r="C1068" i="18"/>
  <c r="E1068" i="18"/>
  <c r="F1068" i="18"/>
  <c r="H1068" i="18"/>
  <c r="I1068" i="18"/>
  <c r="K1068" i="18"/>
  <c r="L1068" i="18"/>
  <c r="M1068" i="18"/>
  <c r="O1068" i="18"/>
  <c r="P1068" i="18"/>
  <c r="Q1068" i="18"/>
  <c r="R1068" i="18"/>
  <c r="A1069" i="18"/>
  <c r="C1069" i="18"/>
  <c r="E1069" i="18"/>
  <c r="F1069" i="18"/>
  <c r="H1069" i="18"/>
  <c r="I1069" i="18"/>
  <c r="K1069" i="18"/>
  <c r="L1069" i="18"/>
  <c r="M1069" i="18"/>
  <c r="O1069" i="18"/>
  <c r="P1069" i="18"/>
  <c r="Q1069" i="18"/>
  <c r="R1069" i="18"/>
  <c r="A1070" i="18"/>
  <c r="C1070" i="18"/>
  <c r="E1070" i="18"/>
  <c r="F1070" i="18"/>
  <c r="H1070" i="18"/>
  <c r="I1070" i="18"/>
  <c r="K1070" i="18"/>
  <c r="L1070" i="18"/>
  <c r="M1070" i="18"/>
  <c r="O1070" i="18"/>
  <c r="P1070" i="18"/>
  <c r="Q1070" i="18"/>
  <c r="R1070" i="18"/>
  <c r="A1071" i="18"/>
  <c r="C1071" i="18"/>
  <c r="E1071" i="18"/>
  <c r="F1071" i="18"/>
  <c r="H1071" i="18"/>
  <c r="I1071" i="18"/>
  <c r="K1071" i="18"/>
  <c r="L1071" i="18"/>
  <c r="M1071" i="18"/>
  <c r="O1071" i="18"/>
  <c r="P1071" i="18"/>
  <c r="Q1071" i="18"/>
  <c r="R1071" i="18"/>
  <c r="A1072" i="18"/>
  <c r="C1072" i="18"/>
  <c r="E1072" i="18"/>
  <c r="F1072" i="18"/>
  <c r="H1072" i="18"/>
  <c r="I1072" i="18"/>
  <c r="K1072" i="18"/>
  <c r="L1072" i="18"/>
  <c r="M1072" i="18"/>
  <c r="O1072" i="18"/>
  <c r="P1072" i="18"/>
  <c r="Q1072" i="18"/>
  <c r="R1072" i="18"/>
  <c r="A1073" i="18"/>
  <c r="C1073" i="18"/>
  <c r="E1073" i="18"/>
  <c r="F1073" i="18"/>
  <c r="H1073" i="18"/>
  <c r="I1073" i="18"/>
  <c r="K1073" i="18"/>
  <c r="L1073" i="18"/>
  <c r="M1073" i="18"/>
  <c r="O1073" i="18"/>
  <c r="P1073" i="18"/>
  <c r="Q1073" i="18"/>
  <c r="R1073" i="18"/>
  <c r="A1074" i="18"/>
  <c r="C1074" i="18"/>
  <c r="E1074" i="18"/>
  <c r="F1074" i="18"/>
  <c r="H1074" i="18"/>
  <c r="I1074" i="18"/>
  <c r="K1074" i="18"/>
  <c r="L1074" i="18"/>
  <c r="M1074" i="18"/>
  <c r="O1074" i="18"/>
  <c r="P1074" i="18"/>
  <c r="Q1074" i="18"/>
  <c r="R1074" i="18"/>
  <c r="A1075" i="18"/>
  <c r="C1075" i="18"/>
  <c r="E1075" i="18"/>
  <c r="F1075" i="18"/>
  <c r="H1075" i="18"/>
  <c r="I1075" i="18"/>
  <c r="K1075" i="18"/>
  <c r="L1075" i="18"/>
  <c r="M1075" i="18"/>
  <c r="O1075" i="18"/>
  <c r="P1075" i="18"/>
  <c r="Q1075" i="18"/>
  <c r="R1075" i="18"/>
  <c r="A1076" i="18"/>
  <c r="C1076" i="18"/>
  <c r="E1076" i="18"/>
  <c r="F1076" i="18"/>
  <c r="H1076" i="18"/>
  <c r="I1076" i="18"/>
  <c r="K1076" i="18"/>
  <c r="L1076" i="18"/>
  <c r="M1076" i="18"/>
  <c r="O1076" i="18"/>
  <c r="P1076" i="18"/>
  <c r="Q1076" i="18"/>
  <c r="R1076" i="18"/>
  <c r="A1077" i="18"/>
  <c r="C1077" i="18"/>
  <c r="E1077" i="18"/>
  <c r="F1077" i="18"/>
  <c r="H1077" i="18"/>
  <c r="I1077" i="18"/>
  <c r="K1077" i="18"/>
  <c r="L1077" i="18"/>
  <c r="M1077" i="18"/>
  <c r="O1077" i="18"/>
  <c r="P1077" i="18"/>
  <c r="Q1077" i="18"/>
  <c r="R1077" i="18"/>
  <c r="A1078" i="18"/>
  <c r="C1078" i="18"/>
  <c r="E1078" i="18"/>
  <c r="F1078" i="18"/>
  <c r="H1078" i="18"/>
  <c r="I1078" i="18"/>
  <c r="K1078" i="18"/>
  <c r="L1078" i="18"/>
  <c r="M1078" i="18"/>
  <c r="O1078" i="18"/>
  <c r="P1078" i="18"/>
  <c r="Q1078" i="18"/>
  <c r="R1078" i="18"/>
  <c r="A1079" i="18"/>
  <c r="C1079" i="18"/>
  <c r="E1079" i="18"/>
  <c r="F1079" i="18"/>
  <c r="H1079" i="18"/>
  <c r="I1079" i="18"/>
  <c r="K1079" i="18"/>
  <c r="L1079" i="18"/>
  <c r="M1079" i="18"/>
  <c r="O1079" i="18"/>
  <c r="P1079" i="18"/>
  <c r="Q1079" i="18"/>
  <c r="R1079" i="18"/>
  <c r="A1080" i="18"/>
  <c r="C1080" i="18"/>
  <c r="E1080" i="18"/>
  <c r="F1080" i="18"/>
  <c r="H1080" i="18"/>
  <c r="I1080" i="18"/>
  <c r="K1080" i="18"/>
  <c r="L1080" i="18"/>
  <c r="M1080" i="18"/>
  <c r="O1080" i="18"/>
  <c r="P1080" i="18"/>
  <c r="Q1080" i="18"/>
  <c r="R1080" i="18"/>
  <c r="A1081" i="18"/>
  <c r="C1081" i="18"/>
  <c r="E1081" i="18"/>
  <c r="F1081" i="18"/>
  <c r="H1081" i="18"/>
  <c r="I1081" i="18"/>
  <c r="K1081" i="18"/>
  <c r="L1081" i="18"/>
  <c r="M1081" i="18"/>
  <c r="O1081" i="18"/>
  <c r="P1081" i="18"/>
  <c r="Q1081" i="18"/>
  <c r="R1081" i="18"/>
  <c r="A1082" i="18"/>
  <c r="C1082" i="18"/>
  <c r="E1082" i="18"/>
  <c r="F1082" i="18"/>
  <c r="H1082" i="18"/>
  <c r="I1082" i="18"/>
  <c r="K1082" i="18"/>
  <c r="L1082" i="18"/>
  <c r="M1082" i="18"/>
  <c r="O1082" i="18"/>
  <c r="P1082" i="18"/>
  <c r="Q1082" i="18"/>
  <c r="R1082" i="18"/>
  <c r="A1083" i="18"/>
  <c r="C1083" i="18"/>
  <c r="E1083" i="18"/>
  <c r="F1083" i="18"/>
  <c r="H1083" i="18"/>
  <c r="I1083" i="18"/>
  <c r="K1083" i="18"/>
  <c r="L1083" i="18"/>
  <c r="M1083" i="18"/>
  <c r="O1083" i="18"/>
  <c r="P1083" i="18"/>
  <c r="Q1083" i="18"/>
  <c r="R1083" i="18"/>
  <c r="A1084" i="18"/>
  <c r="C1084" i="18"/>
  <c r="E1084" i="18"/>
  <c r="F1084" i="18"/>
  <c r="H1084" i="18"/>
  <c r="I1084" i="18"/>
  <c r="K1084" i="18"/>
  <c r="L1084" i="18"/>
  <c r="M1084" i="18"/>
  <c r="O1084" i="18"/>
  <c r="P1084" i="18"/>
  <c r="Q1084" i="18"/>
  <c r="R1084" i="18"/>
  <c r="A1085" i="18"/>
  <c r="C1085" i="18"/>
  <c r="E1085" i="18"/>
  <c r="F1085" i="18"/>
  <c r="H1085" i="18"/>
  <c r="I1085" i="18"/>
  <c r="K1085" i="18"/>
  <c r="L1085" i="18"/>
  <c r="M1085" i="18"/>
  <c r="O1085" i="18"/>
  <c r="P1085" i="18"/>
  <c r="Q1085" i="18"/>
  <c r="R1085" i="18"/>
  <c r="A1086" i="18"/>
  <c r="C1086" i="18"/>
  <c r="E1086" i="18"/>
  <c r="F1086" i="18"/>
  <c r="H1086" i="18"/>
  <c r="I1086" i="18"/>
  <c r="K1086" i="18"/>
  <c r="L1086" i="18"/>
  <c r="M1086" i="18"/>
  <c r="O1086" i="18"/>
  <c r="P1086" i="18"/>
  <c r="Q1086" i="18"/>
  <c r="R1086" i="18"/>
  <c r="A1087" i="18"/>
  <c r="C1087" i="18"/>
  <c r="E1087" i="18"/>
  <c r="F1087" i="18"/>
  <c r="H1087" i="18"/>
  <c r="I1087" i="18"/>
  <c r="K1087" i="18"/>
  <c r="L1087" i="18"/>
  <c r="M1087" i="18"/>
  <c r="O1087" i="18"/>
  <c r="P1087" i="18"/>
  <c r="Q1087" i="18"/>
  <c r="R1087" i="18"/>
  <c r="A1088" i="18"/>
  <c r="C1088" i="18"/>
  <c r="E1088" i="18"/>
  <c r="F1088" i="18"/>
  <c r="H1088" i="18"/>
  <c r="I1088" i="18"/>
  <c r="K1088" i="18"/>
  <c r="L1088" i="18"/>
  <c r="M1088" i="18"/>
  <c r="O1088" i="18"/>
  <c r="P1088" i="18"/>
  <c r="Q1088" i="18"/>
  <c r="R1088" i="18"/>
  <c r="A1089" i="18"/>
  <c r="C1089" i="18"/>
  <c r="E1089" i="18"/>
  <c r="F1089" i="18"/>
  <c r="H1089" i="18"/>
  <c r="I1089" i="18"/>
  <c r="K1089" i="18"/>
  <c r="L1089" i="18"/>
  <c r="M1089" i="18"/>
  <c r="O1089" i="18"/>
  <c r="P1089" i="18"/>
  <c r="Q1089" i="18"/>
  <c r="R1089" i="18"/>
  <c r="A1090" i="18"/>
  <c r="C1090" i="18"/>
  <c r="E1090" i="18"/>
  <c r="F1090" i="18"/>
  <c r="H1090" i="18"/>
  <c r="I1090" i="18"/>
  <c r="K1090" i="18"/>
  <c r="L1090" i="18"/>
  <c r="M1090" i="18"/>
  <c r="O1090" i="18"/>
  <c r="P1090" i="18"/>
  <c r="Q1090" i="18"/>
  <c r="R1090" i="18"/>
  <c r="A1091" i="18"/>
  <c r="C1091" i="18"/>
  <c r="E1091" i="18"/>
  <c r="F1091" i="18"/>
  <c r="H1091" i="18"/>
  <c r="I1091" i="18"/>
  <c r="K1091" i="18"/>
  <c r="L1091" i="18"/>
  <c r="M1091" i="18"/>
  <c r="O1091" i="18"/>
  <c r="P1091" i="18"/>
  <c r="Q1091" i="18"/>
  <c r="R1091" i="18"/>
  <c r="A1092" i="18"/>
  <c r="C1092" i="18"/>
  <c r="E1092" i="18"/>
  <c r="F1092" i="18"/>
  <c r="H1092" i="18"/>
  <c r="I1092" i="18"/>
  <c r="K1092" i="18"/>
  <c r="L1092" i="18"/>
  <c r="M1092" i="18"/>
  <c r="O1092" i="18"/>
  <c r="P1092" i="18"/>
  <c r="Q1092" i="18"/>
  <c r="R1092" i="18"/>
  <c r="A1093" i="18"/>
  <c r="C1093" i="18"/>
  <c r="E1093" i="18"/>
  <c r="F1093" i="18"/>
  <c r="H1093" i="18"/>
  <c r="I1093" i="18"/>
  <c r="K1093" i="18"/>
  <c r="L1093" i="18"/>
  <c r="M1093" i="18"/>
  <c r="O1093" i="18"/>
  <c r="P1093" i="18"/>
  <c r="Q1093" i="18"/>
  <c r="R1093" i="18"/>
  <c r="A1094" i="18"/>
  <c r="C1094" i="18"/>
  <c r="E1094" i="18"/>
  <c r="F1094" i="18"/>
  <c r="H1094" i="18"/>
  <c r="I1094" i="18"/>
  <c r="K1094" i="18"/>
  <c r="L1094" i="18"/>
  <c r="M1094" i="18"/>
  <c r="O1094" i="18"/>
  <c r="P1094" i="18"/>
  <c r="Q1094" i="18"/>
  <c r="R1094" i="18"/>
  <c r="A1095" i="18"/>
  <c r="C1095" i="18"/>
  <c r="E1095" i="18"/>
  <c r="F1095" i="18"/>
  <c r="H1095" i="18"/>
  <c r="I1095" i="18"/>
  <c r="K1095" i="18"/>
  <c r="L1095" i="18"/>
  <c r="M1095" i="18"/>
  <c r="O1095" i="18"/>
  <c r="P1095" i="18"/>
  <c r="Q1095" i="18"/>
  <c r="R1095" i="18"/>
  <c r="A1096" i="18"/>
  <c r="C1096" i="18"/>
  <c r="E1096" i="18"/>
  <c r="F1096" i="18"/>
  <c r="H1096" i="18"/>
  <c r="I1096" i="18"/>
  <c r="K1096" i="18"/>
  <c r="L1096" i="18"/>
  <c r="M1096" i="18"/>
  <c r="O1096" i="18"/>
  <c r="P1096" i="18"/>
  <c r="Q1096" i="18"/>
  <c r="R1096" i="18"/>
  <c r="A1097" i="18"/>
  <c r="C1097" i="18"/>
  <c r="E1097" i="18"/>
  <c r="F1097" i="18"/>
  <c r="H1097" i="18"/>
  <c r="I1097" i="18"/>
  <c r="K1097" i="18"/>
  <c r="L1097" i="18"/>
  <c r="M1097" i="18"/>
  <c r="O1097" i="18"/>
  <c r="P1097" i="18"/>
  <c r="Q1097" i="18"/>
  <c r="R1097" i="18"/>
  <c r="A1098" i="18"/>
  <c r="C1098" i="18"/>
  <c r="E1098" i="18"/>
  <c r="F1098" i="18"/>
  <c r="H1098" i="18"/>
  <c r="I1098" i="18"/>
  <c r="K1098" i="18"/>
  <c r="L1098" i="18"/>
  <c r="M1098" i="18"/>
  <c r="O1098" i="18"/>
  <c r="P1098" i="18"/>
  <c r="Q1098" i="18"/>
  <c r="R1098" i="18"/>
  <c r="A1099" i="18"/>
  <c r="C1099" i="18"/>
  <c r="E1099" i="18"/>
  <c r="F1099" i="18"/>
  <c r="H1099" i="18"/>
  <c r="I1099" i="18"/>
  <c r="K1099" i="18"/>
  <c r="L1099" i="18"/>
  <c r="M1099" i="18"/>
  <c r="O1099" i="18"/>
  <c r="P1099" i="18"/>
  <c r="Q1099" i="18"/>
  <c r="R1099" i="18"/>
  <c r="A1100" i="18"/>
  <c r="C1100" i="18"/>
  <c r="E1100" i="18"/>
  <c r="F1100" i="18"/>
  <c r="H1100" i="18"/>
  <c r="I1100" i="18"/>
  <c r="K1100" i="18"/>
  <c r="L1100" i="18"/>
  <c r="M1100" i="18"/>
  <c r="O1100" i="18"/>
  <c r="P1100" i="18"/>
  <c r="Q1100" i="18"/>
  <c r="R1100" i="18"/>
  <c r="A1101" i="18"/>
  <c r="C1101" i="18"/>
  <c r="E1101" i="18"/>
  <c r="F1101" i="18"/>
  <c r="H1101" i="18"/>
  <c r="I1101" i="18"/>
  <c r="K1101" i="18"/>
  <c r="L1101" i="18"/>
  <c r="M1101" i="18"/>
  <c r="O1101" i="18"/>
  <c r="P1101" i="18"/>
  <c r="Q1101" i="18"/>
  <c r="R1101" i="18"/>
  <c r="A1102" i="18"/>
  <c r="C1102" i="18"/>
  <c r="E1102" i="18"/>
  <c r="F1102" i="18"/>
  <c r="H1102" i="18"/>
  <c r="I1102" i="18"/>
  <c r="K1102" i="18"/>
  <c r="L1102" i="18"/>
  <c r="M1102" i="18"/>
  <c r="O1102" i="18"/>
  <c r="P1102" i="18"/>
  <c r="Q1102" i="18"/>
  <c r="R1102" i="18"/>
  <c r="A1103" i="18"/>
  <c r="C1103" i="18"/>
  <c r="E1103" i="18"/>
  <c r="F1103" i="18"/>
  <c r="H1103" i="18"/>
  <c r="I1103" i="18"/>
  <c r="K1103" i="18"/>
  <c r="L1103" i="18"/>
  <c r="M1103" i="18"/>
  <c r="O1103" i="18"/>
  <c r="P1103" i="18"/>
  <c r="Q1103" i="18"/>
  <c r="R1103" i="18"/>
  <c r="A1104" i="18"/>
  <c r="C1104" i="18"/>
  <c r="E1104" i="18"/>
  <c r="F1104" i="18"/>
  <c r="H1104" i="18"/>
  <c r="I1104" i="18"/>
  <c r="K1104" i="18"/>
  <c r="L1104" i="18"/>
  <c r="M1104" i="18"/>
  <c r="O1104" i="18"/>
  <c r="P1104" i="18"/>
  <c r="Q1104" i="18"/>
  <c r="R1104" i="18"/>
  <c r="A1105" i="18"/>
  <c r="C1105" i="18"/>
  <c r="E1105" i="18"/>
  <c r="F1105" i="18"/>
  <c r="H1105" i="18"/>
  <c r="I1105" i="18"/>
  <c r="K1105" i="18"/>
  <c r="L1105" i="18"/>
  <c r="M1105" i="18"/>
  <c r="O1105" i="18"/>
  <c r="P1105" i="18"/>
  <c r="Q1105" i="18"/>
  <c r="R1105" i="18"/>
  <c r="A1106" i="18"/>
  <c r="C1106" i="18"/>
  <c r="E1106" i="18"/>
  <c r="F1106" i="18"/>
  <c r="H1106" i="18"/>
  <c r="I1106" i="18"/>
  <c r="K1106" i="18"/>
  <c r="L1106" i="18"/>
  <c r="M1106" i="18"/>
  <c r="O1106" i="18"/>
  <c r="P1106" i="18"/>
  <c r="Q1106" i="18"/>
  <c r="R1106" i="18"/>
  <c r="A1107" i="18"/>
  <c r="B1107" i="18"/>
  <c r="C1107" i="18"/>
  <c r="E1107" i="18"/>
  <c r="F1107" i="18"/>
  <c r="G1107" i="18"/>
  <c r="H1107" i="18"/>
  <c r="I1107" i="18"/>
  <c r="J1107" i="18"/>
  <c r="K1107" i="18"/>
  <c r="M1107" i="18"/>
  <c r="O1107" i="18"/>
  <c r="P1107" i="18"/>
  <c r="Q1107" i="18"/>
  <c r="R1107" i="18"/>
  <c r="N1174" i="14"/>
  <c r="N1175" i="14"/>
  <c r="N1176" i="14"/>
  <c r="N1177" i="14"/>
  <c r="AG3" i="14" l="1"/>
  <c r="AF3" i="14"/>
  <c r="AE3" i="14"/>
  <c r="AD3" i="14"/>
  <c r="AC3" i="14"/>
  <c r="AB3" i="14"/>
  <c r="AA4" i="14" l="1"/>
  <c r="AA5" i="14"/>
  <c r="AA6" i="14"/>
  <c r="AA7" i="14"/>
  <c r="AA8" i="14"/>
  <c r="AA9" i="14"/>
  <c r="AA10" i="14"/>
  <c r="AA11" i="14"/>
  <c r="AA12" i="14"/>
  <c r="AA13" i="14"/>
  <c r="AA14" i="14"/>
  <c r="AA15" i="14"/>
  <c r="AA16" i="14"/>
  <c r="AA17" i="14"/>
  <c r="AA18" i="14"/>
  <c r="AA19" i="14"/>
  <c r="AA20" i="14"/>
  <c r="AA21" i="14"/>
  <c r="AA22" i="14"/>
  <c r="AA23" i="14"/>
  <c r="AA24" i="14"/>
  <c r="AA25" i="14"/>
  <c r="AA26" i="14"/>
  <c r="AA27" i="14"/>
  <c r="AA28" i="14"/>
  <c r="AA29" i="14"/>
  <c r="AA30" i="14"/>
  <c r="AA31" i="14"/>
  <c r="AA32" i="14"/>
  <c r="AA33" i="14"/>
  <c r="AA34" i="14"/>
  <c r="AA35" i="14"/>
  <c r="AA36" i="14"/>
  <c r="AA37" i="14"/>
  <c r="AA38" i="14"/>
  <c r="AA39" i="14"/>
  <c r="AA40" i="14"/>
  <c r="AA41" i="14"/>
  <c r="AA42" i="14"/>
  <c r="AA43" i="14"/>
  <c r="AA44" i="14"/>
  <c r="AA45" i="14"/>
  <c r="AA46" i="14"/>
  <c r="AA47" i="14"/>
  <c r="AA48" i="14"/>
  <c r="AA49" i="14"/>
  <c r="AA50" i="14"/>
  <c r="AA51" i="14"/>
  <c r="AA52" i="14"/>
  <c r="AA53" i="14"/>
  <c r="AA54" i="14"/>
  <c r="AA55" i="14"/>
  <c r="AA56" i="14"/>
  <c r="AA57" i="14"/>
  <c r="AA58" i="14"/>
  <c r="AA59" i="14"/>
  <c r="AA60" i="14"/>
  <c r="AA61" i="14"/>
  <c r="AA62" i="14"/>
  <c r="AA63" i="14"/>
  <c r="AA64" i="14"/>
  <c r="AA65" i="14"/>
  <c r="AA66" i="14"/>
  <c r="AA67" i="14"/>
  <c r="AA68" i="14"/>
  <c r="AA69" i="14"/>
  <c r="AA70" i="14"/>
  <c r="AA71" i="14"/>
  <c r="AA72" i="14"/>
  <c r="AA73" i="14"/>
  <c r="AA74" i="14"/>
  <c r="AA75" i="14"/>
  <c r="AA76" i="14"/>
  <c r="AA77" i="14"/>
  <c r="AA78" i="14"/>
  <c r="AA79" i="14"/>
  <c r="AA80" i="14"/>
  <c r="AA81" i="14"/>
  <c r="AA82" i="14"/>
  <c r="AA83" i="14"/>
  <c r="AA84" i="14"/>
  <c r="AA85" i="14"/>
  <c r="AA86" i="14"/>
  <c r="AA87" i="14"/>
  <c r="AA88" i="14"/>
  <c r="AA89" i="14"/>
  <c r="AA90" i="14"/>
  <c r="AA91" i="14"/>
  <c r="AA92" i="14"/>
  <c r="AA93" i="14"/>
  <c r="AA94" i="14"/>
  <c r="AA95" i="14"/>
  <c r="AA96" i="14"/>
  <c r="AA97" i="14"/>
  <c r="AA98" i="14"/>
  <c r="AA99" i="14"/>
  <c r="AA100" i="14"/>
  <c r="AA101" i="14"/>
  <c r="AA102" i="14"/>
  <c r="AA103" i="14"/>
  <c r="AA104" i="14"/>
  <c r="AA105" i="14"/>
  <c r="AA106" i="14"/>
  <c r="AA107" i="14"/>
  <c r="AA108" i="14"/>
  <c r="AA109" i="14"/>
  <c r="AA110" i="14"/>
  <c r="AA111" i="14"/>
  <c r="AA112" i="14"/>
  <c r="AA113" i="14"/>
  <c r="AA114" i="14"/>
  <c r="AA115" i="14"/>
  <c r="AA116" i="14"/>
  <c r="AA117" i="14"/>
  <c r="AA118" i="14"/>
  <c r="AA119" i="14"/>
  <c r="AA120" i="14"/>
  <c r="AA121" i="14"/>
  <c r="AA122" i="14"/>
  <c r="AA123" i="14"/>
  <c r="AA124" i="14"/>
  <c r="AA125" i="14"/>
  <c r="AA126" i="14"/>
  <c r="AA127" i="14"/>
  <c r="AA128" i="14"/>
  <c r="AA129" i="14"/>
  <c r="AA130" i="14"/>
  <c r="AA131" i="14"/>
  <c r="AA132" i="14"/>
  <c r="AA133" i="14"/>
  <c r="AA134" i="14"/>
  <c r="AA135" i="14"/>
  <c r="AA136" i="14"/>
  <c r="AA137" i="14"/>
  <c r="AA138" i="14"/>
  <c r="AA139" i="14"/>
  <c r="AA140" i="14"/>
  <c r="AA141" i="14"/>
  <c r="AA142" i="14"/>
  <c r="AA143" i="14"/>
  <c r="AA144" i="14"/>
  <c r="AA145" i="14"/>
  <c r="AA146" i="14"/>
  <c r="AA147" i="14"/>
  <c r="AA148" i="14"/>
  <c r="AA149" i="14"/>
  <c r="AA150" i="14"/>
  <c r="AA151" i="14"/>
  <c r="AA152" i="14"/>
  <c r="AA153" i="14"/>
  <c r="AA154" i="14"/>
  <c r="AA155" i="14"/>
  <c r="AA156" i="14"/>
  <c r="AA157" i="14"/>
  <c r="AA158" i="14"/>
  <c r="AA159" i="14"/>
  <c r="AA160" i="14"/>
  <c r="AA161" i="14"/>
  <c r="AA162" i="14"/>
  <c r="AA163" i="14"/>
  <c r="AA164" i="14"/>
  <c r="AA165" i="14"/>
  <c r="AA166" i="14"/>
  <c r="AA167" i="14"/>
  <c r="AA168" i="14"/>
  <c r="AA169" i="14"/>
  <c r="AA170" i="14"/>
  <c r="AA171" i="14"/>
  <c r="AA172" i="14"/>
  <c r="AA173" i="14"/>
  <c r="AA174" i="14"/>
  <c r="AA175" i="14"/>
  <c r="AA176" i="14"/>
  <c r="AA177" i="14"/>
  <c r="AA178" i="14"/>
  <c r="AA179" i="14"/>
  <c r="AA180" i="14"/>
  <c r="AA181" i="14"/>
  <c r="AA182" i="14"/>
  <c r="AA183" i="14"/>
  <c r="AA184" i="14"/>
  <c r="AA185" i="14"/>
  <c r="AA186" i="14"/>
  <c r="AA187" i="14"/>
  <c r="AA188" i="14"/>
  <c r="AA189" i="14"/>
  <c r="AA190" i="14"/>
  <c r="AA191" i="14"/>
  <c r="AA192" i="14"/>
  <c r="AA193" i="14"/>
  <c r="AA194" i="14"/>
  <c r="AA195" i="14"/>
  <c r="AA196" i="14"/>
  <c r="AA197" i="14"/>
  <c r="AA198" i="14"/>
  <c r="AA199" i="14"/>
  <c r="AA200" i="14"/>
  <c r="AA201" i="14"/>
  <c r="AA202" i="14"/>
  <c r="AA203" i="14"/>
  <c r="AA204" i="14"/>
  <c r="AA205" i="14"/>
  <c r="AA206" i="14"/>
  <c r="AA207" i="14"/>
  <c r="AA208" i="14"/>
  <c r="AA209" i="14"/>
  <c r="AA210" i="14"/>
  <c r="AA211" i="14"/>
  <c r="AA212" i="14"/>
  <c r="AA213" i="14"/>
  <c r="AA214" i="14"/>
  <c r="AA215" i="14"/>
  <c r="AA216" i="14"/>
  <c r="AA217" i="14"/>
  <c r="AA218" i="14"/>
  <c r="AA219" i="14"/>
  <c r="AA220" i="14"/>
  <c r="AA221" i="14"/>
  <c r="AA222" i="14"/>
  <c r="AA223" i="14"/>
  <c r="AA224" i="14"/>
  <c r="AA225" i="14"/>
  <c r="AA226" i="14"/>
  <c r="AA227" i="14"/>
  <c r="AA228" i="14"/>
  <c r="AA229" i="14"/>
  <c r="AA230" i="14"/>
  <c r="AA231" i="14"/>
  <c r="AA232" i="14"/>
  <c r="AA233" i="14"/>
  <c r="AA234" i="14"/>
  <c r="AA235" i="14"/>
  <c r="AA236" i="14"/>
  <c r="AA237" i="14"/>
  <c r="AA238" i="14"/>
  <c r="AA239" i="14"/>
  <c r="AA240" i="14"/>
  <c r="AA241" i="14"/>
  <c r="AA242" i="14"/>
  <c r="AA243" i="14"/>
  <c r="AA244" i="14"/>
  <c r="AA245" i="14"/>
  <c r="AA246" i="14"/>
  <c r="AA247" i="14"/>
  <c r="AA248" i="14"/>
  <c r="AA249" i="14"/>
  <c r="AA250" i="14"/>
  <c r="AA251" i="14"/>
  <c r="AA252" i="14"/>
  <c r="AA253" i="14"/>
  <c r="AA254" i="14"/>
  <c r="AA255" i="14"/>
  <c r="AA256" i="14"/>
  <c r="AA257" i="14"/>
  <c r="AA258" i="14"/>
  <c r="AA259" i="14"/>
  <c r="AA260" i="14"/>
  <c r="AA261" i="14"/>
  <c r="AA262" i="14"/>
  <c r="AA263" i="14"/>
  <c r="AA264" i="14"/>
  <c r="AA265" i="14"/>
  <c r="AA266" i="14"/>
  <c r="AA267" i="14"/>
  <c r="AA268" i="14"/>
  <c r="AA269" i="14"/>
  <c r="AA270" i="14"/>
  <c r="AA271" i="14"/>
  <c r="AA272" i="14"/>
  <c r="AA273" i="14"/>
  <c r="AA274" i="14"/>
  <c r="AA275" i="14"/>
  <c r="AA276" i="14"/>
  <c r="AA277" i="14"/>
  <c r="AA278" i="14"/>
  <c r="AA279" i="14"/>
  <c r="AA280" i="14"/>
  <c r="AA281" i="14"/>
  <c r="AA282" i="14"/>
  <c r="AA283" i="14"/>
  <c r="AA284" i="14"/>
  <c r="AA285" i="14"/>
  <c r="AA286" i="14"/>
  <c r="AA287" i="14"/>
  <c r="AA288" i="14"/>
  <c r="AA289" i="14"/>
  <c r="AA290" i="14"/>
  <c r="AA291" i="14"/>
  <c r="AA292" i="14"/>
  <c r="AA293" i="14"/>
  <c r="AA294" i="14"/>
  <c r="AA295" i="14"/>
  <c r="AA296" i="14"/>
  <c r="AA297" i="14"/>
  <c r="AA298" i="14"/>
  <c r="AA299" i="14"/>
  <c r="AA300" i="14"/>
  <c r="AA301" i="14"/>
  <c r="AA302" i="14"/>
  <c r="AA303" i="14"/>
  <c r="AA304" i="14"/>
  <c r="AA305" i="14"/>
  <c r="AA306" i="14"/>
  <c r="AA307" i="14"/>
  <c r="AA308" i="14"/>
  <c r="AA309" i="14"/>
  <c r="AA310" i="14"/>
  <c r="AA311" i="14"/>
  <c r="AA312" i="14"/>
  <c r="AA313" i="14"/>
  <c r="AA314" i="14"/>
  <c r="AA315" i="14"/>
  <c r="AA316" i="14"/>
  <c r="AA317" i="14"/>
  <c r="AA318" i="14"/>
  <c r="AA319" i="14"/>
  <c r="AA320" i="14"/>
  <c r="AA321" i="14"/>
  <c r="AA322" i="14"/>
  <c r="AA323" i="14"/>
  <c r="AA324" i="14"/>
  <c r="AA325" i="14"/>
  <c r="AA326" i="14"/>
  <c r="AA327" i="14"/>
  <c r="AA328" i="14"/>
  <c r="AA329" i="14"/>
  <c r="AA330" i="14"/>
  <c r="AA331" i="14"/>
  <c r="AA332" i="14"/>
  <c r="AA333" i="14"/>
  <c r="AA334" i="14"/>
  <c r="AA335" i="14"/>
  <c r="AA336" i="14"/>
  <c r="AA337" i="14"/>
  <c r="AA338" i="14"/>
  <c r="AA339" i="14"/>
  <c r="AA340" i="14"/>
  <c r="AA341" i="14"/>
  <c r="AA342" i="14"/>
  <c r="AA343" i="14"/>
  <c r="AA344" i="14"/>
  <c r="AA345" i="14"/>
  <c r="AA346" i="14"/>
  <c r="AA347" i="14"/>
  <c r="AA348" i="14"/>
  <c r="AA349" i="14"/>
  <c r="AA350" i="14"/>
  <c r="AA351" i="14"/>
  <c r="AA352" i="14"/>
  <c r="AA353" i="14"/>
  <c r="AA354" i="14"/>
  <c r="AA355" i="14"/>
  <c r="AA356" i="14"/>
  <c r="AA357" i="14"/>
  <c r="AA358" i="14"/>
  <c r="AA359" i="14"/>
  <c r="AA360" i="14"/>
  <c r="AA361" i="14"/>
  <c r="AA362" i="14"/>
  <c r="AA363" i="14"/>
  <c r="AA364" i="14"/>
  <c r="AA365" i="14"/>
  <c r="AA366" i="14"/>
  <c r="AA367" i="14"/>
  <c r="AA368" i="14"/>
  <c r="AA369" i="14"/>
  <c r="AA370" i="14"/>
  <c r="AA371" i="14"/>
  <c r="AA372" i="14"/>
  <c r="AA373" i="14"/>
  <c r="AA374" i="14"/>
  <c r="AA375" i="14"/>
  <c r="AA376" i="14"/>
  <c r="AA377" i="14"/>
  <c r="AA378" i="14"/>
  <c r="AA379" i="14"/>
  <c r="AA380" i="14"/>
  <c r="AA381" i="14"/>
  <c r="AA382" i="14"/>
  <c r="AA383" i="14"/>
  <c r="AA384" i="14"/>
  <c r="AA385" i="14"/>
  <c r="AA386" i="14"/>
  <c r="AA387" i="14"/>
  <c r="AA388" i="14"/>
  <c r="AA389" i="14"/>
  <c r="AA390" i="14"/>
  <c r="AA391" i="14"/>
  <c r="AA392" i="14"/>
  <c r="AA393" i="14"/>
  <c r="AA394" i="14"/>
  <c r="AA395" i="14"/>
  <c r="AA396" i="14"/>
  <c r="AA397" i="14"/>
  <c r="AA398" i="14"/>
  <c r="AA399" i="14"/>
  <c r="AA400" i="14"/>
  <c r="AA401" i="14"/>
  <c r="AA402" i="14"/>
  <c r="AA403" i="14"/>
  <c r="AA404" i="14"/>
  <c r="AA405" i="14"/>
  <c r="AA406" i="14"/>
  <c r="AA407" i="14"/>
  <c r="AA408" i="14"/>
  <c r="AA409" i="14"/>
  <c r="AA410" i="14"/>
  <c r="AA411" i="14"/>
  <c r="AA412" i="14"/>
  <c r="AA413" i="14"/>
  <c r="AA414" i="14"/>
  <c r="AA415" i="14"/>
  <c r="AA416" i="14"/>
  <c r="AA417" i="14"/>
  <c r="AA418" i="14"/>
  <c r="AA419" i="14"/>
  <c r="AA420" i="14"/>
  <c r="AA421" i="14"/>
  <c r="AA422" i="14"/>
  <c r="AA423" i="14"/>
  <c r="AA424" i="14"/>
  <c r="AA425" i="14"/>
  <c r="AA426" i="14"/>
  <c r="AA427" i="14"/>
  <c r="AA428" i="14"/>
  <c r="AA429" i="14"/>
  <c r="AA430" i="14"/>
  <c r="AA431" i="14"/>
  <c r="AA432" i="14"/>
  <c r="AA433" i="14"/>
  <c r="AA434" i="14"/>
  <c r="AA435" i="14"/>
  <c r="AA436" i="14"/>
  <c r="AA437" i="14"/>
  <c r="AA438" i="14"/>
  <c r="AA439" i="14"/>
  <c r="AA440" i="14"/>
  <c r="AA441" i="14"/>
  <c r="AA442" i="14"/>
  <c r="AA443" i="14"/>
  <c r="AA444" i="14"/>
  <c r="AA445" i="14"/>
  <c r="AA446" i="14"/>
  <c r="AA447" i="14"/>
  <c r="AA448" i="14"/>
  <c r="AA449" i="14"/>
  <c r="AA450" i="14"/>
  <c r="AA451" i="14"/>
  <c r="AA452" i="14"/>
  <c r="AA453" i="14"/>
  <c r="AA454" i="14"/>
  <c r="AA455" i="14"/>
  <c r="AA456" i="14"/>
  <c r="AA457" i="14"/>
  <c r="AA458" i="14"/>
  <c r="AA459" i="14"/>
  <c r="AA460" i="14"/>
  <c r="AA461" i="14"/>
  <c r="AA462" i="14"/>
  <c r="AA463" i="14"/>
  <c r="AA464" i="14"/>
  <c r="AA465" i="14"/>
  <c r="AA466" i="14"/>
  <c r="AA467" i="14"/>
  <c r="AA468" i="14"/>
  <c r="AA469" i="14"/>
  <c r="AA470" i="14"/>
  <c r="AA471" i="14"/>
  <c r="AA472" i="14"/>
  <c r="AA473" i="14"/>
  <c r="AA474" i="14"/>
  <c r="AA475" i="14"/>
  <c r="AA476" i="14"/>
  <c r="AA477" i="14"/>
  <c r="AA478" i="14"/>
  <c r="AA479" i="14"/>
  <c r="AA480" i="14"/>
  <c r="AA481" i="14"/>
  <c r="AA482" i="14"/>
  <c r="AA483" i="14"/>
  <c r="AA484" i="14"/>
  <c r="AA485" i="14"/>
  <c r="AA486" i="14"/>
  <c r="AA487" i="14"/>
  <c r="AA488" i="14"/>
  <c r="AA489" i="14"/>
  <c r="AA490" i="14"/>
  <c r="AA491" i="14"/>
  <c r="AA492" i="14"/>
  <c r="AA493" i="14"/>
  <c r="AA494" i="14"/>
  <c r="AA495" i="14"/>
  <c r="AA496" i="14"/>
  <c r="AA497" i="14"/>
  <c r="AA498" i="14"/>
  <c r="AA499" i="14"/>
  <c r="AA500" i="14"/>
  <c r="AA501" i="14"/>
  <c r="AA502" i="14"/>
  <c r="AA503" i="14"/>
  <c r="AA504" i="14"/>
  <c r="AA505" i="14"/>
  <c r="AA506" i="14"/>
  <c r="AA507" i="14"/>
  <c r="AA508" i="14"/>
  <c r="AA509" i="14"/>
  <c r="AA510" i="14"/>
  <c r="AA511" i="14"/>
  <c r="AA512" i="14"/>
  <c r="AA513" i="14"/>
  <c r="AA514" i="14"/>
  <c r="AA515" i="14"/>
  <c r="AA516" i="14"/>
  <c r="AA517" i="14"/>
  <c r="AA518" i="14"/>
  <c r="AA519" i="14"/>
  <c r="AA520" i="14"/>
  <c r="AA521" i="14"/>
  <c r="AA522" i="14"/>
  <c r="AA523" i="14"/>
  <c r="AA524" i="14"/>
  <c r="AA525" i="14"/>
  <c r="AA526" i="14"/>
  <c r="AA527" i="14"/>
  <c r="AA528" i="14"/>
  <c r="AA529" i="14"/>
  <c r="AA530" i="14"/>
  <c r="AA531" i="14"/>
  <c r="AA532" i="14"/>
  <c r="AA533" i="14"/>
  <c r="AA534" i="14"/>
  <c r="AA535" i="14"/>
  <c r="AA536" i="14"/>
  <c r="AA537" i="14"/>
  <c r="AA538" i="14"/>
  <c r="AA539" i="14"/>
  <c r="AA540" i="14"/>
  <c r="AA541" i="14"/>
  <c r="AA542" i="14"/>
  <c r="AA543" i="14"/>
  <c r="AA544" i="14"/>
  <c r="AA545" i="14"/>
  <c r="AA546" i="14"/>
  <c r="AA547" i="14"/>
  <c r="AA548" i="14"/>
  <c r="AA549" i="14"/>
  <c r="AA550" i="14"/>
  <c r="AA551" i="14"/>
  <c r="AA552" i="14"/>
  <c r="AA553" i="14"/>
  <c r="AA554" i="14"/>
  <c r="AA555" i="14"/>
  <c r="AA556" i="14"/>
  <c r="AA557" i="14"/>
  <c r="AA558" i="14"/>
  <c r="AA559" i="14"/>
  <c r="AA560" i="14"/>
  <c r="AA561" i="14"/>
  <c r="AA562" i="14"/>
  <c r="AA563" i="14"/>
  <c r="AA564" i="14"/>
  <c r="AA565" i="14"/>
  <c r="AA566" i="14"/>
  <c r="AA567" i="14"/>
  <c r="AA568" i="14"/>
  <c r="AA569" i="14"/>
  <c r="AA570" i="14"/>
  <c r="AA571" i="14"/>
  <c r="AA572" i="14"/>
  <c r="AA573" i="14"/>
  <c r="AA574" i="14"/>
  <c r="AA575" i="14"/>
  <c r="AA576" i="14"/>
  <c r="AA577" i="14"/>
  <c r="AA578" i="14"/>
  <c r="AA579" i="14"/>
  <c r="AA580" i="14"/>
  <c r="AA581" i="14"/>
  <c r="AA582" i="14"/>
  <c r="AA583" i="14"/>
  <c r="AA584" i="14"/>
  <c r="AA585" i="14"/>
  <c r="AA586" i="14"/>
  <c r="AA587" i="14"/>
  <c r="AA588" i="14"/>
  <c r="AA589" i="14"/>
  <c r="AA590" i="14"/>
  <c r="AA591" i="14"/>
  <c r="AA592" i="14"/>
  <c r="AA593" i="14"/>
  <c r="AA594" i="14"/>
  <c r="AA595" i="14"/>
  <c r="AA596" i="14"/>
  <c r="AA597" i="14"/>
  <c r="AA598" i="14"/>
  <c r="AA599" i="14"/>
  <c r="AA600" i="14"/>
  <c r="AA601" i="14"/>
  <c r="AA602" i="14"/>
  <c r="AA603" i="14"/>
  <c r="AA604" i="14"/>
  <c r="AA605" i="14"/>
  <c r="AA606" i="14"/>
  <c r="AA607" i="14"/>
  <c r="AA608" i="14"/>
  <c r="AA609" i="14"/>
  <c r="AA610" i="14"/>
  <c r="AA611" i="14"/>
  <c r="AA612" i="14"/>
  <c r="AA613" i="14"/>
  <c r="AA614" i="14"/>
  <c r="AA615" i="14"/>
  <c r="AA616" i="14"/>
  <c r="AA617" i="14"/>
  <c r="AA618" i="14"/>
  <c r="AA619" i="14"/>
  <c r="AA620" i="14"/>
  <c r="AA621" i="14"/>
  <c r="AA622" i="14"/>
  <c r="AA623" i="14"/>
  <c r="AA624" i="14"/>
  <c r="AA625" i="14"/>
  <c r="AA626" i="14"/>
  <c r="AA627" i="14"/>
  <c r="AA628" i="14"/>
  <c r="AA629" i="14"/>
  <c r="AA630" i="14"/>
  <c r="AA631" i="14"/>
  <c r="AA632" i="14"/>
  <c r="AA633" i="14"/>
  <c r="AA634" i="14"/>
  <c r="AA635" i="14"/>
  <c r="AA636" i="14"/>
  <c r="AA637" i="14"/>
  <c r="AA638" i="14"/>
  <c r="AA639" i="14"/>
  <c r="AA640" i="14"/>
  <c r="AA641" i="14"/>
  <c r="AA642" i="14"/>
  <c r="AA643" i="14"/>
  <c r="AA644" i="14"/>
  <c r="AA645" i="14"/>
  <c r="AA646" i="14"/>
  <c r="AA647" i="14"/>
  <c r="AA648" i="14"/>
  <c r="AA649" i="14"/>
  <c r="AA650" i="14"/>
  <c r="AA651" i="14"/>
  <c r="AA652" i="14"/>
  <c r="AA653" i="14"/>
  <c r="AA654" i="14"/>
  <c r="AA655" i="14"/>
  <c r="AA656" i="14"/>
  <c r="AA657" i="14"/>
  <c r="AA658" i="14"/>
  <c r="AA659" i="14"/>
  <c r="AA660" i="14"/>
  <c r="AA661" i="14"/>
  <c r="AA662" i="14"/>
  <c r="AA663" i="14"/>
  <c r="AA664" i="14"/>
  <c r="AA665" i="14"/>
  <c r="AA666" i="14"/>
  <c r="AA667" i="14"/>
  <c r="AA668" i="14"/>
  <c r="AA669" i="14"/>
  <c r="AA670" i="14"/>
  <c r="AA671" i="14"/>
  <c r="AA672" i="14"/>
  <c r="AA673" i="14"/>
  <c r="AA674" i="14"/>
  <c r="AA675" i="14"/>
  <c r="AA676" i="14"/>
  <c r="AA677" i="14"/>
  <c r="AA678" i="14"/>
  <c r="AA679" i="14"/>
  <c r="AA680" i="14"/>
  <c r="AA681" i="14"/>
  <c r="AA682" i="14"/>
  <c r="AA683" i="14"/>
  <c r="AA684" i="14"/>
  <c r="AA685" i="14"/>
  <c r="AA686" i="14"/>
  <c r="AA687" i="14"/>
  <c r="AA688" i="14"/>
  <c r="AA689" i="14"/>
  <c r="AA690" i="14"/>
  <c r="AA691" i="14"/>
  <c r="AA692" i="14"/>
  <c r="AA693" i="14"/>
  <c r="AA694" i="14"/>
  <c r="AA695" i="14"/>
  <c r="AA696" i="14"/>
  <c r="AA697" i="14"/>
  <c r="AA698" i="14"/>
  <c r="AA699" i="14"/>
  <c r="AA700" i="14"/>
  <c r="AA701" i="14"/>
  <c r="AA702" i="14"/>
  <c r="AA703" i="14"/>
  <c r="AA704" i="14"/>
  <c r="AA705" i="14"/>
  <c r="AA706" i="14"/>
  <c r="AA707" i="14"/>
  <c r="AA708" i="14"/>
  <c r="AA709" i="14"/>
  <c r="AA710" i="14"/>
  <c r="AA711" i="14"/>
  <c r="AA712" i="14"/>
  <c r="AA713" i="14"/>
  <c r="AA714" i="14"/>
  <c r="AA715" i="14"/>
  <c r="AA716" i="14"/>
  <c r="AA717" i="14"/>
  <c r="AA718" i="14"/>
  <c r="AA719" i="14"/>
  <c r="AA720" i="14"/>
  <c r="AA721" i="14"/>
  <c r="AA722" i="14"/>
  <c r="AA723" i="14"/>
  <c r="AA724" i="14"/>
  <c r="AA725" i="14"/>
  <c r="AA726" i="14"/>
  <c r="AA727" i="14"/>
  <c r="AA728" i="14"/>
  <c r="AA729" i="14"/>
  <c r="AA730" i="14"/>
  <c r="AA731" i="14"/>
  <c r="AA732" i="14"/>
  <c r="AA733" i="14"/>
  <c r="AA734" i="14"/>
  <c r="AA735" i="14"/>
  <c r="AA736" i="14"/>
  <c r="AA737" i="14"/>
  <c r="AA738" i="14"/>
  <c r="AA739" i="14"/>
  <c r="AA740" i="14"/>
  <c r="AA741" i="14"/>
  <c r="AA742" i="14"/>
  <c r="AA743" i="14"/>
  <c r="AA744" i="14"/>
  <c r="AA745" i="14"/>
  <c r="AA746" i="14"/>
  <c r="AA747" i="14"/>
  <c r="AA748" i="14"/>
  <c r="AA749" i="14"/>
  <c r="AA750" i="14"/>
  <c r="AA751" i="14"/>
  <c r="AA752" i="14"/>
  <c r="AA753" i="14"/>
  <c r="AA754" i="14"/>
  <c r="AA755" i="14"/>
  <c r="AA756" i="14"/>
  <c r="AA757" i="14"/>
  <c r="AA758" i="14"/>
  <c r="AA759" i="14"/>
  <c r="AA760" i="14"/>
  <c r="AA761" i="14"/>
  <c r="AA762" i="14"/>
  <c r="AA763" i="14"/>
  <c r="AA764" i="14"/>
  <c r="AA765" i="14"/>
  <c r="AA766" i="14"/>
  <c r="AA767" i="14"/>
  <c r="AA768" i="14"/>
  <c r="AA769" i="14"/>
  <c r="AA770" i="14"/>
  <c r="AA771" i="14"/>
  <c r="AA772" i="14"/>
  <c r="AA773" i="14"/>
  <c r="AA774" i="14"/>
  <c r="AA775" i="14"/>
  <c r="AA776" i="14"/>
  <c r="AA777" i="14"/>
  <c r="AA778" i="14"/>
  <c r="AA779" i="14"/>
  <c r="AA780" i="14"/>
  <c r="AA781" i="14"/>
  <c r="AA782" i="14"/>
  <c r="AA783" i="14"/>
  <c r="AA784" i="14"/>
  <c r="AA785" i="14"/>
  <c r="AA786" i="14"/>
  <c r="AA787" i="14"/>
  <c r="AA788" i="14"/>
  <c r="AA789" i="14"/>
  <c r="AA790" i="14"/>
  <c r="AA791" i="14"/>
  <c r="AA792" i="14"/>
  <c r="AA793" i="14"/>
  <c r="AA794" i="14"/>
  <c r="AA795" i="14"/>
  <c r="AA796" i="14"/>
  <c r="AA797" i="14"/>
  <c r="AA798" i="14"/>
  <c r="AA799" i="14"/>
  <c r="AA800" i="14"/>
  <c r="AA801" i="14"/>
  <c r="AA802" i="14"/>
  <c r="AA803" i="14"/>
  <c r="AA804" i="14"/>
  <c r="AA805" i="14"/>
  <c r="AA806" i="14"/>
  <c r="AA807" i="14"/>
  <c r="AA808" i="14"/>
  <c r="AA809" i="14"/>
  <c r="AA810" i="14"/>
  <c r="AA811" i="14"/>
  <c r="AA812" i="14"/>
  <c r="AA813" i="14"/>
  <c r="AA814" i="14"/>
  <c r="AA815" i="14"/>
  <c r="AA816" i="14"/>
  <c r="AA817" i="14"/>
  <c r="AA818" i="14"/>
  <c r="AA819" i="14"/>
  <c r="AA820" i="14"/>
  <c r="AA821" i="14"/>
  <c r="AA822" i="14"/>
  <c r="AA823" i="14"/>
  <c r="AA824" i="14"/>
  <c r="AA825" i="14"/>
  <c r="AA826" i="14"/>
  <c r="AA827" i="14"/>
  <c r="AA828" i="14"/>
  <c r="AA829" i="14"/>
  <c r="AA830" i="14"/>
  <c r="AA831" i="14"/>
  <c r="AA832" i="14"/>
  <c r="AA833" i="14"/>
  <c r="AA834" i="14"/>
  <c r="AA835" i="14"/>
  <c r="AA836" i="14"/>
  <c r="AA837" i="14"/>
  <c r="AA838" i="14"/>
  <c r="AA839" i="14"/>
  <c r="AA840" i="14"/>
  <c r="AA841" i="14"/>
  <c r="AA842" i="14"/>
  <c r="AA843" i="14"/>
  <c r="AA844" i="14"/>
  <c r="AA845" i="14"/>
  <c r="AA846" i="14"/>
  <c r="AA847" i="14"/>
  <c r="AA848" i="14"/>
  <c r="AA849" i="14"/>
  <c r="AA850" i="14"/>
  <c r="AA851" i="14"/>
  <c r="AA852" i="14"/>
  <c r="AA853" i="14"/>
  <c r="AA854" i="14"/>
  <c r="AA855" i="14"/>
  <c r="AA856" i="14"/>
  <c r="AA857" i="14"/>
  <c r="AA858" i="14"/>
  <c r="AA859" i="14"/>
  <c r="AA860" i="14"/>
  <c r="AA861" i="14"/>
  <c r="AA862" i="14"/>
  <c r="AA863" i="14"/>
  <c r="AA864" i="14"/>
  <c r="AA865" i="14"/>
  <c r="AA866" i="14"/>
  <c r="AA867" i="14"/>
  <c r="AA868" i="14"/>
  <c r="AA869" i="14"/>
  <c r="AA870" i="14"/>
  <c r="AA871" i="14"/>
  <c r="AA872" i="14"/>
  <c r="AA873" i="14"/>
  <c r="AA874" i="14"/>
  <c r="AA875" i="14"/>
  <c r="AA876" i="14"/>
  <c r="AA877" i="14"/>
  <c r="AA878" i="14"/>
  <c r="AA879" i="14"/>
  <c r="AA880" i="14"/>
  <c r="AA881" i="14"/>
  <c r="AA882" i="14"/>
  <c r="AA883" i="14"/>
  <c r="AA884" i="14"/>
  <c r="AA885" i="14"/>
  <c r="AA886" i="14"/>
  <c r="AA887" i="14"/>
  <c r="AA888" i="14"/>
  <c r="AA889" i="14"/>
  <c r="AA890" i="14"/>
  <c r="AA891" i="14"/>
  <c r="AA892" i="14"/>
  <c r="AA893" i="14"/>
  <c r="AA894" i="14"/>
  <c r="AA895" i="14"/>
  <c r="AA896" i="14"/>
  <c r="AA897" i="14"/>
  <c r="AA898" i="14"/>
  <c r="AA899" i="14"/>
  <c r="AA900" i="14"/>
  <c r="AA901" i="14"/>
  <c r="AA902" i="14"/>
  <c r="AA903" i="14"/>
  <c r="AA904" i="14"/>
  <c r="AA905" i="14"/>
  <c r="AA906" i="14"/>
  <c r="AA907" i="14"/>
  <c r="AA908" i="14"/>
  <c r="AA909" i="14"/>
  <c r="AA910" i="14"/>
  <c r="AA911" i="14"/>
  <c r="AA912" i="14"/>
  <c r="AA913" i="14"/>
  <c r="AA914" i="14"/>
  <c r="AA915" i="14"/>
  <c r="AA916" i="14"/>
  <c r="AA917" i="14"/>
  <c r="AA918" i="14"/>
  <c r="AA919" i="14"/>
  <c r="AA920" i="14"/>
  <c r="AA921" i="14"/>
  <c r="AA922" i="14"/>
  <c r="AA923" i="14"/>
  <c r="AA924" i="14"/>
  <c r="AA925" i="14"/>
  <c r="AA926" i="14"/>
  <c r="AA927" i="14"/>
  <c r="AA928" i="14"/>
  <c r="AA929" i="14"/>
  <c r="AA930" i="14"/>
  <c r="AA931" i="14"/>
  <c r="AA932" i="14"/>
  <c r="AA933" i="14"/>
  <c r="AA934" i="14"/>
  <c r="AA935" i="14"/>
  <c r="AA936" i="14"/>
  <c r="AA937" i="14"/>
  <c r="AA938" i="14"/>
  <c r="AA939" i="14"/>
  <c r="AA940" i="14"/>
  <c r="AA941" i="14"/>
  <c r="AA942" i="14"/>
  <c r="AA943" i="14"/>
  <c r="AA944" i="14"/>
  <c r="AA945" i="14"/>
  <c r="AA946" i="14"/>
  <c r="AA947" i="14"/>
  <c r="AA948" i="14"/>
  <c r="AA949" i="14"/>
  <c r="AA950" i="14"/>
  <c r="AA951" i="14"/>
  <c r="AA952" i="14"/>
  <c r="AA953" i="14"/>
  <c r="AA954" i="14"/>
  <c r="AA955" i="14"/>
  <c r="AA956" i="14"/>
  <c r="AA957" i="14"/>
  <c r="AA958" i="14"/>
  <c r="AA959" i="14"/>
  <c r="AA960" i="14"/>
  <c r="AA961" i="14"/>
  <c r="AA962" i="14"/>
  <c r="AA963" i="14"/>
  <c r="AA964" i="14"/>
  <c r="AA965" i="14"/>
  <c r="AA966" i="14"/>
  <c r="AA967" i="14"/>
  <c r="AA968" i="14"/>
  <c r="AA969" i="14"/>
  <c r="AA970" i="14"/>
  <c r="AA971" i="14"/>
  <c r="AA972" i="14"/>
  <c r="AA973" i="14"/>
  <c r="AA974" i="14"/>
  <c r="AA975" i="14"/>
  <c r="AA976" i="14"/>
  <c r="AA977" i="14"/>
  <c r="AA978" i="14"/>
  <c r="AA979" i="14"/>
  <c r="AA980" i="14"/>
  <c r="AA981" i="14"/>
  <c r="AA982" i="14"/>
  <c r="AA983" i="14"/>
  <c r="AA984" i="14"/>
  <c r="AA985" i="14"/>
  <c r="AA986" i="14"/>
  <c r="AA987" i="14"/>
  <c r="AA988" i="14"/>
  <c r="AA989" i="14"/>
  <c r="AA990" i="14"/>
  <c r="AA991" i="14"/>
  <c r="AA992" i="14"/>
  <c r="AA993" i="14"/>
  <c r="AA994" i="14"/>
  <c r="AA995" i="14"/>
  <c r="AA996" i="14"/>
  <c r="AA997" i="14"/>
  <c r="AA998" i="14"/>
  <c r="AA999" i="14"/>
  <c r="AA1000" i="14"/>
  <c r="AA1001" i="14"/>
  <c r="AA1002" i="14"/>
  <c r="AA1003" i="14"/>
  <c r="AA1004" i="14"/>
  <c r="AA1005" i="14"/>
  <c r="AA1006" i="14"/>
  <c r="AA1007" i="14"/>
  <c r="AA1008" i="14"/>
  <c r="AA1009" i="14"/>
  <c r="AA1010" i="14"/>
  <c r="AA1011" i="14"/>
  <c r="AA1012" i="14"/>
  <c r="AA1013" i="14"/>
  <c r="AA1014" i="14"/>
  <c r="AA1015" i="14"/>
  <c r="AA1016" i="14"/>
  <c r="AA1017" i="14"/>
  <c r="AA1018" i="14"/>
  <c r="AA1019" i="14"/>
  <c r="AA1020" i="14"/>
  <c r="AA1021" i="14"/>
  <c r="AA1022" i="14"/>
  <c r="AA1023" i="14"/>
  <c r="AA1024" i="14"/>
  <c r="AA1025" i="14"/>
  <c r="AA1026" i="14"/>
  <c r="AA1027" i="14"/>
  <c r="AA1028" i="14"/>
  <c r="AA1029" i="14"/>
  <c r="AA1030" i="14"/>
  <c r="AA1031" i="14"/>
  <c r="AA1032" i="14"/>
  <c r="AA1033" i="14"/>
  <c r="AA1034" i="14"/>
  <c r="AA1035" i="14"/>
  <c r="AA1036" i="14"/>
  <c r="AA1037" i="14"/>
  <c r="AA1038" i="14"/>
  <c r="AA1039" i="14"/>
  <c r="AA1040" i="14"/>
  <c r="AA1041" i="14"/>
  <c r="AA1042" i="14"/>
  <c r="AA1043" i="14"/>
  <c r="AA1044" i="14"/>
  <c r="AA1045" i="14"/>
  <c r="AA1046" i="14"/>
  <c r="AA1047" i="14"/>
  <c r="AA1048" i="14"/>
  <c r="AA1049" i="14"/>
  <c r="AA1050" i="14"/>
  <c r="AA1051" i="14"/>
  <c r="AA1052" i="14"/>
  <c r="AA1053" i="14"/>
  <c r="AA1054" i="14"/>
  <c r="AA1055" i="14"/>
  <c r="AA1056" i="14"/>
  <c r="AA1057" i="14"/>
  <c r="AA1058" i="14"/>
  <c r="AA1059" i="14"/>
  <c r="AA1060" i="14"/>
  <c r="AA1061" i="14"/>
  <c r="AA1062" i="14"/>
  <c r="AA1063" i="14"/>
  <c r="AA1064" i="14"/>
  <c r="AA1065" i="14"/>
  <c r="AA1066" i="14"/>
  <c r="AA1067" i="14"/>
  <c r="AA1068" i="14"/>
  <c r="AA1069" i="14"/>
  <c r="AA1070" i="14"/>
  <c r="AA1071" i="14"/>
  <c r="AA1072" i="14"/>
  <c r="AA1073" i="14"/>
  <c r="AA1074" i="14"/>
  <c r="AA1075" i="14"/>
  <c r="AA1076" i="14"/>
  <c r="AA1077" i="14"/>
  <c r="AA1078" i="14"/>
  <c r="AA1079" i="14"/>
  <c r="AA1080" i="14"/>
  <c r="AA1081" i="14"/>
  <c r="AA1082" i="14"/>
  <c r="AA1083" i="14"/>
  <c r="AA1084" i="14"/>
  <c r="AA1085" i="14"/>
  <c r="AA1086" i="14"/>
  <c r="AA1087" i="14"/>
  <c r="AA1088" i="14"/>
  <c r="AA1089" i="14"/>
  <c r="AA1090" i="14"/>
  <c r="AA1091" i="14"/>
  <c r="AA1092" i="14"/>
  <c r="AA1093" i="14"/>
  <c r="AA1094" i="14"/>
  <c r="AA1095" i="14"/>
  <c r="AA1096" i="14"/>
  <c r="AA1097" i="14"/>
  <c r="AA1098" i="14"/>
  <c r="AA1099" i="14"/>
  <c r="AA1100" i="14"/>
  <c r="AA1101" i="14"/>
  <c r="AA1102" i="14"/>
  <c r="AA1103" i="14"/>
  <c r="AA1104" i="14"/>
  <c r="AA1105" i="14"/>
  <c r="AA1106" i="14"/>
  <c r="AA1107" i="14"/>
  <c r="AA1108" i="14"/>
  <c r="AA1109" i="14"/>
  <c r="AA1110" i="14"/>
  <c r="AK1162" i="14" l="1"/>
  <c r="AK1163" i="14"/>
  <c r="AK1164" i="14"/>
  <c r="AK1165" i="14"/>
  <c r="AK1166" i="14"/>
  <c r="AK1167" i="14"/>
  <c r="AK1168" i="14"/>
  <c r="AK1169" i="14"/>
  <c r="AK1170" i="14"/>
  <c r="AK1171" i="14"/>
  <c r="AK1172" i="14"/>
  <c r="AK1173" i="14"/>
  <c r="AK1140" i="14"/>
  <c r="AK1141" i="14"/>
  <c r="AK1142" i="14"/>
  <c r="AK1143" i="14"/>
  <c r="AK1144" i="14"/>
  <c r="AK1145" i="14"/>
  <c r="AK1146" i="14"/>
  <c r="AK1147" i="14"/>
  <c r="AK1148" i="14"/>
  <c r="AK1149" i="14"/>
  <c r="AK1150" i="14"/>
  <c r="AK1151" i="14"/>
  <c r="AK1152" i="14"/>
  <c r="AK1153" i="14"/>
  <c r="AK1154" i="14"/>
  <c r="AK1155" i="14"/>
  <c r="AK1156" i="14"/>
  <c r="AK1157" i="14"/>
  <c r="AK1158" i="14"/>
  <c r="AK1159" i="14"/>
  <c r="AK1160" i="14"/>
  <c r="AK1161" i="14"/>
  <c r="AK1112" i="14"/>
  <c r="AK1113" i="14"/>
  <c r="AK1114" i="14"/>
  <c r="AK1115" i="14"/>
  <c r="AK1116" i="14"/>
  <c r="AK1117" i="14"/>
  <c r="AK1118" i="14"/>
  <c r="AK1119" i="14"/>
  <c r="AK1120" i="14"/>
  <c r="AK1121" i="14"/>
  <c r="AK1122" i="14"/>
  <c r="AK1123" i="14"/>
  <c r="AK1124" i="14"/>
  <c r="AK1125" i="14"/>
  <c r="AK1126" i="14"/>
  <c r="AK1127" i="14"/>
  <c r="AK1128" i="14"/>
  <c r="AK1129" i="14"/>
  <c r="AK1130" i="14"/>
  <c r="AK1131" i="14"/>
  <c r="AK1132" i="14"/>
  <c r="AK1133" i="14"/>
  <c r="AK1134" i="14"/>
  <c r="AK1135" i="14"/>
  <c r="AK1136" i="14"/>
  <c r="AK1137" i="14"/>
  <c r="AK1138" i="14"/>
  <c r="AK1139" i="14"/>
  <c r="AK1111" i="14"/>
  <c r="C2" i="18" l="1"/>
  <c r="E2" i="18"/>
  <c r="F2" i="18"/>
  <c r="H2" i="18"/>
  <c r="I2" i="18"/>
  <c r="K2" i="18"/>
  <c r="L2" i="18"/>
  <c r="M2" i="18"/>
  <c r="O2" i="18"/>
  <c r="P2" i="18"/>
  <c r="Q2" i="18"/>
  <c r="R2" i="18"/>
  <c r="A2" i="18"/>
  <c r="N7" i="14"/>
  <c r="N3" i="18" s="1"/>
  <c r="N8" i="14"/>
  <c r="N4" i="18" s="1"/>
  <c r="N9" i="14"/>
  <c r="N5" i="18" s="1"/>
  <c r="N10" i="14"/>
  <c r="N6" i="18" s="1"/>
  <c r="N11" i="14"/>
  <c r="N7" i="18" s="1"/>
  <c r="N12" i="14"/>
  <c r="N8" i="18" s="1"/>
  <c r="N13" i="14"/>
  <c r="N9" i="18" s="1"/>
  <c r="N14" i="14"/>
  <c r="N15" i="14"/>
  <c r="N11" i="18" s="1"/>
  <c r="N16" i="14"/>
  <c r="N12" i="18" s="1"/>
  <c r="N17" i="14"/>
  <c r="N13" i="18" s="1"/>
  <c r="N18" i="14"/>
  <c r="N19" i="14"/>
  <c r="N15" i="18" s="1"/>
  <c r="N20" i="14"/>
  <c r="N16" i="18" s="1"/>
  <c r="N21" i="14"/>
  <c r="N17" i="18" s="1"/>
  <c r="N22" i="14"/>
  <c r="N18" i="18" s="1"/>
  <c r="N23" i="14"/>
  <c r="N19" i="18" s="1"/>
  <c r="N24" i="14"/>
  <c r="N20" i="18" s="1"/>
  <c r="N25" i="14"/>
  <c r="N21" i="18" s="1"/>
  <c r="N26" i="14"/>
  <c r="N22" i="18" s="1"/>
  <c r="N27" i="14"/>
  <c r="N23" i="18" s="1"/>
  <c r="N28" i="14"/>
  <c r="N24" i="18" s="1"/>
  <c r="N29" i="14"/>
  <c r="N25" i="18" s="1"/>
  <c r="N30" i="14"/>
  <c r="N26" i="18" s="1"/>
  <c r="N31" i="14"/>
  <c r="N27" i="18" s="1"/>
  <c r="N32" i="14"/>
  <c r="N33" i="14"/>
  <c r="N29" i="18" s="1"/>
  <c r="N34" i="14"/>
  <c r="N35" i="14"/>
  <c r="N31" i="18" s="1"/>
  <c r="N36" i="14"/>
  <c r="N32" i="18" s="1"/>
  <c r="N37" i="14"/>
  <c r="N33" i="18" s="1"/>
  <c r="N38" i="14"/>
  <c r="N39" i="14"/>
  <c r="N35" i="18" s="1"/>
  <c r="N40" i="14"/>
  <c r="N36" i="18" s="1"/>
  <c r="N41" i="14"/>
  <c r="N37" i="18" s="1"/>
  <c r="N42" i="14"/>
  <c r="N43" i="14"/>
  <c r="N39" i="18" s="1"/>
  <c r="N44" i="14"/>
  <c r="N40" i="18" s="1"/>
  <c r="N45" i="14"/>
  <c r="N41" i="18" s="1"/>
  <c r="N46" i="14"/>
  <c r="N47" i="14"/>
  <c r="N43" i="18" s="1"/>
  <c r="N48" i="14"/>
  <c r="N44" i="18" s="1"/>
  <c r="N49" i="14"/>
  <c r="N45" i="18" s="1"/>
  <c r="N50" i="14"/>
  <c r="N51" i="14"/>
  <c r="N47" i="18" s="1"/>
  <c r="N52" i="14"/>
  <c r="N48" i="18" s="1"/>
  <c r="N53" i="14"/>
  <c r="N49" i="18" s="1"/>
  <c r="N54" i="14"/>
  <c r="N50" i="18" s="1"/>
  <c r="N55" i="14"/>
  <c r="N51" i="18" s="1"/>
  <c r="N56" i="14"/>
  <c r="N52" i="18" s="1"/>
  <c r="N57" i="14"/>
  <c r="N53" i="18" s="1"/>
  <c r="N58" i="14"/>
  <c r="N59" i="14"/>
  <c r="N55" i="18" s="1"/>
  <c r="N60" i="14"/>
  <c r="AP60" i="14" s="1"/>
  <c r="N61" i="14"/>
  <c r="N57" i="18" s="1"/>
  <c r="N62" i="14"/>
  <c r="N63" i="14"/>
  <c r="N59" i="18" s="1"/>
  <c r="N64" i="14"/>
  <c r="N60" i="18" s="1"/>
  <c r="N65" i="14"/>
  <c r="N61" i="18" s="1"/>
  <c r="N66" i="14"/>
  <c r="N67" i="14"/>
  <c r="N63" i="18" s="1"/>
  <c r="N68" i="14"/>
  <c r="N64" i="18" s="1"/>
  <c r="N69" i="14"/>
  <c r="N65" i="18" s="1"/>
  <c r="N70" i="14"/>
  <c r="N66" i="18" s="1"/>
  <c r="N71" i="14"/>
  <c r="N67" i="18" s="1"/>
  <c r="N72" i="14"/>
  <c r="N68" i="18" s="1"/>
  <c r="N73" i="14"/>
  <c r="N69" i="18" s="1"/>
  <c r="N74" i="14"/>
  <c r="N70" i="18" s="1"/>
  <c r="N75" i="14"/>
  <c r="N71" i="18" s="1"/>
  <c r="N76" i="14"/>
  <c r="N72" i="18" s="1"/>
  <c r="N77" i="14"/>
  <c r="N73" i="18" s="1"/>
  <c r="N78" i="14"/>
  <c r="N74" i="18" s="1"/>
  <c r="N79" i="14"/>
  <c r="N75" i="18" s="1"/>
  <c r="N80" i="14"/>
  <c r="N76" i="18" s="1"/>
  <c r="N81" i="14"/>
  <c r="N77" i="18" s="1"/>
  <c r="N82" i="14"/>
  <c r="N83" i="14"/>
  <c r="N79" i="18" s="1"/>
  <c r="N84" i="14"/>
  <c r="N80" i="18" s="1"/>
  <c r="N85" i="14"/>
  <c r="N81" i="18" s="1"/>
  <c r="N86" i="14"/>
  <c r="N87" i="14"/>
  <c r="N83" i="18" s="1"/>
  <c r="N88" i="14"/>
  <c r="N84" i="18" s="1"/>
  <c r="N89" i="14"/>
  <c r="N85" i="18" s="1"/>
  <c r="N90" i="14"/>
  <c r="N86" i="18" s="1"/>
  <c r="N91" i="14"/>
  <c r="N87" i="18" s="1"/>
  <c r="N92" i="14"/>
  <c r="N88" i="18" s="1"/>
  <c r="N93" i="14"/>
  <c r="N89" i="18" s="1"/>
  <c r="N94" i="14"/>
  <c r="N95" i="14"/>
  <c r="N91" i="18" s="1"/>
  <c r="N96" i="14"/>
  <c r="N92" i="18" s="1"/>
  <c r="N97" i="14"/>
  <c r="N93" i="18" s="1"/>
  <c r="N98" i="14"/>
  <c r="N99" i="14"/>
  <c r="N95" i="18" s="1"/>
  <c r="N100" i="14"/>
  <c r="N96" i="18" s="1"/>
  <c r="N101" i="14"/>
  <c r="N97" i="18" s="1"/>
  <c r="N102" i="14"/>
  <c r="N98" i="18" s="1"/>
  <c r="N103" i="14"/>
  <c r="N99" i="18" s="1"/>
  <c r="N104" i="14"/>
  <c r="N100" i="18" s="1"/>
  <c r="N105" i="14"/>
  <c r="N101" i="18" s="1"/>
  <c r="N106" i="14"/>
  <c r="N107" i="14"/>
  <c r="N103" i="18" s="1"/>
  <c r="N108" i="14"/>
  <c r="N104" i="18" s="1"/>
  <c r="N109" i="14"/>
  <c r="N105" i="18" s="1"/>
  <c r="N110" i="14"/>
  <c r="N106" i="18" s="1"/>
  <c r="N111" i="14"/>
  <c r="N107" i="18" s="1"/>
  <c r="N112" i="14"/>
  <c r="N108" i="18" s="1"/>
  <c r="N113" i="14"/>
  <c r="N109" i="18" s="1"/>
  <c r="N114" i="14"/>
  <c r="N115" i="14"/>
  <c r="N111" i="18" s="1"/>
  <c r="N116" i="14"/>
  <c r="N112" i="18" s="1"/>
  <c r="N117" i="14"/>
  <c r="N113" i="18" s="1"/>
  <c r="N118" i="14"/>
  <c r="N114" i="18" s="1"/>
  <c r="N119" i="14"/>
  <c r="N115" i="18" s="1"/>
  <c r="N120" i="14"/>
  <c r="N116" i="18" s="1"/>
  <c r="N121" i="14"/>
  <c r="N117" i="18" s="1"/>
  <c r="N122" i="14"/>
  <c r="N123" i="14"/>
  <c r="N119" i="18" s="1"/>
  <c r="N124" i="14"/>
  <c r="N125" i="14"/>
  <c r="N121" i="18" s="1"/>
  <c r="N126" i="14"/>
  <c r="N127" i="14"/>
  <c r="N123" i="18" s="1"/>
  <c r="N128" i="14"/>
  <c r="N124" i="18" s="1"/>
  <c r="N129" i="14"/>
  <c r="N125" i="18" s="1"/>
  <c r="N130" i="14"/>
  <c r="N131" i="14"/>
  <c r="N127" i="18" s="1"/>
  <c r="N132" i="14"/>
  <c r="N133" i="14"/>
  <c r="N129" i="18" s="1"/>
  <c r="N134" i="14"/>
  <c r="N135" i="14"/>
  <c r="N131" i="18" s="1"/>
  <c r="N136" i="14"/>
  <c r="AP136" i="14" s="1"/>
  <c r="N137" i="14"/>
  <c r="N133" i="18" s="1"/>
  <c r="N138" i="14"/>
  <c r="N134" i="18" s="1"/>
  <c r="N139" i="14"/>
  <c r="N135" i="18" s="1"/>
  <c r="N140" i="14"/>
  <c r="N141" i="14"/>
  <c r="N137" i="18" s="1"/>
  <c r="N142" i="14"/>
  <c r="N138" i="18" s="1"/>
  <c r="N143" i="14"/>
  <c r="N139" i="18" s="1"/>
  <c r="N144" i="14"/>
  <c r="N140" i="18" s="1"/>
  <c r="N145" i="14"/>
  <c r="N141" i="18" s="1"/>
  <c r="N146" i="14"/>
  <c r="N147" i="14"/>
  <c r="N143" i="18" s="1"/>
  <c r="N148" i="14"/>
  <c r="N144" i="18" s="1"/>
  <c r="N149" i="14"/>
  <c r="N145" i="18" s="1"/>
  <c r="N150" i="14"/>
  <c r="N146" i="18" s="1"/>
  <c r="N151" i="14"/>
  <c r="N147" i="18" s="1"/>
  <c r="N152" i="14"/>
  <c r="N153" i="14"/>
  <c r="N149" i="18" s="1"/>
  <c r="N154" i="14"/>
  <c r="N155" i="14"/>
  <c r="N151" i="18" s="1"/>
  <c r="N156" i="14"/>
  <c r="N152" i="18" s="1"/>
  <c r="N157" i="14"/>
  <c r="N153" i="18" s="1"/>
  <c r="N158" i="14"/>
  <c r="N159" i="14"/>
  <c r="N155" i="18" s="1"/>
  <c r="N160" i="14"/>
  <c r="N156" i="18" s="1"/>
  <c r="N161" i="14"/>
  <c r="N157" i="18" s="1"/>
  <c r="N162" i="14"/>
  <c r="N163" i="14"/>
  <c r="N159" i="18" s="1"/>
  <c r="N164" i="14"/>
  <c r="N160" i="18" s="1"/>
  <c r="N165" i="14"/>
  <c r="N161" i="18" s="1"/>
  <c r="N166" i="14"/>
  <c r="N167" i="14"/>
  <c r="N163" i="18" s="1"/>
  <c r="N168" i="14"/>
  <c r="N169" i="14"/>
  <c r="N165" i="18" s="1"/>
  <c r="N170" i="14"/>
  <c r="N171" i="14"/>
  <c r="N167" i="18" s="1"/>
  <c r="N172" i="14"/>
  <c r="N168" i="18" s="1"/>
  <c r="N173" i="14"/>
  <c r="N169" i="18" s="1"/>
  <c r="N174" i="14"/>
  <c r="N175" i="14"/>
  <c r="N171" i="18" s="1"/>
  <c r="N176" i="14"/>
  <c r="AP176" i="14" s="1"/>
  <c r="N177" i="14"/>
  <c r="N173" i="18" s="1"/>
  <c r="N178" i="14"/>
  <c r="N179" i="14"/>
  <c r="N175" i="18" s="1"/>
  <c r="N180" i="14"/>
  <c r="N181" i="14"/>
  <c r="N177" i="18" s="1"/>
  <c r="N182" i="14"/>
  <c r="N183" i="14"/>
  <c r="N179" i="18" s="1"/>
  <c r="N184" i="14"/>
  <c r="AP184" i="14" s="1"/>
  <c r="N185" i="14"/>
  <c r="N181" i="18" s="1"/>
  <c r="N186" i="14"/>
  <c r="N187" i="14"/>
  <c r="N183" i="18" s="1"/>
  <c r="N188" i="14"/>
  <c r="N184" i="18" s="1"/>
  <c r="N189" i="14"/>
  <c r="N185" i="18" s="1"/>
  <c r="N190" i="14"/>
  <c r="N191" i="14"/>
  <c r="N187" i="18" s="1"/>
  <c r="N192" i="14"/>
  <c r="AP192" i="14" s="1"/>
  <c r="N193" i="14"/>
  <c r="N189" i="18" s="1"/>
  <c r="N194" i="14"/>
  <c r="N195" i="14"/>
  <c r="N191" i="18" s="1"/>
  <c r="N196" i="14"/>
  <c r="N192" i="18" s="1"/>
  <c r="N197" i="14"/>
  <c r="N193" i="18" s="1"/>
  <c r="N198" i="14"/>
  <c r="N199" i="14"/>
  <c r="N195" i="18" s="1"/>
  <c r="N200" i="14"/>
  <c r="N201" i="14"/>
  <c r="N197" i="18" s="1"/>
  <c r="N202" i="14"/>
  <c r="N203" i="14"/>
  <c r="N199" i="18" s="1"/>
  <c r="N204" i="14"/>
  <c r="N200" i="18" s="1"/>
  <c r="N205" i="14"/>
  <c r="N201" i="18" s="1"/>
  <c r="N206" i="14"/>
  <c r="N207" i="14"/>
  <c r="N203" i="18" s="1"/>
  <c r="N208" i="14"/>
  <c r="N204" i="18" s="1"/>
  <c r="N209" i="14"/>
  <c r="N205" i="18" s="1"/>
  <c r="N210" i="14"/>
  <c r="N211" i="14"/>
  <c r="N207" i="18" s="1"/>
  <c r="N212" i="14"/>
  <c r="N208" i="18" s="1"/>
  <c r="N213" i="14"/>
  <c r="N209" i="18" s="1"/>
  <c r="N214" i="14"/>
  <c r="N215" i="14"/>
  <c r="N211" i="18" s="1"/>
  <c r="N216" i="14"/>
  <c r="AP216" i="14" s="1"/>
  <c r="N217" i="14"/>
  <c r="N213" i="18" s="1"/>
  <c r="N218" i="14"/>
  <c r="N214" i="18" s="1"/>
  <c r="N219" i="14"/>
  <c r="N215" i="18" s="1"/>
  <c r="N220" i="14"/>
  <c r="N221" i="14"/>
  <c r="N217" i="18" s="1"/>
  <c r="N222" i="14"/>
  <c r="N223" i="14"/>
  <c r="N219" i="18" s="1"/>
  <c r="N224" i="14"/>
  <c r="AP224" i="14" s="1"/>
  <c r="N225" i="14"/>
  <c r="N221" i="18" s="1"/>
  <c r="N226" i="14"/>
  <c r="N227" i="14"/>
  <c r="N223" i="18" s="1"/>
  <c r="N228" i="14"/>
  <c r="G228" i="14" s="1"/>
  <c r="G224" i="18" s="1"/>
  <c r="N229" i="14"/>
  <c r="N225" i="18" s="1"/>
  <c r="N230" i="14"/>
  <c r="N231" i="14"/>
  <c r="N227" i="18" s="1"/>
  <c r="N232" i="14"/>
  <c r="N228" i="18" s="1"/>
  <c r="N233" i="14"/>
  <c r="N229" i="18" s="1"/>
  <c r="N234" i="14"/>
  <c r="N230" i="18" s="1"/>
  <c r="N235" i="14"/>
  <c r="N231" i="18" s="1"/>
  <c r="N236" i="14"/>
  <c r="N232" i="18" s="1"/>
  <c r="N237" i="14"/>
  <c r="N233" i="18" s="1"/>
  <c r="N238" i="14"/>
  <c r="N239" i="14"/>
  <c r="N235" i="18" s="1"/>
  <c r="N240" i="14"/>
  <c r="N236" i="18" s="1"/>
  <c r="N241" i="14"/>
  <c r="N237" i="18" s="1"/>
  <c r="N242" i="14"/>
  <c r="N238" i="18" s="1"/>
  <c r="N243" i="14"/>
  <c r="N239" i="18" s="1"/>
  <c r="N244" i="14"/>
  <c r="N240" i="18" s="1"/>
  <c r="N245" i="14"/>
  <c r="N241" i="18" s="1"/>
  <c r="N246" i="14"/>
  <c r="N247" i="14"/>
  <c r="N243" i="18" s="1"/>
  <c r="N248" i="14"/>
  <c r="N244" i="18" s="1"/>
  <c r="N249" i="14"/>
  <c r="N245" i="18" s="1"/>
  <c r="N250" i="14"/>
  <c r="N251" i="14"/>
  <c r="N247" i="18" s="1"/>
  <c r="N252" i="14"/>
  <c r="N248" i="18" s="1"/>
  <c r="N253" i="14"/>
  <c r="N249" i="18" s="1"/>
  <c r="N254" i="14"/>
  <c r="N250" i="18" s="1"/>
  <c r="N255" i="14"/>
  <c r="N251" i="18" s="1"/>
  <c r="N256" i="14"/>
  <c r="G256" i="14" s="1"/>
  <c r="G252" i="18" s="1"/>
  <c r="N257" i="14"/>
  <c r="N253" i="18" s="1"/>
  <c r="N258" i="14"/>
  <c r="N259" i="14"/>
  <c r="N255" i="18" s="1"/>
  <c r="N260" i="14"/>
  <c r="N261" i="14"/>
  <c r="N257" i="18" s="1"/>
  <c r="N262" i="14"/>
  <c r="N263" i="14"/>
  <c r="N259" i="18" s="1"/>
  <c r="N264" i="14"/>
  <c r="N260" i="18" s="1"/>
  <c r="N265" i="14"/>
  <c r="N261" i="18" s="1"/>
  <c r="N266" i="14"/>
  <c r="N267" i="14"/>
  <c r="N263" i="18" s="1"/>
  <c r="N268" i="14"/>
  <c r="N269" i="14"/>
  <c r="N265" i="18" s="1"/>
  <c r="N270" i="14"/>
  <c r="N271" i="14"/>
  <c r="N267" i="18" s="1"/>
  <c r="N272" i="14"/>
  <c r="N268" i="18" s="1"/>
  <c r="N273" i="14"/>
  <c r="N269" i="18" s="1"/>
  <c r="N274" i="14"/>
  <c r="N275" i="14"/>
  <c r="N271" i="18" s="1"/>
  <c r="N276" i="14"/>
  <c r="N272" i="18" s="1"/>
  <c r="N277" i="14"/>
  <c r="N273" i="18" s="1"/>
  <c r="N278" i="14"/>
  <c r="N279" i="14"/>
  <c r="N275" i="18" s="1"/>
  <c r="N280" i="14"/>
  <c r="N276" i="18" s="1"/>
  <c r="N281" i="14"/>
  <c r="N277" i="18" s="1"/>
  <c r="N282" i="14"/>
  <c r="N283" i="14"/>
  <c r="N279" i="18" s="1"/>
  <c r="N284" i="14"/>
  <c r="AP284" i="14" s="1"/>
  <c r="N285" i="14"/>
  <c r="N281" i="18" s="1"/>
  <c r="N286" i="14"/>
  <c r="N287" i="14"/>
  <c r="N283" i="18" s="1"/>
  <c r="N288" i="14"/>
  <c r="AP288" i="14" s="1"/>
  <c r="N289" i="14"/>
  <c r="N285" i="18" s="1"/>
  <c r="N290" i="14"/>
  <c r="N291" i="14"/>
  <c r="N287" i="18" s="1"/>
  <c r="N292" i="14"/>
  <c r="N293" i="14"/>
  <c r="N289" i="18" s="1"/>
  <c r="N294" i="14"/>
  <c r="N295" i="14"/>
  <c r="N291" i="18" s="1"/>
  <c r="N296" i="14"/>
  <c r="N297" i="14"/>
  <c r="N293" i="18" s="1"/>
  <c r="N298" i="14"/>
  <c r="N299" i="14"/>
  <c r="N295" i="18" s="1"/>
  <c r="N300" i="14"/>
  <c r="N296" i="18" s="1"/>
  <c r="N301" i="14"/>
  <c r="N297" i="18" s="1"/>
  <c r="N302" i="14"/>
  <c r="N303" i="14"/>
  <c r="N299" i="18" s="1"/>
  <c r="N304" i="14"/>
  <c r="N300" i="18" s="1"/>
  <c r="N305" i="14"/>
  <c r="N301" i="18" s="1"/>
  <c r="N306" i="14"/>
  <c r="N307" i="14"/>
  <c r="N303" i="18" s="1"/>
  <c r="N308" i="14"/>
  <c r="N304" i="18" s="1"/>
  <c r="N309" i="14"/>
  <c r="N305" i="18" s="1"/>
  <c r="N310" i="14"/>
  <c r="N311" i="14"/>
  <c r="N307" i="18" s="1"/>
  <c r="N312" i="14"/>
  <c r="N308" i="18" s="1"/>
  <c r="N313" i="14"/>
  <c r="N309" i="18" s="1"/>
  <c r="N314" i="14"/>
  <c r="N315" i="14"/>
  <c r="N311" i="18" s="1"/>
  <c r="N316" i="14"/>
  <c r="N312" i="18" s="1"/>
  <c r="N317" i="14"/>
  <c r="N313" i="18" s="1"/>
  <c r="N318" i="14"/>
  <c r="N319" i="14"/>
  <c r="N315" i="18" s="1"/>
  <c r="N320" i="14"/>
  <c r="N316" i="18" s="1"/>
  <c r="N321" i="14"/>
  <c r="N317" i="18" s="1"/>
  <c r="N322" i="14"/>
  <c r="N323" i="14"/>
  <c r="N319" i="18" s="1"/>
  <c r="N324" i="14"/>
  <c r="N325" i="14"/>
  <c r="N321" i="18" s="1"/>
  <c r="N326" i="14"/>
  <c r="N327" i="14"/>
  <c r="N323" i="18" s="1"/>
  <c r="N328" i="14"/>
  <c r="N324" i="18" s="1"/>
  <c r="N329" i="14"/>
  <c r="N325" i="18" s="1"/>
  <c r="N330" i="14"/>
  <c r="N331" i="14"/>
  <c r="N327" i="18" s="1"/>
  <c r="N332" i="14"/>
  <c r="N328" i="18" s="1"/>
  <c r="N333" i="14"/>
  <c r="N329" i="18" s="1"/>
  <c r="N334" i="14"/>
  <c r="N330" i="18" s="1"/>
  <c r="N335" i="14"/>
  <c r="N331" i="18" s="1"/>
  <c r="N336" i="14"/>
  <c r="G336" i="14" s="1"/>
  <c r="G332" i="18" s="1"/>
  <c r="N337" i="14"/>
  <c r="N333" i="18" s="1"/>
  <c r="N338" i="14"/>
  <c r="N339" i="14"/>
  <c r="N335" i="18" s="1"/>
  <c r="N340" i="14"/>
  <c r="N336" i="18" s="1"/>
  <c r="N341" i="14"/>
  <c r="N337" i="18" s="1"/>
  <c r="N342" i="14"/>
  <c r="N343" i="14"/>
  <c r="N339" i="18" s="1"/>
  <c r="N344" i="14"/>
  <c r="N340" i="18" s="1"/>
  <c r="N345" i="14"/>
  <c r="N341" i="18" s="1"/>
  <c r="N346" i="14"/>
  <c r="N342" i="18" s="1"/>
  <c r="N347" i="14"/>
  <c r="N343" i="18" s="1"/>
  <c r="N348" i="14"/>
  <c r="N349" i="14"/>
  <c r="N345" i="18" s="1"/>
  <c r="N350" i="14"/>
  <c r="N351" i="14"/>
  <c r="N347" i="18" s="1"/>
  <c r="N352" i="14"/>
  <c r="N348" i="18" s="1"/>
  <c r="N353" i="14"/>
  <c r="N349" i="18" s="1"/>
  <c r="N354" i="14"/>
  <c r="N355" i="14"/>
  <c r="N351" i="18" s="1"/>
  <c r="N356" i="14"/>
  <c r="AP356" i="14" s="1"/>
  <c r="N357" i="14"/>
  <c r="N353" i="18" s="1"/>
  <c r="N358" i="14"/>
  <c r="N359" i="14"/>
  <c r="N355" i="18" s="1"/>
  <c r="N360" i="14"/>
  <c r="N356" i="18" s="1"/>
  <c r="N361" i="14"/>
  <c r="N357" i="18" s="1"/>
  <c r="N362" i="14"/>
  <c r="N363" i="14"/>
  <c r="N359" i="18" s="1"/>
  <c r="N364" i="14"/>
  <c r="N360" i="18" s="1"/>
  <c r="N365" i="14"/>
  <c r="N361" i="18" s="1"/>
  <c r="N366" i="14"/>
  <c r="N367" i="14"/>
  <c r="N363" i="18" s="1"/>
  <c r="N368" i="14"/>
  <c r="N369" i="14"/>
  <c r="N365" i="18" s="1"/>
  <c r="N370" i="14"/>
  <c r="N371" i="14"/>
  <c r="N367" i="18" s="1"/>
  <c r="N372" i="14"/>
  <c r="N368" i="18" s="1"/>
  <c r="N373" i="14"/>
  <c r="N369" i="18" s="1"/>
  <c r="N374" i="14"/>
  <c r="N375" i="14"/>
  <c r="N371" i="18" s="1"/>
  <c r="N376" i="14"/>
  <c r="N372" i="18" s="1"/>
  <c r="N377" i="14"/>
  <c r="N373" i="18" s="1"/>
  <c r="N378" i="14"/>
  <c r="N379" i="14"/>
  <c r="N375" i="18" s="1"/>
  <c r="N380" i="14"/>
  <c r="N376" i="18" s="1"/>
  <c r="N381" i="14"/>
  <c r="N377" i="18" s="1"/>
  <c r="N382" i="14"/>
  <c r="N383" i="14"/>
  <c r="N379" i="18" s="1"/>
  <c r="N384" i="14"/>
  <c r="N380" i="18" s="1"/>
  <c r="N385" i="14"/>
  <c r="N381" i="18" s="1"/>
  <c r="N386" i="14"/>
  <c r="N387" i="14"/>
  <c r="N383" i="18" s="1"/>
  <c r="N388" i="14"/>
  <c r="N389" i="14"/>
  <c r="N385" i="18" s="1"/>
  <c r="N390" i="14"/>
  <c r="N391" i="14"/>
  <c r="N387" i="18" s="1"/>
  <c r="N392" i="14"/>
  <c r="N388" i="18" s="1"/>
  <c r="N393" i="14"/>
  <c r="N389" i="18" s="1"/>
  <c r="N394" i="14"/>
  <c r="N395" i="14"/>
  <c r="N391" i="18" s="1"/>
  <c r="N396" i="14"/>
  <c r="AP396" i="14" s="1"/>
  <c r="N397" i="14"/>
  <c r="N393" i="18" s="1"/>
  <c r="N398" i="14"/>
  <c r="N399" i="14"/>
  <c r="N395" i="18" s="1"/>
  <c r="N400" i="14"/>
  <c r="N401" i="14"/>
  <c r="N397" i="18" s="1"/>
  <c r="N402" i="14"/>
  <c r="N403" i="14"/>
  <c r="N399" i="18" s="1"/>
  <c r="N404" i="14"/>
  <c r="N405" i="14"/>
  <c r="N401" i="18" s="1"/>
  <c r="N406" i="14"/>
  <c r="N407" i="14"/>
  <c r="N403" i="18" s="1"/>
  <c r="N408" i="14"/>
  <c r="N409" i="14"/>
  <c r="N405" i="18" s="1"/>
  <c r="N410" i="14"/>
  <c r="N411" i="14"/>
  <c r="N407" i="18" s="1"/>
  <c r="N412" i="14"/>
  <c r="N413" i="14"/>
  <c r="N409" i="18" s="1"/>
  <c r="N414" i="14"/>
  <c r="N415" i="14"/>
  <c r="N411" i="18" s="1"/>
  <c r="N416" i="14"/>
  <c r="N412" i="18" s="1"/>
  <c r="N417" i="14"/>
  <c r="N413" i="18" s="1"/>
  <c r="N418" i="14"/>
  <c r="N419" i="14"/>
  <c r="N415" i="18" s="1"/>
  <c r="N420" i="14"/>
  <c r="AP420" i="14" s="1"/>
  <c r="N421" i="14"/>
  <c r="N417" i="18" s="1"/>
  <c r="N422" i="14"/>
  <c r="N423" i="14"/>
  <c r="N419" i="18" s="1"/>
  <c r="N424" i="14"/>
  <c r="N420" i="18" s="1"/>
  <c r="N425" i="14"/>
  <c r="N421" i="18" s="1"/>
  <c r="N426" i="14"/>
  <c r="N427" i="14"/>
  <c r="N423" i="18" s="1"/>
  <c r="N428" i="14"/>
  <c r="N424" i="18" s="1"/>
  <c r="N429" i="14"/>
  <c r="N425" i="18" s="1"/>
  <c r="N430" i="14"/>
  <c r="N431" i="14"/>
  <c r="N427" i="18" s="1"/>
  <c r="N432" i="14"/>
  <c r="N428" i="18" s="1"/>
  <c r="N433" i="14"/>
  <c r="N429" i="18" s="1"/>
  <c r="N434" i="14"/>
  <c r="N435" i="14"/>
  <c r="N431" i="18" s="1"/>
  <c r="N436" i="14"/>
  <c r="N432" i="18" s="1"/>
  <c r="N437" i="14"/>
  <c r="N433" i="18" s="1"/>
  <c r="N438" i="14"/>
  <c r="N439" i="14"/>
  <c r="N435" i="18" s="1"/>
  <c r="N440" i="14"/>
  <c r="N441" i="14"/>
  <c r="N437" i="18" s="1"/>
  <c r="N442" i="14"/>
  <c r="N443" i="14"/>
  <c r="N439" i="18" s="1"/>
  <c r="N444" i="14"/>
  <c r="N445" i="14"/>
  <c r="N441" i="18" s="1"/>
  <c r="N446" i="14"/>
  <c r="N447" i="14"/>
  <c r="N443" i="18" s="1"/>
  <c r="N448" i="14"/>
  <c r="N444" i="18" s="1"/>
  <c r="N449" i="14"/>
  <c r="N445" i="18" s="1"/>
  <c r="N450" i="14"/>
  <c r="N451" i="14"/>
  <c r="N447" i="18" s="1"/>
  <c r="N452" i="14"/>
  <c r="N448" i="18" s="1"/>
  <c r="N453" i="14"/>
  <c r="N449" i="18" s="1"/>
  <c r="N454" i="14"/>
  <c r="N455" i="14"/>
  <c r="N451" i="18" s="1"/>
  <c r="N456" i="14"/>
  <c r="N452" i="18" s="1"/>
  <c r="N457" i="14"/>
  <c r="N453" i="18" s="1"/>
  <c r="N458" i="14"/>
  <c r="N459" i="14"/>
  <c r="N455" i="18" s="1"/>
  <c r="N460" i="14"/>
  <c r="N461" i="14"/>
  <c r="N457" i="18" s="1"/>
  <c r="N462" i="14"/>
  <c r="N463" i="14"/>
  <c r="N459" i="18" s="1"/>
  <c r="N464" i="14"/>
  <c r="N460" i="18" s="1"/>
  <c r="N465" i="14"/>
  <c r="N461" i="18" s="1"/>
  <c r="N466" i="14"/>
  <c r="N467" i="14"/>
  <c r="N463" i="18" s="1"/>
  <c r="N468" i="14"/>
  <c r="N469" i="14"/>
  <c r="N465" i="18" s="1"/>
  <c r="N470" i="14"/>
  <c r="N471" i="14"/>
  <c r="N467" i="18" s="1"/>
  <c r="N472" i="14"/>
  <c r="N468" i="18" s="1"/>
  <c r="N473" i="14"/>
  <c r="N469" i="18" s="1"/>
  <c r="N474" i="14"/>
  <c r="N475" i="14"/>
  <c r="N471" i="18" s="1"/>
  <c r="N476" i="14"/>
  <c r="N477" i="14"/>
  <c r="N473" i="18" s="1"/>
  <c r="N478" i="14"/>
  <c r="N479" i="14"/>
  <c r="N475" i="18" s="1"/>
  <c r="N480" i="14"/>
  <c r="N476" i="18" s="1"/>
  <c r="N481" i="14"/>
  <c r="N477" i="18" s="1"/>
  <c r="N482" i="14"/>
  <c r="N483" i="14"/>
  <c r="N479" i="18" s="1"/>
  <c r="N484" i="14"/>
  <c r="N485" i="14"/>
  <c r="N481" i="18" s="1"/>
  <c r="N486" i="14"/>
  <c r="N487" i="14"/>
  <c r="N483" i="18" s="1"/>
  <c r="N488" i="14"/>
  <c r="G488" i="14" s="1"/>
  <c r="G484" i="18" s="1"/>
  <c r="N489" i="14"/>
  <c r="N485" i="18" s="1"/>
  <c r="N490" i="14"/>
  <c r="N491" i="14"/>
  <c r="N487" i="18" s="1"/>
  <c r="N492" i="14"/>
  <c r="N493" i="14"/>
  <c r="N489" i="18" s="1"/>
  <c r="N494" i="14"/>
  <c r="N495" i="14"/>
  <c r="N491" i="18" s="1"/>
  <c r="N496" i="14"/>
  <c r="N492" i="18" s="1"/>
  <c r="N497" i="14"/>
  <c r="N493" i="18" s="1"/>
  <c r="N498" i="14"/>
  <c r="N499" i="14"/>
  <c r="N495" i="18" s="1"/>
  <c r="N500" i="14"/>
  <c r="N501" i="14"/>
  <c r="N497" i="18" s="1"/>
  <c r="N502" i="14"/>
  <c r="N503" i="14"/>
  <c r="N499" i="18" s="1"/>
  <c r="N504" i="14"/>
  <c r="N505" i="14"/>
  <c r="N501" i="18" s="1"/>
  <c r="N506" i="14"/>
  <c r="N507" i="14"/>
  <c r="N503" i="18" s="1"/>
  <c r="N508" i="14"/>
  <c r="N504" i="18" s="1"/>
  <c r="N509" i="14"/>
  <c r="N505" i="18" s="1"/>
  <c r="N510" i="14"/>
  <c r="N511" i="14"/>
  <c r="N507" i="18" s="1"/>
  <c r="N512" i="14"/>
  <c r="N508" i="18" s="1"/>
  <c r="N513" i="14"/>
  <c r="N509" i="18" s="1"/>
  <c r="N514" i="14"/>
  <c r="N515" i="14"/>
  <c r="N511" i="18" s="1"/>
  <c r="N516" i="14"/>
  <c r="N512" i="18" s="1"/>
  <c r="N517" i="14"/>
  <c r="N513" i="18" s="1"/>
  <c r="N518" i="14"/>
  <c r="N519" i="14"/>
  <c r="N515" i="18" s="1"/>
  <c r="N520" i="14"/>
  <c r="N516" i="18" s="1"/>
  <c r="N521" i="14"/>
  <c r="N517" i="18" s="1"/>
  <c r="N522" i="14"/>
  <c r="N523" i="14"/>
  <c r="N519" i="18" s="1"/>
  <c r="N524" i="14"/>
  <c r="N520" i="18" s="1"/>
  <c r="N525" i="14"/>
  <c r="N521" i="18" s="1"/>
  <c r="N526" i="14"/>
  <c r="N527" i="14"/>
  <c r="N523" i="18" s="1"/>
  <c r="N528" i="14"/>
  <c r="N524" i="18" s="1"/>
  <c r="N529" i="14"/>
  <c r="N525" i="18" s="1"/>
  <c r="N530" i="14"/>
  <c r="N531" i="14"/>
  <c r="N527" i="18" s="1"/>
  <c r="N532" i="14"/>
  <c r="G532" i="14" s="1"/>
  <c r="G528" i="18" s="1"/>
  <c r="N533" i="14"/>
  <c r="N529" i="18" s="1"/>
  <c r="N534" i="14"/>
  <c r="N535" i="14"/>
  <c r="N531" i="18" s="1"/>
  <c r="N536" i="14"/>
  <c r="AP536" i="14" s="1"/>
  <c r="N537" i="14"/>
  <c r="N533" i="18" s="1"/>
  <c r="N538" i="14"/>
  <c r="N539" i="14"/>
  <c r="N535" i="18" s="1"/>
  <c r="N540" i="14"/>
  <c r="N536" i="18" s="1"/>
  <c r="N541" i="14"/>
  <c r="N537" i="18" s="1"/>
  <c r="N542" i="14"/>
  <c r="N543" i="14"/>
  <c r="N539" i="18" s="1"/>
  <c r="N544" i="14"/>
  <c r="N545" i="14"/>
  <c r="N541" i="18" s="1"/>
  <c r="N546" i="14"/>
  <c r="N547" i="14"/>
  <c r="N543" i="18" s="1"/>
  <c r="N548" i="14"/>
  <c r="N544" i="18" s="1"/>
  <c r="N549" i="14"/>
  <c r="N545" i="18" s="1"/>
  <c r="N550" i="14"/>
  <c r="N551" i="14"/>
  <c r="N547" i="18" s="1"/>
  <c r="N552" i="14"/>
  <c r="N548" i="18" s="1"/>
  <c r="N553" i="14"/>
  <c r="N549" i="18" s="1"/>
  <c r="N554" i="14"/>
  <c r="N555" i="14"/>
  <c r="N551" i="18" s="1"/>
  <c r="N556" i="14"/>
  <c r="N557" i="14"/>
  <c r="N553" i="18" s="1"/>
  <c r="N558" i="14"/>
  <c r="N559" i="14"/>
  <c r="N555" i="18" s="1"/>
  <c r="N560" i="14"/>
  <c r="N556" i="18" s="1"/>
  <c r="N561" i="14"/>
  <c r="N557" i="18" s="1"/>
  <c r="N562" i="14"/>
  <c r="N563" i="14"/>
  <c r="N559" i="18" s="1"/>
  <c r="N564" i="14"/>
  <c r="N560" i="18" s="1"/>
  <c r="N565" i="14"/>
  <c r="N561" i="18" s="1"/>
  <c r="N566" i="14"/>
  <c r="N567" i="14"/>
  <c r="N563" i="18" s="1"/>
  <c r="N568" i="14"/>
  <c r="N569" i="14"/>
  <c r="N565" i="18" s="1"/>
  <c r="N570" i="14"/>
  <c r="N571" i="14"/>
  <c r="N567" i="18" s="1"/>
  <c r="N572" i="14"/>
  <c r="N568" i="18" s="1"/>
  <c r="N573" i="14"/>
  <c r="N569" i="18" s="1"/>
  <c r="N574" i="14"/>
  <c r="N575" i="14"/>
  <c r="N571" i="18" s="1"/>
  <c r="N576" i="14"/>
  <c r="N577" i="14"/>
  <c r="N573" i="18" s="1"/>
  <c r="N578" i="14"/>
  <c r="N579" i="14"/>
  <c r="N575" i="18" s="1"/>
  <c r="N580" i="14"/>
  <c r="N576" i="18" s="1"/>
  <c r="N581" i="14"/>
  <c r="N577" i="18" s="1"/>
  <c r="N582" i="14"/>
  <c r="N583" i="14"/>
  <c r="N579" i="18" s="1"/>
  <c r="N584" i="14"/>
  <c r="N580" i="18" s="1"/>
  <c r="N585" i="14"/>
  <c r="N581" i="18" s="1"/>
  <c r="N586" i="14"/>
  <c r="N587" i="14"/>
  <c r="N583" i="18" s="1"/>
  <c r="N588" i="14"/>
  <c r="N584" i="18" s="1"/>
  <c r="N589" i="14"/>
  <c r="N585" i="18" s="1"/>
  <c r="N590" i="14"/>
  <c r="N591" i="14"/>
  <c r="N587" i="18" s="1"/>
  <c r="N592" i="14"/>
  <c r="N588" i="18" s="1"/>
  <c r="N593" i="14"/>
  <c r="N589" i="18" s="1"/>
  <c r="N594" i="14"/>
  <c r="N595" i="14"/>
  <c r="N591" i="18" s="1"/>
  <c r="N596" i="14"/>
  <c r="N597" i="14"/>
  <c r="N593" i="18" s="1"/>
  <c r="N598" i="14"/>
  <c r="N599" i="14"/>
  <c r="N595" i="18" s="1"/>
  <c r="N600" i="14"/>
  <c r="N596" i="18" s="1"/>
  <c r="N601" i="14"/>
  <c r="N597" i="18" s="1"/>
  <c r="N602" i="14"/>
  <c r="N603" i="14"/>
  <c r="N599" i="18" s="1"/>
  <c r="N604" i="14"/>
  <c r="N600" i="18" s="1"/>
  <c r="N605" i="14"/>
  <c r="N601" i="18" s="1"/>
  <c r="N606" i="14"/>
  <c r="N607" i="14"/>
  <c r="N603" i="18" s="1"/>
  <c r="N608" i="14"/>
  <c r="N604" i="18" s="1"/>
  <c r="N609" i="14"/>
  <c r="N605" i="18" s="1"/>
  <c r="N610" i="14"/>
  <c r="N611" i="14"/>
  <c r="N607" i="18" s="1"/>
  <c r="N612" i="14"/>
  <c r="N608" i="18" s="1"/>
  <c r="N613" i="14"/>
  <c r="N609" i="18" s="1"/>
  <c r="N614" i="14"/>
  <c r="N615" i="14"/>
  <c r="N611" i="18" s="1"/>
  <c r="N616" i="14"/>
  <c r="N612" i="18" s="1"/>
  <c r="N617" i="14"/>
  <c r="N613" i="18" s="1"/>
  <c r="N618" i="14"/>
  <c r="N619" i="14"/>
  <c r="N615" i="18" s="1"/>
  <c r="N620" i="14"/>
  <c r="N616" i="18" s="1"/>
  <c r="N621" i="14"/>
  <c r="N617" i="18" s="1"/>
  <c r="N622" i="14"/>
  <c r="N623" i="14"/>
  <c r="N619" i="18" s="1"/>
  <c r="N624" i="14"/>
  <c r="N620" i="18" s="1"/>
  <c r="N625" i="14"/>
  <c r="N621" i="18" s="1"/>
  <c r="N626" i="14"/>
  <c r="N627" i="14"/>
  <c r="N623" i="18" s="1"/>
  <c r="N628" i="14"/>
  <c r="N624" i="18" s="1"/>
  <c r="N629" i="14"/>
  <c r="N625" i="18" s="1"/>
  <c r="N630" i="14"/>
  <c r="N631" i="14"/>
  <c r="N627" i="18" s="1"/>
  <c r="N632" i="14"/>
  <c r="N628" i="18" s="1"/>
  <c r="N633" i="14"/>
  <c r="N629" i="18" s="1"/>
  <c r="N634" i="14"/>
  <c r="N635" i="14"/>
  <c r="N631" i="18" s="1"/>
  <c r="N636" i="14"/>
  <c r="N637" i="14"/>
  <c r="N633" i="18" s="1"/>
  <c r="N638" i="14"/>
  <c r="N639" i="14"/>
  <c r="N635" i="18" s="1"/>
  <c r="N640" i="14"/>
  <c r="AP640" i="14" s="1"/>
  <c r="N641" i="14"/>
  <c r="N637" i="18" s="1"/>
  <c r="N642" i="14"/>
  <c r="N643" i="14"/>
  <c r="N639" i="18" s="1"/>
  <c r="N644" i="14"/>
  <c r="N640" i="18" s="1"/>
  <c r="N645" i="14"/>
  <c r="N641" i="18" s="1"/>
  <c r="N646" i="14"/>
  <c r="N647" i="14"/>
  <c r="N643" i="18" s="1"/>
  <c r="N648" i="14"/>
  <c r="N644" i="18" s="1"/>
  <c r="N649" i="14"/>
  <c r="N645" i="18" s="1"/>
  <c r="N650" i="14"/>
  <c r="N651" i="14"/>
  <c r="N647" i="18" s="1"/>
  <c r="N652" i="14"/>
  <c r="N648" i="18" s="1"/>
  <c r="N653" i="14"/>
  <c r="N649" i="18" s="1"/>
  <c r="N654" i="14"/>
  <c r="N655" i="14"/>
  <c r="N651" i="18" s="1"/>
  <c r="N656" i="14"/>
  <c r="N652" i="18" s="1"/>
  <c r="N657" i="14"/>
  <c r="N653" i="18" s="1"/>
  <c r="N658" i="14"/>
  <c r="N659" i="14"/>
  <c r="N655" i="18" s="1"/>
  <c r="N660" i="14"/>
  <c r="N656" i="18" s="1"/>
  <c r="N661" i="14"/>
  <c r="N657" i="18" s="1"/>
  <c r="N662" i="14"/>
  <c r="N663" i="14"/>
  <c r="N659" i="18" s="1"/>
  <c r="N664" i="14"/>
  <c r="N660" i="18" s="1"/>
  <c r="N665" i="14"/>
  <c r="N661" i="18" s="1"/>
  <c r="N666" i="14"/>
  <c r="N667" i="14"/>
  <c r="N663" i="18" s="1"/>
  <c r="N668" i="14"/>
  <c r="N664" i="18" s="1"/>
  <c r="N669" i="14"/>
  <c r="N665" i="18" s="1"/>
  <c r="N670" i="14"/>
  <c r="N671" i="14"/>
  <c r="N667" i="18" s="1"/>
  <c r="N672" i="14"/>
  <c r="N673" i="14"/>
  <c r="N669" i="18" s="1"/>
  <c r="N674" i="14"/>
  <c r="N675" i="14"/>
  <c r="N671" i="18" s="1"/>
  <c r="N676" i="14"/>
  <c r="AP676" i="14" s="1"/>
  <c r="N677" i="14"/>
  <c r="N673" i="18" s="1"/>
  <c r="N678" i="14"/>
  <c r="N679" i="14"/>
  <c r="N675" i="18" s="1"/>
  <c r="N680" i="14"/>
  <c r="N681" i="14"/>
  <c r="N677" i="18" s="1"/>
  <c r="N682" i="14"/>
  <c r="N683" i="14"/>
  <c r="N679" i="18" s="1"/>
  <c r="N684" i="14"/>
  <c r="N685" i="14"/>
  <c r="N681" i="18" s="1"/>
  <c r="N686" i="14"/>
  <c r="N687" i="14"/>
  <c r="N683" i="18" s="1"/>
  <c r="N688" i="14"/>
  <c r="G688" i="14" s="1"/>
  <c r="G684" i="18" s="1"/>
  <c r="N689" i="14"/>
  <c r="N685" i="18" s="1"/>
  <c r="N690" i="14"/>
  <c r="N691" i="14"/>
  <c r="N687" i="18" s="1"/>
  <c r="N692" i="14"/>
  <c r="G692" i="14" s="1"/>
  <c r="G688" i="18" s="1"/>
  <c r="N693" i="14"/>
  <c r="N689" i="18" s="1"/>
  <c r="N694" i="14"/>
  <c r="N695" i="14"/>
  <c r="N691" i="18" s="1"/>
  <c r="N696" i="14"/>
  <c r="G696" i="14" s="1"/>
  <c r="G692" i="18" s="1"/>
  <c r="N697" i="14"/>
  <c r="N693" i="18" s="1"/>
  <c r="N698" i="14"/>
  <c r="N699" i="14"/>
  <c r="N695" i="18" s="1"/>
  <c r="N700" i="14"/>
  <c r="N701" i="14"/>
  <c r="N697" i="18" s="1"/>
  <c r="N702" i="14"/>
  <c r="N703" i="14"/>
  <c r="N699" i="18" s="1"/>
  <c r="N704" i="14"/>
  <c r="N705" i="14"/>
  <c r="N701" i="18" s="1"/>
  <c r="N706" i="14"/>
  <c r="N707" i="14"/>
  <c r="N703" i="18" s="1"/>
  <c r="N708" i="14"/>
  <c r="N704" i="18" s="1"/>
  <c r="N709" i="14"/>
  <c r="N705" i="18" s="1"/>
  <c r="N710" i="14"/>
  <c r="N711" i="14"/>
  <c r="N707" i="18" s="1"/>
  <c r="N712" i="14"/>
  <c r="N708" i="18" s="1"/>
  <c r="N713" i="14"/>
  <c r="N709" i="18" s="1"/>
  <c r="N714" i="14"/>
  <c r="N715" i="14"/>
  <c r="N711" i="18" s="1"/>
  <c r="N716" i="14"/>
  <c r="N712" i="18" s="1"/>
  <c r="N717" i="14"/>
  <c r="N713" i="18" s="1"/>
  <c r="N718" i="14"/>
  <c r="N719" i="14"/>
  <c r="N715" i="18" s="1"/>
  <c r="N720" i="14"/>
  <c r="N721" i="14"/>
  <c r="N717" i="18" s="1"/>
  <c r="N722" i="14"/>
  <c r="N723" i="14"/>
  <c r="N719" i="18" s="1"/>
  <c r="N724" i="14"/>
  <c r="N725" i="14"/>
  <c r="N721" i="18" s="1"/>
  <c r="N726" i="14"/>
  <c r="N727" i="14"/>
  <c r="N723" i="18" s="1"/>
  <c r="N728" i="14"/>
  <c r="N724" i="18" s="1"/>
  <c r="N729" i="14"/>
  <c r="N725" i="18" s="1"/>
  <c r="N730" i="14"/>
  <c r="N726" i="18" s="1"/>
  <c r="N731" i="14"/>
  <c r="N727" i="18" s="1"/>
  <c r="N732" i="14"/>
  <c r="N733" i="14"/>
  <c r="N729" i="18" s="1"/>
  <c r="N734" i="14"/>
  <c r="N735" i="14"/>
  <c r="N731" i="18" s="1"/>
  <c r="N736" i="14"/>
  <c r="AP736" i="14" s="1"/>
  <c r="N737" i="14"/>
  <c r="N733" i="18" s="1"/>
  <c r="N738" i="14"/>
  <c r="N739" i="14"/>
  <c r="N735" i="18" s="1"/>
  <c r="N740" i="14"/>
  <c r="G740" i="14" s="1"/>
  <c r="G736" i="18" s="1"/>
  <c r="N741" i="14"/>
  <c r="N737" i="18" s="1"/>
  <c r="N742" i="14"/>
  <c r="N743" i="14"/>
  <c r="N739" i="18" s="1"/>
  <c r="N744" i="14"/>
  <c r="AP744" i="14" s="1"/>
  <c r="N745" i="14"/>
  <c r="N741" i="18" s="1"/>
  <c r="N746" i="14"/>
  <c r="N747" i="14"/>
  <c r="N743" i="18" s="1"/>
  <c r="N748" i="14"/>
  <c r="N744" i="18" s="1"/>
  <c r="N749" i="14"/>
  <c r="N745" i="18" s="1"/>
  <c r="N750" i="14"/>
  <c r="N751" i="14"/>
  <c r="N747" i="18" s="1"/>
  <c r="N752" i="14"/>
  <c r="N753" i="14"/>
  <c r="N749" i="18" s="1"/>
  <c r="N754" i="14"/>
  <c r="N755" i="14"/>
  <c r="N751" i="18" s="1"/>
  <c r="N756" i="14"/>
  <c r="N752" i="18" s="1"/>
  <c r="N757" i="14"/>
  <c r="N753" i="18" s="1"/>
  <c r="N758" i="14"/>
  <c r="N759" i="14"/>
  <c r="N755" i="18" s="1"/>
  <c r="N760" i="14"/>
  <c r="N756" i="18" s="1"/>
  <c r="N761" i="14"/>
  <c r="N757" i="18" s="1"/>
  <c r="N762" i="14"/>
  <c r="N763" i="14"/>
  <c r="N759" i="18" s="1"/>
  <c r="N764" i="14"/>
  <c r="G764" i="14" s="1"/>
  <c r="G760" i="18" s="1"/>
  <c r="N765" i="14"/>
  <c r="N761" i="18" s="1"/>
  <c r="N766" i="14"/>
  <c r="N767" i="14"/>
  <c r="N763" i="18" s="1"/>
  <c r="N768" i="14"/>
  <c r="N769" i="14"/>
  <c r="N765" i="18" s="1"/>
  <c r="N770" i="14"/>
  <c r="N771" i="14"/>
  <c r="N767" i="18" s="1"/>
  <c r="N772" i="14"/>
  <c r="N768" i="18" s="1"/>
  <c r="N773" i="14"/>
  <c r="N769" i="18" s="1"/>
  <c r="N774" i="14"/>
  <c r="N775" i="14"/>
  <c r="N771" i="18" s="1"/>
  <c r="N776" i="14"/>
  <c r="G776" i="14" s="1"/>
  <c r="G772" i="18" s="1"/>
  <c r="N777" i="14"/>
  <c r="N773" i="18" s="1"/>
  <c r="N778" i="14"/>
  <c r="N779" i="14"/>
  <c r="N775" i="18" s="1"/>
  <c r="N780" i="14"/>
  <c r="N776" i="18" s="1"/>
  <c r="N781" i="14"/>
  <c r="N777" i="18" s="1"/>
  <c r="N782" i="14"/>
  <c r="N783" i="14"/>
  <c r="N779" i="18" s="1"/>
  <c r="N784" i="14"/>
  <c r="N780" i="18" s="1"/>
  <c r="N785" i="14"/>
  <c r="N781" i="18" s="1"/>
  <c r="N786" i="14"/>
  <c r="N787" i="14"/>
  <c r="N783" i="18" s="1"/>
  <c r="N788" i="14"/>
  <c r="N789" i="14"/>
  <c r="N785" i="18" s="1"/>
  <c r="N790" i="14"/>
  <c r="N791" i="14"/>
  <c r="N787" i="18" s="1"/>
  <c r="N792" i="14"/>
  <c r="N788" i="18" s="1"/>
  <c r="N793" i="14"/>
  <c r="N789" i="18" s="1"/>
  <c r="N794" i="14"/>
  <c r="N795" i="14"/>
  <c r="N791" i="18" s="1"/>
  <c r="N796" i="14"/>
  <c r="N792" i="18" s="1"/>
  <c r="N797" i="14"/>
  <c r="N793" i="18" s="1"/>
  <c r="N798" i="14"/>
  <c r="N799" i="14"/>
  <c r="N795" i="18" s="1"/>
  <c r="N800" i="14"/>
  <c r="G800" i="14" s="1"/>
  <c r="G796" i="18" s="1"/>
  <c r="N801" i="14"/>
  <c r="N797" i="18" s="1"/>
  <c r="N802" i="14"/>
  <c r="N803" i="14"/>
  <c r="N799" i="18" s="1"/>
  <c r="N804" i="14"/>
  <c r="G804" i="14" s="1"/>
  <c r="G800" i="18" s="1"/>
  <c r="N805" i="14"/>
  <c r="N801" i="18" s="1"/>
  <c r="N806" i="14"/>
  <c r="N807" i="14"/>
  <c r="N803" i="18" s="1"/>
  <c r="N808" i="14"/>
  <c r="N809" i="14"/>
  <c r="N805" i="18" s="1"/>
  <c r="N810" i="14"/>
  <c r="N811" i="14"/>
  <c r="N807" i="18" s="1"/>
  <c r="N812" i="14"/>
  <c r="N813" i="14"/>
  <c r="N809" i="18" s="1"/>
  <c r="N814" i="14"/>
  <c r="N810" i="18" s="1"/>
  <c r="N815" i="14"/>
  <c r="N811" i="18" s="1"/>
  <c r="N816" i="14"/>
  <c r="N817" i="14"/>
  <c r="N813" i="18" s="1"/>
  <c r="N818" i="14"/>
  <c r="N819" i="14"/>
  <c r="N815" i="18" s="1"/>
  <c r="N820" i="14"/>
  <c r="N821" i="14"/>
  <c r="N817" i="18" s="1"/>
  <c r="N822" i="14"/>
  <c r="N818" i="18" s="1"/>
  <c r="N823" i="14"/>
  <c r="N819" i="18" s="1"/>
  <c r="N824" i="14"/>
  <c r="N825" i="14"/>
  <c r="N821" i="18" s="1"/>
  <c r="N826" i="14"/>
  <c r="N827" i="14"/>
  <c r="N823" i="18" s="1"/>
  <c r="N828" i="14"/>
  <c r="N824" i="18" s="1"/>
  <c r="N829" i="14"/>
  <c r="N825" i="18" s="1"/>
  <c r="N830" i="14"/>
  <c r="N831" i="14"/>
  <c r="N827" i="18" s="1"/>
  <c r="N832" i="14"/>
  <c r="N833" i="14"/>
  <c r="N829" i="18" s="1"/>
  <c r="N834" i="14"/>
  <c r="N835" i="14"/>
  <c r="N831" i="18" s="1"/>
  <c r="N836" i="14"/>
  <c r="N832" i="18" s="1"/>
  <c r="N837" i="14"/>
  <c r="N833" i="18" s="1"/>
  <c r="N838" i="14"/>
  <c r="N839" i="14"/>
  <c r="N835" i="18" s="1"/>
  <c r="N840" i="14"/>
  <c r="N836" i="18" s="1"/>
  <c r="N841" i="14"/>
  <c r="N837" i="18" s="1"/>
  <c r="N842" i="14"/>
  <c r="N843" i="14"/>
  <c r="N839" i="18" s="1"/>
  <c r="N844" i="14"/>
  <c r="N840" i="18" s="1"/>
  <c r="N845" i="14"/>
  <c r="N841" i="18" s="1"/>
  <c r="N846" i="14"/>
  <c r="N847" i="14"/>
  <c r="N843" i="18" s="1"/>
  <c r="N848" i="14"/>
  <c r="N849" i="14"/>
  <c r="N845" i="18" s="1"/>
  <c r="N850" i="14"/>
  <c r="N851" i="14"/>
  <c r="N847" i="18" s="1"/>
  <c r="N852" i="14"/>
  <c r="G852" i="14" s="1"/>
  <c r="G848" i="18" s="1"/>
  <c r="N853" i="14"/>
  <c r="N849" i="18" s="1"/>
  <c r="N854" i="14"/>
  <c r="N855" i="14"/>
  <c r="N851" i="18" s="1"/>
  <c r="N856" i="14"/>
  <c r="N852" i="18" s="1"/>
  <c r="N857" i="14"/>
  <c r="N853" i="18" s="1"/>
  <c r="N858" i="14"/>
  <c r="N859" i="14"/>
  <c r="N855" i="18" s="1"/>
  <c r="N860" i="14"/>
  <c r="G860" i="14" s="1"/>
  <c r="G856" i="18" s="1"/>
  <c r="N861" i="14"/>
  <c r="N857" i="18" s="1"/>
  <c r="N862" i="14"/>
  <c r="N863" i="14"/>
  <c r="N859" i="18" s="1"/>
  <c r="N864" i="14"/>
  <c r="N865" i="14"/>
  <c r="N861" i="18" s="1"/>
  <c r="N866" i="14"/>
  <c r="N867" i="14"/>
  <c r="N863" i="18" s="1"/>
  <c r="N868" i="14"/>
  <c r="N864" i="18" s="1"/>
  <c r="N869" i="14"/>
  <c r="N865" i="18" s="1"/>
  <c r="N870" i="14"/>
  <c r="N866" i="18" s="1"/>
  <c r="N871" i="14"/>
  <c r="N867" i="18" s="1"/>
  <c r="N872" i="14"/>
  <c r="N868" i="18" s="1"/>
  <c r="N873" i="14"/>
  <c r="N869" i="18" s="1"/>
  <c r="N874" i="14"/>
  <c r="N875" i="14"/>
  <c r="N871" i="18" s="1"/>
  <c r="N876" i="14"/>
  <c r="N872" i="18" s="1"/>
  <c r="N877" i="14"/>
  <c r="N873" i="18" s="1"/>
  <c r="N878" i="14"/>
  <c r="N879" i="14"/>
  <c r="N875" i="18" s="1"/>
  <c r="N880" i="14"/>
  <c r="N881" i="14"/>
  <c r="N877" i="18" s="1"/>
  <c r="N882" i="14"/>
  <c r="N883" i="14"/>
  <c r="N879" i="18" s="1"/>
  <c r="N884" i="14"/>
  <c r="N880" i="18" s="1"/>
  <c r="N885" i="14"/>
  <c r="N881" i="18" s="1"/>
  <c r="N886" i="14"/>
  <c r="N887" i="14"/>
  <c r="N883" i="18" s="1"/>
  <c r="N888" i="14"/>
  <c r="N889" i="14"/>
  <c r="N885" i="18" s="1"/>
  <c r="N890" i="14"/>
  <c r="N891" i="14"/>
  <c r="N887" i="18" s="1"/>
  <c r="N892" i="14"/>
  <c r="N888" i="18" s="1"/>
  <c r="N893" i="14"/>
  <c r="N889" i="18" s="1"/>
  <c r="N894" i="14"/>
  <c r="N895" i="14"/>
  <c r="N891" i="18" s="1"/>
  <c r="N896" i="14"/>
  <c r="N897" i="14"/>
  <c r="N893" i="18" s="1"/>
  <c r="N898" i="14"/>
  <c r="N899" i="14"/>
  <c r="N895" i="18" s="1"/>
  <c r="N900" i="14"/>
  <c r="AP900" i="14" s="1"/>
  <c r="N901" i="14"/>
  <c r="N897" i="18" s="1"/>
  <c r="N902" i="14"/>
  <c r="N903" i="14"/>
  <c r="N899" i="18" s="1"/>
  <c r="N904" i="14"/>
  <c r="AP904" i="14" s="1"/>
  <c r="N905" i="14"/>
  <c r="N901" i="18" s="1"/>
  <c r="N906" i="14"/>
  <c r="N902" i="18" s="1"/>
  <c r="N907" i="14"/>
  <c r="N903" i="18" s="1"/>
  <c r="N908" i="14"/>
  <c r="N904" i="18" s="1"/>
  <c r="N909" i="14"/>
  <c r="N905" i="18" s="1"/>
  <c r="N910" i="14"/>
  <c r="N911" i="14"/>
  <c r="N907" i="18" s="1"/>
  <c r="N912" i="14"/>
  <c r="N908" i="18" s="1"/>
  <c r="N913" i="14"/>
  <c r="N909" i="18" s="1"/>
  <c r="N914" i="14"/>
  <c r="N915" i="14"/>
  <c r="N911" i="18" s="1"/>
  <c r="N916" i="14"/>
  <c r="N912" i="18" s="1"/>
  <c r="N917" i="14"/>
  <c r="N913" i="18" s="1"/>
  <c r="N918" i="14"/>
  <c r="N919" i="14"/>
  <c r="N915" i="18" s="1"/>
  <c r="N920" i="14"/>
  <c r="N916" i="18" s="1"/>
  <c r="N921" i="14"/>
  <c r="N917" i="18" s="1"/>
  <c r="N922" i="14"/>
  <c r="N923" i="14"/>
  <c r="N919" i="18" s="1"/>
  <c r="N924" i="14"/>
  <c r="N920" i="18" s="1"/>
  <c r="N925" i="14"/>
  <c r="N921" i="18" s="1"/>
  <c r="N926" i="14"/>
  <c r="N927" i="14"/>
  <c r="N923" i="18" s="1"/>
  <c r="N928" i="14"/>
  <c r="AP928" i="14" s="1"/>
  <c r="N929" i="14"/>
  <c r="N925" i="18" s="1"/>
  <c r="N930" i="14"/>
  <c r="N931" i="14"/>
  <c r="N927" i="18" s="1"/>
  <c r="N932" i="14"/>
  <c r="N928" i="18" s="1"/>
  <c r="N933" i="14"/>
  <c r="N929" i="18" s="1"/>
  <c r="N934" i="14"/>
  <c r="N935" i="14"/>
  <c r="N931" i="18" s="1"/>
  <c r="N936" i="14"/>
  <c r="N932" i="18" s="1"/>
  <c r="N937" i="14"/>
  <c r="N933" i="18" s="1"/>
  <c r="N938" i="14"/>
  <c r="N934" i="18" s="1"/>
  <c r="N939" i="14"/>
  <c r="N935" i="18" s="1"/>
  <c r="N940" i="14"/>
  <c r="N941" i="14"/>
  <c r="N937" i="18" s="1"/>
  <c r="N942" i="14"/>
  <c r="N943" i="14"/>
  <c r="N939" i="18" s="1"/>
  <c r="N944" i="14"/>
  <c r="N940" i="18" s="1"/>
  <c r="N945" i="14"/>
  <c r="N941" i="18" s="1"/>
  <c r="N946" i="14"/>
  <c r="N947" i="14"/>
  <c r="N943" i="18" s="1"/>
  <c r="N948" i="14"/>
  <c r="N944" i="18" s="1"/>
  <c r="N949" i="14"/>
  <c r="N945" i="18" s="1"/>
  <c r="N950" i="14"/>
  <c r="N951" i="14"/>
  <c r="N947" i="18" s="1"/>
  <c r="N952" i="14"/>
  <c r="N948" i="18" s="1"/>
  <c r="N953" i="14"/>
  <c r="N949" i="18" s="1"/>
  <c r="N954" i="14"/>
  <c r="N955" i="14"/>
  <c r="N951" i="18" s="1"/>
  <c r="N956" i="14"/>
  <c r="N957" i="14"/>
  <c r="N953" i="18" s="1"/>
  <c r="N958" i="14"/>
  <c r="N959" i="14"/>
  <c r="N955" i="18" s="1"/>
  <c r="N960" i="14"/>
  <c r="N956" i="18" s="1"/>
  <c r="N961" i="14"/>
  <c r="N957" i="18" s="1"/>
  <c r="N962" i="14"/>
  <c r="N963" i="14"/>
  <c r="N959" i="18" s="1"/>
  <c r="N964" i="14"/>
  <c r="N960" i="18" s="1"/>
  <c r="N965" i="14"/>
  <c r="N961" i="18" s="1"/>
  <c r="N966" i="14"/>
  <c r="N967" i="14"/>
  <c r="N963" i="18" s="1"/>
  <c r="N968" i="14"/>
  <c r="N964" i="18" s="1"/>
  <c r="N969" i="14"/>
  <c r="N965" i="18" s="1"/>
  <c r="N970" i="14"/>
  <c r="N971" i="14"/>
  <c r="N967" i="18" s="1"/>
  <c r="N972" i="14"/>
  <c r="N968" i="18" s="1"/>
  <c r="N973" i="14"/>
  <c r="N969" i="18" s="1"/>
  <c r="N974" i="14"/>
  <c r="N970" i="18" s="1"/>
  <c r="N975" i="14"/>
  <c r="N971" i="18" s="1"/>
  <c r="N976" i="14"/>
  <c r="N972" i="18" s="1"/>
  <c r="N977" i="14"/>
  <c r="N973" i="18" s="1"/>
  <c r="N978" i="14"/>
  <c r="N979" i="14"/>
  <c r="N975" i="18" s="1"/>
  <c r="N980" i="14"/>
  <c r="G980" i="14" s="1"/>
  <c r="G976" i="18" s="1"/>
  <c r="N981" i="14"/>
  <c r="N977" i="18" s="1"/>
  <c r="N982" i="14"/>
  <c r="N983" i="14"/>
  <c r="N979" i="18" s="1"/>
  <c r="N984" i="14"/>
  <c r="N980" i="18" s="1"/>
  <c r="N985" i="14"/>
  <c r="N981" i="18" s="1"/>
  <c r="N986" i="14"/>
  <c r="N987" i="14"/>
  <c r="N983" i="18" s="1"/>
  <c r="N988" i="14"/>
  <c r="N984" i="18" s="1"/>
  <c r="N989" i="14"/>
  <c r="N985" i="18" s="1"/>
  <c r="N990" i="14"/>
  <c r="N991" i="14"/>
  <c r="N987" i="18" s="1"/>
  <c r="N992" i="14"/>
  <c r="N988" i="18" s="1"/>
  <c r="N993" i="14"/>
  <c r="N989" i="18" s="1"/>
  <c r="N994" i="14"/>
  <c r="N990" i="18" s="1"/>
  <c r="N995" i="14"/>
  <c r="N991" i="18" s="1"/>
  <c r="N996" i="14"/>
  <c r="N992" i="18" s="1"/>
  <c r="N997" i="14"/>
  <c r="N993" i="18" s="1"/>
  <c r="N998" i="14"/>
  <c r="N999" i="14"/>
  <c r="N995" i="18" s="1"/>
  <c r="N1000" i="14"/>
  <c r="N1001" i="14"/>
  <c r="N997" i="18" s="1"/>
  <c r="N1002" i="14"/>
  <c r="N1003" i="14"/>
  <c r="N999" i="18" s="1"/>
  <c r="N1004" i="14"/>
  <c r="N1000" i="18" s="1"/>
  <c r="N1005" i="14"/>
  <c r="N1001" i="18" s="1"/>
  <c r="N1006" i="14"/>
  <c r="N1007" i="14"/>
  <c r="N1003" i="18" s="1"/>
  <c r="N1008" i="14"/>
  <c r="N1004" i="18" s="1"/>
  <c r="N1009" i="14"/>
  <c r="N1005" i="18" s="1"/>
  <c r="N1010" i="14"/>
  <c r="N1011" i="14"/>
  <c r="N1007" i="18" s="1"/>
  <c r="N1012" i="14"/>
  <c r="N1008" i="18" s="1"/>
  <c r="N1013" i="14"/>
  <c r="N1009" i="18" s="1"/>
  <c r="N1014" i="14"/>
  <c r="N1015" i="14"/>
  <c r="N1011" i="18" s="1"/>
  <c r="N1016" i="14"/>
  <c r="N1012" i="18" s="1"/>
  <c r="N1017" i="14"/>
  <c r="N1013" i="18" s="1"/>
  <c r="N1018" i="14"/>
  <c r="N1014" i="18" s="1"/>
  <c r="N1019" i="14"/>
  <c r="N1015" i="18" s="1"/>
  <c r="N1020" i="14"/>
  <c r="N1016" i="18" s="1"/>
  <c r="N1021" i="14"/>
  <c r="N1017" i="18" s="1"/>
  <c r="N1022" i="14"/>
  <c r="N1023" i="14"/>
  <c r="N1019" i="18" s="1"/>
  <c r="N1024" i="14"/>
  <c r="N1020" i="18" s="1"/>
  <c r="N1025" i="14"/>
  <c r="N1021" i="18" s="1"/>
  <c r="N1026" i="14"/>
  <c r="N1022" i="18" s="1"/>
  <c r="N1027" i="14"/>
  <c r="N1023" i="18" s="1"/>
  <c r="N1028" i="14"/>
  <c r="N1024" i="18" s="1"/>
  <c r="N1029" i="14"/>
  <c r="N1025" i="18" s="1"/>
  <c r="N1030" i="14"/>
  <c r="N1026" i="18" s="1"/>
  <c r="N1031" i="14"/>
  <c r="N1027" i="18" s="1"/>
  <c r="N1032" i="14"/>
  <c r="N1028" i="18" s="1"/>
  <c r="N1033" i="14"/>
  <c r="N1029" i="18" s="1"/>
  <c r="N1034" i="14"/>
  <c r="N1035" i="14"/>
  <c r="N1031" i="18" s="1"/>
  <c r="N1036" i="14"/>
  <c r="N1032" i="18" s="1"/>
  <c r="N1037" i="14"/>
  <c r="N1033" i="18" s="1"/>
  <c r="N1038" i="14"/>
  <c r="N1039" i="14"/>
  <c r="N1035" i="18" s="1"/>
  <c r="N1040" i="14"/>
  <c r="N1041" i="14"/>
  <c r="N1037" i="18" s="1"/>
  <c r="N1042" i="14"/>
  <c r="N1038" i="18" s="1"/>
  <c r="N1043" i="14"/>
  <c r="N1039" i="18" s="1"/>
  <c r="N1044" i="14"/>
  <c r="N1040" i="18" s="1"/>
  <c r="N1045" i="14"/>
  <c r="N1041" i="18" s="1"/>
  <c r="N1046" i="14"/>
  <c r="N1047" i="14"/>
  <c r="N1043" i="18" s="1"/>
  <c r="N1048" i="14"/>
  <c r="N1044" i="18" s="1"/>
  <c r="N1049" i="14"/>
  <c r="N1045" i="18" s="1"/>
  <c r="N1050" i="14"/>
  <c r="N1051" i="14"/>
  <c r="N1047" i="18" s="1"/>
  <c r="N1052" i="14"/>
  <c r="N1053" i="14"/>
  <c r="N1049" i="18" s="1"/>
  <c r="N1054" i="14"/>
  <c r="N1050" i="18" s="1"/>
  <c r="N1055" i="14"/>
  <c r="N1051" i="18" s="1"/>
  <c r="N1056" i="14"/>
  <c r="G1056" i="14" s="1"/>
  <c r="G1052" i="18" s="1"/>
  <c r="N1057" i="14"/>
  <c r="N1053" i="18" s="1"/>
  <c r="N1058" i="14"/>
  <c r="N1059" i="14"/>
  <c r="N1055" i="18" s="1"/>
  <c r="N1060" i="14"/>
  <c r="N1056" i="18" s="1"/>
  <c r="N1061" i="14"/>
  <c r="N1057" i="18" s="1"/>
  <c r="N1062" i="14"/>
  <c r="N1063" i="14"/>
  <c r="N1059" i="18" s="1"/>
  <c r="N1064" i="14"/>
  <c r="N1060" i="18" s="1"/>
  <c r="N1065" i="14"/>
  <c r="N1061" i="18" s="1"/>
  <c r="N1066" i="14"/>
  <c r="N1067" i="14"/>
  <c r="N1063" i="18" s="1"/>
  <c r="N1068" i="14"/>
  <c r="N1069" i="14"/>
  <c r="N1065" i="18" s="1"/>
  <c r="N1070" i="14"/>
  <c r="N1071" i="14"/>
  <c r="N1067" i="18" s="1"/>
  <c r="N1072" i="14"/>
  <c r="AP1072" i="14" s="1"/>
  <c r="N1073" i="14"/>
  <c r="N1069" i="18" s="1"/>
  <c r="N1074" i="14"/>
  <c r="N1075" i="14"/>
  <c r="N1071" i="18" s="1"/>
  <c r="N1076" i="14"/>
  <c r="N1072" i="18" s="1"/>
  <c r="N1077" i="14"/>
  <c r="N1073" i="18" s="1"/>
  <c r="N1078" i="14"/>
  <c r="N1079" i="14"/>
  <c r="N1075" i="18" s="1"/>
  <c r="N1080" i="14"/>
  <c r="N1081" i="14"/>
  <c r="N1077" i="18" s="1"/>
  <c r="N1082" i="14"/>
  <c r="N1083" i="14"/>
  <c r="N1079" i="18" s="1"/>
  <c r="N1084" i="14"/>
  <c r="N1080" i="18" s="1"/>
  <c r="N1085" i="14"/>
  <c r="N1081" i="18" s="1"/>
  <c r="N1086" i="14"/>
  <c r="N1087" i="14"/>
  <c r="N1083" i="18" s="1"/>
  <c r="N1088" i="14"/>
  <c r="N1089" i="14"/>
  <c r="N1085" i="18" s="1"/>
  <c r="N1090" i="14"/>
  <c r="N1091" i="14"/>
  <c r="N1087" i="18" s="1"/>
  <c r="N1092" i="14"/>
  <c r="N1088" i="18" s="1"/>
  <c r="N1093" i="14"/>
  <c r="N1089" i="18" s="1"/>
  <c r="N1094" i="14"/>
  <c r="N1095" i="14"/>
  <c r="N1091" i="18" s="1"/>
  <c r="N1096" i="14"/>
  <c r="N1097" i="14"/>
  <c r="N1093" i="18" s="1"/>
  <c r="N1098" i="14"/>
  <c r="N1094" i="18" s="1"/>
  <c r="N1099" i="14"/>
  <c r="N1095" i="18" s="1"/>
  <c r="N1100" i="14"/>
  <c r="N1096" i="18" s="1"/>
  <c r="N1101" i="14"/>
  <c r="N1097" i="18" s="1"/>
  <c r="N1102" i="14"/>
  <c r="N1098" i="18" s="1"/>
  <c r="N1103" i="14"/>
  <c r="N1099" i="18" s="1"/>
  <c r="N1104" i="14"/>
  <c r="G1104" i="14" s="1"/>
  <c r="G1100" i="18" s="1"/>
  <c r="N1105" i="14"/>
  <c r="N1101" i="18" s="1"/>
  <c r="N1106" i="14"/>
  <c r="N1107" i="14"/>
  <c r="N1103" i="18" s="1"/>
  <c r="N1108" i="14"/>
  <c r="G1108" i="14" s="1"/>
  <c r="G1104" i="18" s="1"/>
  <c r="N1109" i="14"/>
  <c r="N1105" i="18" s="1"/>
  <c r="N1110" i="14"/>
  <c r="N1106" i="18" s="1"/>
  <c r="N1111" i="14"/>
  <c r="N1107" i="18" s="1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6" i="14"/>
  <c r="AS3" i="14"/>
  <c r="AT3" i="14"/>
  <c r="AU3" i="14"/>
  <c r="AV3" i="14"/>
  <c r="AW3" i="14"/>
  <c r="AX3" i="14"/>
  <c r="AY3" i="14"/>
  <c r="AZ3" i="14"/>
  <c r="AS5" i="14"/>
  <c r="AT5" i="14"/>
  <c r="AU5" i="14"/>
  <c r="AV5" i="14"/>
  <c r="AW5" i="14"/>
  <c r="AX5" i="14"/>
  <c r="AY5" i="14"/>
  <c r="AZ5" i="14"/>
  <c r="T3" i="14"/>
  <c r="U3" i="14"/>
  <c r="V3" i="14"/>
  <c r="W3" i="14"/>
  <c r="X3" i="14"/>
  <c r="Y3" i="14"/>
  <c r="Z3" i="14"/>
  <c r="AA3" i="14"/>
  <c r="AQ95" i="14"/>
  <c r="AQ96" i="14"/>
  <c r="AQ97" i="14"/>
  <c r="AQ98" i="14"/>
  <c r="AQ99" i="14"/>
  <c r="AQ100" i="14"/>
  <c r="AQ101" i="14"/>
  <c r="AQ102" i="14"/>
  <c r="AQ103" i="14"/>
  <c r="AQ104" i="14"/>
  <c r="AQ105" i="14"/>
  <c r="AQ106" i="14"/>
  <c r="AQ107" i="14"/>
  <c r="AQ108" i="14"/>
  <c r="AQ109" i="14"/>
  <c r="AQ110" i="14"/>
  <c r="AQ111" i="14"/>
  <c r="AQ112" i="14"/>
  <c r="AQ113" i="14"/>
  <c r="AQ114" i="14"/>
  <c r="AQ115" i="14"/>
  <c r="AQ116" i="14"/>
  <c r="AQ117" i="14"/>
  <c r="AQ118" i="14"/>
  <c r="AQ119" i="14"/>
  <c r="AQ120" i="14"/>
  <c r="AQ121" i="14"/>
  <c r="AQ122" i="14"/>
  <c r="AQ123" i="14"/>
  <c r="AQ124" i="14"/>
  <c r="AQ125" i="14"/>
  <c r="AQ126" i="14"/>
  <c r="AQ127" i="14"/>
  <c r="AQ128" i="14"/>
  <c r="AQ129" i="14"/>
  <c r="AQ130" i="14"/>
  <c r="AQ131" i="14"/>
  <c r="AQ132" i="14"/>
  <c r="AQ133" i="14"/>
  <c r="AQ134" i="14"/>
  <c r="AQ135" i="14"/>
  <c r="AQ136" i="14"/>
  <c r="AQ137" i="14"/>
  <c r="AQ138" i="14"/>
  <c r="AQ139" i="14"/>
  <c r="AQ140" i="14"/>
  <c r="AQ141" i="14"/>
  <c r="AQ142" i="14"/>
  <c r="AQ143" i="14"/>
  <c r="AQ144" i="14"/>
  <c r="AQ145" i="14"/>
  <c r="AQ146" i="14"/>
  <c r="AQ147" i="14"/>
  <c r="AQ148" i="14"/>
  <c r="AQ149" i="14"/>
  <c r="AQ150" i="14"/>
  <c r="AQ151" i="14"/>
  <c r="AQ152" i="14"/>
  <c r="AQ153" i="14"/>
  <c r="AQ154" i="14"/>
  <c r="AQ155" i="14"/>
  <c r="AQ156" i="14"/>
  <c r="AQ157" i="14"/>
  <c r="AQ158" i="14"/>
  <c r="AQ159" i="14"/>
  <c r="AQ160" i="14"/>
  <c r="AQ161" i="14"/>
  <c r="AQ162" i="14"/>
  <c r="AQ163" i="14"/>
  <c r="AQ164" i="14"/>
  <c r="AQ165" i="14"/>
  <c r="AQ166" i="14"/>
  <c r="AQ167" i="14"/>
  <c r="AQ168" i="14"/>
  <c r="AQ169" i="14"/>
  <c r="AQ170" i="14"/>
  <c r="AQ171" i="14"/>
  <c r="AQ172" i="14"/>
  <c r="AQ173" i="14"/>
  <c r="AQ174" i="14"/>
  <c r="AQ175" i="14"/>
  <c r="AQ176" i="14"/>
  <c r="AQ177" i="14"/>
  <c r="AQ178" i="14"/>
  <c r="AQ179" i="14"/>
  <c r="AQ180" i="14"/>
  <c r="AQ181" i="14"/>
  <c r="AQ182" i="14"/>
  <c r="AQ183" i="14"/>
  <c r="AQ184" i="14"/>
  <c r="AQ185" i="14"/>
  <c r="AQ186" i="14"/>
  <c r="AQ187" i="14"/>
  <c r="AQ188" i="14"/>
  <c r="AQ189" i="14"/>
  <c r="AQ190" i="14"/>
  <c r="AQ191" i="14"/>
  <c r="AQ192" i="14"/>
  <c r="AQ193" i="14"/>
  <c r="AQ194" i="14"/>
  <c r="AQ195" i="14"/>
  <c r="AQ196" i="14"/>
  <c r="AQ197" i="14"/>
  <c r="AQ198" i="14"/>
  <c r="AQ199" i="14"/>
  <c r="AQ200" i="14"/>
  <c r="AQ201" i="14"/>
  <c r="AQ202" i="14"/>
  <c r="AQ203" i="14"/>
  <c r="AQ204" i="14"/>
  <c r="AQ205" i="14"/>
  <c r="AQ206" i="14"/>
  <c r="AQ207" i="14"/>
  <c r="AQ208" i="14"/>
  <c r="AQ209" i="14"/>
  <c r="AQ210" i="14"/>
  <c r="AQ211" i="14"/>
  <c r="AQ212" i="14"/>
  <c r="AQ213" i="14"/>
  <c r="AQ214" i="14"/>
  <c r="AQ215" i="14"/>
  <c r="AQ216" i="14"/>
  <c r="AQ217" i="14"/>
  <c r="AQ218" i="14"/>
  <c r="AQ219" i="14"/>
  <c r="AQ220" i="14"/>
  <c r="AQ221" i="14"/>
  <c r="AQ222" i="14"/>
  <c r="AQ223" i="14"/>
  <c r="AQ224" i="14"/>
  <c r="AQ225" i="14"/>
  <c r="AQ226" i="14"/>
  <c r="AQ227" i="14"/>
  <c r="AQ228" i="14"/>
  <c r="AQ229" i="14"/>
  <c r="AQ230" i="14"/>
  <c r="AQ231" i="14"/>
  <c r="AQ232" i="14"/>
  <c r="AQ233" i="14"/>
  <c r="AQ234" i="14"/>
  <c r="AQ235" i="14"/>
  <c r="AQ236" i="14"/>
  <c r="AQ237" i="14"/>
  <c r="AQ238" i="14"/>
  <c r="AQ239" i="14"/>
  <c r="AQ240" i="14"/>
  <c r="AQ241" i="14"/>
  <c r="AQ242" i="14"/>
  <c r="AQ243" i="14"/>
  <c r="AQ244" i="14"/>
  <c r="AQ245" i="14"/>
  <c r="AQ246" i="14"/>
  <c r="AQ247" i="14"/>
  <c r="AQ248" i="14"/>
  <c r="AQ249" i="14"/>
  <c r="AQ250" i="14"/>
  <c r="AQ251" i="14"/>
  <c r="AQ252" i="14"/>
  <c r="AQ253" i="14"/>
  <c r="AQ254" i="14"/>
  <c r="AQ255" i="14"/>
  <c r="AQ256" i="14"/>
  <c r="AQ257" i="14"/>
  <c r="AQ258" i="14"/>
  <c r="AQ259" i="14"/>
  <c r="AQ260" i="14"/>
  <c r="AQ261" i="14"/>
  <c r="AQ262" i="14"/>
  <c r="AQ263" i="14"/>
  <c r="AQ264" i="14"/>
  <c r="AQ265" i="14"/>
  <c r="AQ266" i="14"/>
  <c r="AQ267" i="14"/>
  <c r="AQ268" i="14"/>
  <c r="AQ269" i="14"/>
  <c r="AQ270" i="14"/>
  <c r="AQ271" i="14"/>
  <c r="AQ272" i="14"/>
  <c r="AQ273" i="14"/>
  <c r="AQ274" i="14"/>
  <c r="AQ275" i="14"/>
  <c r="AQ276" i="14"/>
  <c r="AQ277" i="14"/>
  <c r="AQ278" i="14"/>
  <c r="AQ279" i="14"/>
  <c r="AQ280" i="14"/>
  <c r="AQ281" i="14"/>
  <c r="AQ282" i="14"/>
  <c r="AQ283" i="14"/>
  <c r="AQ284" i="14"/>
  <c r="AQ285" i="14"/>
  <c r="AQ286" i="14"/>
  <c r="AQ287" i="14"/>
  <c r="AQ288" i="14"/>
  <c r="AQ289" i="14"/>
  <c r="AQ290" i="14"/>
  <c r="AQ291" i="14"/>
  <c r="AQ292" i="14"/>
  <c r="AQ293" i="14"/>
  <c r="AQ294" i="14"/>
  <c r="AQ295" i="14"/>
  <c r="AQ296" i="14"/>
  <c r="AQ297" i="14"/>
  <c r="AQ298" i="14"/>
  <c r="AQ299" i="14"/>
  <c r="AQ300" i="14"/>
  <c r="AQ301" i="14"/>
  <c r="AQ302" i="14"/>
  <c r="AQ303" i="14"/>
  <c r="AQ304" i="14"/>
  <c r="AQ305" i="14"/>
  <c r="AQ306" i="14"/>
  <c r="AQ307" i="14"/>
  <c r="AQ308" i="14"/>
  <c r="AQ309" i="14"/>
  <c r="AQ310" i="14"/>
  <c r="AQ311" i="14"/>
  <c r="AQ312" i="14"/>
  <c r="AQ313" i="14"/>
  <c r="AQ314" i="14"/>
  <c r="AQ315" i="14"/>
  <c r="AQ316" i="14"/>
  <c r="AQ317" i="14"/>
  <c r="AQ318" i="14"/>
  <c r="AQ319" i="14"/>
  <c r="AQ320" i="14"/>
  <c r="AQ321" i="14"/>
  <c r="AQ322" i="14"/>
  <c r="AQ323" i="14"/>
  <c r="AQ324" i="14"/>
  <c r="AQ325" i="14"/>
  <c r="AQ326" i="14"/>
  <c r="AQ327" i="14"/>
  <c r="AQ328" i="14"/>
  <c r="AQ329" i="14"/>
  <c r="AQ330" i="14"/>
  <c r="AQ331" i="14"/>
  <c r="AQ332" i="14"/>
  <c r="AQ333" i="14"/>
  <c r="AQ334" i="14"/>
  <c r="AQ335" i="14"/>
  <c r="AQ336" i="14"/>
  <c r="AQ337" i="14"/>
  <c r="AQ338" i="14"/>
  <c r="AQ339" i="14"/>
  <c r="AQ340" i="14"/>
  <c r="AQ341" i="14"/>
  <c r="AQ342" i="14"/>
  <c r="AQ343" i="14"/>
  <c r="AQ344" i="14"/>
  <c r="AQ345" i="14"/>
  <c r="AQ346" i="14"/>
  <c r="AQ347" i="14"/>
  <c r="AQ348" i="14"/>
  <c r="AQ349" i="14"/>
  <c r="AQ350" i="14"/>
  <c r="AQ351" i="14"/>
  <c r="AQ352" i="14"/>
  <c r="AQ353" i="14"/>
  <c r="AQ354" i="14"/>
  <c r="AQ355" i="14"/>
  <c r="AQ356" i="14"/>
  <c r="AQ357" i="14"/>
  <c r="AQ358" i="14"/>
  <c r="AQ359" i="14"/>
  <c r="AQ360" i="14"/>
  <c r="AQ361" i="14"/>
  <c r="AQ362" i="14"/>
  <c r="AQ363" i="14"/>
  <c r="AQ364" i="14"/>
  <c r="AQ365" i="14"/>
  <c r="AQ366" i="14"/>
  <c r="AQ367" i="14"/>
  <c r="AQ368" i="14"/>
  <c r="AQ369" i="14"/>
  <c r="AQ370" i="14"/>
  <c r="AQ371" i="14"/>
  <c r="AQ372" i="14"/>
  <c r="AQ373" i="14"/>
  <c r="AQ374" i="14"/>
  <c r="AQ375" i="14"/>
  <c r="AQ376" i="14"/>
  <c r="AQ377" i="14"/>
  <c r="AQ378" i="14"/>
  <c r="AQ379" i="14"/>
  <c r="AQ380" i="14"/>
  <c r="AQ381" i="14"/>
  <c r="AQ382" i="14"/>
  <c r="AQ383" i="14"/>
  <c r="AQ384" i="14"/>
  <c r="AQ385" i="14"/>
  <c r="AQ386" i="14"/>
  <c r="AQ387" i="14"/>
  <c r="AQ388" i="14"/>
  <c r="AQ389" i="14"/>
  <c r="AQ390" i="14"/>
  <c r="AQ391" i="14"/>
  <c r="AQ392" i="14"/>
  <c r="AQ393" i="14"/>
  <c r="AQ394" i="14"/>
  <c r="AQ395" i="14"/>
  <c r="AQ396" i="14"/>
  <c r="AQ397" i="14"/>
  <c r="AQ398" i="14"/>
  <c r="AQ399" i="14"/>
  <c r="AQ400" i="14"/>
  <c r="AQ401" i="14"/>
  <c r="AQ402" i="14"/>
  <c r="AQ403" i="14"/>
  <c r="AQ404" i="14"/>
  <c r="AQ405" i="14"/>
  <c r="AQ406" i="14"/>
  <c r="AQ407" i="14"/>
  <c r="AQ408" i="14"/>
  <c r="AQ409" i="14"/>
  <c r="AQ410" i="14"/>
  <c r="AQ411" i="14"/>
  <c r="AQ412" i="14"/>
  <c r="AQ413" i="14"/>
  <c r="AQ414" i="14"/>
  <c r="AQ415" i="14"/>
  <c r="AQ416" i="14"/>
  <c r="AQ417" i="14"/>
  <c r="AQ418" i="14"/>
  <c r="AQ419" i="14"/>
  <c r="AQ420" i="14"/>
  <c r="AQ421" i="14"/>
  <c r="AQ422" i="14"/>
  <c r="AQ423" i="14"/>
  <c r="AQ424" i="14"/>
  <c r="AQ425" i="14"/>
  <c r="AQ426" i="14"/>
  <c r="AQ427" i="14"/>
  <c r="AQ428" i="14"/>
  <c r="AQ429" i="14"/>
  <c r="AQ430" i="14"/>
  <c r="AQ431" i="14"/>
  <c r="AQ432" i="14"/>
  <c r="AQ433" i="14"/>
  <c r="AQ434" i="14"/>
  <c r="AQ435" i="14"/>
  <c r="AQ436" i="14"/>
  <c r="AQ437" i="14"/>
  <c r="AQ438" i="14"/>
  <c r="AQ439" i="14"/>
  <c r="AQ440" i="14"/>
  <c r="AQ441" i="14"/>
  <c r="AQ442" i="14"/>
  <c r="AQ443" i="14"/>
  <c r="AQ444" i="14"/>
  <c r="AQ445" i="14"/>
  <c r="AQ446" i="14"/>
  <c r="AQ447" i="14"/>
  <c r="AQ448" i="14"/>
  <c r="AQ449" i="14"/>
  <c r="AQ450" i="14"/>
  <c r="AQ451" i="14"/>
  <c r="AQ452" i="14"/>
  <c r="AQ453" i="14"/>
  <c r="AQ454" i="14"/>
  <c r="AQ455" i="14"/>
  <c r="AQ456" i="14"/>
  <c r="AQ457" i="14"/>
  <c r="AQ458" i="14"/>
  <c r="AQ459" i="14"/>
  <c r="AQ460" i="14"/>
  <c r="AQ461" i="14"/>
  <c r="AQ462" i="14"/>
  <c r="AQ463" i="14"/>
  <c r="AQ464" i="14"/>
  <c r="AQ465" i="14"/>
  <c r="AQ466" i="14"/>
  <c r="AQ467" i="14"/>
  <c r="AQ468" i="14"/>
  <c r="AQ469" i="14"/>
  <c r="AQ470" i="14"/>
  <c r="AQ471" i="14"/>
  <c r="AQ472" i="14"/>
  <c r="AQ473" i="14"/>
  <c r="AQ474" i="14"/>
  <c r="AQ475" i="14"/>
  <c r="AQ476" i="14"/>
  <c r="AQ477" i="14"/>
  <c r="AQ478" i="14"/>
  <c r="AQ479" i="14"/>
  <c r="AQ480" i="14"/>
  <c r="AQ481" i="14"/>
  <c r="AQ482" i="14"/>
  <c r="AQ483" i="14"/>
  <c r="AQ484" i="14"/>
  <c r="AQ485" i="14"/>
  <c r="AQ486" i="14"/>
  <c r="AQ487" i="14"/>
  <c r="AQ488" i="14"/>
  <c r="AQ489" i="14"/>
  <c r="AQ490" i="14"/>
  <c r="AQ491" i="14"/>
  <c r="AQ492" i="14"/>
  <c r="AQ493" i="14"/>
  <c r="AQ494" i="14"/>
  <c r="AQ495" i="14"/>
  <c r="AQ496" i="14"/>
  <c r="AQ497" i="14"/>
  <c r="AQ498" i="14"/>
  <c r="AQ499" i="14"/>
  <c r="AQ500" i="14"/>
  <c r="AQ501" i="14"/>
  <c r="AQ502" i="14"/>
  <c r="AQ503" i="14"/>
  <c r="AQ504" i="14"/>
  <c r="AQ505" i="14"/>
  <c r="AQ506" i="14"/>
  <c r="AQ507" i="14"/>
  <c r="AQ508" i="14"/>
  <c r="AQ509" i="14"/>
  <c r="AQ510" i="14"/>
  <c r="AQ511" i="14"/>
  <c r="AQ512" i="14"/>
  <c r="AQ513" i="14"/>
  <c r="AQ514" i="14"/>
  <c r="AQ515" i="14"/>
  <c r="AQ516" i="14"/>
  <c r="AQ517" i="14"/>
  <c r="AQ518" i="14"/>
  <c r="AQ519" i="14"/>
  <c r="AQ520" i="14"/>
  <c r="AQ521" i="14"/>
  <c r="AQ522" i="14"/>
  <c r="AQ523" i="14"/>
  <c r="AQ524" i="14"/>
  <c r="AQ525" i="14"/>
  <c r="AQ526" i="14"/>
  <c r="AQ527" i="14"/>
  <c r="AQ528" i="14"/>
  <c r="AQ529" i="14"/>
  <c r="AQ530" i="14"/>
  <c r="AQ531" i="14"/>
  <c r="AQ532" i="14"/>
  <c r="AQ533" i="14"/>
  <c r="AQ534" i="14"/>
  <c r="AQ535" i="14"/>
  <c r="AQ536" i="14"/>
  <c r="AQ537" i="14"/>
  <c r="AQ538" i="14"/>
  <c r="AQ539" i="14"/>
  <c r="AQ540" i="14"/>
  <c r="AQ541" i="14"/>
  <c r="AQ542" i="14"/>
  <c r="AQ543" i="14"/>
  <c r="AQ544" i="14"/>
  <c r="AQ545" i="14"/>
  <c r="AQ546" i="14"/>
  <c r="AQ547" i="14"/>
  <c r="AQ548" i="14"/>
  <c r="AQ549" i="14"/>
  <c r="AQ550" i="14"/>
  <c r="AQ551" i="14"/>
  <c r="AQ552" i="14"/>
  <c r="AQ553" i="14"/>
  <c r="AQ554" i="14"/>
  <c r="AQ555" i="14"/>
  <c r="AQ556" i="14"/>
  <c r="AQ557" i="14"/>
  <c r="AQ558" i="14"/>
  <c r="AQ559" i="14"/>
  <c r="AQ560" i="14"/>
  <c r="AQ561" i="14"/>
  <c r="AQ562" i="14"/>
  <c r="AQ563" i="14"/>
  <c r="AQ564" i="14"/>
  <c r="AQ565" i="14"/>
  <c r="AQ566" i="14"/>
  <c r="AQ567" i="14"/>
  <c r="AQ568" i="14"/>
  <c r="AQ569" i="14"/>
  <c r="AQ570" i="14"/>
  <c r="AQ571" i="14"/>
  <c r="AQ572" i="14"/>
  <c r="AQ573" i="14"/>
  <c r="AQ574" i="14"/>
  <c r="AQ575" i="14"/>
  <c r="AQ576" i="14"/>
  <c r="AQ577" i="14"/>
  <c r="AQ578" i="14"/>
  <c r="AQ579" i="14"/>
  <c r="AQ580" i="14"/>
  <c r="AQ581" i="14"/>
  <c r="AQ582" i="14"/>
  <c r="AQ583" i="14"/>
  <c r="AQ584" i="14"/>
  <c r="AQ585" i="14"/>
  <c r="AQ586" i="14"/>
  <c r="AQ587" i="14"/>
  <c r="AQ588" i="14"/>
  <c r="AQ589" i="14"/>
  <c r="AQ590" i="14"/>
  <c r="AQ591" i="14"/>
  <c r="AQ592" i="14"/>
  <c r="AQ593" i="14"/>
  <c r="AQ594" i="14"/>
  <c r="AQ595" i="14"/>
  <c r="AQ596" i="14"/>
  <c r="AQ597" i="14"/>
  <c r="AQ598" i="14"/>
  <c r="AQ599" i="14"/>
  <c r="AQ600" i="14"/>
  <c r="AQ601" i="14"/>
  <c r="AQ602" i="14"/>
  <c r="AQ603" i="14"/>
  <c r="AQ604" i="14"/>
  <c r="AQ605" i="14"/>
  <c r="AQ606" i="14"/>
  <c r="AQ607" i="14"/>
  <c r="AQ608" i="14"/>
  <c r="AQ609" i="14"/>
  <c r="AQ610" i="14"/>
  <c r="AQ611" i="14"/>
  <c r="AQ612" i="14"/>
  <c r="AQ613" i="14"/>
  <c r="AQ614" i="14"/>
  <c r="AQ615" i="14"/>
  <c r="AQ616" i="14"/>
  <c r="AQ617" i="14"/>
  <c r="AQ618" i="14"/>
  <c r="AQ619" i="14"/>
  <c r="AQ620" i="14"/>
  <c r="AQ621" i="14"/>
  <c r="AQ622" i="14"/>
  <c r="AQ623" i="14"/>
  <c r="AQ624" i="14"/>
  <c r="AQ625" i="14"/>
  <c r="AQ626" i="14"/>
  <c r="AQ627" i="14"/>
  <c r="AQ628" i="14"/>
  <c r="AQ629" i="14"/>
  <c r="AQ630" i="14"/>
  <c r="AQ631" i="14"/>
  <c r="AQ632" i="14"/>
  <c r="AQ633" i="14"/>
  <c r="AQ634" i="14"/>
  <c r="AQ635" i="14"/>
  <c r="AQ636" i="14"/>
  <c r="AQ637" i="14"/>
  <c r="AQ638" i="14"/>
  <c r="AQ639" i="14"/>
  <c r="AQ640" i="14"/>
  <c r="AQ641" i="14"/>
  <c r="AQ642" i="14"/>
  <c r="AQ643" i="14"/>
  <c r="AQ644" i="14"/>
  <c r="AQ645" i="14"/>
  <c r="AQ646" i="14"/>
  <c r="AQ647" i="14"/>
  <c r="AQ648" i="14"/>
  <c r="AQ649" i="14"/>
  <c r="AQ650" i="14"/>
  <c r="AQ651" i="14"/>
  <c r="AQ652" i="14"/>
  <c r="AQ653" i="14"/>
  <c r="AQ654" i="14"/>
  <c r="AQ655" i="14"/>
  <c r="AQ656" i="14"/>
  <c r="AQ657" i="14"/>
  <c r="AQ658" i="14"/>
  <c r="AQ659" i="14"/>
  <c r="AQ660" i="14"/>
  <c r="AQ661" i="14"/>
  <c r="AQ662" i="14"/>
  <c r="AQ663" i="14"/>
  <c r="AQ664" i="14"/>
  <c r="AQ665" i="14"/>
  <c r="AQ666" i="14"/>
  <c r="AQ667" i="14"/>
  <c r="AQ668" i="14"/>
  <c r="AQ669" i="14"/>
  <c r="AQ670" i="14"/>
  <c r="AQ671" i="14"/>
  <c r="AQ672" i="14"/>
  <c r="AQ673" i="14"/>
  <c r="AQ674" i="14"/>
  <c r="AQ675" i="14"/>
  <c r="AQ676" i="14"/>
  <c r="AQ677" i="14"/>
  <c r="AQ678" i="14"/>
  <c r="AQ679" i="14"/>
  <c r="AQ680" i="14"/>
  <c r="AQ681" i="14"/>
  <c r="AQ682" i="14"/>
  <c r="AQ683" i="14"/>
  <c r="AQ684" i="14"/>
  <c r="AQ685" i="14"/>
  <c r="AQ686" i="14"/>
  <c r="AQ687" i="14"/>
  <c r="AQ688" i="14"/>
  <c r="AQ689" i="14"/>
  <c r="AQ690" i="14"/>
  <c r="AQ691" i="14"/>
  <c r="AQ692" i="14"/>
  <c r="AQ693" i="14"/>
  <c r="AQ694" i="14"/>
  <c r="AQ695" i="14"/>
  <c r="AQ696" i="14"/>
  <c r="AQ697" i="14"/>
  <c r="AQ698" i="14"/>
  <c r="AQ699" i="14"/>
  <c r="AQ700" i="14"/>
  <c r="AQ701" i="14"/>
  <c r="AQ702" i="14"/>
  <c r="AQ703" i="14"/>
  <c r="AQ704" i="14"/>
  <c r="AQ705" i="14"/>
  <c r="AQ706" i="14"/>
  <c r="AQ707" i="14"/>
  <c r="AQ708" i="14"/>
  <c r="AQ709" i="14"/>
  <c r="AQ710" i="14"/>
  <c r="AQ711" i="14"/>
  <c r="AQ712" i="14"/>
  <c r="AQ713" i="14"/>
  <c r="AQ714" i="14"/>
  <c r="AQ715" i="14"/>
  <c r="AQ716" i="14"/>
  <c r="AQ717" i="14"/>
  <c r="AQ718" i="14"/>
  <c r="AQ719" i="14"/>
  <c r="AQ720" i="14"/>
  <c r="AQ721" i="14"/>
  <c r="AQ722" i="14"/>
  <c r="AQ723" i="14"/>
  <c r="AQ724" i="14"/>
  <c r="AQ725" i="14"/>
  <c r="AQ726" i="14"/>
  <c r="AQ727" i="14"/>
  <c r="AQ728" i="14"/>
  <c r="AQ729" i="14"/>
  <c r="AQ730" i="14"/>
  <c r="AQ731" i="14"/>
  <c r="AQ732" i="14"/>
  <c r="AQ733" i="14"/>
  <c r="AQ734" i="14"/>
  <c r="AQ735" i="14"/>
  <c r="AQ736" i="14"/>
  <c r="AQ737" i="14"/>
  <c r="AQ738" i="14"/>
  <c r="AQ739" i="14"/>
  <c r="AQ740" i="14"/>
  <c r="AQ741" i="14"/>
  <c r="AQ742" i="14"/>
  <c r="AQ743" i="14"/>
  <c r="AQ744" i="14"/>
  <c r="AQ745" i="14"/>
  <c r="AQ746" i="14"/>
  <c r="AQ747" i="14"/>
  <c r="AQ748" i="14"/>
  <c r="AQ749" i="14"/>
  <c r="AQ750" i="14"/>
  <c r="AQ751" i="14"/>
  <c r="AQ752" i="14"/>
  <c r="AQ753" i="14"/>
  <c r="AQ754" i="14"/>
  <c r="AQ755" i="14"/>
  <c r="AQ756" i="14"/>
  <c r="AQ757" i="14"/>
  <c r="AQ758" i="14"/>
  <c r="AQ759" i="14"/>
  <c r="AQ760" i="14"/>
  <c r="AQ761" i="14"/>
  <c r="AQ762" i="14"/>
  <c r="AQ763" i="14"/>
  <c r="AQ764" i="14"/>
  <c r="AQ765" i="14"/>
  <c r="AQ766" i="14"/>
  <c r="AQ767" i="14"/>
  <c r="AQ768" i="14"/>
  <c r="AQ769" i="14"/>
  <c r="AQ770" i="14"/>
  <c r="AQ771" i="14"/>
  <c r="AQ772" i="14"/>
  <c r="AQ773" i="14"/>
  <c r="AQ774" i="14"/>
  <c r="AQ775" i="14"/>
  <c r="AQ776" i="14"/>
  <c r="AQ777" i="14"/>
  <c r="AQ778" i="14"/>
  <c r="AQ779" i="14"/>
  <c r="AQ780" i="14"/>
  <c r="AQ781" i="14"/>
  <c r="AQ782" i="14"/>
  <c r="AQ783" i="14"/>
  <c r="AQ784" i="14"/>
  <c r="AQ785" i="14"/>
  <c r="AQ786" i="14"/>
  <c r="AQ787" i="14"/>
  <c r="AQ788" i="14"/>
  <c r="AQ789" i="14"/>
  <c r="AQ790" i="14"/>
  <c r="AQ791" i="14"/>
  <c r="AQ792" i="14"/>
  <c r="AQ793" i="14"/>
  <c r="AQ794" i="14"/>
  <c r="AQ795" i="14"/>
  <c r="AQ796" i="14"/>
  <c r="AQ797" i="14"/>
  <c r="AQ798" i="14"/>
  <c r="AQ799" i="14"/>
  <c r="AQ800" i="14"/>
  <c r="AQ801" i="14"/>
  <c r="AQ802" i="14"/>
  <c r="AQ803" i="14"/>
  <c r="AQ804" i="14"/>
  <c r="AQ805" i="14"/>
  <c r="AQ806" i="14"/>
  <c r="AQ807" i="14"/>
  <c r="AQ808" i="14"/>
  <c r="AQ809" i="14"/>
  <c r="AQ810" i="14"/>
  <c r="AQ811" i="14"/>
  <c r="AQ812" i="14"/>
  <c r="AQ813" i="14"/>
  <c r="AQ814" i="14"/>
  <c r="AQ815" i="14"/>
  <c r="AQ816" i="14"/>
  <c r="AQ817" i="14"/>
  <c r="AQ818" i="14"/>
  <c r="AQ819" i="14"/>
  <c r="AQ820" i="14"/>
  <c r="AQ821" i="14"/>
  <c r="AQ822" i="14"/>
  <c r="AQ823" i="14"/>
  <c r="AQ824" i="14"/>
  <c r="AQ825" i="14"/>
  <c r="AQ826" i="14"/>
  <c r="AQ827" i="14"/>
  <c r="AQ828" i="14"/>
  <c r="AQ829" i="14"/>
  <c r="AQ830" i="14"/>
  <c r="AQ831" i="14"/>
  <c r="AQ832" i="14"/>
  <c r="AQ833" i="14"/>
  <c r="AQ834" i="14"/>
  <c r="AQ835" i="14"/>
  <c r="AQ836" i="14"/>
  <c r="AQ837" i="14"/>
  <c r="AQ838" i="14"/>
  <c r="AQ839" i="14"/>
  <c r="AQ840" i="14"/>
  <c r="AQ841" i="14"/>
  <c r="AQ842" i="14"/>
  <c r="AQ843" i="14"/>
  <c r="AQ844" i="14"/>
  <c r="AQ845" i="14"/>
  <c r="AQ846" i="14"/>
  <c r="AQ847" i="14"/>
  <c r="AQ848" i="14"/>
  <c r="AQ849" i="14"/>
  <c r="AQ850" i="14"/>
  <c r="AQ851" i="14"/>
  <c r="AQ852" i="14"/>
  <c r="AQ853" i="14"/>
  <c r="AQ854" i="14"/>
  <c r="AQ855" i="14"/>
  <c r="AQ856" i="14"/>
  <c r="AQ857" i="14"/>
  <c r="AQ858" i="14"/>
  <c r="AQ859" i="14"/>
  <c r="AQ860" i="14"/>
  <c r="AQ861" i="14"/>
  <c r="AQ862" i="14"/>
  <c r="AQ863" i="14"/>
  <c r="AQ864" i="14"/>
  <c r="AQ865" i="14"/>
  <c r="AQ866" i="14"/>
  <c r="AQ867" i="14"/>
  <c r="AQ868" i="14"/>
  <c r="AQ869" i="14"/>
  <c r="AQ870" i="14"/>
  <c r="AQ871" i="14"/>
  <c r="AQ872" i="14"/>
  <c r="AQ873" i="14"/>
  <c r="AQ874" i="14"/>
  <c r="AQ875" i="14"/>
  <c r="AQ876" i="14"/>
  <c r="AQ877" i="14"/>
  <c r="AQ878" i="14"/>
  <c r="AQ879" i="14"/>
  <c r="AQ880" i="14"/>
  <c r="AQ881" i="14"/>
  <c r="AQ882" i="14"/>
  <c r="AQ883" i="14"/>
  <c r="AQ884" i="14"/>
  <c r="AQ885" i="14"/>
  <c r="AQ886" i="14"/>
  <c r="AQ887" i="14"/>
  <c r="AQ888" i="14"/>
  <c r="AQ889" i="14"/>
  <c r="AQ890" i="14"/>
  <c r="AQ891" i="14"/>
  <c r="AQ892" i="14"/>
  <c r="AQ893" i="14"/>
  <c r="AQ894" i="14"/>
  <c r="AQ895" i="14"/>
  <c r="AQ896" i="14"/>
  <c r="AQ897" i="14"/>
  <c r="AQ898" i="14"/>
  <c r="AQ899" i="14"/>
  <c r="AQ900" i="14"/>
  <c r="AQ901" i="14"/>
  <c r="AQ902" i="14"/>
  <c r="AQ903" i="14"/>
  <c r="AQ904" i="14"/>
  <c r="AQ905" i="14"/>
  <c r="AQ906" i="14"/>
  <c r="AQ907" i="14"/>
  <c r="AQ908" i="14"/>
  <c r="AQ909" i="14"/>
  <c r="AQ910" i="14"/>
  <c r="AQ911" i="14"/>
  <c r="AQ912" i="14"/>
  <c r="AQ913" i="14"/>
  <c r="AQ914" i="14"/>
  <c r="AQ915" i="14"/>
  <c r="AQ916" i="14"/>
  <c r="AQ917" i="14"/>
  <c r="AQ918" i="14"/>
  <c r="AQ919" i="14"/>
  <c r="AQ920" i="14"/>
  <c r="AQ921" i="14"/>
  <c r="AQ922" i="14"/>
  <c r="AQ923" i="14"/>
  <c r="AQ924" i="14"/>
  <c r="AQ925" i="14"/>
  <c r="AQ926" i="14"/>
  <c r="AQ927" i="14"/>
  <c r="AQ928" i="14"/>
  <c r="AQ929" i="14"/>
  <c r="AQ930" i="14"/>
  <c r="AQ931" i="14"/>
  <c r="AQ932" i="14"/>
  <c r="AQ933" i="14"/>
  <c r="AQ934" i="14"/>
  <c r="AQ935" i="14"/>
  <c r="AQ936" i="14"/>
  <c r="AQ937" i="14"/>
  <c r="AQ938" i="14"/>
  <c r="AQ939" i="14"/>
  <c r="AQ940" i="14"/>
  <c r="AQ941" i="14"/>
  <c r="AQ942" i="14"/>
  <c r="AQ943" i="14"/>
  <c r="AQ944" i="14"/>
  <c r="AQ945" i="14"/>
  <c r="AQ946" i="14"/>
  <c r="AQ947" i="14"/>
  <c r="AQ948" i="14"/>
  <c r="AQ949" i="14"/>
  <c r="AQ950" i="14"/>
  <c r="AQ951" i="14"/>
  <c r="AQ952" i="14"/>
  <c r="AQ953" i="14"/>
  <c r="AQ954" i="14"/>
  <c r="AQ955" i="14"/>
  <c r="AQ956" i="14"/>
  <c r="AQ957" i="14"/>
  <c r="AQ958" i="14"/>
  <c r="AQ959" i="14"/>
  <c r="AQ960" i="14"/>
  <c r="AQ961" i="14"/>
  <c r="AQ962" i="14"/>
  <c r="AQ963" i="14"/>
  <c r="AQ964" i="14"/>
  <c r="AQ965" i="14"/>
  <c r="AQ966" i="14"/>
  <c r="AQ967" i="14"/>
  <c r="AQ968" i="14"/>
  <c r="AQ969" i="14"/>
  <c r="AQ970" i="14"/>
  <c r="AQ971" i="14"/>
  <c r="AQ972" i="14"/>
  <c r="AQ973" i="14"/>
  <c r="AQ974" i="14"/>
  <c r="AQ975" i="14"/>
  <c r="AQ976" i="14"/>
  <c r="AQ977" i="14"/>
  <c r="AQ978" i="14"/>
  <c r="AQ979" i="14"/>
  <c r="AQ980" i="14"/>
  <c r="AQ981" i="14"/>
  <c r="AQ982" i="14"/>
  <c r="AQ983" i="14"/>
  <c r="AQ984" i="14"/>
  <c r="AQ985" i="14"/>
  <c r="AQ986" i="14"/>
  <c r="AQ987" i="14"/>
  <c r="AQ988" i="14"/>
  <c r="AQ989" i="14"/>
  <c r="AQ990" i="14"/>
  <c r="AQ991" i="14"/>
  <c r="AQ992" i="14"/>
  <c r="AQ993" i="14"/>
  <c r="AQ994" i="14"/>
  <c r="AQ995" i="14"/>
  <c r="AQ996" i="14"/>
  <c r="AQ997" i="14"/>
  <c r="AQ998" i="14"/>
  <c r="AQ999" i="14"/>
  <c r="AQ1000" i="14"/>
  <c r="AQ1001" i="14"/>
  <c r="AQ1002" i="14"/>
  <c r="AQ1003" i="14"/>
  <c r="AQ1004" i="14"/>
  <c r="AQ1005" i="14"/>
  <c r="AQ1006" i="14"/>
  <c r="AQ1007" i="14"/>
  <c r="AQ1008" i="14"/>
  <c r="AQ1009" i="14"/>
  <c r="AQ1010" i="14"/>
  <c r="AQ1011" i="14"/>
  <c r="AQ1012" i="14"/>
  <c r="AQ1013" i="14"/>
  <c r="AQ1014" i="14"/>
  <c r="AQ1015" i="14"/>
  <c r="AQ1016" i="14"/>
  <c r="AQ1017" i="14"/>
  <c r="AQ1018" i="14"/>
  <c r="AQ1019" i="14"/>
  <c r="AQ1020" i="14"/>
  <c r="AQ1021" i="14"/>
  <c r="AQ1022" i="14"/>
  <c r="AQ1023" i="14"/>
  <c r="AQ1024" i="14"/>
  <c r="AQ1025" i="14"/>
  <c r="AQ1026" i="14"/>
  <c r="AQ1027" i="14"/>
  <c r="AQ1028" i="14"/>
  <c r="AQ1029" i="14"/>
  <c r="AQ1030" i="14"/>
  <c r="AQ1031" i="14"/>
  <c r="AQ1032" i="14"/>
  <c r="AQ1033" i="14"/>
  <c r="AQ1034" i="14"/>
  <c r="AQ1035" i="14"/>
  <c r="AQ1036" i="14"/>
  <c r="AQ1037" i="14"/>
  <c r="AQ1038" i="14"/>
  <c r="AQ1039" i="14"/>
  <c r="AQ1040" i="14"/>
  <c r="AQ1041" i="14"/>
  <c r="AQ1042" i="14"/>
  <c r="AQ1043" i="14"/>
  <c r="AQ1044" i="14"/>
  <c r="AQ1045" i="14"/>
  <c r="AQ1046" i="14"/>
  <c r="AQ1047" i="14"/>
  <c r="AQ1048" i="14"/>
  <c r="AQ1049" i="14"/>
  <c r="AQ1050" i="14"/>
  <c r="AQ1051" i="14"/>
  <c r="AQ1052" i="14"/>
  <c r="AQ1053" i="14"/>
  <c r="AQ1054" i="14"/>
  <c r="AQ1055" i="14"/>
  <c r="AQ1056" i="14"/>
  <c r="AQ1057" i="14"/>
  <c r="AQ1058" i="14"/>
  <c r="AQ1059" i="14"/>
  <c r="AQ1060" i="14"/>
  <c r="AQ1061" i="14"/>
  <c r="AQ1062" i="14"/>
  <c r="AQ1063" i="14"/>
  <c r="AQ1064" i="14"/>
  <c r="AQ1065" i="14"/>
  <c r="AQ1066" i="14"/>
  <c r="AQ1067" i="14"/>
  <c r="AQ1068" i="14"/>
  <c r="AQ1069" i="14"/>
  <c r="AQ1070" i="14"/>
  <c r="AQ1071" i="14"/>
  <c r="AQ1072" i="14"/>
  <c r="AQ1073" i="14"/>
  <c r="AQ1074" i="14"/>
  <c r="AQ1075" i="14"/>
  <c r="AQ1076" i="14"/>
  <c r="AQ1077" i="14"/>
  <c r="AQ1078" i="14"/>
  <c r="AQ1079" i="14"/>
  <c r="AQ1080" i="14"/>
  <c r="AQ1081" i="14"/>
  <c r="AQ1082" i="14"/>
  <c r="AQ1083" i="14"/>
  <c r="AQ1084" i="14"/>
  <c r="AQ1085" i="14"/>
  <c r="AQ1086" i="14"/>
  <c r="AQ1087" i="14"/>
  <c r="AQ1088" i="14"/>
  <c r="AQ1089" i="14"/>
  <c r="AQ1090" i="14"/>
  <c r="AQ1091" i="14"/>
  <c r="AQ1092" i="14"/>
  <c r="AQ1093" i="14"/>
  <c r="AQ1094" i="14"/>
  <c r="AQ1095" i="14"/>
  <c r="AQ1096" i="14"/>
  <c r="AQ1097" i="14"/>
  <c r="AQ1098" i="14"/>
  <c r="AQ1099" i="14"/>
  <c r="AQ1100" i="14"/>
  <c r="AQ1101" i="14"/>
  <c r="AQ1102" i="14"/>
  <c r="AQ1103" i="14"/>
  <c r="AQ1104" i="14"/>
  <c r="AQ1105" i="14"/>
  <c r="AQ1106" i="14"/>
  <c r="AQ1107" i="14"/>
  <c r="AQ1108" i="14"/>
  <c r="AQ1109" i="14"/>
  <c r="AQ1110" i="14"/>
  <c r="AQ94" i="14"/>
  <c r="D1111" i="14"/>
  <c r="D1107" i="18" s="1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7" i="14"/>
  <c r="D3" i="18" s="1"/>
  <c r="D8" i="14"/>
  <c r="D4" i="18" s="1"/>
  <c r="D9" i="14"/>
  <c r="D5" i="18" s="1"/>
  <c r="D10" i="14"/>
  <c r="D6" i="18" s="1"/>
  <c r="D11" i="14"/>
  <c r="D7" i="18" s="1"/>
  <c r="D12" i="14"/>
  <c r="D8" i="18" s="1"/>
  <c r="D13" i="14"/>
  <c r="D9" i="18" s="1"/>
  <c r="D14" i="14"/>
  <c r="D10" i="18" s="1"/>
  <c r="D15" i="14"/>
  <c r="D11" i="18" s="1"/>
  <c r="D16" i="14"/>
  <c r="D12" i="18" s="1"/>
  <c r="D17" i="14"/>
  <c r="D13" i="18" s="1"/>
  <c r="D18" i="14"/>
  <c r="D14" i="18" s="1"/>
  <c r="D19" i="14"/>
  <c r="D15" i="18" s="1"/>
  <c r="D20" i="14"/>
  <c r="D16" i="18" s="1"/>
  <c r="D21" i="14"/>
  <c r="D17" i="18" s="1"/>
  <c r="D22" i="14"/>
  <c r="D18" i="18" s="1"/>
  <c r="D23" i="14"/>
  <c r="D19" i="18" s="1"/>
  <c r="D24" i="14"/>
  <c r="D20" i="18" s="1"/>
  <c r="D25" i="14"/>
  <c r="D21" i="18" s="1"/>
  <c r="D26" i="14"/>
  <c r="D22" i="18" s="1"/>
  <c r="D27" i="14"/>
  <c r="D23" i="18" s="1"/>
  <c r="D28" i="14"/>
  <c r="D24" i="18" s="1"/>
  <c r="D29" i="14"/>
  <c r="D25" i="18" s="1"/>
  <c r="D30" i="14"/>
  <c r="D26" i="18" s="1"/>
  <c r="D31" i="14"/>
  <c r="D27" i="18" s="1"/>
  <c r="D32" i="14"/>
  <c r="D28" i="18" s="1"/>
  <c r="D33" i="14"/>
  <c r="D29" i="18" s="1"/>
  <c r="D34" i="14"/>
  <c r="D30" i="18" s="1"/>
  <c r="D35" i="14"/>
  <c r="D31" i="18" s="1"/>
  <c r="D36" i="14"/>
  <c r="D32" i="18" s="1"/>
  <c r="D37" i="14"/>
  <c r="D33" i="18" s="1"/>
  <c r="D38" i="14"/>
  <c r="D34" i="18" s="1"/>
  <c r="D39" i="14"/>
  <c r="D35" i="18" s="1"/>
  <c r="D40" i="14"/>
  <c r="D36" i="18" s="1"/>
  <c r="D41" i="14"/>
  <c r="D37" i="18" s="1"/>
  <c r="D42" i="14"/>
  <c r="D38" i="18" s="1"/>
  <c r="D43" i="14"/>
  <c r="D39" i="18" s="1"/>
  <c r="D44" i="14"/>
  <c r="D40" i="18" s="1"/>
  <c r="D45" i="14"/>
  <c r="D41" i="18" s="1"/>
  <c r="D46" i="14"/>
  <c r="D42" i="18" s="1"/>
  <c r="D47" i="14"/>
  <c r="D43" i="18" s="1"/>
  <c r="D48" i="14"/>
  <c r="D44" i="18" s="1"/>
  <c r="D49" i="14"/>
  <c r="D45" i="18" s="1"/>
  <c r="D50" i="14"/>
  <c r="D46" i="18" s="1"/>
  <c r="D51" i="14"/>
  <c r="D47" i="18" s="1"/>
  <c r="D52" i="14"/>
  <c r="D48" i="18" s="1"/>
  <c r="D53" i="14"/>
  <c r="D49" i="18" s="1"/>
  <c r="D54" i="14"/>
  <c r="D50" i="18" s="1"/>
  <c r="D55" i="14"/>
  <c r="D51" i="18" s="1"/>
  <c r="D56" i="14"/>
  <c r="D52" i="18" s="1"/>
  <c r="D57" i="14"/>
  <c r="D53" i="18" s="1"/>
  <c r="D58" i="14"/>
  <c r="D54" i="18" s="1"/>
  <c r="D59" i="14"/>
  <c r="D55" i="18" s="1"/>
  <c r="D60" i="14"/>
  <c r="D56" i="18" s="1"/>
  <c r="D61" i="14"/>
  <c r="D57" i="18" s="1"/>
  <c r="D62" i="14"/>
  <c r="D58" i="18" s="1"/>
  <c r="D63" i="14"/>
  <c r="D59" i="18" s="1"/>
  <c r="D64" i="14"/>
  <c r="D60" i="18" s="1"/>
  <c r="D65" i="14"/>
  <c r="D61" i="18" s="1"/>
  <c r="D66" i="14"/>
  <c r="D62" i="18" s="1"/>
  <c r="D67" i="14"/>
  <c r="D63" i="18" s="1"/>
  <c r="D68" i="14"/>
  <c r="D64" i="18" s="1"/>
  <c r="D69" i="14"/>
  <c r="D65" i="18" s="1"/>
  <c r="D70" i="14"/>
  <c r="D66" i="18" s="1"/>
  <c r="D71" i="14"/>
  <c r="D67" i="18" s="1"/>
  <c r="D72" i="14"/>
  <c r="D68" i="18" s="1"/>
  <c r="D73" i="14"/>
  <c r="D69" i="18" s="1"/>
  <c r="D74" i="14"/>
  <c r="D70" i="18" s="1"/>
  <c r="D75" i="14"/>
  <c r="D71" i="18" s="1"/>
  <c r="D76" i="14"/>
  <c r="D72" i="18" s="1"/>
  <c r="D77" i="14"/>
  <c r="D73" i="18" s="1"/>
  <c r="D78" i="14"/>
  <c r="D74" i="18" s="1"/>
  <c r="D79" i="14"/>
  <c r="D75" i="18" s="1"/>
  <c r="D80" i="14"/>
  <c r="D76" i="18" s="1"/>
  <c r="D81" i="14"/>
  <c r="D77" i="18" s="1"/>
  <c r="D82" i="14"/>
  <c r="D78" i="18" s="1"/>
  <c r="D83" i="14"/>
  <c r="D79" i="18" s="1"/>
  <c r="D84" i="14"/>
  <c r="D80" i="18" s="1"/>
  <c r="D85" i="14"/>
  <c r="D81" i="18" s="1"/>
  <c r="D86" i="14"/>
  <c r="D82" i="18" s="1"/>
  <c r="D87" i="14"/>
  <c r="D83" i="18" s="1"/>
  <c r="D88" i="14"/>
  <c r="D84" i="18" s="1"/>
  <c r="D89" i="14"/>
  <c r="D85" i="18" s="1"/>
  <c r="D90" i="14"/>
  <c r="D86" i="18" s="1"/>
  <c r="D91" i="14"/>
  <c r="D87" i="18" s="1"/>
  <c r="D92" i="14"/>
  <c r="D88" i="18" s="1"/>
  <c r="D93" i="14"/>
  <c r="D89" i="18" s="1"/>
  <c r="D94" i="14"/>
  <c r="D90" i="18" s="1"/>
  <c r="D95" i="14"/>
  <c r="D91" i="18" s="1"/>
  <c r="D96" i="14"/>
  <c r="D92" i="18" s="1"/>
  <c r="D97" i="14"/>
  <c r="D93" i="18" s="1"/>
  <c r="D98" i="14"/>
  <c r="D94" i="18" s="1"/>
  <c r="D99" i="14"/>
  <c r="D95" i="18" s="1"/>
  <c r="D100" i="14"/>
  <c r="D96" i="18" s="1"/>
  <c r="D101" i="14"/>
  <c r="D97" i="18" s="1"/>
  <c r="D102" i="14"/>
  <c r="D98" i="18" s="1"/>
  <c r="D103" i="14"/>
  <c r="D99" i="18" s="1"/>
  <c r="D104" i="14"/>
  <c r="D100" i="18" s="1"/>
  <c r="D105" i="14"/>
  <c r="D101" i="18" s="1"/>
  <c r="D106" i="14"/>
  <c r="D102" i="18" s="1"/>
  <c r="D107" i="14"/>
  <c r="D103" i="18" s="1"/>
  <c r="D108" i="14"/>
  <c r="D104" i="18" s="1"/>
  <c r="D109" i="14"/>
  <c r="D105" i="18" s="1"/>
  <c r="D110" i="14"/>
  <c r="D106" i="18" s="1"/>
  <c r="D111" i="14"/>
  <c r="D107" i="18" s="1"/>
  <c r="D112" i="14"/>
  <c r="D108" i="18" s="1"/>
  <c r="D113" i="14"/>
  <c r="D109" i="18" s="1"/>
  <c r="D114" i="14"/>
  <c r="D110" i="18" s="1"/>
  <c r="D115" i="14"/>
  <c r="D111" i="18" s="1"/>
  <c r="D116" i="14"/>
  <c r="D112" i="18" s="1"/>
  <c r="D117" i="14"/>
  <c r="D113" i="18" s="1"/>
  <c r="D118" i="14"/>
  <c r="D114" i="18" s="1"/>
  <c r="D119" i="14"/>
  <c r="D115" i="18" s="1"/>
  <c r="D120" i="14"/>
  <c r="D116" i="18" s="1"/>
  <c r="D121" i="14"/>
  <c r="D117" i="18" s="1"/>
  <c r="D122" i="14"/>
  <c r="D118" i="18" s="1"/>
  <c r="D123" i="14"/>
  <c r="D119" i="18" s="1"/>
  <c r="D124" i="14"/>
  <c r="D120" i="18" s="1"/>
  <c r="D125" i="14"/>
  <c r="D121" i="18" s="1"/>
  <c r="D126" i="14"/>
  <c r="D122" i="18" s="1"/>
  <c r="D127" i="14"/>
  <c r="D123" i="18" s="1"/>
  <c r="D128" i="14"/>
  <c r="D124" i="18" s="1"/>
  <c r="D129" i="14"/>
  <c r="D125" i="18" s="1"/>
  <c r="D130" i="14"/>
  <c r="D126" i="18" s="1"/>
  <c r="D131" i="14"/>
  <c r="D127" i="18" s="1"/>
  <c r="D132" i="14"/>
  <c r="D128" i="18" s="1"/>
  <c r="D133" i="14"/>
  <c r="D129" i="18" s="1"/>
  <c r="D134" i="14"/>
  <c r="D130" i="18" s="1"/>
  <c r="D135" i="14"/>
  <c r="D131" i="18" s="1"/>
  <c r="D136" i="14"/>
  <c r="D132" i="18" s="1"/>
  <c r="D137" i="14"/>
  <c r="D133" i="18" s="1"/>
  <c r="D138" i="14"/>
  <c r="D134" i="18" s="1"/>
  <c r="D139" i="14"/>
  <c r="D135" i="18" s="1"/>
  <c r="D140" i="14"/>
  <c r="D136" i="18" s="1"/>
  <c r="D141" i="14"/>
  <c r="D137" i="18" s="1"/>
  <c r="D142" i="14"/>
  <c r="D138" i="18" s="1"/>
  <c r="D143" i="14"/>
  <c r="D139" i="18" s="1"/>
  <c r="D144" i="14"/>
  <c r="D140" i="18" s="1"/>
  <c r="D145" i="14"/>
  <c r="D141" i="18" s="1"/>
  <c r="D146" i="14"/>
  <c r="D142" i="18" s="1"/>
  <c r="D147" i="14"/>
  <c r="D143" i="18" s="1"/>
  <c r="D148" i="14"/>
  <c r="D144" i="18" s="1"/>
  <c r="D149" i="14"/>
  <c r="D145" i="18" s="1"/>
  <c r="D150" i="14"/>
  <c r="D146" i="18" s="1"/>
  <c r="D151" i="14"/>
  <c r="D147" i="18" s="1"/>
  <c r="D152" i="14"/>
  <c r="D148" i="18" s="1"/>
  <c r="D153" i="14"/>
  <c r="D149" i="18" s="1"/>
  <c r="D154" i="14"/>
  <c r="D150" i="18" s="1"/>
  <c r="D155" i="14"/>
  <c r="D151" i="18" s="1"/>
  <c r="D156" i="14"/>
  <c r="D152" i="18" s="1"/>
  <c r="D157" i="14"/>
  <c r="D153" i="18" s="1"/>
  <c r="D158" i="14"/>
  <c r="D154" i="18" s="1"/>
  <c r="D159" i="14"/>
  <c r="D155" i="18" s="1"/>
  <c r="D160" i="14"/>
  <c r="D156" i="18" s="1"/>
  <c r="D161" i="14"/>
  <c r="D157" i="18" s="1"/>
  <c r="D162" i="14"/>
  <c r="D158" i="18" s="1"/>
  <c r="D163" i="14"/>
  <c r="D159" i="18" s="1"/>
  <c r="D164" i="14"/>
  <c r="D160" i="18" s="1"/>
  <c r="D165" i="14"/>
  <c r="D161" i="18" s="1"/>
  <c r="D166" i="14"/>
  <c r="D162" i="18" s="1"/>
  <c r="D167" i="14"/>
  <c r="D163" i="18" s="1"/>
  <c r="D168" i="14"/>
  <c r="D164" i="18" s="1"/>
  <c r="D169" i="14"/>
  <c r="D165" i="18" s="1"/>
  <c r="D170" i="14"/>
  <c r="D166" i="18" s="1"/>
  <c r="D171" i="14"/>
  <c r="D167" i="18" s="1"/>
  <c r="D172" i="14"/>
  <c r="D168" i="18" s="1"/>
  <c r="D173" i="14"/>
  <c r="D169" i="18" s="1"/>
  <c r="D174" i="14"/>
  <c r="D170" i="18" s="1"/>
  <c r="D175" i="14"/>
  <c r="D171" i="18" s="1"/>
  <c r="D176" i="14"/>
  <c r="D172" i="18" s="1"/>
  <c r="D177" i="14"/>
  <c r="D173" i="18" s="1"/>
  <c r="D178" i="14"/>
  <c r="D174" i="18" s="1"/>
  <c r="D179" i="14"/>
  <c r="D175" i="18" s="1"/>
  <c r="D180" i="14"/>
  <c r="D176" i="18" s="1"/>
  <c r="D181" i="14"/>
  <c r="D177" i="18" s="1"/>
  <c r="D182" i="14"/>
  <c r="D178" i="18" s="1"/>
  <c r="D183" i="14"/>
  <c r="D179" i="18" s="1"/>
  <c r="D184" i="14"/>
  <c r="D180" i="18" s="1"/>
  <c r="D185" i="14"/>
  <c r="D181" i="18" s="1"/>
  <c r="D186" i="14"/>
  <c r="D182" i="18" s="1"/>
  <c r="D187" i="14"/>
  <c r="D183" i="18" s="1"/>
  <c r="D188" i="14"/>
  <c r="D184" i="18" s="1"/>
  <c r="D189" i="14"/>
  <c r="D185" i="18" s="1"/>
  <c r="D190" i="14"/>
  <c r="D186" i="18" s="1"/>
  <c r="D191" i="14"/>
  <c r="D187" i="18" s="1"/>
  <c r="D192" i="14"/>
  <c r="D188" i="18" s="1"/>
  <c r="D193" i="14"/>
  <c r="D189" i="18" s="1"/>
  <c r="D194" i="14"/>
  <c r="D190" i="18" s="1"/>
  <c r="D195" i="14"/>
  <c r="D191" i="18" s="1"/>
  <c r="D196" i="14"/>
  <c r="D192" i="18" s="1"/>
  <c r="D197" i="14"/>
  <c r="D193" i="18" s="1"/>
  <c r="D198" i="14"/>
  <c r="D194" i="18" s="1"/>
  <c r="D199" i="14"/>
  <c r="D195" i="18" s="1"/>
  <c r="D200" i="14"/>
  <c r="D196" i="18" s="1"/>
  <c r="D201" i="14"/>
  <c r="D197" i="18" s="1"/>
  <c r="D202" i="14"/>
  <c r="D198" i="18" s="1"/>
  <c r="D203" i="14"/>
  <c r="D199" i="18" s="1"/>
  <c r="D204" i="14"/>
  <c r="D200" i="18" s="1"/>
  <c r="D205" i="14"/>
  <c r="D201" i="18" s="1"/>
  <c r="D206" i="14"/>
  <c r="D202" i="18" s="1"/>
  <c r="D207" i="14"/>
  <c r="D203" i="18" s="1"/>
  <c r="D208" i="14"/>
  <c r="D204" i="18" s="1"/>
  <c r="D209" i="14"/>
  <c r="D205" i="18" s="1"/>
  <c r="D210" i="14"/>
  <c r="D206" i="18" s="1"/>
  <c r="D211" i="14"/>
  <c r="D207" i="18" s="1"/>
  <c r="D212" i="14"/>
  <c r="D208" i="18" s="1"/>
  <c r="D213" i="14"/>
  <c r="D209" i="18" s="1"/>
  <c r="D214" i="14"/>
  <c r="D210" i="18" s="1"/>
  <c r="D215" i="14"/>
  <c r="D211" i="18" s="1"/>
  <c r="D216" i="14"/>
  <c r="D212" i="18" s="1"/>
  <c r="D217" i="14"/>
  <c r="D213" i="18" s="1"/>
  <c r="D218" i="14"/>
  <c r="D214" i="18" s="1"/>
  <c r="D219" i="14"/>
  <c r="D215" i="18" s="1"/>
  <c r="D220" i="14"/>
  <c r="D216" i="18" s="1"/>
  <c r="D221" i="14"/>
  <c r="D217" i="18" s="1"/>
  <c r="D222" i="14"/>
  <c r="D218" i="18" s="1"/>
  <c r="D223" i="14"/>
  <c r="D219" i="18" s="1"/>
  <c r="D224" i="14"/>
  <c r="D220" i="18" s="1"/>
  <c r="D225" i="14"/>
  <c r="D221" i="18" s="1"/>
  <c r="D226" i="14"/>
  <c r="D222" i="18" s="1"/>
  <c r="D227" i="14"/>
  <c r="D223" i="18" s="1"/>
  <c r="D228" i="14"/>
  <c r="D224" i="18" s="1"/>
  <c r="D229" i="14"/>
  <c r="D225" i="18" s="1"/>
  <c r="D230" i="14"/>
  <c r="D226" i="18" s="1"/>
  <c r="D231" i="14"/>
  <c r="D227" i="18" s="1"/>
  <c r="D232" i="14"/>
  <c r="D228" i="18" s="1"/>
  <c r="D233" i="14"/>
  <c r="D229" i="18" s="1"/>
  <c r="D234" i="14"/>
  <c r="D230" i="18" s="1"/>
  <c r="D235" i="14"/>
  <c r="D231" i="18" s="1"/>
  <c r="D236" i="14"/>
  <c r="D232" i="18" s="1"/>
  <c r="D237" i="14"/>
  <c r="D233" i="18" s="1"/>
  <c r="D238" i="14"/>
  <c r="D234" i="18" s="1"/>
  <c r="D239" i="14"/>
  <c r="D235" i="18" s="1"/>
  <c r="D240" i="14"/>
  <c r="D236" i="18" s="1"/>
  <c r="D241" i="14"/>
  <c r="D237" i="18" s="1"/>
  <c r="D242" i="14"/>
  <c r="D238" i="18" s="1"/>
  <c r="D243" i="14"/>
  <c r="D239" i="18" s="1"/>
  <c r="D244" i="14"/>
  <c r="D240" i="18" s="1"/>
  <c r="D245" i="14"/>
  <c r="D241" i="18" s="1"/>
  <c r="D246" i="14"/>
  <c r="D242" i="18" s="1"/>
  <c r="D247" i="14"/>
  <c r="D243" i="18" s="1"/>
  <c r="D248" i="14"/>
  <c r="D244" i="18" s="1"/>
  <c r="D249" i="14"/>
  <c r="D245" i="18" s="1"/>
  <c r="D250" i="14"/>
  <c r="D246" i="18" s="1"/>
  <c r="D251" i="14"/>
  <c r="D247" i="18" s="1"/>
  <c r="D252" i="14"/>
  <c r="D248" i="18" s="1"/>
  <c r="D253" i="14"/>
  <c r="D249" i="18" s="1"/>
  <c r="D254" i="14"/>
  <c r="D250" i="18" s="1"/>
  <c r="D255" i="14"/>
  <c r="D251" i="18" s="1"/>
  <c r="D256" i="14"/>
  <c r="D252" i="18" s="1"/>
  <c r="D257" i="14"/>
  <c r="D253" i="18" s="1"/>
  <c r="D258" i="14"/>
  <c r="D254" i="18" s="1"/>
  <c r="D259" i="14"/>
  <c r="D255" i="18" s="1"/>
  <c r="D260" i="14"/>
  <c r="D256" i="18" s="1"/>
  <c r="D261" i="14"/>
  <c r="D257" i="18" s="1"/>
  <c r="D262" i="14"/>
  <c r="D258" i="18" s="1"/>
  <c r="D263" i="14"/>
  <c r="D259" i="18" s="1"/>
  <c r="D264" i="14"/>
  <c r="D260" i="18" s="1"/>
  <c r="D265" i="14"/>
  <c r="D261" i="18" s="1"/>
  <c r="D266" i="14"/>
  <c r="D262" i="18" s="1"/>
  <c r="D267" i="14"/>
  <c r="D263" i="18" s="1"/>
  <c r="D268" i="14"/>
  <c r="D264" i="18" s="1"/>
  <c r="D269" i="14"/>
  <c r="D265" i="18" s="1"/>
  <c r="D270" i="14"/>
  <c r="D266" i="18" s="1"/>
  <c r="D271" i="14"/>
  <c r="D267" i="18" s="1"/>
  <c r="D272" i="14"/>
  <c r="D268" i="18" s="1"/>
  <c r="D273" i="14"/>
  <c r="D269" i="18" s="1"/>
  <c r="D274" i="14"/>
  <c r="D270" i="18" s="1"/>
  <c r="D275" i="14"/>
  <c r="D271" i="18" s="1"/>
  <c r="D276" i="14"/>
  <c r="D272" i="18" s="1"/>
  <c r="D277" i="14"/>
  <c r="D273" i="18" s="1"/>
  <c r="D278" i="14"/>
  <c r="D274" i="18" s="1"/>
  <c r="D279" i="14"/>
  <c r="D275" i="18" s="1"/>
  <c r="D280" i="14"/>
  <c r="D276" i="18" s="1"/>
  <c r="D281" i="14"/>
  <c r="D277" i="18" s="1"/>
  <c r="D282" i="14"/>
  <c r="D278" i="18" s="1"/>
  <c r="D283" i="14"/>
  <c r="D279" i="18" s="1"/>
  <c r="D284" i="14"/>
  <c r="D280" i="18" s="1"/>
  <c r="D285" i="14"/>
  <c r="D281" i="18" s="1"/>
  <c r="D286" i="14"/>
  <c r="D282" i="18" s="1"/>
  <c r="D287" i="14"/>
  <c r="D283" i="18" s="1"/>
  <c r="D288" i="14"/>
  <c r="D284" i="18" s="1"/>
  <c r="D289" i="14"/>
  <c r="D285" i="18" s="1"/>
  <c r="D290" i="14"/>
  <c r="D286" i="18" s="1"/>
  <c r="D291" i="14"/>
  <c r="D287" i="18" s="1"/>
  <c r="D292" i="14"/>
  <c r="D288" i="18" s="1"/>
  <c r="D293" i="14"/>
  <c r="D289" i="18" s="1"/>
  <c r="D294" i="14"/>
  <c r="D290" i="18" s="1"/>
  <c r="D295" i="14"/>
  <c r="D291" i="18" s="1"/>
  <c r="D296" i="14"/>
  <c r="D292" i="18" s="1"/>
  <c r="D297" i="14"/>
  <c r="D293" i="18" s="1"/>
  <c r="D298" i="14"/>
  <c r="D294" i="18" s="1"/>
  <c r="D299" i="14"/>
  <c r="D295" i="18" s="1"/>
  <c r="D300" i="14"/>
  <c r="D296" i="18" s="1"/>
  <c r="D301" i="14"/>
  <c r="D297" i="18" s="1"/>
  <c r="D302" i="14"/>
  <c r="D298" i="18" s="1"/>
  <c r="D303" i="14"/>
  <c r="D299" i="18" s="1"/>
  <c r="D304" i="14"/>
  <c r="D300" i="18" s="1"/>
  <c r="D305" i="14"/>
  <c r="D301" i="18" s="1"/>
  <c r="D306" i="14"/>
  <c r="D302" i="18" s="1"/>
  <c r="D307" i="14"/>
  <c r="D303" i="18" s="1"/>
  <c r="D308" i="14"/>
  <c r="D304" i="18" s="1"/>
  <c r="D309" i="14"/>
  <c r="D305" i="18" s="1"/>
  <c r="D310" i="14"/>
  <c r="D306" i="18" s="1"/>
  <c r="D311" i="14"/>
  <c r="D307" i="18" s="1"/>
  <c r="D312" i="14"/>
  <c r="D308" i="18" s="1"/>
  <c r="D313" i="14"/>
  <c r="D309" i="18" s="1"/>
  <c r="D314" i="14"/>
  <c r="D310" i="18" s="1"/>
  <c r="D315" i="14"/>
  <c r="D311" i="18" s="1"/>
  <c r="D316" i="14"/>
  <c r="D312" i="18" s="1"/>
  <c r="D317" i="14"/>
  <c r="D313" i="18" s="1"/>
  <c r="D318" i="14"/>
  <c r="D314" i="18" s="1"/>
  <c r="D319" i="14"/>
  <c r="D315" i="18" s="1"/>
  <c r="D320" i="14"/>
  <c r="D316" i="18" s="1"/>
  <c r="D321" i="14"/>
  <c r="D317" i="18" s="1"/>
  <c r="D322" i="14"/>
  <c r="D318" i="18" s="1"/>
  <c r="D323" i="14"/>
  <c r="D319" i="18" s="1"/>
  <c r="D324" i="14"/>
  <c r="D320" i="18" s="1"/>
  <c r="D325" i="14"/>
  <c r="D321" i="18" s="1"/>
  <c r="D326" i="14"/>
  <c r="D322" i="18" s="1"/>
  <c r="D327" i="14"/>
  <c r="D323" i="18" s="1"/>
  <c r="D328" i="14"/>
  <c r="D324" i="18" s="1"/>
  <c r="D329" i="14"/>
  <c r="D325" i="18" s="1"/>
  <c r="D330" i="14"/>
  <c r="D326" i="18" s="1"/>
  <c r="D331" i="14"/>
  <c r="D327" i="18" s="1"/>
  <c r="D332" i="14"/>
  <c r="D328" i="18" s="1"/>
  <c r="D333" i="14"/>
  <c r="D329" i="18" s="1"/>
  <c r="D334" i="14"/>
  <c r="D330" i="18" s="1"/>
  <c r="D335" i="14"/>
  <c r="D331" i="18" s="1"/>
  <c r="D336" i="14"/>
  <c r="D332" i="18" s="1"/>
  <c r="D337" i="14"/>
  <c r="D333" i="18" s="1"/>
  <c r="D338" i="14"/>
  <c r="D334" i="18" s="1"/>
  <c r="D339" i="14"/>
  <c r="D335" i="18" s="1"/>
  <c r="D340" i="14"/>
  <c r="D336" i="18" s="1"/>
  <c r="D341" i="14"/>
  <c r="D337" i="18" s="1"/>
  <c r="D342" i="14"/>
  <c r="D338" i="18" s="1"/>
  <c r="D343" i="14"/>
  <c r="D339" i="18" s="1"/>
  <c r="D344" i="14"/>
  <c r="D340" i="18" s="1"/>
  <c r="D345" i="14"/>
  <c r="D341" i="18" s="1"/>
  <c r="D346" i="14"/>
  <c r="D342" i="18" s="1"/>
  <c r="D347" i="14"/>
  <c r="D343" i="18" s="1"/>
  <c r="D348" i="14"/>
  <c r="D344" i="18" s="1"/>
  <c r="D349" i="14"/>
  <c r="D345" i="18" s="1"/>
  <c r="D350" i="14"/>
  <c r="D346" i="18" s="1"/>
  <c r="D351" i="14"/>
  <c r="D347" i="18" s="1"/>
  <c r="D352" i="14"/>
  <c r="D348" i="18" s="1"/>
  <c r="D353" i="14"/>
  <c r="D349" i="18" s="1"/>
  <c r="D354" i="14"/>
  <c r="D350" i="18" s="1"/>
  <c r="D355" i="14"/>
  <c r="D351" i="18" s="1"/>
  <c r="D356" i="14"/>
  <c r="D352" i="18" s="1"/>
  <c r="D357" i="14"/>
  <c r="D353" i="18" s="1"/>
  <c r="D358" i="14"/>
  <c r="D354" i="18" s="1"/>
  <c r="D359" i="14"/>
  <c r="D355" i="18" s="1"/>
  <c r="D360" i="14"/>
  <c r="D356" i="18" s="1"/>
  <c r="D361" i="14"/>
  <c r="D357" i="18" s="1"/>
  <c r="D362" i="14"/>
  <c r="D358" i="18" s="1"/>
  <c r="D363" i="14"/>
  <c r="D359" i="18" s="1"/>
  <c r="D364" i="14"/>
  <c r="D360" i="18" s="1"/>
  <c r="D365" i="14"/>
  <c r="D361" i="18" s="1"/>
  <c r="D366" i="14"/>
  <c r="D362" i="18" s="1"/>
  <c r="D367" i="14"/>
  <c r="D363" i="18" s="1"/>
  <c r="D368" i="14"/>
  <c r="D364" i="18" s="1"/>
  <c r="D369" i="14"/>
  <c r="D365" i="18" s="1"/>
  <c r="D370" i="14"/>
  <c r="D366" i="18" s="1"/>
  <c r="D371" i="14"/>
  <c r="D367" i="18" s="1"/>
  <c r="D372" i="14"/>
  <c r="D368" i="18" s="1"/>
  <c r="D373" i="14"/>
  <c r="D369" i="18" s="1"/>
  <c r="D374" i="14"/>
  <c r="D370" i="18" s="1"/>
  <c r="D375" i="14"/>
  <c r="D371" i="18" s="1"/>
  <c r="D376" i="14"/>
  <c r="D372" i="18" s="1"/>
  <c r="D377" i="14"/>
  <c r="D373" i="18" s="1"/>
  <c r="D378" i="14"/>
  <c r="D374" i="18" s="1"/>
  <c r="D379" i="14"/>
  <c r="D375" i="18" s="1"/>
  <c r="D380" i="14"/>
  <c r="D376" i="18" s="1"/>
  <c r="D381" i="14"/>
  <c r="D377" i="18" s="1"/>
  <c r="D382" i="14"/>
  <c r="D378" i="18" s="1"/>
  <c r="D383" i="14"/>
  <c r="D379" i="18" s="1"/>
  <c r="D384" i="14"/>
  <c r="D380" i="18" s="1"/>
  <c r="D385" i="14"/>
  <c r="D381" i="18" s="1"/>
  <c r="D386" i="14"/>
  <c r="D382" i="18" s="1"/>
  <c r="D387" i="14"/>
  <c r="D383" i="18" s="1"/>
  <c r="D388" i="14"/>
  <c r="D384" i="18" s="1"/>
  <c r="D389" i="14"/>
  <c r="D385" i="18" s="1"/>
  <c r="D390" i="14"/>
  <c r="D386" i="18" s="1"/>
  <c r="D391" i="14"/>
  <c r="D387" i="18" s="1"/>
  <c r="D392" i="14"/>
  <c r="D388" i="18" s="1"/>
  <c r="D393" i="14"/>
  <c r="D389" i="18" s="1"/>
  <c r="D394" i="14"/>
  <c r="D390" i="18" s="1"/>
  <c r="D395" i="14"/>
  <c r="D391" i="18" s="1"/>
  <c r="D396" i="14"/>
  <c r="D392" i="18" s="1"/>
  <c r="D397" i="14"/>
  <c r="D393" i="18" s="1"/>
  <c r="D398" i="14"/>
  <c r="D394" i="18" s="1"/>
  <c r="D399" i="14"/>
  <c r="D395" i="18" s="1"/>
  <c r="D400" i="14"/>
  <c r="D396" i="18" s="1"/>
  <c r="D401" i="14"/>
  <c r="D397" i="18" s="1"/>
  <c r="D402" i="14"/>
  <c r="D398" i="18" s="1"/>
  <c r="D403" i="14"/>
  <c r="D399" i="18" s="1"/>
  <c r="D404" i="14"/>
  <c r="D400" i="18" s="1"/>
  <c r="D405" i="14"/>
  <c r="D401" i="18" s="1"/>
  <c r="D406" i="14"/>
  <c r="D402" i="18" s="1"/>
  <c r="D407" i="14"/>
  <c r="D403" i="18" s="1"/>
  <c r="D408" i="14"/>
  <c r="D404" i="18" s="1"/>
  <c r="D409" i="14"/>
  <c r="D405" i="18" s="1"/>
  <c r="D410" i="14"/>
  <c r="D406" i="18" s="1"/>
  <c r="D411" i="14"/>
  <c r="D407" i="18" s="1"/>
  <c r="D412" i="14"/>
  <c r="D408" i="18" s="1"/>
  <c r="D413" i="14"/>
  <c r="D409" i="18" s="1"/>
  <c r="D414" i="14"/>
  <c r="D410" i="18" s="1"/>
  <c r="D415" i="14"/>
  <c r="D411" i="18" s="1"/>
  <c r="D416" i="14"/>
  <c r="D412" i="18" s="1"/>
  <c r="D417" i="14"/>
  <c r="D413" i="18" s="1"/>
  <c r="D418" i="14"/>
  <c r="D414" i="18" s="1"/>
  <c r="D419" i="14"/>
  <c r="D415" i="18" s="1"/>
  <c r="D420" i="14"/>
  <c r="D416" i="18" s="1"/>
  <c r="D421" i="14"/>
  <c r="D417" i="18" s="1"/>
  <c r="D422" i="14"/>
  <c r="D418" i="18" s="1"/>
  <c r="D423" i="14"/>
  <c r="D419" i="18" s="1"/>
  <c r="D424" i="14"/>
  <c r="D420" i="18" s="1"/>
  <c r="D425" i="14"/>
  <c r="D421" i="18" s="1"/>
  <c r="D426" i="14"/>
  <c r="D422" i="18" s="1"/>
  <c r="D427" i="14"/>
  <c r="D423" i="18" s="1"/>
  <c r="D428" i="14"/>
  <c r="D424" i="18" s="1"/>
  <c r="D429" i="14"/>
  <c r="D425" i="18" s="1"/>
  <c r="D430" i="14"/>
  <c r="D426" i="18" s="1"/>
  <c r="D431" i="14"/>
  <c r="D427" i="18" s="1"/>
  <c r="D432" i="14"/>
  <c r="D428" i="18" s="1"/>
  <c r="D433" i="14"/>
  <c r="D429" i="18" s="1"/>
  <c r="D434" i="14"/>
  <c r="D430" i="18" s="1"/>
  <c r="D435" i="14"/>
  <c r="D431" i="18" s="1"/>
  <c r="D436" i="14"/>
  <c r="D432" i="18" s="1"/>
  <c r="D437" i="14"/>
  <c r="D433" i="18" s="1"/>
  <c r="D438" i="14"/>
  <c r="D434" i="18" s="1"/>
  <c r="D439" i="14"/>
  <c r="D435" i="18" s="1"/>
  <c r="D440" i="14"/>
  <c r="D436" i="18" s="1"/>
  <c r="D441" i="14"/>
  <c r="D437" i="18" s="1"/>
  <c r="D442" i="14"/>
  <c r="D438" i="18" s="1"/>
  <c r="D443" i="14"/>
  <c r="D439" i="18" s="1"/>
  <c r="D444" i="14"/>
  <c r="D440" i="18" s="1"/>
  <c r="D445" i="14"/>
  <c r="D441" i="18" s="1"/>
  <c r="D446" i="14"/>
  <c r="D442" i="18" s="1"/>
  <c r="D447" i="14"/>
  <c r="D443" i="18" s="1"/>
  <c r="D448" i="14"/>
  <c r="D444" i="18" s="1"/>
  <c r="D449" i="14"/>
  <c r="D445" i="18" s="1"/>
  <c r="D450" i="14"/>
  <c r="D446" i="18" s="1"/>
  <c r="D451" i="14"/>
  <c r="D447" i="18" s="1"/>
  <c r="D452" i="14"/>
  <c r="D448" i="18" s="1"/>
  <c r="D453" i="14"/>
  <c r="D449" i="18" s="1"/>
  <c r="D454" i="14"/>
  <c r="D450" i="18" s="1"/>
  <c r="D455" i="14"/>
  <c r="D451" i="18" s="1"/>
  <c r="D456" i="14"/>
  <c r="D452" i="18" s="1"/>
  <c r="D457" i="14"/>
  <c r="D453" i="18" s="1"/>
  <c r="D458" i="14"/>
  <c r="D454" i="18" s="1"/>
  <c r="D459" i="14"/>
  <c r="D455" i="18" s="1"/>
  <c r="D460" i="14"/>
  <c r="D456" i="18" s="1"/>
  <c r="D461" i="14"/>
  <c r="D457" i="18" s="1"/>
  <c r="D462" i="14"/>
  <c r="D458" i="18" s="1"/>
  <c r="D463" i="14"/>
  <c r="D459" i="18" s="1"/>
  <c r="D464" i="14"/>
  <c r="D460" i="18" s="1"/>
  <c r="D465" i="14"/>
  <c r="D461" i="18" s="1"/>
  <c r="D466" i="14"/>
  <c r="D462" i="18" s="1"/>
  <c r="D467" i="14"/>
  <c r="D463" i="18" s="1"/>
  <c r="D468" i="14"/>
  <c r="D464" i="18" s="1"/>
  <c r="D469" i="14"/>
  <c r="D465" i="18" s="1"/>
  <c r="D470" i="14"/>
  <c r="D466" i="18" s="1"/>
  <c r="D471" i="14"/>
  <c r="D467" i="18" s="1"/>
  <c r="D472" i="14"/>
  <c r="D468" i="18" s="1"/>
  <c r="D473" i="14"/>
  <c r="D469" i="18" s="1"/>
  <c r="D474" i="14"/>
  <c r="D470" i="18" s="1"/>
  <c r="D475" i="14"/>
  <c r="D471" i="18" s="1"/>
  <c r="D476" i="14"/>
  <c r="D472" i="18" s="1"/>
  <c r="D477" i="14"/>
  <c r="D473" i="18" s="1"/>
  <c r="D478" i="14"/>
  <c r="D474" i="18" s="1"/>
  <c r="D479" i="14"/>
  <c r="D475" i="18" s="1"/>
  <c r="D480" i="14"/>
  <c r="D476" i="18" s="1"/>
  <c r="D481" i="14"/>
  <c r="D477" i="18" s="1"/>
  <c r="D482" i="14"/>
  <c r="D478" i="18" s="1"/>
  <c r="D483" i="14"/>
  <c r="D479" i="18" s="1"/>
  <c r="D484" i="14"/>
  <c r="D480" i="18" s="1"/>
  <c r="D485" i="14"/>
  <c r="D481" i="18" s="1"/>
  <c r="D486" i="14"/>
  <c r="D482" i="18" s="1"/>
  <c r="D487" i="14"/>
  <c r="D483" i="18" s="1"/>
  <c r="D488" i="14"/>
  <c r="D484" i="18" s="1"/>
  <c r="D489" i="14"/>
  <c r="D485" i="18" s="1"/>
  <c r="D490" i="14"/>
  <c r="D486" i="18" s="1"/>
  <c r="D491" i="14"/>
  <c r="D487" i="18" s="1"/>
  <c r="D492" i="14"/>
  <c r="D488" i="18" s="1"/>
  <c r="D493" i="14"/>
  <c r="D489" i="18" s="1"/>
  <c r="D494" i="14"/>
  <c r="D490" i="18" s="1"/>
  <c r="D495" i="14"/>
  <c r="D491" i="18" s="1"/>
  <c r="D496" i="14"/>
  <c r="D492" i="18" s="1"/>
  <c r="D497" i="14"/>
  <c r="D493" i="18" s="1"/>
  <c r="D498" i="14"/>
  <c r="D494" i="18" s="1"/>
  <c r="D499" i="14"/>
  <c r="D495" i="18" s="1"/>
  <c r="D500" i="14"/>
  <c r="D496" i="18" s="1"/>
  <c r="D501" i="14"/>
  <c r="D497" i="18" s="1"/>
  <c r="D502" i="14"/>
  <c r="D498" i="18" s="1"/>
  <c r="D503" i="14"/>
  <c r="D499" i="18" s="1"/>
  <c r="D504" i="14"/>
  <c r="D500" i="18" s="1"/>
  <c r="D505" i="14"/>
  <c r="D501" i="18" s="1"/>
  <c r="D506" i="14"/>
  <c r="D502" i="18" s="1"/>
  <c r="D507" i="14"/>
  <c r="D503" i="18" s="1"/>
  <c r="D508" i="14"/>
  <c r="D504" i="18" s="1"/>
  <c r="D509" i="14"/>
  <c r="D505" i="18" s="1"/>
  <c r="D510" i="14"/>
  <c r="D506" i="18" s="1"/>
  <c r="D511" i="14"/>
  <c r="D507" i="18" s="1"/>
  <c r="D512" i="14"/>
  <c r="D508" i="18" s="1"/>
  <c r="D513" i="14"/>
  <c r="D509" i="18" s="1"/>
  <c r="D514" i="14"/>
  <c r="D510" i="18" s="1"/>
  <c r="D515" i="14"/>
  <c r="D511" i="18" s="1"/>
  <c r="D516" i="14"/>
  <c r="D512" i="18" s="1"/>
  <c r="D517" i="14"/>
  <c r="D513" i="18" s="1"/>
  <c r="D518" i="14"/>
  <c r="D514" i="18" s="1"/>
  <c r="D519" i="14"/>
  <c r="D515" i="18" s="1"/>
  <c r="D520" i="14"/>
  <c r="D516" i="18" s="1"/>
  <c r="D521" i="14"/>
  <c r="D517" i="18" s="1"/>
  <c r="D522" i="14"/>
  <c r="D518" i="18" s="1"/>
  <c r="D523" i="14"/>
  <c r="D519" i="18" s="1"/>
  <c r="D524" i="14"/>
  <c r="D520" i="18" s="1"/>
  <c r="D525" i="14"/>
  <c r="D521" i="18" s="1"/>
  <c r="D526" i="14"/>
  <c r="D522" i="18" s="1"/>
  <c r="D527" i="14"/>
  <c r="D523" i="18" s="1"/>
  <c r="D528" i="14"/>
  <c r="D524" i="18" s="1"/>
  <c r="D529" i="14"/>
  <c r="D525" i="18" s="1"/>
  <c r="D530" i="14"/>
  <c r="D526" i="18" s="1"/>
  <c r="D531" i="14"/>
  <c r="D527" i="18" s="1"/>
  <c r="D532" i="14"/>
  <c r="D528" i="18" s="1"/>
  <c r="D533" i="14"/>
  <c r="D529" i="18" s="1"/>
  <c r="D534" i="14"/>
  <c r="D530" i="18" s="1"/>
  <c r="D535" i="14"/>
  <c r="D531" i="18" s="1"/>
  <c r="D536" i="14"/>
  <c r="D532" i="18" s="1"/>
  <c r="D537" i="14"/>
  <c r="D533" i="18" s="1"/>
  <c r="D538" i="14"/>
  <c r="D534" i="18" s="1"/>
  <c r="D539" i="14"/>
  <c r="D535" i="18" s="1"/>
  <c r="D540" i="14"/>
  <c r="D536" i="18" s="1"/>
  <c r="D541" i="14"/>
  <c r="D537" i="18" s="1"/>
  <c r="D542" i="14"/>
  <c r="D538" i="18" s="1"/>
  <c r="D543" i="14"/>
  <c r="D539" i="18" s="1"/>
  <c r="D544" i="14"/>
  <c r="D540" i="18" s="1"/>
  <c r="D545" i="14"/>
  <c r="D541" i="18" s="1"/>
  <c r="D546" i="14"/>
  <c r="D542" i="18" s="1"/>
  <c r="D547" i="14"/>
  <c r="D543" i="18" s="1"/>
  <c r="D548" i="14"/>
  <c r="D544" i="18" s="1"/>
  <c r="D549" i="14"/>
  <c r="D545" i="18" s="1"/>
  <c r="D550" i="14"/>
  <c r="D546" i="18" s="1"/>
  <c r="D551" i="14"/>
  <c r="D547" i="18" s="1"/>
  <c r="D552" i="14"/>
  <c r="D548" i="18" s="1"/>
  <c r="D553" i="14"/>
  <c r="D549" i="18" s="1"/>
  <c r="D554" i="14"/>
  <c r="D550" i="18" s="1"/>
  <c r="D555" i="14"/>
  <c r="D551" i="18" s="1"/>
  <c r="D556" i="14"/>
  <c r="D552" i="18" s="1"/>
  <c r="D557" i="14"/>
  <c r="D553" i="18" s="1"/>
  <c r="D558" i="14"/>
  <c r="D554" i="18" s="1"/>
  <c r="D559" i="14"/>
  <c r="D555" i="18" s="1"/>
  <c r="D560" i="14"/>
  <c r="D556" i="18" s="1"/>
  <c r="D561" i="14"/>
  <c r="D557" i="18" s="1"/>
  <c r="D562" i="14"/>
  <c r="D558" i="18" s="1"/>
  <c r="D563" i="14"/>
  <c r="D559" i="18" s="1"/>
  <c r="D564" i="14"/>
  <c r="D560" i="18" s="1"/>
  <c r="D565" i="14"/>
  <c r="D561" i="18" s="1"/>
  <c r="D566" i="14"/>
  <c r="D562" i="18" s="1"/>
  <c r="D567" i="14"/>
  <c r="D563" i="18" s="1"/>
  <c r="D568" i="14"/>
  <c r="D564" i="18" s="1"/>
  <c r="D569" i="14"/>
  <c r="D565" i="18" s="1"/>
  <c r="D570" i="14"/>
  <c r="D566" i="18" s="1"/>
  <c r="D571" i="14"/>
  <c r="D567" i="18" s="1"/>
  <c r="D572" i="14"/>
  <c r="D568" i="18" s="1"/>
  <c r="D573" i="14"/>
  <c r="D569" i="18" s="1"/>
  <c r="D574" i="14"/>
  <c r="D570" i="18" s="1"/>
  <c r="D575" i="14"/>
  <c r="D571" i="18" s="1"/>
  <c r="D576" i="14"/>
  <c r="D572" i="18" s="1"/>
  <c r="D577" i="14"/>
  <c r="D573" i="18" s="1"/>
  <c r="D578" i="14"/>
  <c r="D574" i="18" s="1"/>
  <c r="D579" i="14"/>
  <c r="D575" i="18" s="1"/>
  <c r="D580" i="14"/>
  <c r="D576" i="18" s="1"/>
  <c r="D581" i="14"/>
  <c r="D577" i="18" s="1"/>
  <c r="D582" i="14"/>
  <c r="D578" i="18" s="1"/>
  <c r="D583" i="14"/>
  <c r="D579" i="18" s="1"/>
  <c r="D584" i="14"/>
  <c r="D580" i="18" s="1"/>
  <c r="D585" i="14"/>
  <c r="D581" i="18" s="1"/>
  <c r="D586" i="14"/>
  <c r="D582" i="18" s="1"/>
  <c r="D587" i="14"/>
  <c r="D583" i="18" s="1"/>
  <c r="D588" i="14"/>
  <c r="D584" i="18" s="1"/>
  <c r="D589" i="14"/>
  <c r="D585" i="18" s="1"/>
  <c r="D590" i="14"/>
  <c r="D586" i="18" s="1"/>
  <c r="D591" i="14"/>
  <c r="D587" i="18" s="1"/>
  <c r="D592" i="14"/>
  <c r="D588" i="18" s="1"/>
  <c r="D593" i="14"/>
  <c r="D589" i="18" s="1"/>
  <c r="D594" i="14"/>
  <c r="D590" i="18" s="1"/>
  <c r="D595" i="14"/>
  <c r="D591" i="18" s="1"/>
  <c r="D596" i="14"/>
  <c r="D592" i="18" s="1"/>
  <c r="D597" i="14"/>
  <c r="D593" i="18" s="1"/>
  <c r="D598" i="14"/>
  <c r="D594" i="18" s="1"/>
  <c r="D599" i="14"/>
  <c r="D595" i="18" s="1"/>
  <c r="D600" i="14"/>
  <c r="D596" i="18" s="1"/>
  <c r="D601" i="14"/>
  <c r="D597" i="18" s="1"/>
  <c r="D602" i="14"/>
  <c r="D598" i="18" s="1"/>
  <c r="D603" i="14"/>
  <c r="D599" i="18" s="1"/>
  <c r="D604" i="14"/>
  <c r="D600" i="18" s="1"/>
  <c r="D605" i="14"/>
  <c r="D601" i="18" s="1"/>
  <c r="D606" i="14"/>
  <c r="D602" i="18" s="1"/>
  <c r="D607" i="14"/>
  <c r="D603" i="18" s="1"/>
  <c r="D608" i="14"/>
  <c r="D604" i="18" s="1"/>
  <c r="D609" i="14"/>
  <c r="D605" i="18" s="1"/>
  <c r="D610" i="14"/>
  <c r="D606" i="18" s="1"/>
  <c r="D611" i="14"/>
  <c r="D607" i="18" s="1"/>
  <c r="D612" i="14"/>
  <c r="D608" i="18" s="1"/>
  <c r="D613" i="14"/>
  <c r="D609" i="18" s="1"/>
  <c r="D614" i="14"/>
  <c r="D610" i="18" s="1"/>
  <c r="D615" i="14"/>
  <c r="D611" i="18" s="1"/>
  <c r="D616" i="14"/>
  <c r="D612" i="18" s="1"/>
  <c r="D617" i="14"/>
  <c r="D613" i="18" s="1"/>
  <c r="D618" i="14"/>
  <c r="D614" i="18" s="1"/>
  <c r="D619" i="14"/>
  <c r="D615" i="18" s="1"/>
  <c r="D620" i="14"/>
  <c r="D616" i="18" s="1"/>
  <c r="D621" i="14"/>
  <c r="D617" i="18" s="1"/>
  <c r="D622" i="14"/>
  <c r="D618" i="18" s="1"/>
  <c r="D623" i="14"/>
  <c r="D619" i="18" s="1"/>
  <c r="D624" i="14"/>
  <c r="D620" i="18" s="1"/>
  <c r="D625" i="14"/>
  <c r="D621" i="18" s="1"/>
  <c r="D626" i="14"/>
  <c r="D622" i="18" s="1"/>
  <c r="D627" i="14"/>
  <c r="D623" i="18" s="1"/>
  <c r="D628" i="14"/>
  <c r="D624" i="18" s="1"/>
  <c r="D629" i="14"/>
  <c r="D625" i="18" s="1"/>
  <c r="D630" i="14"/>
  <c r="D626" i="18" s="1"/>
  <c r="D631" i="14"/>
  <c r="D627" i="18" s="1"/>
  <c r="D632" i="14"/>
  <c r="D628" i="18" s="1"/>
  <c r="D633" i="14"/>
  <c r="D629" i="18" s="1"/>
  <c r="D634" i="14"/>
  <c r="D630" i="18" s="1"/>
  <c r="D635" i="14"/>
  <c r="D631" i="18" s="1"/>
  <c r="D636" i="14"/>
  <c r="D632" i="18" s="1"/>
  <c r="D637" i="14"/>
  <c r="D633" i="18" s="1"/>
  <c r="D638" i="14"/>
  <c r="D634" i="18" s="1"/>
  <c r="D639" i="14"/>
  <c r="D635" i="18" s="1"/>
  <c r="D640" i="14"/>
  <c r="D636" i="18" s="1"/>
  <c r="D641" i="14"/>
  <c r="D637" i="18" s="1"/>
  <c r="D642" i="14"/>
  <c r="D638" i="18" s="1"/>
  <c r="D643" i="14"/>
  <c r="D639" i="18" s="1"/>
  <c r="D644" i="14"/>
  <c r="D640" i="18" s="1"/>
  <c r="D645" i="14"/>
  <c r="D641" i="18" s="1"/>
  <c r="D646" i="14"/>
  <c r="D642" i="18" s="1"/>
  <c r="D647" i="14"/>
  <c r="D643" i="18" s="1"/>
  <c r="D648" i="14"/>
  <c r="D644" i="18" s="1"/>
  <c r="D649" i="14"/>
  <c r="D645" i="18" s="1"/>
  <c r="D650" i="14"/>
  <c r="D646" i="18" s="1"/>
  <c r="D651" i="14"/>
  <c r="D647" i="18" s="1"/>
  <c r="D652" i="14"/>
  <c r="D648" i="18" s="1"/>
  <c r="D653" i="14"/>
  <c r="D649" i="18" s="1"/>
  <c r="D654" i="14"/>
  <c r="D650" i="18" s="1"/>
  <c r="D655" i="14"/>
  <c r="D651" i="18" s="1"/>
  <c r="D656" i="14"/>
  <c r="D652" i="18" s="1"/>
  <c r="D657" i="14"/>
  <c r="D653" i="18" s="1"/>
  <c r="D658" i="14"/>
  <c r="D654" i="18" s="1"/>
  <c r="D659" i="14"/>
  <c r="D655" i="18" s="1"/>
  <c r="D660" i="14"/>
  <c r="D656" i="18" s="1"/>
  <c r="D661" i="14"/>
  <c r="D657" i="18" s="1"/>
  <c r="D662" i="14"/>
  <c r="D658" i="18" s="1"/>
  <c r="D663" i="14"/>
  <c r="D659" i="18" s="1"/>
  <c r="D664" i="14"/>
  <c r="D660" i="18" s="1"/>
  <c r="D665" i="14"/>
  <c r="D661" i="18" s="1"/>
  <c r="D666" i="14"/>
  <c r="D662" i="18" s="1"/>
  <c r="D667" i="14"/>
  <c r="D663" i="18" s="1"/>
  <c r="D668" i="14"/>
  <c r="D664" i="18" s="1"/>
  <c r="D669" i="14"/>
  <c r="D665" i="18" s="1"/>
  <c r="D670" i="14"/>
  <c r="D666" i="18" s="1"/>
  <c r="D671" i="14"/>
  <c r="D667" i="18" s="1"/>
  <c r="D672" i="14"/>
  <c r="D668" i="18" s="1"/>
  <c r="D673" i="14"/>
  <c r="D669" i="18" s="1"/>
  <c r="D674" i="14"/>
  <c r="D670" i="18" s="1"/>
  <c r="D675" i="14"/>
  <c r="D671" i="18" s="1"/>
  <c r="D676" i="14"/>
  <c r="D672" i="18" s="1"/>
  <c r="D677" i="14"/>
  <c r="D673" i="18" s="1"/>
  <c r="D678" i="14"/>
  <c r="D674" i="18" s="1"/>
  <c r="D679" i="14"/>
  <c r="D675" i="18" s="1"/>
  <c r="D680" i="14"/>
  <c r="D676" i="18" s="1"/>
  <c r="D681" i="14"/>
  <c r="D677" i="18" s="1"/>
  <c r="D682" i="14"/>
  <c r="D678" i="18" s="1"/>
  <c r="D683" i="14"/>
  <c r="D679" i="18" s="1"/>
  <c r="D684" i="14"/>
  <c r="D680" i="18" s="1"/>
  <c r="D685" i="14"/>
  <c r="D681" i="18" s="1"/>
  <c r="D686" i="14"/>
  <c r="D682" i="18" s="1"/>
  <c r="D687" i="14"/>
  <c r="D683" i="18" s="1"/>
  <c r="D688" i="14"/>
  <c r="D684" i="18" s="1"/>
  <c r="D689" i="14"/>
  <c r="D685" i="18" s="1"/>
  <c r="D690" i="14"/>
  <c r="D686" i="18" s="1"/>
  <c r="D691" i="14"/>
  <c r="D687" i="18" s="1"/>
  <c r="D692" i="14"/>
  <c r="D688" i="18" s="1"/>
  <c r="D693" i="14"/>
  <c r="D689" i="18" s="1"/>
  <c r="D694" i="14"/>
  <c r="D690" i="18" s="1"/>
  <c r="D695" i="14"/>
  <c r="D691" i="18" s="1"/>
  <c r="D696" i="14"/>
  <c r="D692" i="18" s="1"/>
  <c r="D697" i="14"/>
  <c r="D693" i="18" s="1"/>
  <c r="D698" i="14"/>
  <c r="D694" i="18" s="1"/>
  <c r="D699" i="14"/>
  <c r="D695" i="18" s="1"/>
  <c r="D700" i="14"/>
  <c r="D696" i="18" s="1"/>
  <c r="D701" i="14"/>
  <c r="D697" i="18" s="1"/>
  <c r="D702" i="14"/>
  <c r="D698" i="18" s="1"/>
  <c r="D703" i="14"/>
  <c r="D699" i="18" s="1"/>
  <c r="D704" i="14"/>
  <c r="D700" i="18" s="1"/>
  <c r="D705" i="14"/>
  <c r="D701" i="18" s="1"/>
  <c r="D706" i="14"/>
  <c r="D702" i="18" s="1"/>
  <c r="D707" i="14"/>
  <c r="D703" i="18" s="1"/>
  <c r="D708" i="14"/>
  <c r="D704" i="18" s="1"/>
  <c r="D709" i="14"/>
  <c r="D705" i="18" s="1"/>
  <c r="D710" i="14"/>
  <c r="D706" i="18" s="1"/>
  <c r="D711" i="14"/>
  <c r="D707" i="18" s="1"/>
  <c r="D712" i="14"/>
  <c r="D708" i="18" s="1"/>
  <c r="D713" i="14"/>
  <c r="D709" i="18" s="1"/>
  <c r="D714" i="14"/>
  <c r="D710" i="18" s="1"/>
  <c r="D715" i="14"/>
  <c r="D711" i="18" s="1"/>
  <c r="D716" i="14"/>
  <c r="D712" i="18" s="1"/>
  <c r="D717" i="14"/>
  <c r="D713" i="18" s="1"/>
  <c r="D718" i="14"/>
  <c r="D714" i="18" s="1"/>
  <c r="D719" i="14"/>
  <c r="D715" i="18" s="1"/>
  <c r="D720" i="14"/>
  <c r="D716" i="18" s="1"/>
  <c r="D721" i="14"/>
  <c r="D717" i="18" s="1"/>
  <c r="D722" i="14"/>
  <c r="D718" i="18" s="1"/>
  <c r="D723" i="14"/>
  <c r="D719" i="18" s="1"/>
  <c r="D724" i="14"/>
  <c r="D720" i="18" s="1"/>
  <c r="D725" i="14"/>
  <c r="D721" i="18" s="1"/>
  <c r="D726" i="14"/>
  <c r="D722" i="18" s="1"/>
  <c r="D727" i="14"/>
  <c r="D723" i="18" s="1"/>
  <c r="D728" i="14"/>
  <c r="D724" i="18" s="1"/>
  <c r="D729" i="14"/>
  <c r="D725" i="18" s="1"/>
  <c r="D730" i="14"/>
  <c r="D726" i="18" s="1"/>
  <c r="D731" i="14"/>
  <c r="D727" i="18" s="1"/>
  <c r="D732" i="14"/>
  <c r="D728" i="18" s="1"/>
  <c r="D733" i="14"/>
  <c r="D729" i="18" s="1"/>
  <c r="D734" i="14"/>
  <c r="D730" i="18" s="1"/>
  <c r="D735" i="14"/>
  <c r="D731" i="18" s="1"/>
  <c r="D736" i="14"/>
  <c r="D732" i="18" s="1"/>
  <c r="D737" i="14"/>
  <c r="D733" i="18" s="1"/>
  <c r="D738" i="14"/>
  <c r="D734" i="18" s="1"/>
  <c r="D739" i="14"/>
  <c r="D735" i="18" s="1"/>
  <c r="D740" i="14"/>
  <c r="D736" i="18" s="1"/>
  <c r="D741" i="14"/>
  <c r="D737" i="18" s="1"/>
  <c r="D742" i="14"/>
  <c r="D738" i="18" s="1"/>
  <c r="D743" i="14"/>
  <c r="D739" i="18" s="1"/>
  <c r="D744" i="14"/>
  <c r="D740" i="18" s="1"/>
  <c r="D745" i="14"/>
  <c r="D741" i="18" s="1"/>
  <c r="D746" i="14"/>
  <c r="D742" i="18" s="1"/>
  <c r="D747" i="14"/>
  <c r="D743" i="18" s="1"/>
  <c r="D748" i="14"/>
  <c r="D744" i="18" s="1"/>
  <c r="D749" i="14"/>
  <c r="D745" i="18" s="1"/>
  <c r="D750" i="14"/>
  <c r="D746" i="18" s="1"/>
  <c r="D751" i="14"/>
  <c r="D747" i="18" s="1"/>
  <c r="D752" i="14"/>
  <c r="D748" i="18" s="1"/>
  <c r="D753" i="14"/>
  <c r="D749" i="18" s="1"/>
  <c r="D754" i="14"/>
  <c r="D750" i="18" s="1"/>
  <c r="D755" i="14"/>
  <c r="D751" i="18" s="1"/>
  <c r="D756" i="14"/>
  <c r="D752" i="18" s="1"/>
  <c r="D757" i="14"/>
  <c r="D753" i="18" s="1"/>
  <c r="D758" i="14"/>
  <c r="D754" i="18" s="1"/>
  <c r="D759" i="14"/>
  <c r="D755" i="18" s="1"/>
  <c r="D760" i="14"/>
  <c r="D756" i="18" s="1"/>
  <c r="D761" i="14"/>
  <c r="D757" i="18" s="1"/>
  <c r="D762" i="14"/>
  <c r="D758" i="18" s="1"/>
  <c r="D763" i="14"/>
  <c r="D759" i="18" s="1"/>
  <c r="D764" i="14"/>
  <c r="D760" i="18" s="1"/>
  <c r="D765" i="14"/>
  <c r="D761" i="18" s="1"/>
  <c r="D766" i="14"/>
  <c r="D762" i="18" s="1"/>
  <c r="D767" i="14"/>
  <c r="D763" i="18" s="1"/>
  <c r="D768" i="14"/>
  <c r="D764" i="18" s="1"/>
  <c r="D769" i="14"/>
  <c r="D765" i="18" s="1"/>
  <c r="D770" i="14"/>
  <c r="D766" i="18" s="1"/>
  <c r="D771" i="14"/>
  <c r="D767" i="18" s="1"/>
  <c r="D772" i="14"/>
  <c r="D768" i="18" s="1"/>
  <c r="D773" i="14"/>
  <c r="D769" i="18" s="1"/>
  <c r="D774" i="14"/>
  <c r="D770" i="18" s="1"/>
  <c r="D775" i="14"/>
  <c r="D771" i="18" s="1"/>
  <c r="D776" i="14"/>
  <c r="D772" i="18" s="1"/>
  <c r="D777" i="14"/>
  <c r="D773" i="18" s="1"/>
  <c r="D778" i="14"/>
  <c r="D774" i="18" s="1"/>
  <c r="D779" i="14"/>
  <c r="D775" i="18" s="1"/>
  <c r="D780" i="14"/>
  <c r="D776" i="18" s="1"/>
  <c r="D781" i="14"/>
  <c r="D777" i="18" s="1"/>
  <c r="D782" i="14"/>
  <c r="D778" i="18" s="1"/>
  <c r="D783" i="14"/>
  <c r="D779" i="18" s="1"/>
  <c r="D784" i="14"/>
  <c r="D780" i="18" s="1"/>
  <c r="D785" i="14"/>
  <c r="D781" i="18" s="1"/>
  <c r="D786" i="14"/>
  <c r="D782" i="18" s="1"/>
  <c r="D787" i="14"/>
  <c r="D783" i="18" s="1"/>
  <c r="D788" i="14"/>
  <c r="D784" i="18" s="1"/>
  <c r="D789" i="14"/>
  <c r="D785" i="18" s="1"/>
  <c r="D790" i="14"/>
  <c r="D786" i="18" s="1"/>
  <c r="D791" i="14"/>
  <c r="D787" i="18" s="1"/>
  <c r="D792" i="14"/>
  <c r="D788" i="18" s="1"/>
  <c r="D793" i="14"/>
  <c r="D789" i="18" s="1"/>
  <c r="D794" i="14"/>
  <c r="D790" i="18" s="1"/>
  <c r="D795" i="14"/>
  <c r="D791" i="18" s="1"/>
  <c r="D796" i="14"/>
  <c r="D792" i="18" s="1"/>
  <c r="D797" i="14"/>
  <c r="D793" i="18" s="1"/>
  <c r="D798" i="14"/>
  <c r="D794" i="18" s="1"/>
  <c r="D799" i="14"/>
  <c r="D795" i="18" s="1"/>
  <c r="D800" i="14"/>
  <c r="D796" i="18" s="1"/>
  <c r="D801" i="14"/>
  <c r="D797" i="18" s="1"/>
  <c r="D802" i="14"/>
  <c r="D798" i="18" s="1"/>
  <c r="D803" i="14"/>
  <c r="D799" i="18" s="1"/>
  <c r="D804" i="14"/>
  <c r="D800" i="18" s="1"/>
  <c r="D805" i="14"/>
  <c r="D801" i="18" s="1"/>
  <c r="D806" i="14"/>
  <c r="D802" i="18" s="1"/>
  <c r="D807" i="14"/>
  <c r="D803" i="18" s="1"/>
  <c r="D808" i="14"/>
  <c r="D804" i="18" s="1"/>
  <c r="D809" i="14"/>
  <c r="D805" i="18" s="1"/>
  <c r="D810" i="14"/>
  <c r="D806" i="18" s="1"/>
  <c r="D811" i="14"/>
  <c r="D807" i="18" s="1"/>
  <c r="D812" i="14"/>
  <c r="D808" i="18" s="1"/>
  <c r="D813" i="14"/>
  <c r="D809" i="18" s="1"/>
  <c r="D814" i="14"/>
  <c r="D810" i="18" s="1"/>
  <c r="D815" i="14"/>
  <c r="D811" i="18" s="1"/>
  <c r="D816" i="14"/>
  <c r="D812" i="18" s="1"/>
  <c r="D817" i="14"/>
  <c r="D813" i="18" s="1"/>
  <c r="D818" i="14"/>
  <c r="D814" i="18" s="1"/>
  <c r="D819" i="14"/>
  <c r="D815" i="18" s="1"/>
  <c r="D820" i="14"/>
  <c r="D816" i="18" s="1"/>
  <c r="D821" i="14"/>
  <c r="D817" i="18" s="1"/>
  <c r="D822" i="14"/>
  <c r="D818" i="18" s="1"/>
  <c r="D823" i="14"/>
  <c r="D819" i="18" s="1"/>
  <c r="D824" i="14"/>
  <c r="D820" i="18" s="1"/>
  <c r="D825" i="14"/>
  <c r="D821" i="18" s="1"/>
  <c r="D826" i="14"/>
  <c r="D822" i="18" s="1"/>
  <c r="D827" i="14"/>
  <c r="D823" i="18" s="1"/>
  <c r="D828" i="14"/>
  <c r="D824" i="18" s="1"/>
  <c r="D829" i="14"/>
  <c r="D825" i="18" s="1"/>
  <c r="D830" i="14"/>
  <c r="D826" i="18" s="1"/>
  <c r="D831" i="14"/>
  <c r="D827" i="18" s="1"/>
  <c r="D832" i="14"/>
  <c r="D828" i="18" s="1"/>
  <c r="D833" i="14"/>
  <c r="D829" i="18" s="1"/>
  <c r="D834" i="14"/>
  <c r="D830" i="18" s="1"/>
  <c r="D835" i="14"/>
  <c r="D831" i="18" s="1"/>
  <c r="D836" i="14"/>
  <c r="D832" i="18" s="1"/>
  <c r="D837" i="14"/>
  <c r="D833" i="18" s="1"/>
  <c r="D838" i="14"/>
  <c r="D834" i="18" s="1"/>
  <c r="D839" i="14"/>
  <c r="D835" i="18" s="1"/>
  <c r="D840" i="14"/>
  <c r="D836" i="18" s="1"/>
  <c r="D841" i="14"/>
  <c r="D837" i="18" s="1"/>
  <c r="D842" i="14"/>
  <c r="D838" i="18" s="1"/>
  <c r="D843" i="14"/>
  <c r="D839" i="18" s="1"/>
  <c r="D844" i="14"/>
  <c r="D840" i="18" s="1"/>
  <c r="D845" i="14"/>
  <c r="D841" i="18" s="1"/>
  <c r="D846" i="14"/>
  <c r="D842" i="18" s="1"/>
  <c r="D847" i="14"/>
  <c r="D843" i="18" s="1"/>
  <c r="D848" i="14"/>
  <c r="D844" i="18" s="1"/>
  <c r="D849" i="14"/>
  <c r="D845" i="18" s="1"/>
  <c r="D850" i="14"/>
  <c r="D846" i="18" s="1"/>
  <c r="D851" i="14"/>
  <c r="D847" i="18" s="1"/>
  <c r="D852" i="14"/>
  <c r="D848" i="18" s="1"/>
  <c r="D853" i="14"/>
  <c r="D849" i="18" s="1"/>
  <c r="D854" i="14"/>
  <c r="D850" i="18" s="1"/>
  <c r="D855" i="14"/>
  <c r="D851" i="18" s="1"/>
  <c r="D856" i="14"/>
  <c r="D852" i="18" s="1"/>
  <c r="D857" i="14"/>
  <c r="D853" i="18" s="1"/>
  <c r="D858" i="14"/>
  <c r="D854" i="18" s="1"/>
  <c r="D859" i="14"/>
  <c r="D855" i="18" s="1"/>
  <c r="D860" i="14"/>
  <c r="D856" i="18" s="1"/>
  <c r="D861" i="14"/>
  <c r="D857" i="18" s="1"/>
  <c r="D862" i="14"/>
  <c r="D858" i="18" s="1"/>
  <c r="D863" i="14"/>
  <c r="D859" i="18" s="1"/>
  <c r="D864" i="14"/>
  <c r="D860" i="18" s="1"/>
  <c r="D865" i="14"/>
  <c r="D861" i="18" s="1"/>
  <c r="D866" i="14"/>
  <c r="D862" i="18" s="1"/>
  <c r="D867" i="14"/>
  <c r="D863" i="18" s="1"/>
  <c r="D868" i="14"/>
  <c r="D864" i="18" s="1"/>
  <c r="D869" i="14"/>
  <c r="D865" i="18" s="1"/>
  <c r="D870" i="14"/>
  <c r="D866" i="18" s="1"/>
  <c r="D871" i="14"/>
  <c r="D867" i="18" s="1"/>
  <c r="D872" i="14"/>
  <c r="D868" i="18" s="1"/>
  <c r="D873" i="14"/>
  <c r="D869" i="18" s="1"/>
  <c r="D874" i="14"/>
  <c r="D870" i="18" s="1"/>
  <c r="D875" i="14"/>
  <c r="D871" i="18" s="1"/>
  <c r="D876" i="14"/>
  <c r="D872" i="18" s="1"/>
  <c r="D877" i="14"/>
  <c r="D873" i="18" s="1"/>
  <c r="D878" i="14"/>
  <c r="D874" i="18" s="1"/>
  <c r="D879" i="14"/>
  <c r="D875" i="18" s="1"/>
  <c r="D880" i="14"/>
  <c r="D876" i="18" s="1"/>
  <c r="D881" i="14"/>
  <c r="D877" i="18" s="1"/>
  <c r="D882" i="14"/>
  <c r="D878" i="18" s="1"/>
  <c r="D883" i="14"/>
  <c r="D879" i="18" s="1"/>
  <c r="D884" i="14"/>
  <c r="D880" i="18" s="1"/>
  <c r="D885" i="14"/>
  <c r="D881" i="18" s="1"/>
  <c r="D886" i="14"/>
  <c r="D882" i="18" s="1"/>
  <c r="D887" i="14"/>
  <c r="D883" i="18" s="1"/>
  <c r="D888" i="14"/>
  <c r="D884" i="18" s="1"/>
  <c r="D889" i="14"/>
  <c r="D885" i="18" s="1"/>
  <c r="D890" i="14"/>
  <c r="D886" i="18" s="1"/>
  <c r="D891" i="14"/>
  <c r="D887" i="18" s="1"/>
  <c r="D892" i="14"/>
  <c r="D888" i="18" s="1"/>
  <c r="D893" i="14"/>
  <c r="D889" i="18" s="1"/>
  <c r="D894" i="14"/>
  <c r="D890" i="18" s="1"/>
  <c r="D895" i="14"/>
  <c r="D891" i="18" s="1"/>
  <c r="D896" i="14"/>
  <c r="D892" i="18" s="1"/>
  <c r="D897" i="14"/>
  <c r="D893" i="18" s="1"/>
  <c r="D898" i="14"/>
  <c r="D894" i="18" s="1"/>
  <c r="D899" i="14"/>
  <c r="D895" i="18" s="1"/>
  <c r="D900" i="14"/>
  <c r="D896" i="18" s="1"/>
  <c r="D901" i="14"/>
  <c r="D897" i="18" s="1"/>
  <c r="D902" i="14"/>
  <c r="D898" i="18" s="1"/>
  <c r="D903" i="14"/>
  <c r="D899" i="18" s="1"/>
  <c r="D904" i="14"/>
  <c r="D900" i="18" s="1"/>
  <c r="D905" i="14"/>
  <c r="D901" i="18" s="1"/>
  <c r="D906" i="14"/>
  <c r="D902" i="18" s="1"/>
  <c r="D907" i="14"/>
  <c r="D903" i="18" s="1"/>
  <c r="D908" i="14"/>
  <c r="D904" i="18" s="1"/>
  <c r="D909" i="14"/>
  <c r="D905" i="18" s="1"/>
  <c r="D910" i="14"/>
  <c r="D906" i="18" s="1"/>
  <c r="D911" i="14"/>
  <c r="D907" i="18" s="1"/>
  <c r="D912" i="14"/>
  <c r="D908" i="18" s="1"/>
  <c r="D913" i="14"/>
  <c r="D909" i="18" s="1"/>
  <c r="D914" i="14"/>
  <c r="D910" i="18" s="1"/>
  <c r="D915" i="14"/>
  <c r="D911" i="18" s="1"/>
  <c r="D916" i="14"/>
  <c r="D912" i="18" s="1"/>
  <c r="D917" i="14"/>
  <c r="D913" i="18" s="1"/>
  <c r="D918" i="14"/>
  <c r="D914" i="18" s="1"/>
  <c r="D919" i="14"/>
  <c r="D915" i="18" s="1"/>
  <c r="D920" i="14"/>
  <c r="D916" i="18" s="1"/>
  <c r="D921" i="14"/>
  <c r="D917" i="18" s="1"/>
  <c r="D922" i="14"/>
  <c r="D918" i="18" s="1"/>
  <c r="D923" i="14"/>
  <c r="D919" i="18" s="1"/>
  <c r="D924" i="14"/>
  <c r="D920" i="18" s="1"/>
  <c r="D925" i="14"/>
  <c r="D921" i="18" s="1"/>
  <c r="D926" i="14"/>
  <c r="D922" i="18" s="1"/>
  <c r="D927" i="14"/>
  <c r="D923" i="18" s="1"/>
  <c r="D928" i="14"/>
  <c r="D924" i="18" s="1"/>
  <c r="D929" i="14"/>
  <c r="D925" i="18" s="1"/>
  <c r="D930" i="14"/>
  <c r="D926" i="18" s="1"/>
  <c r="D931" i="14"/>
  <c r="D927" i="18" s="1"/>
  <c r="D932" i="14"/>
  <c r="D928" i="18" s="1"/>
  <c r="D933" i="14"/>
  <c r="D929" i="18" s="1"/>
  <c r="D934" i="14"/>
  <c r="D930" i="18" s="1"/>
  <c r="D935" i="14"/>
  <c r="D931" i="18" s="1"/>
  <c r="D936" i="14"/>
  <c r="D932" i="18" s="1"/>
  <c r="D937" i="14"/>
  <c r="D933" i="18" s="1"/>
  <c r="D938" i="14"/>
  <c r="D934" i="18" s="1"/>
  <c r="D939" i="14"/>
  <c r="D935" i="18" s="1"/>
  <c r="D940" i="14"/>
  <c r="D936" i="18" s="1"/>
  <c r="D941" i="14"/>
  <c r="D937" i="18" s="1"/>
  <c r="D942" i="14"/>
  <c r="D938" i="18" s="1"/>
  <c r="D943" i="14"/>
  <c r="D939" i="18" s="1"/>
  <c r="D944" i="14"/>
  <c r="D940" i="18" s="1"/>
  <c r="D945" i="14"/>
  <c r="D941" i="18" s="1"/>
  <c r="D946" i="14"/>
  <c r="D942" i="18" s="1"/>
  <c r="D947" i="14"/>
  <c r="D943" i="18" s="1"/>
  <c r="D948" i="14"/>
  <c r="D944" i="18" s="1"/>
  <c r="D949" i="14"/>
  <c r="D945" i="18" s="1"/>
  <c r="D950" i="14"/>
  <c r="D946" i="18" s="1"/>
  <c r="D951" i="14"/>
  <c r="D947" i="18" s="1"/>
  <c r="D952" i="14"/>
  <c r="D948" i="18" s="1"/>
  <c r="D953" i="14"/>
  <c r="D949" i="18" s="1"/>
  <c r="D954" i="14"/>
  <c r="D950" i="18" s="1"/>
  <c r="D955" i="14"/>
  <c r="D951" i="18" s="1"/>
  <c r="D956" i="14"/>
  <c r="D952" i="18" s="1"/>
  <c r="D957" i="14"/>
  <c r="D953" i="18" s="1"/>
  <c r="D958" i="14"/>
  <c r="D954" i="18" s="1"/>
  <c r="D959" i="14"/>
  <c r="D955" i="18" s="1"/>
  <c r="D960" i="14"/>
  <c r="D956" i="18" s="1"/>
  <c r="D961" i="14"/>
  <c r="D957" i="18" s="1"/>
  <c r="D962" i="14"/>
  <c r="D958" i="18" s="1"/>
  <c r="D963" i="14"/>
  <c r="D959" i="18" s="1"/>
  <c r="D964" i="14"/>
  <c r="D960" i="18" s="1"/>
  <c r="D965" i="14"/>
  <c r="D961" i="18" s="1"/>
  <c r="D966" i="14"/>
  <c r="D962" i="18" s="1"/>
  <c r="D967" i="14"/>
  <c r="D963" i="18" s="1"/>
  <c r="D968" i="14"/>
  <c r="D964" i="18" s="1"/>
  <c r="D969" i="14"/>
  <c r="D965" i="18" s="1"/>
  <c r="D970" i="14"/>
  <c r="D966" i="18" s="1"/>
  <c r="D971" i="14"/>
  <c r="D967" i="18" s="1"/>
  <c r="D972" i="14"/>
  <c r="D968" i="18" s="1"/>
  <c r="D973" i="14"/>
  <c r="D969" i="18" s="1"/>
  <c r="D974" i="14"/>
  <c r="D970" i="18" s="1"/>
  <c r="D975" i="14"/>
  <c r="D971" i="18" s="1"/>
  <c r="D976" i="14"/>
  <c r="D972" i="18" s="1"/>
  <c r="D977" i="14"/>
  <c r="D973" i="18" s="1"/>
  <c r="D978" i="14"/>
  <c r="D974" i="18" s="1"/>
  <c r="D979" i="14"/>
  <c r="D975" i="18" s="1"/>
  <c r="D980" i="14"/>
  <c r="D976" i="18" s="1"/>
  <c r="D981" i="14"/>
  <c r="D977" i="18" s="1"/>
  <c r="D982" i="14"/>
  <c r="D978" i="18" s="1"/>
  <c r="D983" i="14"/>
  <c r="D979" i="18" s="1"/>
  <c r="D984" i="14"/>
  <c r="D980" i="18" s="1"/>
  <c r="D985" i="14"/>
  <c r="D981" i="18" s="1"/>
  <c r="D986" i="14"/>
  <c r="D982" i="18" s="1"/>
  <c r="D987" i="14"/>
  <c r="D983" i="18" s="1"/>
  <c r="D988" i="14"/>
  <c r="D984" i="18" s="1"/>
  <c r="D989" i="14"/>
  <c r="D985" i="18" s="1"/>
  <c r="D990" i="14"/>
  <c r="D986" i="18" s="1"/>
  <c r="D991" i="14"/>
  <c r="D987" i="18" s="1"/>
  <c r="D992" i="14"/>
  <c r="D988" i="18" s="1"/>
  <c r="D993" i="14"/>
  <c r="D989" i="18" s="1"/>
  <c r="D994" i="14"/>
  <c r="D990" i="18" s="1"/>
  <c r="D995" i="14"/>
  <c r="D991" i="18" s="1"/>
  <c r="D996" i="14"/>
  <c r="D992" i="18" s="1"/>
  <c r="D997" i="14"/>
  <c r="D993" i="18" s="1"/>
  <c r="D998" i="14"/>
  <c r="D994" i="18" s="1"/>
  <c r="D999" i="14"/>
  <c r="D995" i="18" s="1"/>
  <c r="D1000" i="14"/>
  <c r="D996" i="18" s="1"/>
  <c r="D1001" i="14"/>
  <c r="D997" i="18" s="1"/>
  <c r="D1002" i="14"/>
  <c r="D998" i="18" s="1"/>
  <c r="D1003" i="14"/>
  <c r="D999" i="18" s="1"/>
  <c r="D1004" i="14"/>
  <c r="D1000" i="18" s="1"/>
  <c r="D1005" i="14"/>
  <c r="D1001" i="18" s="1"/>
  <c r="D1006" i="14"/>
  <c r="D1002" i="18" s="1"/>
  <c r="D1007" i="14"/>
  <c r="D1003" i="18" s="1"/>
  <c r="D1008" i="14"/>
  <c r="D1004" i="18" s="1"/>
  <c r="D1009" i="14"/>
  <c r="D1005" i="18" s="1"/>
  <c r="D1010" i="14"/>
  <c r="D1006" i="18" s="1"/>
  <c r="D1011" i="14"/>
  <c r="D1007" i="18" s="1"/>
  <c r="D1012" i="14"/>
  <c r="D1008" i="18" s="1"/>
  <c r="D1013" i="14"/>
  <c r="D1009" i="18" s="1"/>
  <c r="D1014" i="14"/>
  <c r="D1010" i="18" s="1"/>
  <c r="D1015" i="14"/>
  <c r="D1011" i="18" s="1"/>
  <c r="D1016" i="14"/>
  <c r="D1012" i="18" s="1"/>
  <c r="D1017" i="14"/>
  <c r="D1013" i="18" s="1"/>
  <c r="D1018" i="14"/>
  <c r="D1014" i="18" s="1"/>
  <c r="D1019" i="14"/>
  <c r="D1015" i="18" s="1"/>
  <c r="D1020" i="14"/>
  <c r="D1016" i="18" s="1"/>
  <c r="D1021" i="14"/>
  <c r="D1017" i="18" s="1"/>
  <c r="D1022" i="14"/>
  <c r="D1018" i="18" s="1"/>
  <c r="D1023" i="14"/>
  <c r="D1019" i="18" s="1"/>
  <c r="D1024" i="14"/>
  <c r="D1020" i="18" s="1"/>
  <c r="D1025" i="14"/>
  <c r="D1021" i="18" s="1"/>
  <c r="D1026" i="14"/>
  <c r="D1022" i="18" s="1"/>
  <c r="D1027" i="14"/>
  <c r="D1023" i="18" s="1"/>
  <c r="D1028" i="14"/>
  <c r="D1024" i="18" s="1"/>
  <c r="D1029" i="14"/>
  <c r="D1025" i="18" s="1"/>
  <c r="D1030" i="14"/>
  <c r="D1026" i="18" s="1"/>
  <c r="D1031" i="14"/>
  <c r="D1027" i="18" s="1"/>
  <c r="D1032" i="14"/>
  <c r="D1028" i="18" s="1"/>
  <c r="D1033" i="14"/>
  <c r="D1029" i="18" s="1"/>
  <c r="D1034" i="14"/>
  <c r="D1030" i="18" s="1"/>
  <c r="D1035" i="14"/>
  <c r="D1031" i="18" s="1"/>
  <c r="D1036" i="14"/>
  <c r="D1032" i="18" s="1"/>
  <c r="D1037" i="14"/>
  <c r="D1033" i="18" s="1"/>
  <c r="D1038" i="14"/>
  <c r="D1034" i="18" s="1"/>
  <c r="D1039" i="14"/>
  <c r="D1035" i="18" s="1"/>
  <c r="D1040" i="14"/>
  <c r="D1036" i="18" s="1"/>
  <c r="D1041" i="14"/>
  <c r="D1037" i="18" s="1"/>
  <c r="D1042" i="14"/>
  <c r="D1038" i="18" s="1"/>
  <c r="D1043" i="14"/>
  <c r="D1039" i="18" s="1"/>
  <c r="D1044" i="14"/>
  <c r="D1040" i="18" s="1"/>
  <c r="D1045" i="14"/>
  <c r="D1041" i="18" s="1"/>
  <c r="D1046" i="14"/>
  <c r="D1042" i="18" s="1"/>
  <c r="D1047" i="14"/>
  <c r="D1043" i="18" s="1"/>
  <c r="D1048" i="14"/>
  <c r="D1044" i="18" s="1"/>
  <c r="D1049" i="14"/>
  <c r="D1045" i="18" s="1"/>
  <c r="D1050" i="14"/>
  <c r="D1046" i="18" s="1"/>
  <c r="D1051" i="14"/>
  <c r="D1047" i="18" s="1"/>
  <c r="D1052" i="14"/>
  <c r="D1048" i="18" s="1"/>
  <c r="D1053" i="14"/>
  <c r="D1049" i="18" s="1"/>
  <c r="D1054" i="14"/>
  <c r="D1050" i="18" s="1"/>
  <c r="D1055" i="14"/>
  <c r="D1051" i="18" s="1"/>
  <c r="D1056" i="14"/>
  <c r="D1052" i="18" s="1"/>
  <c r="D1057" i="14"/>
  <c r="D1053" i="18" s="1"/>
  <c r="D1058" i="14"/>
  <c r="D1054" i="18" s="1"/>
  <c r="D1059" i="14"/>
  <c r="D1055" i="18" s="1"/>
  <c r="D1060" i="14"/>
  <c r="D1056" i="18" s="1"/>
  <c r="D1061" i="14"/>
  <c r="D1057" i="18" s="1"/>
  <c r="D1062" i="14"/>
  <c r="D1058" i="18" s="1"/>
  <c r="D1063" i="14"/>
  <c r="D1059" i="18" s="1"/>
  <c r="D1064" i="14"/>
  <c r="D1060" i="18" s="1"/>
  <c r="D1065" i="14"/>
  <c r="D1061" i="18" s="1"/>
  <c r="D1066" i="14"/>
  <c r="D1062" i="18" s="1"/>
  <c r="D1067" i="14"/>
  <c r="D1063" i="18" s="1"/>
  <c r="D1068" i="14"/>
  <c r="D1064" i="18" s="1"/>
  <c r="D1069" i="14"/>
  <c r="D1065" i="18" s="1"/>
  <c r="D1070" i="14"/>
  <c r="D1066" i="18" s="1"/>
  <c r="D1071" i="14"/>
  <c r="D1067" i="18" s="1"/>
  <c r="D1072" i="14"/>
  <c r="D1068" i="18" s="1"/>
  <c r="D1073" i="14"/>
  <c r="D1069" i="18" s="1"/>
  <c r="D1074" i="14"/>
  <c r="D1070" i="18" s="1"/>
  <c r="D1075" i="14"/>
  <c r="D1071" i="18" s="1"/>
  <c r="D1076" i="14"/>
  <c r="D1072" i="18" s="1"/>
  <c r="D1077" i="14"/>
  <c r="D1073" i="18" s="1"/>
  <c r="D1078" i="14"/>
  <c r="D1074" i="18" s="1"/>
  <c r="D1079" i="14"/>
  <c r="D1075" i="18" s="1"/>
  <c r="D1080" i="14"/>
  <c r="D1076" i="18" s="1"/>
  <c r="D1081" i="14"/>
  <c r="D1077" i="18" s="1"/>
  <c r="D1082" i="14"/>
  <c r="D1078" i="18" s="1"/>
  <c r="D1083" i="14"/>
  <c r="D1079" i="18" s="1"/>
  <c r="D1084" i="14"/>
  <c r="D1080" i="18" s="1"/>
  <c r="D1085" i="14"/>
  <c r="D1081" i="18" s="1"/>
  <c r="D1086" i="14"/>
  <c r="D1082" i="18" s="1"/>
  <c r="D1087" i="14"/>
  <c r="D1083" i="18" s="1"/>
  <c r="D1088" i="14"/>
  <c r="D1084" i="18" s="1"/>
  <c r="D1089" i="14"/>
  <c r="D1085" i="18" s="1"/>
  <c r="D1090" i="14"/>
  <c r="D1086" i="18" s="1"/>
  <c r="D1091" i="14"/>
  <c r="D1087" i="18" s="1"/>
  <c r="D1092" i="14"/>
  <c r="D1088" i="18" s="1"/>
  <c r="D1093" i="14"/>
  <c r="D1089" i="18" s="1"/>
  <c r="D1094" i="14"/>
  <c r="D1090" i="18" s="1"/>
  <c r="D1095" i="14"/>
  <c r="D1091" i="18" s="1"/>
  <c r="D1096" i="14"/>
  <c r="D1092" i="18" s="1"/>
  <c r="D1097" i="14"/>
  <c r="D1093" i="18" s="1"/>
  <c r="D1098" i="14"/>
  <c r="D1094" i="18" s="1"/>
  <c r="D1099" i="14"/>
  <c r="D1095" i="18" s="1"/>
  <c r="D1100" i="14"/>
  <c r="D1096" i="18" s="1"/>
  <c r="D1101" i="14"/>
  <c r="D1097" i="18" s="1"/>
  <c r="D1102" i="14"/>
  <c r="D1098" i="18" s="1"/>
  <c r="D1103" i="14"/>
  <c r="D1099" i="18" s="1"/>
  <c r="D1104" i="14"/>
  <c r="D1100" i="18" s="1"/>
  <c r="D1105" i="14"/>
  <c r="D1101" i="18" s="1"/>
  <c r="D1106" i="14"/>
  <c r="D1102" i="18" s="1"/>
  <c r="D1107" i="14"/>
  <c r="D1103" i="18" s="1"/>
  <c r="D1108" i="14"/>
  <c r="D1104" i="18" s="1"/>
  <c r="D1109" i="14"/>
  <c r="D1105" i="18" s="1"/>
  <c r="D1110" i="14"/>
  <c r="D1106" i="18" s="1"/>
  <c r="D6" i="14"/>
  <c r="D2" i="18" s="1"/>
  <c r="J7" i="14"/>
  <c r="J3" i="18" s="1"/>
  <c r="J8" i="14"/>
  <c r="J4" i="18" s="1"/>
  <c r="J9" i="14"/>
  <c r="J5" i="18" s="1"/>
  <c r="J10" i="14"/>
  <c r="J6" i="18" s="1"/>
  <c r="J11" i="14"/>
  <c r="J7" i="18" s="1"/>
  <c r="J12" i="14"/>
  <c r="J8" i="18" s="1"/>
  <c r="J13" i="14"/>
  <c r="J9" i="18" s="1"/>
  <c r="J14" i="14"/>
  <c r="J10" i="18" s="1"/>
  <c r="J15" i="14"/>
  <c r="J11" i="18" s="1"/>
  <c r="J16" i="14"/>
  <c r="J12" i="18" s="1"/>
  <c r="J17" i="14"/>
  <c r="J13" i="18" s="1"/>
  <c r="J18" i="14"/>
  <c r="J14" i="18" s="1"/>
  <c r="J19" i="14"/>
  <c r="J15" i="18" s="1"/>
  <c r="J20" i="14"/>
  <c r="J16" i="18" s="1"/>
  <c r="J21" i="14"/>
  <c r="J17" i="18" s="1"/>
  <c r="J22" i="14"/>
  <c r="J18" i="18" s="1"/>
  <c r="J23" i="14"/>
  <c r="J19" i="18" s="1"/>
  <c r="J24" i="14"/>
  <c r="J20" i="18" s="1"/>
  <c r="J25" i="14"/>
  <c r="J21" i="18" s="1"/>
  <c r="J26" i="14"/>
  <c r="J22" i="18" s="1"/>
  <c r="J27" i="14"/>
  <c r="J23" i="18" s="1"/>
  <c r="J28" i="14"/>
  <c r="J24" i="18" s="1"/>
  <c r="J29" i="14"/>
  <c r="J25" i="18" s="1"/>
  <c r="J30" i="14"/>
  <c r="J26" i="18" s="1"/>
  <c r="J31" i="14"/>
  <c r="J27" i="18" s="1"/>
  <c r="J32" i="14"/>
  <c r="J28" i="18" s="1"/>
  <c r="J33" i="14"/>
  <c r="J29" i="18" s="1"/>
  <c r="J34" i="14"/>
  <c r="J30" i="18" s="1"/>
  <c r="J35" i="14"/>
  <c r="J31" i="18" s="1"/>
  <c r="J36" i="14"/>
  <c r="J32" i="18" s="1"/>
  <c r="J37" i="14"/>
  <c r="J33" i="18" s="1"/>
  <c r="J38" i="14"/>
  <c r="J34" i="18" s="1"/>
  <c r="J39" i="14"/>
  <c r="J35" i="18" s="1"/>
  <c r="J40" i="14"/>
  <c r="J36" i="18" s="1"/>
  <c r="J41" i="14"/>
  <c r="J37" i="18" s="1"/>
  <c r="J42" i="14"/>
  <c r="J38" i="18" s="1"/>
  <c r="J43" i="14"/>
  <c r="J39" i="18" s="1"/>
  <c r="J44" i="14"/>
  <c r="J40" i="18" s="1"/>
  <c r="J45" i="14"/>
  <c r="J41" i="18" s="1"/>
  <c r="J46" i="14"/>
  <c r="J42" i="18" s="1"/>
  <c r="J47" i="14"/>
  <c r="J43" i="18" s="1"/>
  <c r="J48" i="14"/>
  <c r="J44" i="18" s="1"/>
  <c r="J49" i="14"/>
  <c r="J45" i="18" s="1"/>
  <c r="J50" i="14"/>
  <c r="J46" i="18" s="1"/>
  <c r="J51" i="14"/>
  <c r="J47" i="18" s="1"/>
  <c r="J52" i="14"/>
  <c r="J48" i="18" s="1"/>
  <c r="J53" i="14"/>
  <c r="J49" i="18" s="1"/>
  <c r="J54" i="14"/>
  <c r="J50" i="18" s="1"/>
  <c r="J55" i="14"/>
  <c r="J51" i="18" s="1"/>
  <c r="J56" i="14"/>
  <c r="J52" i="18" s="1"/>
  <c r="J57" i="14"/>
  <c r="J53" i="18" s="1"/>
  <c r="J58" i="14"/>
  <c r="J54" i="18" s="1"/>
  <c r="J59" i="14"/>
  <c r="J55" i="18" s="1"/>
  <c r="J60" i="14"/>
  <c r="J56" i="18" s="1"/>
  <c r="J61" i="14"/>
  <c r="J57" i="18" s="1"/>
  <c r="J62" i="14"/>
  <c r="J58" i="18" s="1"/>
  <c r="J63" i="14"/>
  <c r="J59" i="18" s="1"/>
  <c r="J64" i="14"/>
  <c r="J60" i="18" s="1"/>
  <c r="J65" i="14"/>
  <c r="J61" i="18" s="1"/>
  <c r="J66" i="14"/>
  <c r="J62" i="18" s="1"/>
  <c r="J67" i="14"/>
  <c r="J63" i="18" s="1"/>
  <c r="J68" i="14"/>
  <c r="J64" i="18" s="1"/>
  <c r="J69" i="14"/>
  <c r="J65" i="18" s="1"/>
  <c r="J70" i="14"/>
  <c r="J66" i="18" s="1"/>
  <c r="J71" i="14"/>
  <c r="J67" i="18" s="1"/>
  <c r="J72" i="14"/>
  <c r="J68" i="18" s="1"/>
  <c r="J73" i="14"/>
  <c r="J69" i="18" s="1"/>
  <c r="J74" i="14"/>
  <c r="J70" i="18" s="1"/>
  <c r="J75" i="14"/>
  <c r="J71" i="18" s="1"/>
  <c r="J76" i="14"/>
  <c r="J72" i="18" s="1"/>
  <c r="J77" i="14"/>
  <c r="J73" i="18" s="1"/>
  <c r="J78" i="14"/>
  <c r="J74" i="18" s="1"/>
  <c r="J79" i="14"/>
  <c r="J75" i="18" s="1"/>
  <c r="J80" i="14"/>
  <c r="J76" i="18" s="1"/>
  <c r="J81" i="14"/>
  <c r="J77" i="18" s="1"/>
  <c r="J82" i="14"/>
  <c r="J78" i="18" s="1"/>
  <c r="J83" i="14"/>
  <c r="J79" i="18" s="1"/>
  <c r="J84" i="14"/>
  <c r="J80" i="18" s="1"/>
  <c r="J85" i="14"/>
  <c r="J81" i="18" s="1"/>
  <c r="J86" i="14"/>
  <c r="J82" i="18" s="1"/>
  <c r="J87" i="14"/>
  <c r="J83" i="18" s="1"/>
  <c r="J88" i="14"/>
  <c r="J84" i="18" s="1"/>
  <c r="J89" i="14"/>
  <c r="J85" i="18" s="1"/>
  <c r="J90" i="14"/>
  <c r="J86" i="18" s="1"/>
  <c r="J91" i="14"/>
  <c r="J87" i="18" s="1"/>
  <c r="J92" i="14"/>
  <c r="J88" i="18" s="1"/>
  <c r="J93" i="14"/>
  <c r="J89" i="18" s="1"/>
  <c r="J94" i="14"/>
  <c r="J90" i="18" s="1"/>
  <c r="J95" i="14"/>
  <c r="J91" i="18" s="1"/>
  <c r="J96" i="14"/>
  <c r="J92" i="18" s="1"/>
  <c r="J97" i="14"/>
  <c r="J93" i="18" s="1"/>
  <c r="J98" i="14"/>
  <c r="J94" i="18" s="1"/>
  <c r="J99" i="14"/>
  <c r="J95" i="18" s="1"/>
  <c r="J100" i="14"/>
  <c r="J96" i="18" s="1"/>
  <c r="J101" i="14"/>
  <c r="J97" i="18" s="1"/>
  <c r="J102" i="14"/>
  <c r="J98" i="18" s="1"/>
  <c r="J103" i="14"/>
  <c r="J99" i="18" s="1"/>
  <c r="J104" i="14"/>
  <c r="J100" i="18" s="1"/>
  <c r="J105" i="14"/>
  <c r="J101" i="18" s="1"/>
  <c r="J106" i="14"/>
  <c r="J102" i="18" s="1"/>
  <c r="J107" i="14"/>
  <c r="J103" i="18" s="1"/>
  <c r="J108" i="14"/>
  <c r="J104" i="18" s="1"/>
  <c r="J109" i="14"/>
  <c r="J105" i="18" s="1"/>
  <c r="J110" i="14"/>
  <c r="J106" i="18" s="1"/>
  <c r="J111" i="14"/>
  <c r="J107" i="18" s="1"/>
  <c r="J112" i="14"/>
  <c r="J108" i="18" s="1"/>
  <c r="J113" i="14"/>
  <c r="J109" i="18" s="1"/>
  <c r="J114" i="14"/>
  <c r="J110" i="18" s="1"/>
  <c r="J115" i="14"/>
  <c r="J111" i="18" s="1"/>
  <c r="J116" i="14"/>
  <c r="J112" i="18" s="1"/>
  <c r="J117" i="14"/>
  <c r="J113" i="18" s="1"/>
  <c r="J118" i="14"/>
  <c r="J114" i="18" s="1"/>
  <c r="J119" i="14"/>
  <c r="J115" i="18" s="1"/>
  <c r="J120" i="14"/>
  <c r="J116" i="18" s="1"/>
  <c r="J121" i="14"/>
  <c r="J117" i="18" s="1"/>
  <c r="J122" i="14"/>
  <c r="J118" i="18" s="1"/>
  <c r="J123" i="14"/>
  <c r="J119" i="18" s="1"/>
  <c r="J124" i="14"/>
  <c r="J120" i="18" s="1"/>
  <c r="J125" i="14"/>
  <c r="J121" i="18" s="1"/>
  <c r="J126" i="14"/>
  <c r="J122" i="18" s="1"/>
  <c r="J127" i="14"/>
  <c r="J123" i="18" s="1"/>
  <c r="J128" i="14"/>
  <c r="J124" i="18" s="1"/>
  <c r="J129" i="14"/>
  <c r="J125" i="18" s="1"/>
  <c r="J130" i="14"/>
  <c r="J126" i="18" s="1"/>
  <c r="J131" i="14"/>
  <c r="J127" i="18" s="1"/>
  <c r="J132" i="14"/>
  <c r="J128" i="18" s="1"/>
  <c r="J133" i="14"/>
  <c r="J129" i="18" s="1"/>
  <c r="J134" i="14"/>
  <c r="J130" i="18" s="1"/>
  <c r="J135" i="14"/>
  <c r="J131" i="18" s="1"/>
  <c r="J136" i="14"/>
  <c r="J132" i="18" s="1"/>
  <c r="J137" i="14"/>
  <c r="J133" i="18" s="1"/>
  <c r="J138" i="14"/>
  <c r="J134" i="18" s="1"/>
  <c r="J139" i="14"/>
  <c r="J135" i="18" s="1"/>
  <c r="J140" i="14"/>
  <c r="J136" i="18" s="1"/>
  <c r="J141" i="14"/>
  <c r="J137" i="18" s="1"/>
  <c r="J142" i="14"/>
  <c r="J138" i="18" s="1"/>
  <c r="J143" i="14"/>
  <c r="J139" i="18" s="1"/>
  <c r="J144" i="14"/>
  <c r="J140" i="18" s="1"/>
  <c r="J145" i="14"/>
  <c r="J141" i="18" s="1"/>
  <c r="J146" i="14"/>
  <c r="J142" i="18" s="1"/>
  <c r="J147" i="14"/>
  <c r="J143" i="18" s="1"/>
  <c r="J148" i="14"/>
  <c r="J144" i="18" s="1"/>
  <c r="J149" i="14"/>
  <c r="J145" i="18" s="1"/>
  <c r="J150" i="14"/>
  <c r="J146" i="18" s="1"/>
  <c r="J151" i="14"/>
  <c r="J147" i="18" s="1"/>
  <c r="J152" i="14"/>
  <c r="J148" i="18" s="1"/>
  <c r="J153" i="14"/>
  <c r="J149" i="18" s="1"/>
  <c r="J154" i="14"/>
  <c r="J150" i="18" s="1"/>
  <c r="J155" i="14"/>
  <c r="J151" i="18" s="1"/>
  <c r="J156" i="14"/>
  <c r="J152" i="18" s="1"/>
  <c r="J157" i="14"/>
  <c r="J153" i="18" s="1"/>
  <c r="J158" i="14"/>
  <c r="J154" i="18" s="1"/>
  <c r="J159" i="14"/>
  <c r="J155" i="18" s="1"/>
  <c r="J160" i="14"/>
  <c r="J156" i="18" s="1"/>
  <c r="J161" i="14"/>
  <c r="J157" i="18" s="1"/>
  <c r="J162" i="14"/>
  <c r="J158" i="18" s="1"/>
  <c r="J163" i="14"/>
  <c r="J159" i="18" s="1"/>
  <c r="J164" i="14"/>
  <c r="J160" i="18" s="1"/>
  <c r="J165" i="14"/>
  <c r="J161" i="18" s="1"/>
  <c r="J166" i="14"/>
  <c r="J162" i="18" s="1"/>
  <c r="J167" i="14"/>
  <c r="J163" i="18" s="1"/>
  <c r="J168" i="14"/>
  <c r="J164" i="18" s="1"/>
  <c r="J169" i="14"/>
  <c r="J165" i="18" s="1"/>
  <c r="J170" i="14"/>
  <c r="J166" i="18" s="1"/>
  <c r="J171" i="14"/>
  <c r="J167" i="18" s="1"/>
  <c r="J172" i="14"/>
  <c r="J168" i="18" s="1"/>
  <c r="J173" i="14"/>
  <c r="J169" i="18" s="1"/>
  <c r="J174" i="14"/>
  <c r="J170" i="18" s="1"/>
  <c r="J175" i="14"/>
  <c r="J171" i="18" s="1"/>
  <c r="J176" i="14"/>
  <c r="J172" i="18" s="1"/>
  <c r="J177" i="14"/>
  <c r="J173" i="18" s="1"/>
  <c r="J178" i="14"/>
  <c r="J174" i="18" s="1"/>
  <c r="J179" i="14"/>
  <c r="J175" i="18" s="1"/>
  <c r="J180" i="14"/>
  <c r="J176" i="18" s="1"/>
  <c r="J181" i="14"/>
  <c r="J177" i="18" s="1"/>
  <c r="J182" i="14"/>
  <c r="J178" i="18" s="1"/>
  <c r="J183" i="14"/>
  <c r="J179" i="18" s="1"/>
  <c r="J184" i="14"/>
  <c r="J180" i="18" s="1"/>
  <c r="J185" i="14"/>
  <c r="J181" i="18" s="1"/>
  <c r="J186" i="14"/>
  <c r="J182" i="18" s="1"/>
  <c r="J187" i="14"/>
  <c r="J183" i="18" s="1"/>
  <c r="J188" i="14"/>
  <c r="J184" i="18" s="1"/>
  <c r="J189" i="14"/>
  <c r="J185" i="18" s="1"/>
  <c r="J190" i="14"/>
  <c r="J186" i="18" s="1"/>
  <c r="J191" i="14"/>
  <c r="J187" i="18" s="1"/>
  <c r="J192" i="14"/>
  <c r="J188" i="18" s="1"/>
  <c r="J193" i="14"/>
  <c r="J189" i="18" s="1"/>
  <c r="J194" i="14"/>
  <c r="J190" i="18" s="1"/>
  <c r="J195" i="14"/>
  <c r="J191" i="18" s="1"/>
  <c r="J196" i="14"/>
  <c r="J192" i="18" s="1"/>
  <c r="J197" i="14"/>
  <c r="J193" i="18" s="1"/>
  <c r="J198" i="14"/>
  <c r="J194" i="18" s="1"/>
  <c r="J199" i="14"/>
  <c r="J195" i="18" s="1"/>
  <c r="J200" i="14"/>
  <c r="J196" i="18" s="1"/>
  <c r="J201" i="14"/>
  <c r="J197" i="18" s="1"/>
  <c r="J202" i="14"/>
  <c r="J198" i="18" s="1"/>
  <c r="J203" i="14"/>
  <c r="J199" i="18" s="1"/>
  <c r="J204" i="14"/>
  <c r="J200" i="18" s="1"/>
  <c r="J205" i="14"/>
  <c r="J201" i="18" s="1"/>
  <c r="J206" i="14"/>
  <c r="J202" i="18" s="1"/>
  <c r="J207" i="14"/>
  <c r="J203" i="18" s="1"/>
  <c r="J208" i="14"/>
  <c r="J204" i="18" s="1"/>
  <c r="J209" i="14"/>
  <c r="J205" i="18" s="1"/>
  <c r="J210" i="14"/>
  <c r="J206" i="18" s="1"/>
  <c r="J211" i="14"/>
  <c r="J207" i="18" s="1"/>
  <c r="J212" i="14"/>
  <c r="J208" i="18" s="1"/>
  <c r="J213" i="14"/>
  <c r="J209" i="18" s="1"/>
  <c r="J214" i="14"/>
  <c r="J210" i="18" s="1"/>
  <c r="J215" i="14"/>
  <c r="J211" i="18" s="1"/>
  <c r="J216" i="14"/>
  <c r="J212" i="18" s="1"/>
  <c r="J217" i="14"/>
  <c r="J213" i="18" s="1"/>
  <c r="J218" i="14"/>
  <c r="J214" i="18" s="1"/>
  <c r="J219" i="14"/>
  <c r="J215" i="18" s="1"/>
  <c r="J220" i="14"/>
  <c r="J216" i="18" s="1"/>
  <c r="J221" i="14"/>
  <c r="J217" i="18" s="1"/>
  <c r="J222" i="14"/>
  <c r="J218" i="18" s="1"/>
  <c r="J223" i="14"/>
  <c r="J219" i="18" s="1"/>
  <c r="J224" i="14"/>
  <c r="J220" i="18" s="1"/>
  <c r="J225" i="14"/>
  <c r="J221" i="18" s="1"/>
  <c r="J226" i="14"/>
  <c r="J222" i="18" s="1"/>
  <c r="J227" i="14"/>
  <c r="J223" i="18" s="1"/>
  <c r="J228" i="14"/>
  <c r="J224" i="18" s="1"/>
  <c r="J229" i="14"/>
  <c r="J225" i="18" s="1"/>
  <c r="J230" i="14"/>
  <c r="J226" i="18" s="1"/>
  <c r="J231" i="14"/>
  <c r="J227" i="18" s="1"/>
  <c r="J232" i="14"/>
  <c r="J228" i="18" s="1"/>
  <c r="J233" i="14"/>
  <c r="J229" i="18" s="1"/>
  <c r="J234" i="14"/>
  <c r="J230" i="18" s="1"/>
  <c r="J235" i="14"/>
  <c r="J231" i="18" s="1"/>
  <c r="J236" i="14"/>
  <c r="J232" i="18" s="1"/>
  <c r="J237" i="14"/>
  <c r="J233" i="18" s="1"/>
  <c r="J238" i="14"/>
  <c r="J234" i="18" s="1"/>
  <c r="J239" i="14"/>
  <c r="J235" i="18" s="1"/>
  <c r="J240" i="14"/>
  <c r="J236" i="18" s="1"/>
  <c r="J241" i="14"/>
  <c r="J237" i="18" s="1"/>
  <c r="J242" i="14"/>
  <c r="J238" i="18" s="1"/>
  <c r="J243" i="14"/>
  <c r="J239" i="18" s="1"/>
  <c r="J244" i="14"/>
  <c r="J240" i="18" s="1"/>
  <c r="J245" i="14"/>
  <c r="J241" i="18" s="1"/>
  <c r="J246" i="14"/>
  <c r="J242" i="18" s="1"/>
  <c r="J247" i="14"/>
  <c r="J243" i="18" s="1"/>
  <c r="J248" i="14"/>
  <c r="J244" i="18" s="1"/>
  <c r="J249" i="14"/>
  <c r="J245" i="18" s="1"/>
  <c r="J250" i="14"/>
  <c r="J246" i="18" s="1"/>
  <c r="J251" i="14"/>
  <c r="J247" i="18" s="1"/>
  <c r="J252" i="14"/>
  <c r="J248" i="18" s="1"/>
  <c r="J253" i="14"/>
  <c r="J249" i="18" s="1"/>
  <c r="J254" i="14"/>
  <c r="J250" i="18" s="1"/>
  <c r="J255" i="14"/>
  <c r="J251" i="18" s="1"/>
  <c r="J256" i="14"/>
  <c r="J252" i="18" s="1"/>
  <c r="J257" i="14"/>
  <c r="J253" i="18" s="1"/>
  <c r="J258" i="14"/>
  <c r="J254" i="18" s="1"/>
  <c r="J259" i="14"/>
  <c r="J255" i="18" s="1"/>
  <c r="J260" i="14"/>
  <c r="J256" i="18" s="1"/>
  <c r="J261" i="14"/>
  <c r="J257" i="18" s="1"/>
  <c r="J262" i="14"/>
  <c r="J258" i="18" s="1"/>
  <c r="J263" i="14"/>
  <c r="J259" i="18" s="1"/>
  <c r="J264" i="14"/>
  <c r="J260" i="18" s="1"/>
  <c r="J265" i="14"/>
  <c r="J261" i="18" s="1"/>
  <c r="J266" i="14"/>
  <c r="J262" i="18" s="1"/>
  <c r="J267" i="14"/>
  <c r="J263" i="18" s="1"/>
  <c r="J268" i="14"/>
  <c r="J264" i="18" s="1"/>
  <c r="J269" i="14"/>
  <c r="J265" i="18" s="1"/>
  <c r="J270" i="14"/>
  <c r="J266" i="18" s="1"/>
  <c r="J271" i="14"/>
  <c r="J267" i="18" s="1"/>
  <c r="J272" i="14"/>
  <c r="J268" i="18" s="1"/>
  <c r="J273" i="14"/>
  <c r="J269" i="18" s="1"/>
  <c r="J274" i="14"/>
  <c r="J270" i="18" s="1"/>
  <c r="J275" i="14"/>
  <c r="J271" i="18" s="1"/>
  <c r="J276" i="14"/>
  <c r="J272" i="18" s="1"/>
  <c r="J277" i="14"/>
  <c r="J273" i="18" s="1"/>
  <c r="J278" i="14"/>
  <c r="J274" i="18" s="1"/>
  <c r="J279" i="14"/>
  <c r="J275" i="18" s="1"/>
  <c r="J280" i="14"/>
  <c r="J276" i="18" s="1"/>
  <c r="J281" i="14"/>
  <c r="J277" i="18" s="1"/>
  <c r="J282" i="14"/>
  <c r="J278" i="18" s="1"/>
  <c r="J283" i="14"/>
  <c r="J279" i="18" s="1"/>
  <c r="J284" i="14"/>
  <c r="J280" i="18" s="1"/>
  <c r="J285" i="14"/>
  <c r="J281" i="18" s="1"/>
  <c r="J286" i="14"/>
  <c r="J282" i="18" s="1"/>
  <c r="J287" i="14"/>
  <c r="J283" i="18" s="1"/>
  <c r="J288" i="14"/>
  <c r="J284" i="18" s="1"/>
  <c r="J289" i="14"/>
  <c r="J285" i="18" s="1"/>
  <c r="J290" i="14"/>
  <c r="J286" i="18" s="1"/>
  <c r="J291" i="14"/>
  <c r="J287" i="18" s="1"/>
  <c r="J292" i="14"/>
  <c r="J288" i="18" s="1"/>
  <c r="J293" i="14"/>
  <c r="J289" i="18" s="1"/>
  <c r="J294" i="14"/>
  <c r="J290" i="18" s="1"/>
  <c r="J295" i="14"/>
  <c r="J291" i="18" s="1"/>
  <c r="J296" i="14"/>
  <c r="J292" i="18" s="1"/>
  <c r="J297" i="14"/>
  <c r="J293" i="18" s="1"/>
  <c r="J298" i="14"/>
  <c r="J294" i="18" s="1"/>
  <c r="J299" i="14"/>
  <c r="J295" i="18" s="1"/>
  <c r="J300" i="14"/>
  <c r="J296" i="18" s="1"/>
  <c r="J301" i="14"/>
  <c r="J297" i="18" s="1"/>
  <c r="J302" i="14"/>
  <c r="J298" i="18" s="1"/>
  <c r="J303" i="14"/>
  <c r="J299" i="18" s="1"/>
  <c r="J304" i="14"/>
  <c r="J300" i="18" s="1"/>
  <c r="J305" i="14"/>
  <c r="J301" i="18" s="1"/>
  <c r="J306" i="14"/>
  <c r="J302" i="18" s="1"/>
  <c r="J307" i="14"/>
  <c r="J303" i="18" s="1"/>
  <c r="J308" i="14"/>
  <c r="J304" i="18" s="1"/>
  <c r="J309" i="14"/>
  <c r="J305" i="18" s="1"/>
  <c r="J310" i="14"/>
  <c r="J306" i="18" s="1"/>
  <c r="J311" i="14"/>
  <c r="J307" i="18" s="1"/>
  <c r="J312" i="14"/>
  <c r="J308" i="18" s="1"/>
  <c r="J313" i="14"/>
  <c r="J309" i="18" s="1"/>
  <c r="J314" i="14"/>
  <c r="J310" i="18" s="1"/>
  <c r="J315" i="14"/>
  <c r="J311" i="18" s="1"/>
  <c r="J316" i="14"/>
  <c r="J312" i="18" s="1"/>
  <c r="J317" i="14"/>
  <c r="J313" i="18" s="1"/>
  <c r="J318" i="14"/>
  <c r="J314" i="18" s="1"/>
  <c r="J319" i="14"/>
  <c r="J315" i="18" s="1"/>
  <c r="J320" i="14"/>
  <c r="J316" i="18" s="1"/>
  <c r="J321" i="14"/>
  <c r="J317" i="18" s="1"/>
  <c r="J322" i="14"/>
  <c r="J318" i="18" s="1"/>
  <c r="J323" i="14"/>
  <c r="J319" i="18" s="1"/>
  <c r="J324" i="14"/>
  <c r="J320" i="18" s="1"/>
  <c r="J325" i="14"/>
  <c r="J321" i="18" s="1"/>
  <c r="J326" i="14"/>
  <c r="J322" i="18" s="1"/>
  <c r="J327" i="14"/>
  <c r="J323" i="18" s="1"/>
  <c r="J328" i="14"/>
  <c r="J324" i="18" s="1"/>
  <c r="J329" i="14"/>
  <c r="J325" i="18" s="1"/>
  <c r="J330" i="14"/>
  <c r="J326" i="18" s="1"/>
  <c r="J331" i="14"/>
  <c r="J327" i="18" s="1"/>
  <c r="J332" i="14"/>
  <c r="J328" i="18" s="1"/>
  <c r="J333" i="14"/>
  <c r="J329" i="18" s="1"/>
  <c r="J334" i="14"/>
  <c r="J330" i="18" s="1"/>
  <c r="J335" i="14"/>
  <c r="J331" i="18" s="1"/>
  <c r="J336" i="14"/>
  <c r="J332" i="18" s="1"/>
  <c r="J337" i="14"/>
  <c r="J333" i="18" s="1"/>
  <c r="J338" i="14"/>
  <c r="J334" i="18" s="1"/>
  <c r="J339" i="14"/>
  <c r="J335" i="18" s="1"/>
  <c r="J340" i="14"/>
  <c r="J336" i="18" s="1"/>
  <c r="J341" i="14"/>
  <c r="J337" i="18" s="1"/>
  <c r="J342" i="14"/>
  <c r="J338" i="18" s="1"/>
  <c r="J343" i="14"/>
  <c r="J339" i="18" s="1"/>
  <c r="J344" i="14"/>
  <c r="J340" i="18" s="1"/>
  <c r="J345" i="14"/>
  <c r="J341" i="18" s="1"/>
  <c r="J346" i="14"/>
  <c r="J342" i="18" s="1"/>
  <c r="J347" i="14"/>
  <c r="J343" i="18" s="1"/>
  <c r="J348" i="14"/>
  <c r="J344" i="18" s="1"/>
  <c r="J349" i="14"/>
  <c r="J345" i="18" s="1"/>
  <c r="J350" i="14"/>
  <c r="J346" i="18" s="1"/>
  <c r="J351" i="14"/>
  <c r="J347" i="18" s="1"/>
  <c r="J352" i="14"/>
  <c r="J348" i="18" s="1"/>
  <c r="J353" i="14"/>
  <c r="J349" i="18" s="1"/>
  <c r="J354" i="14"/>
  <c r="J350" i="18" s="1"/>
  <c r="J355" i="14"/>
  <c r="J351" i="18" s="1"/>
  <c r="J356" i="14"/>
  <c r="J352" i="18" s="1"/>
  <c r="J357" i="14"/>
  <c r="J353" i="18" s="1"/>
  <c r="J358" i="14"/>
  <c r="J354" i="18" s="1"/>
  <c r="J359" i="14"/>
  <c r="J355" i="18" s="1"/>
  <c r="J360" i="14"/>
  <c r="J356" i="18" s="1"/>
  <c r="J361" i="14"/>
  <c r="J357" i="18" s="1"/>
  <c r="J362" i="14"/>
  <c r="J358" i="18" s="1"/>
  <c r="J363" i="14"/>
  <c r="J359" i="18" s="1"/>
  <c r="J364" i="14"/>
  <c r="J360" i="18" s="1"/>
  <c r="J365" i="14"/>
  <c r="J361" i="18" s="1"/>
  <c r="J366" i="14"/>
  <c r="J362" i="18" s="1"/>
  <c r="J367" i="14"/>
  <c r="J363" i="18" s="1"/>
  <c r="J368" i="14"/>
  <c r="J364" i="18" s="1"/>
  <c r="J369" i="14"/>
  <c r="J365" i="18" s="1"/>
  <c r="J370" i="14"/>
  <c r="J366" i="18" s="1"/>
  <c r="J371" i="14"/>
  <c r="J367" i="18" s="1"/>
  <c r="J372" i="14"/>
  <c r="J368" i="18" s="1"/>
  <c r="J373" i="14"/>
  <c r="J369" i="18" s="1"/>
  <c r="J374" i="14"/>
  <c r="J370" i="18" s="1"/>
  <c r="J375" i="14"/>
  <c r="J371" i="18" s="1"/>
  <c r="J376" i="14"/>
  <c r="J372" i="18" s="1"/>
  <c r="J377" i="14"/>
  <c r="J373" i="18" s="1"/>
  <c r="J378" i="14"/>
  <c r="J374" i="18" s="1"/>
  <c r="J379" i="14"/>
  <c r="J375" i="18" s="1"/>
  <c r="J380" i="14"/>
  <c r="J376" i="18" s="1"/>
  <c r="J381" i="14"/>
  <c r="J377" i="18" s="1"/>
  <c r="J382" i="14"/>
  <c r="J378" i="18" s="1"/>
  <c r="J383" i="14"/>
  <c r="J379" i="18" s="1"/>
  <c r="J384" i="14"/>
  <c r="J380" i="18" s="1"/>
  <c r="J385" i="14"/>
  <c r="J381" i="18" s="1"/>
  <c r="J386" i="14"/>
  <c r="J382" i="18" s="1"/>
  <c r="J387" i="14"/>
  <c r="J383" i="18" s="1"/>
  <c r="J388" i="14"/>
  <c r="J384" i="18" s="1"/>
  <c r="J389" i="14"/>
  <c r="J385" i="18" s="1"/>
  <c r="J390" i="14"/>
  <c r="J386" i="18" s="1"/>
  <c r="J391" i="14"/>
  <c r="J387" i="18" s="1"/>
  <c r="J392" i="14"/>
  <c r="J388" i="18" s="1"/>
  <c r="J393" i="14"/>
  <c r="J389" i="18" s="1"/>
  <c r="J394" i="14"/>
  <c r="J390" i="18" s="1"/>
  <c r="J395" i="14"/>
  <c r="J391" i="18" s="1"/>
  <c r="J396" i="14"/>
  <c r="J392" i="18" s="1"/>
  <c r="J397" i="14"/>
  <c r="J393" i="18" s="1"/>
  <c r="J398" i="14"/>
  <c r="J394" i="18" s="1"/>
  <c r="J399" i="14"/>
  <c r="J395" i="18" s="1"/>
  <c r="J400" i="14"/>
  <c r="J396" i="18" s="1"/>
  <c r="J401" i="14"/>
  <c r="J397" i="18" s="1"/>
  <c r="J402" i="14"/>
  <c r="J398" i="18" s="1"/>
  <c r="J403" i="14"/>
  <c r="J399" i="18" s="1"/>
  <c r="J404" i="14"/>
  <c r="J400" i="18" s="1"/>
  <c r="J405" i="14"/>
  <c r="J401" i="18" s="1"/>
  <c r="J406" i="14"/>
  <c r="J402" i="18" s="1"/>
  <c r="J407" i="14"/>
  <c r="J403" i="18" s="1"/>
  <c r="J408" i="14"/>
  <c r="J404" i="18" s="1"/>
  <c r="J409" i="14"/>
  <c r="J405" i="18" s="1"/>
  <c r="J410" i="14"/>
  <c r="J406" i="18" s="1"/>
  <c r="J411" i="14"/>
  <c r="J407" i="18" s="1"/>
  <c r="J412" i="14"/>
  <c r="J408" i="18" s="1"/>
  <c r="J413" i="14"/>
  <c r="J409" i="18" s="1"/>
  <c r="J414" i="14"/>
  <c r="J410" i="18" s="1"/>
  <c r="J415" i="14"/>
  <c r="J411" i="18" s="1"/>
  <c r="J416" i="14"/>
  <c r="J412" i="18" s="1"/>
  <c r="J417" i="14"/>
  <c r="J413" i="18" s="1"/>
  <c r="J418" i="14"/>
  <c r="J414" i="18" s="1"/>
  <c r="J419" i="14"/>
  <c r="J415" i="18" s="1"/>
  <c r="J420" i="14"/>
  <c r="J416" i="18" s="1"/>
  <c r="J421" i="14"/>
  <c r="J417" i="18" s="1"/>
  <c r="J422" i="14"/>
  <c r="J418" i="18" s="1"/>
  <c r="J423" i="14"/>
  <c r="J419" i="18" s="1"/>
  <c r="J424" i="14"/>
  <c r="J420" i="18" s="1"/>
  <c r="J425" i="14"/>
  <c r="J421" i="18" s="1"/>
  <c r="J426" i="14"/>
  <c r="J422" i="18" s="1"/>
  <c r="J427" i="14"/>
  <c r="J423" i="18" s="1"/>
  <c r="J428" i="14"/>
  <c r="J424" i="18" s="1"/>
  <c r="J429" i="14"/>
  <c r="J425" i="18" s="1"/>
  <c r="J430" i="14"/>
  <c r="J426" i="18" s="1"/>
  <c r="J431" i="14"/>
  <c r="J427" i="18" s="1"/>
  <c r="J432" i="14"/>
  <c r="J428" i="18" s="1"/>
  <c r="J433" i="14"/>
  <c r="J429" i="18" s="1"/>
  <c r="J434" i="14"/>
  <c r="J430" i="18" s="1"/>
  <c r="J435" i="14"/>
  <c r="J431" i="18" s="1"/>
  <c r="J436" i="14"/>
  <c r="J432" i="18" s="1"/>
  <c r="J437" i="14"/>
  <c r="J433" i="18" s="1"/>
  <c r="J438" i="14"/>
  <c r="J434" i="18" s="1"/>
  <c r="J439" i="14"/>
  <c r="J435" i="18" s="1"/>
  <c r="J440" i="14"/>
  <c r="J436" i="18" s="1"/>
  <c r="J441" i="14"/>
  <c r="J437" i="18" s="1"/>
  <c r="J442" i="14"/>
  <c r="J438" i="18" s="1"/>
  <c r="J443" i="14"/>
  <c r="J439" i="18" s="1"/>
  <c r="J444" i="14"/>
  <c r="J440" i="18" s="1"/>
  <c r="J445" i="14"/>
  <c r="J441" i="18" s="1"/>
  <c r="J446" i="14"/>
  <c r="J442" i="18" s="1"/>
  <c r="J447" i="14"/>
  <c r="J443" i="18" s="1"/>
  <c r="J448" i="14"/>
  <c r="J444" i="18" s="1"/>
  <c r="J449" i="14"/>
  <c r="J445" i="18" s="1"/>
  <c r="J450" i="14"/>
  <c r="J446" i="18" s="1"/>
  <c r="J451" i="14"/>
  <c r="J447" i="18" s="1"/>
  <c r="J452" i="14"/>
  <c r="J448" i="18" s="1"/>
  <c r="J453" i="14"/>
  <c r="J449" i="18" s="1"/>
  <c r="J454" i="14"/>
  <c r="J450" i="18" s="1"/>
  <c r="J455" i="14"/>
  <c r="J451" i="18" s="1"/>
  <c r="J456" i="14"/>
  <c r="J452" i="18" s="1"/>
  <c r="J457" i="14"/>
  <c r="J453" i="18" s="1"/>
  <c r="J458" i="14"/>
  <c r="J454" i="18" s="1"/>
  <c r="J459" i="14"/>
  <c r="J455" i="18" s="1"/>
  <c r="J460" i="14"/>
  <c r="J456" i="18" s="1"/>
  <c r="J461" i="14"/>
  <c r="J457" i="18" s="1"/>
  <c r="J462" i="14"/>
  <c r="J458" i="18" s="1"/>
  <c r="J463" i="14"/>
  <c r="J459" i="18" s="1"/>
  <c r="J464" i="14"/>
  <c r="J460" i="18" s="1"/>
  <c r="J465" i="14"/>
  <c r="J461" i="18" s="1"/>
  <c r="J466" i="14"/>
  <c r="J462" i="18" s="1"/>
  <c r="J467" i="14"/>
  <c r="J463" i="18" s="1"/>
  <c r="J468" i="14"/>
  <c r="J464" i="18" s="1"/>
  <c r="J469" i="14"/>
  <c r="J465" i="18" s="1"/>
  <c r="J470" i="14"/>
  <c r="J466" i="18" s="1"/>
  <c r="J471" i="14"/>
  <c r="J467" i="18" s="1"/>
  <c r="J472" i="14"/>
  <c r="J468" i="18" s="1"/>
  <c r="J473" i="14"/>
  <c r="J469" i="18" s="1"/>
  <c r="J474" i="14"/>
  <c r="J470" i="18" s="1"/>
  <c r="J475" i="14"/>
  <c r="J471" i="18" s="1"/>
  <c r="J476" i="14"/>
  <c r="J472" i="18" s="1"/>
  <c r="J477" i="14"/>
  <c r="J473" i="18" s="1"/>
  <c r="J478" i="14"/>
  <c r="J474" i="18" s="1"/>
  <c r="J479" i="14"/>
  <c r="J475" i="18" s="1"/>
  <c r="J480" i="14"/>
  <c r="J476" i="18" s="1"/>
  <c r="J481" i="14"/>
  <c r="J477" i="18" s="1"/>
  <c r="J482" i="14"/>
  <c r="J478" i="18" s="1"/>
  <c r="J483" i="14"/>
  <c r="J479" i="18" s="1"/>
  <c r="J484" i="14"/>
  <c r="J480" i="18" s="1"/>
  <c r="J485" i="14"/>
  <c r="J481" i="18" s="1"/>
  <c r="J486" i="14"/>
  <c r="J482" i="18" s="1"/>
  <c r="J487" i="14"/>
  <c r="J483" i="18" s="1"/>
  <c r="J488" i="14"/>
  <c r="J484" i="18" s="1"/>
  <c r="J489" i="14"/>
  <c r="J485" i="18" s="1"/>
  <c r="J490" i="14"/>
  <c r="J486" i="18" s="1"/>
  <c r="J491" i="14"/>
  <c r="J487" i="18" s="1"/>
  <c r="J492" i="14"/>
  <c r="J488" i="18" s="1"/>
  <c r="J493" i="14"/>
  <c r="J489" i="18" s="1"/>
  <c r="J494" i="14"/>
  <c r="J490" i="18" s="1"/>
  <c r="J495" i="14"/>
  <c r="J491" i="18" s="1"/>
  <c r="J496" i="14"/>
  <c r="J492" i="18" s="1"/>
  <c r="J497" i="14"/>
  <c r="J493" i="18" s="1"/>
  <c r="J498" i="14"/>
  <c r="J494" i="18" s="1"/>
  <c r="J499" i="14"/>
  <c r="J495" i="18" s="1"/>
  <c r="J500" i="14"/>
  <c r="J496" i="18" s="1"/>
  <c r="J501" i="14"/>
  <c r="J497" i="18" s="1"/>
  <c r="J502" i="14"/>
  <c r="J498" i="18" s="1"/>
  <c r="J503" i="14"/>
  <c r="J499" i="18" s="1"/>
  <c r="J504" i="14"/>
  <c r="J500" i="18" s="1"/>
  <c r="J505" i="14"/>
  <c r="J501" i="18" s="1"/>
  <c r="J506" i="14"/>
  <c r="J502" i="18" s="1"/>
  <c r="J507" i="14"/>
  <c r="J503" i="18" s="1"/>
  <c r="J508" i="14"/>
  <c r="J504" i="18" s="1"/>
  <c r="J509" i="14"/>
  <c r="J505" i="18" s="1"/>
  <c r="J510" i="14"/>
  <c r="J506" i="18" s="1"/>
  <c r="J511" i="14"/>
  <c r="J507" i="18" s="1"/>
  <c r="J512" i="14"/>
  <c r="J508" i="18" s="1"/>
  <c r="J513" i="14"/>
  <c r="J509" i="18" s="1"/>
  <c r="J514" i="14"/>
  <c r="J510" i="18" s="1"/>
  <c r="J515" i="14"/>
  <c r="J511" i="18" s="1"/>
  <c r="J516" i="14"/>
  <c r="J512" i="18" s="1"/>
  <c r="J517" i="14"/>
  <c r="J513" i="18" s="1"/>
  <c r="J518" i="14"/>
  <c r="J514" i="18" s="1"/>
  <c r="J519" i="14"/>
  <c r="J515" i="18" s="1"/>
  <c r="J520" i="14"/>
  <c r="J516" i="18" s="1"/>
  <c r="J521" i="14"/>
  <c r="J517" i="18" s="1"/>
  <c r="J522" i="14"/>
  <c r="J518" i="18" s="1"/>
  <c r="J523" i="14"/>
  <c r="J519" i="18" s="1"/>
  <c r="J524" i="14"/>
  <c r="J520" i="18" s="1"/>
  <c r="J525" i="14"/>
  <c r="J521" i="18" s="1"/>
  <c r="J526" i="14"/>
  <c r="J522" i="18" s="1"/>
  <c r="J527" i="14"/>
  <c r="J523" i="18" s="1"/>
  <c r="J528" i="14"/>
  <c r="J524" i="18" s="1"/>
  <c r="J529" i="14"/>
  <c r="J525" i="18" s="1"/>
  <c r="J530" i="14"/>
  <c r="J526" i="18" s="1"/>
  <c r="J531" i="14"/>
  <c r="J527" i="18" s="1"/>
  <c r="J532" i="14"/>
  <c r="J528" i="18" s="1"/>
  <c r="J533" i="14"/>
  <c r="J529" i="18" s="1"/>
  <c r="J534" i="14"/>
  <c r="J530" i="18" s="1"/>
  <c r="J535" i="14"/>
  <c r="J531" i="18" s="1"/>
  <c r="J536" i="14"/>
  <c r="J532" i="18" s="1"/>
  <c r="J537" i="14"/>
  <c r="J533" i="18" s="1"/>
  <c r="J538" i="14"/>
  <c r="J534" i="18" s="1"/>
  <c r="J539" i="14"/>
  <c r="J535" i="18" s="1"/>
  <c r="J540" i="14"/>
  <c r="J536" i="18" s="1"/>
  <c r="J541" i="14"/>
  <c r="J537" i="18" s="1"/>
  <c r="J542" i="14"/>
  <c r="J538" i="18" s="1"/>
  <c r="J543" i="14"/>
  <c r="J539" i="18" s="1"/>
  <c r="J544" i="14"/>
  <c r="J540" i="18" s="1"/>
  <c r="J545" i="14"/>
  <c r="J541" i="18" s="1"/>
  <c r="J546" i="14"/>
  <c r="J542" i="18" s="1"/>
  <c r="J547" i="14"/>
  <c r="J543" i="18" s="1"/>
  <c r="J548" i="14"/>
  <c r="J544" i="18" s="1"/>
  <c r="J549" i="14"/>
  <c r="J545" i="18" s="1"/>
  <c r="J550" i="14"/>
  <c r="J546" i="18" s="1"/>
  <c r="J551" i="14"/>
  <c r="J547" i="18" s="1"/>
  <c r="J552" i="14"/>
  <c r="J548" i="18" s="1"/>
  <c r="J553" i="14"/>
  <c r="J549" i="18" s="1"/>
  <c r="J554" i="14"/>
  <c r="J550" i="18" s="1"/>
  <c r="J555" i="14"/>
  <c r="J551" i="18" s="1"/>
  <c r="J556" i="14"/>
  <c r="J552" i="18" s="1"/>
  <c r="J557" i="14"/>
  <c r="J553" i="18" s="1"/>
  <c r="J558" i="14"/>
  <c r="J554" i="18" s="1"/>
  <c r="J559" i="14"/>
  <c r="J555" i="18" s="1"/>
  <c r="J560" i="14"/>
  <c r="J556" i="18" s="1"/>
  <c r="J561" i="14"/>
  <c r="J557" i="18" s="1"/>
  <c r="J562" i="14"/>
  <c r="J558" i="18" s="1"/>
  <c r="J563" i="14"/>
  <c r="J559" i="18" s="1"/>
  <c r="J564" i="14"/>
  <c r="J560" i="18" s="1"/>
  <c r="J565" i="14"/>
  <c r="J561" i="18" s="1"/>
  <c r="J566" i="14"/>
  <c r="J562" i="18" s="1"/>
  <c r="J567" i="14"/>
  <c r="J563" i="18" s="1"/>
  <c r="J568" i="14"/>
  <c r="J564" i="18" s="1"/>
  <c r="J569" i="14"/>
  <c r="J565" i="18" s="1"/>
  <c r="J570" i="14"/>
  <c r="J566" i="18" s="1"/>
  <c r="J571" i="14"/>
  <c r="J567" i="18" s="1"/>
  <c r="J572" i="14"/>
  <c r="J568" i="18" s="1"/>
  <c r="J573" i="14"/>
  <c r="J569" i="18" s="1"/>
  <c r="J574" i="14"/>
  <c r="J570" i="18" s="1"/>
  <c r="J575" i="14"/>
  <c r="J571" i="18" s="1"/>
  <c r="J576" i="14"/>
  <c r="J572" i="18" s="1"/>
  <c r="J577" i="14"/>
  <c r="J573" i="18" s="1"/>
  <c r="J578" i="14"/>
  <c r="J574" i="18" s="1"/>
  <c r="J579" i="14"/>
  <c r="J575" i="18" s="1"/>
  <c r="J580" i="14"/>
  <c r="J576" i="18" s="1"/>
  <c r="J581" i="14"/>
  <c r="J577" i="18" s="1"/>
  <c r="J582" i="14"/>
  <c r="J578" i="18" s="1"/>
  <c r="J583" i="14"/>
  <c r="J579" i="18" s="1"/>
  <c r="J584" i="14"/>
  <c r="J580" i="18" s="1"/>
  <c r="J585" i="14"/>
  <c r="J581" i="18" s="1"/>
  <c r="J586" i="14"/>
  <c r="J582" i="18" s="1"/>
  <c r="J587" i="14"/>
  <c r="J583" i="18" s="1"/>
  <c r="J588" i="14"/>
  <c r="J584" i="18" s="1"/>
  <c r="J589" i="14"/>
  <c r="J585" i="18" s="1"/>
  <c r="J590" i="14"/>
  <c r="J586" i="18" s="1"/>
  <c r="J591" i="14"/>
  <c r="J587" i="18" s="1"/>
  <c r="J592" i="14"/>
  <c r="J588" i="18" s="1"/>
  <c r="J593" i="14"/>
  <c r="J589" i="18" s="1"/>
  <c r="J594" i="14"/>
  <c r="J590" i="18" s="1"/>
  <c r="J595" i="14"/>
  <c r="J591" i="18" s="1"/>
  <c r="J596" i="14"/>
  <c r="J592" i="18" s="1"/>
  <c r="J597" i="14"/>
  <c r="J593" i="18" s="1"/>
  <c r="J598" i="14"/>
  <c r="J594" i="18" s="1"/>
  <c r="J599" i="14"/>
  <c r="J595" i="18" s="1"/>
  <c r="J600" i="14"/>
  <c r="J596" i="18" s="1"/>
  <c r="J601" i="14"/>
  <c r="J597" i="18" s="1"/>
  <c r="J602" i="14"/>
  <c r="J598" i="18" s="1"/>
  <c r="J603" i="14"/>
  <c r="J599" i="18" s="1"/>
  <c r="J604" i="14"/>
  <c r="J600" i="18" s="1"/>
  <c r="J605" i="14"/>
  <c r="J601" i="18" s="1"/>
  <c r="J606" i="14"/>
  <c r="J602" i="18" s="1"/>
  <c r="J607" i="14"/>
  <c r="J603" i="18" s="1"/>
  <c r="J608" i="14"/>
  <c r="J604" i="18" s="1"/>
  <c r="J609" i="14"/>
  <c r="J605" i="18" s="1"/>
  <c r="J610" i="14"/>
  <c r="J606" i="18" s="1"/>
  <c r="J611" i="14"/>
  <c r="J607" i="18" s="1"/>
  <c r="J612" i="14"/>
  <c r="J608" i="18" s="1"/>
  <c r="J613" i="14"/>
  <c r="J609" i="18" s="1"/>
  <c r="J614" i="14"/>
  <c r="J610" i="18" s="1"/>
  <c r="J615" i="14"/>
  <c r="J611" i="18" s="1"/>
  <c r="J616" i="14"/>
  <c r="J612" i="18" s="1"/>
  <c r="J617" i="14"/>
  <c r="J613" i="18" s="1"/>
  <c r="J618" i="14"/>
  <c r="J614" i="18" s="1"/>
  <c r="J619" i="14"/>
  <c r="J615" i="18" s="1"/>
  <c r="J620" i="14"/>
  <c r="J616" i="18" s="1"/>
  <c r="J621" i="14"/>
  <c r="J617" i="18" s="1"/>
  <c r="J622" i="14"/>
  <c r="J618" i="18" s="1"/>
  <c r="J623" i="14"/>
  <c r="J619" i="18" s="1"/>
  <c r="J624" i="14"/>
  <c r="J620" i="18" s="1"/>
  <c r="J625" i="14"/>
  <c r="J621" i="18" s="1"/>
  <c r="J626" i="14"/>
  <c r="J622" i="18" s="1"/>
  <c r="J627" i="14"/>
  <c r="J623" i="18" s="1"/>
  <c r="J628" i="14"/>
  <c r="J624" i="18" s="1"/>
  <c r="J629" i="14"/>
  <c r="J625" i="18" s="1"/>
  <c r="J630" i="14"/>
  <c r="J626" i="18" s="1"/>
  <c r="J631" i="14"/>
  <c r="J627" i="18" s="1"/>
  <c r="J632" i="14"/>
  <c r="J628" i="18" s="1"/>
  <c r="J633" i="14"/>
  <c r="J629" i="18" s="1"/>
  <c r="J634" i="14"/>
  <c r="J630" i="18" s="1"/>
  <c r="J635" i="14"/>
  <c r="J631" i="18" s="1"/>
  <c r="J636" i="14"/>
  <c r="J632" i="18" s="1"/>
  <c r="J637" i="14"/>
  <c r="J633" i="18" s="1"/>
  <c r="J638" i="14"/>
  <c r="J634" i="18" s="1"/>
  <c r="J639" i="14"/>
  <c r="J635" i="18" s="1"/>
  <c r="J640" i="14"/>
  <c r="J636" i="18" s="1"/>
  <c r="J641" i="14"/>
  <c r="J637" i="18" s="1"/>
  <c r="J642" i="14"/>
  <c r="J638" i="18" s="1"/>
  <c r="J643" i="14"/>
  <c r="J639" i="18" s="1"/>
  <c r="J644" i="14"/>
  <c r="J640" i="18" s="1"/>
  <c r="J645" i="14"/>
  <c r="J641" i="18" s="1"/>
  <c r="J646" i="14"/>
  <c r="J642" i="18" s="1"/>
  <c r="J647" i="14"/>
  <c r="J643" i="18" s="1"/>
  <c r="J648" i="14"/>
  <c r="J644" i="18" s="1"/>
  <c r="J649" i="14"/>
  <c r="J645" i="18" s="1"/>
  <c r="J650" i="14"/>
  <c r="J646" i="18" s="1"/>
  <c r="J651" i="14"/>
  <c r="J647" i="18" s="1"/>
  <c r="J652" i="14"/>
  <c r="J648" i="18" s="1"/>
  <c r="J653" i="14"/>
  <c r="J649" i="18" s="1"/>
  <c r="J654" i="14"/>
  <c r="J650" i="18" s="1"/>
  <c r="J655" i="14"/>
  <c r="J651" i="18" s="1"/>
  <c r="J656" i="14"/>
  <c r="J652" i="18" s="1"/>
  <c r="J657" i="14"/>
  <c r="J653" i="18" s="1"/>
  <c r="J658" i="14"/>
  <c r="J654" i="18" s="1"/>
  <c r="J659" i="14"/>
  <c r="J655" i="18" s="1"/>
  <c r="J660" i="14"/>
  <c r="J656" i="18" s="1"/>
  <c r="J661" i="14"/>
  <c r="J657" i="18" s="1"/>
  <c r="J662" i="14"/>
  <c r="J658" i="18" s="1"/>
  <c r="J663" i="14"/>
  <c r="J659" i="18" s="1"/>
  <c r="J664" i="14"/>
  <c r="J660" i="18" s="1"/>
  <c r="J665" i="14"/>
  <c r="J661" i="18" s="1"/>
  <c r="J666" i="14"/>
  <c r="J662" i="18" s="1"/>
  <c r="J667" i="14"/>
  <c r="J663" i="18" s="1"/>
  <c r="J668" i="14"/>
  <c r="J664" i="18" s="1"/>
  <c r="J669" i="14"/>
  <c r="J665" i="18" s="1"/>
  <c r="J670" i="14"/>
  <c r="J666" i="18" s="1"/>
  <c r="J671" i="14"/>
  <c r="J667" i="18" s="1"/>
  <c r="J672" i="14"/>
  <c r="J668" i="18" s="1"/>
  <c r="J673" i="14"/>
  <c r="J669" i="18" s="1"/>
  <c r="J674" i="14"/>
  <c r="J670" i="18" s="1"/>
  <c r="J675" i="14"/>
  <c r="J671" i="18" s="1"/>
  <c r="J676" i="14"/>
  <c r="J672" i="18" s="1"/>
  <c r="J677" i="14"/>
  <c r="J673" i="18" s="1"/>
  <c r="J678" i="14"/>
  <c r="J674" i="18" s="1"/>
  <c r="J679" i="14"/>
  <c r="J675" i="18" s="1"/>
  <c r="J680" i="14"/>
  <c r="J676" i="18" s="1"/>
  <c r="J681" i="14"/>
  <c r="J677" i="18" s="1"/>
  <c r="J682" i="14"/>
  <c r="J678" i="18" s="1"/>
  <c r="J683" i="14"/>
  <c r="J679" i="18" s="1"/>
  <c r="J684" i="14"/>
  <c r="J680" i="18" s="1"/>
  <c r="J685" i="14"/>
  <c r="J681" i="18" s="1"/>
  <c r="J686" i="14"/>
  <c r="J682" i="18" s="1"/>
  <c r="J687" i="14"/>
  <c r="J683" i="18" s="1"/>
  <c r="J688" i="14"/>
  <c r="J684" i="18" s="1"/>
  <c r="J689" i="14"/>
  <c r="J685" i="18" s="1"/>
  <c r="J690" i="14"/>
  <c r="J686" i="18" s="1"/>
  <c r="J691" i="14"/>
  <c r="J687" i="18" s="1"/>
  <c r="J692" i="14"/>
  <c r="J688" i="18" s="1"/>
  <c r="J693" i="14"/>
  <c r="J689" i="18" s="1"/>
  <c r="J694" i="14"/>
  <c r="J690" i="18" s="1"/>
  <c r="J695" i="14"/>
  <c r="J691" i="18" s="1"/>
  <c r="J696" i="14"/>
  <c r="J692" i="18" s="1"/>
  <c r="J697" i="14"/>
  <c r="J693" i="18" s="1"/>
  <c r="J698" i="14"/>
  <c r="J694" i="18" s="1"/>
  <c r="J699" i="14"/>
  <c r="J695" i="18" s="1"/>
  <c r="J700" i="14"/>
  <c r="J696" i="18" s="1"/>
  <c r="J701" i="14"/>
  <c r="J697" i="18" s="1"/>
  <c r="J702" i="14"/>
  <c r="J698" i="18" s="1"/>
  <c r="J703" i="14"/>
  <c r="J699" i="18" s="1"/>
  <c r="J704" i="14"/>
  <c r="J700" i="18" s="1"/>
  <c r="J705" i="14"/>
  <c r="J701" i="18" s="1"/>
  <c r="J706" i="14"/>
  <c r="J702" i="18" s="1"/>
  <c r="J707" i="14"/>
  <c r="J703" i="18" s="1"/>
  <c r="J708" i="14"/>
  <c r="J704" i="18" s="1"/>
  <c r="J709" i="14"/>
  <c r="J705" i="18" s="1"/>
  <c r="J710" i="14"/>
  <c r="J706" i="18" s="1"/>
  <c r="J711" i="14"/>
  <c r="J707" i="18" s="1"/>
  <c r="J712" i="14"/>
  <c r="J708" i="18" s="1"/>
  <c r="J713" i="14"/>
  <c r="J709" i="18" s="1"/>
  <c r="J714" i="14"/>
  <c r="J710" i="18" s="1"/>
  <c r="J715" i="14"/>
  <c r="J711" i="18" s="1"/>
  <c r="J716" i="14"/>
  <c r="J712" i="18" s="1"/>
  <c r="J717" i="14"/>
  <c r="J713" i="18" s="1"/>
  <c r="J718" i="14"/>
  <c r="J714" i="18" s="1"/>
  <c r="J719" i="14"/>
  <c r="J715" i="18" s="1"/>
  <c r="J720" i="14"/>
  <c r="J716" i="18" s="1"/>
  <c r="J721" i="14"/>
  <c r="J717" i="18" s="1"/>
  <c r="J722" i="14"/>
  <c r="J718" i="18" s="1"/>
  <c r="J723" i="14"/>
  <c r="J719" i="18" s="1"/>
  <c r="J724" i="14"/>
  <c r="J720" i="18" s="1"/>
  <c r="J725" i="14"/>
  <c r="J721" i="18" s="1"/>
  <c r="J726" i="14"/>
  <c r="J722" i="18" s="1"/>
  <c r="J727" i="14"/>
  <c r="J723" i="18" s="1"/>
  <c r="J728" i="14"/>
  <c r="J724" i="18" s="1"/>
  <c r="J729" i="14"/>
  <c r="J725" i="18" s="1"/>
  <c r="J730" i="14"/>
  <c r="J726" i="18" s="1"/>
  <c r="J731" i="14"/>
  <c r="J727" i="18" s="1"/>
  <c r="J732" i="14"/>
  <c r="J728" i="18" s="1"/>
  <c r="J733" i="14"/>
  <c r="J729" i="18" s="1"/>
  <c r="J734" i="14"/>
  <c r="J730" i="18" s="1"/>
  <c r="J735" i="14"/>
  <c r="J731" i="18" s="1"/>
  <c r="J736" i="14"/>
  <c r="J732" i="18" s="1"/>
  <c r="J737" i="14"/>
  <c r="J733" i="18" s="1"/>
  <c r="J738" i="14"/>
  <c r="J734" i="18" s="1"/>
  <c r="J739" i="14"/>
  <c r="J735" i="18" s="1"/>
  <c r="J740" i="14"/>
  <c r="J736" i="18" s="1"/>
  <c r="J741" i="14"/>
  <c r="J737" i="18" s="1"/>
  <c r="J742" i="14"/>
  <c r="J738" i="18" s="1"/>
  <c r="J743" i="14"/>
  <c r="J739" i="18" s="1"/>
  <c r="J744" i="14"/>
  <c r="J740" i="18" s="1"/>
  <c r="J745" i="14"/>
  <c r="J741" i="18" s="1"/>
  <c r="J746" i="14"/>
  <c r="J742" i="18" s="1"/>
  <c r="J747" i="14"/>
  <c r="J743" i="18" s="1"/>
  <c r="J748" i="14"/>
  <c r="J744" i="18" s="1"/>
  <c r="J749" i="14"/>
  <c r="J745" i="18" s="1"/>
  <c r="J750" i="14"/>
  <c r="J746" i="18" s="1"/>
  <c r="J751" i="14"/>
  <c r="J747" i="18" s="1"/>
  <c r="J752" i="14"/>
  <c r="J748" i="18" s="1"/>
  <c r="J753" i="14"/>
  <c r="J749" i="18" s="1"/>
  <c r="J754" i="14"/>
  <c r="J750" i="18" s="1"/>
  <c r="J755" i="14"/>
  <c r="J751" i="18" s="1"/>
  <c r="J756" i="14"/>
  <c r="J752" i="18" s="1"/>
  <c r="J757" i="14"/>
  <c r="J753" i="18" s="1"/>
  <c r="J758" i="14"/>
  <c r="J754" i="18" s="1"/>
  <c r="J759" i="14"/>
  <c r="J755" i="18" s="1"/>
  <c r="J760" i="14"/>
  <c r="J756" i="18" s="1"/>
  <c r="J761" i="14"/>
  <c r="J757" i="18" s="1"/>
  <c r="J762" i="14"/>
  <c r="J758" i="18" s="1"/>
  <c r="J763" i="14"/>
  <c r="J759" i="18" s="1"/>
  <c r="J764" i="14"/>
  <c r="J760" i="18" s="1"/>
  <c r="J765" i="14"/>
  <c r="J761" i="18" s="1"/>
  <c r="J766" i="14"/>
  <c r="J762" i="18" s="1"/>
  <c r="J767" i="14"/>
  <c r="J763" i="18" s="1"/>
  <c r="J768" i="14"/>
  <c r="J764" i="18" s="1"/>
  <c r="J769" i="14"/>
  <c r="J765" i="18" s="1"/>
  <c r="J770" i="14"/>
  <c r="J766" i="18" s="1"/>
  <c r="J771" i="14"/>
  <c r="J767" i="18" s="1"/>
  <c r="J772" i="14"/>
  <c r="J768" i="18" s="1"/>
  <c r="J773" i="14"/>
  <c r="J769" i="18" s="1"/>
  <c r="J774" i="14"/>
  <c r="J770" i="18" s="1"/>
  <c r="J775" i="14"/>
  <c r="J771" i="18" s="1"/>
  <c r="J776" i="14"/>
  <c r="J772" i="18" s="1"/>
  <c r="J777" i="14"/>
  <c r="J773" i="18" s="1"/>
  <c r="J778" i="14"/>
  <c r="J774" i="18" s="1"/>
  <c r="J779" i="14"/>
  <c r="J775" i="18" s="1"/>
  <c r="J780" i="14"/>
  <c r="J776" i="18" s="1"/>
  <c r="J781" i="14"/>
  <c r="J777" i="18" s="1"/>
  <c r="J782" i="14"/>
  <c r="J778" i="18" s="1"/>
  <c r="J783" i="14"/>
  <c r="J779" i="18" s="1"/>
  <c r="J784" i="14"/>
  <c r="J780" i="18" s="1"/>
  <c r="J785" i="14"/>
  <c r="J781" i="18" s="1"/>
  <c r="J786" i="14"/>
  <c r="J782" i="18" s="1"/>
  <c r="J787" i="14"/>
  <c r="J783" i="18" s="1"/>
  <c r="J788" i="14"/>
  <c r="J784" i="18" s="1"/>
  <c r="J789" i="14"/>
  <c r="J785" i="18" s="1"/>
  <c r="J790" i="14"/>
  <c r="J786" i="18" s="1"/>
  <c r="J791" i="14"/>
  <c r="J787" i="18" s="1"/>
  <c r="J792" i="14"/>
  <c r="J788" i="18" s="1"/>
  <c r="J793" i="14"/>
  <c r="J789" i="18" s="1"/>
  <c r="J794" i="14"/>
  <c r="J790" i="18" s="1"/>
  <c r="J795" i="14"/>
  <c r="J791" i="18" s="1"/>
  <c r="J796" i="14"/>
  <c r="J792" i="18" s="1"/>
  <c r="J797" i="14"/>
  <c r="J793" i="18" s="1"/>
  <c r="J798" i="14"/>
  <c r="J794" i="18" s="1"/>
  <c r="J799" i="14"/>
  <c r="J795" i="18" s="1"/>
  <c r="J800" i="14"/>
  <c r="J796" i="18" s="1"/>
  <c r="J801" i="14"/>
  <c r="J797" i="18" s="1"/>
  <c r="J802" i="14"/>
  <c r="J798" i="18" s="1"/>
  <c r="J803" i="14"/>
  <c r="J799" i="18" s="1"/>
  <c r="J804" i="14"/>
  <c r="J800" i="18" s="1"/>
  <c r="J805" i="14"/>
  <c r="J801" i="18" s="1"/>
  <c r="J806" i="14"/>
  <c r="J802" i="18" s="1"/>
  <c r="J807" i="14"/>
  <c r="J803" i="18" s="1"/>
  <c r="J808" i="14"/>
  <c r="J804" i="18" s="1"/>
  <c r="J809" i="14"/>
  <c r="J805" i="18" s="1"/>
  <c r="J810" i="14"/>
  <c r="J806" i="18" s="1"/>
  <c r="J811" i="14"/>
  <c r="J807" i="18" s="1"/>
  <c r="J812" i="14"/>
  <c r="J808" i="18" s="1"/>
  <c r="J813" i="14"/>
  <c r="J809" i="18" s="1"/>
  <c r="J814" i="14"/>
  <c r="J810" i="18" s="1"/>
  <c r="J815" i="14"/>
  <c r="J811" i="18" s="1"/>
  <c r="J816" i="14"/>
  <c r="J812" i="18" s="1"/>
  <c r="J817" i="14"/>
  <c r="J813" i="18" s="1"/>
  <c r="J818" i="14"/>
  <c r="J814" i="18" s="1"/>
  <c r="J819" i="14"/>
  <c r="J815" i="18" s="1"/>
  <c r="J820" i="14"/>
  <c r="J816" i="18" s="1"/>
  <c r="J821" i="14"/>
  <c r="J817" i="18" s="1"/>
  <c r="J822" i="14"/>
  <c r="J818" i="18" s="1"/>
  <c r="J823" i="14"/>
  <c r="J819" i="18" s="1"/>
  <c r="J824" i="14"/>
  <c r="J820" i="18" s="1"/>
  <c r="J825" i="14"/>
  <c r="J821" i="18" s="1"/>
  <c r="J826" i="14"/>
  <c r="J822" i="18" s="1"/>
  <c r="J827" i="14"/>
  <c r="J823" i="18" s="1"/>
  <c r="J828" i="14"/>
  <c r="J824" i="18" s="1"/>
  <c r="J829" i="14"/>
  <c r="J825" i="18" s="1"/>
  <c r="J830" i="14"/>
  <c r="J826" i="18" s="1"/>
  <c r="J831" i="14"/>
  <c r="J827" i="18" s="1"/>
  <c r="J832" i="14"/>
  <c r="J828" i="18" s="1"/>
  <c r="J833" i="14"/>
  <c r="J829" i="18" s="1"/>
  <c r="J834" i="14"/>
  <c r="J830" i="18" s="1"/>
  <c r="J835" i="14"/>
  <c r="J831" i="18" s="1"/>
  <c r="J836" i="14"/>
  <c r="J832" i="18" s="1"/>
  <c r="J837" i="14"/>
  <c r="J833" i="18" s="1"/>
  <c r="J838" i="14"/>
  <c r="J834" i="18" s="1"/>
  <c r="J839" i="14"/>
  <c r="J835" i="18" s="1"/>
  <c r="J840" i="14"/>
  <c r="J836" i="18" s="1"/>
  <c r="J841" i="14"/>
  <c r="J837" i="18" s="1"/>
  <c r="J842" i="14"/>
  <c r="J838" i="18" s="1"/>
  <c r="J843" i="14"/>
  <c r="J839" i="18" s="1"/>
  <c r="J844" i="14"/>
  <c r="J840" i="18" s="1"/>
  <c r="J845" i="14"/>
  <c r="J841" i="18" s="1"/>
  <c r="J846" i="14"/>
  <c r="J842" i="18" s="1"/>
  <c r="J847" i="14"/>
  <c r="J843" i="18" s="1"/>
  <c r="J848" i="14"/>
  <c r="J844" i="18" s="1"/>
  <c r="J849" i="14"/>
  <c r="J845" i="18" s="1"/>
  <c r="J850" i="14"/>
  <c r="J846" i="18" s="1"/>
  <c r="J851" i="14"/>
  <c r="J847" i="18" s="1"/>
  <c r="J852" i="14"/>
  <c r="J848" i="18" s="1"/>
  <c r="J853" i="14"/>
  <c r="J849" i="18" s="1"/>
  <c r="J854" i="14"/>
  <c r="J850" i="18" s="1"/>
  <c r="J855" i="14"/>
  <c r="J851" i="18" s="1"/>
  <c r="J856" i="14"/>
  <c r="J852" i="18" s="1"/>
  <c r="J857" i="14"/>
  <c r="J853" i="18" s="1"/>
  <c r="J858" i="14"/>
  <c r="J854" i="18" s="1"/>
  <c r="J859" i="14"/>
  <c r="J855" i="18" s="1"/>
  <c r="J860" i="14"/>
  <c r="J856" i="18" s="1"/>
  <c r="J861" i="14"/>
  <c r="J857" i="18" s="1"/>
  <c r="J862" i="14"/>
  <c r="J858" i="18" s="1"/>
  <c r="J863" i="14"/>
  <c r="J859" i="18" s="1"/>
  <c r="J864" i="14"/>
  <c r="J860" i="18" s="1"/>
  <c r="J865" i="14"/>
  <c r="J861" i="18" s="1"/>
  <c r="J866" i="14"/>
  <c r="J862" i="18" s="1"/>
  <c r="J867" i="14"/>
  <c r="J863" i="18" s="1"/>
  <c r="J868" i="14"/>
  <c r="J864" i="18" s="1"/>
  <c r="J869" i="14"/>
  <c r="J865" i="18" s="1"/>
  <c r="J870" i="14"/>
  <c r="J866" i="18" s="1"/>
  <c r="J871" i="14"/>
  <c r="J867" i="18" s="1"/>
  <c r="J872" i="14"/>
  <c r="J868" i="18" s="1"/>
  <c r="J873" i="14"/>
  <c r="J869" i="18" s="1"/>
  <c r="J874" i="14"/>
  <c r="J870" i="18" s="1"/>
  <c r="J875" i="14"/>
  <c r="J871" i="18" s="1"/>
  <c r="J876" i="14"/>
  <c r="J872" i="18" s="1"/>
  <c r="J877" i="14"/>
  <c r="J873" i="18" s="1"/>
  <c r="J878" i="14"/>
  <c r="J874" i="18" s="1"/>
  <c r="J879" i="14"/>
  <c r="J875" i="18" s="1"/>
  <c r="J880" i="14"/>
  <c r="J876" i="18" s="1"/>
  <c r="J881" i="14"/>
  <c r="J877" i="18" s="1"/>
  <c r="J882" i="14"/>
  <c r="J878" i="18" s="1"/>
  <c r="J883" i="14"/>
  <c r="J879" i="18" s="1"/>
  <c r="J884" i="14"/>
  <c r="J880" i="18" s="1"/>
  <c r="J885" i="14"/>
  <c r="J881" i="18" s="1"/>
  <c r="J886" i="14"/>
  <c r="J882" i="18" s="1"/>
  <c r="J887" i="14"/>
  <c r="J883" i="18" s="1"/>
  <c r="J888" i="14"/>
  <c r="J884" i="18" s="1"/>
  <c r="J889" i="14"/>
  <c r="J885" i="18" s="1"/>
  <c r="J890" i="14"/>
  <c r="J886" i="18" s="1"/>
  <c r="J891" i="14"/>
  <c r="J887" i="18" s="1"/>
  <c r="J892" i="14"/>
  <c r="J888" i="18" s="1"/>
  <c r="J893" i="14"/>
  <c r="J889" i="18" s="1"/>
  <c r="J894" i="14"/>
  <c r="J890" i="18" s="1"/>
  <c r="J895" i="14"/>
  <c r="J891" i="18" s="1"/>
  <c r="J896" i="14"/>
  <c r="J892" i="18" s="1"/>
  <c r="J897" i="14"/>
  <c r="J893" i="18" s="1"/>
  <c r="J898" i="14"/>
  <c r="J894" i="18" s="1"/>
  <c r="J899" i="14"/>
  <c r="J895" i="18" s="1"/>
  <c r="J900" i="14"/>
  <c r="J896" i="18" s="1"/>
  <c r="J901" i="14"/>
  <c r="J897" i="18" s="1"/>
  <c r="J902" i="14"/>
  <c r="J898" i="18" s="1"/>
  <c r="J903" i="14"/>
  <c r="J899" i="18" s="1"/>
  <c r="J904" i="14"/>
  <c r="J900" i="18" s="1"/>
  <c r="J905" i="14"/>
  <c r="J901" i="18" s="1"/>
  <c r="J906" i="14"/>
  <c r="J902" i="18" s="1"/>
  <c r="J907" i="14"/>
  <c r="J903" i="18" s="1"/>
  <c r="J908" i="14"/>
  <c r="J904" i="18" s="1"/>
  <c r="J909" i="14"/>
  <c r="J905" i="18" s="1"/>
  <c r="J910" i="14"/>
  <c r="J906" i="18" s="1"/>
  <c r="J911" i="14"/>
  <c r="J907" i="18" s="1"/>
  <c r="J912" i="14"/>
  <c r="J908" i="18" s="1"/>
  <c r="J913" i="14"/>
  <c r="J909" i="18" s="1"/>
  <c r="J914" i="14"/>
  <c r="J910" i="18" s="1"/>
  <c r="J915" i="14"/>
  <c r="J911" i="18" s="1"/>
  <c r="J916" i="14"/>
  <c r="J912" i="18" s="1"/>
  <c r="J917" i="14"/>
  <c r="J913" i="18" s="1"/>
  <c r="J918" i="14"/>
  <c r="J914" i="18" s="1"/>
  <c r="J919" i="14"/>
  <c r="J915" i="18" s="1"/>
  <c r="J920" i="14"/>
  <c r="J916" i="18" s="1"/>
  <c r="J921" i="14"/>
  <c r="J917" i="18" s="1"/>
  <c r="J922" i="14"/>
  <c r="J918" i="18" s="1"/>
  <c r="J923" i="14"/>
  <c r="J919" i="18" s="1"/>
  <c r="J924" i="14"/>
  <c r="J920" i="18" s="1"/>
  <c r="J925" i="14"/>
  <c r="J921" i="18" s="1"/>
  <c r="J926" i="14"/>
  <c r="J922" i="18" s="1"/>
  <c r="J927" i="14"/>
  <c r="J923" i="18" s="1"/>
  <c r="J928" i="14"/>
  <c r="J924" i="18" s="1"/>
  <c r="J929" i="14"/>
  <c r="J925" i="18" s="1"/>
  <c r="J930" i="14"/>
  <c r="J926" i="18" s="1"/>
  <c r="J931" i="14"/>
  <c r="J927" i="18" s="1"/>
  <c r="J932" i="14"/>
  <c r="J928" i="18" s="1"/>
  <c r="J933" i="14"/>
  <c r="J929" i="18" s="1"/>
  <c r="J934" i="14"/>
  <c r="J930" i="18" s="1"/>
  <c r="J935" i="14"/>
  <c r="J931" i="18" s="1"/>
  <c r="J936" i="14"/>
  <c r="J932" i="18" s="1"/>
  <c r="J937" i="14"/>
  <c r="J933" i="18" s="1"/>
  <c r="J938" i="14"/>
  <c r="J934" i="18" s="1"/>
  <c r="J939" i="14"/>
  <c r="J935" i="18" s="1"/>
  <c r="J940" i="14"/>
  <c r="J936" i="18" s="1"/>
  <c r="J941" i="14"/>
  <c r="J937" i="18" s="1"/>
  <c r="J942" i="14"/>
  <c r="J938" i="18" s="1"/>
  <c r="J943" i="14"/>
  <c r="J939" i="18" s="1"/>
  <c r="J944" i="14"/>
  <c r="J940" i="18" s="1"/>
  <c r="J945" i="14"/>
  <c r="J941" i="18" s="1"/>
  <c r="J946" i="14"/>
  <c r="J942" i="18" s="1"/>
  <c r="J947" i="14"/>
  <c r="J943" i="18" s="1"/>
  <c r="J948" i="14"/>
  <c r="J944" i="18" s="1"/>
  <c r="J949" i="14"/>
  <c r="J945" i="18" s="1"/>
  <c r="J950" i="14"/>
  <c r="J946" i="18" s="1"/>
  <c r="J951" i="14"/>
  <c r="J947" i="18" s="1"/>
  <c r="J952" i="14"/>
  <c r="J948" i="18" s="1"/>
  <c r="J953" i="14"/>
  <c r="J949" i="18" s="1"/>
  <c r="J954" i="14"/>
  <c r="J950" i="18" s="1"/>
  <c r="J955" i="14"/>
  <c r="J951" i="18" s="1"/>
  <c r="J956" i="14"/>
  <c r="J952" i="18" s="1"/>
  <c r="J957" i="14"/>
  <c r="J953" i="18" s="1"/>
  <c r="J958" i="14"/>
  <c r="J954" i="18" s="1"/>
  <c r="J959" i="14"/>
  <c r="J955" i="18" s="1"/>
  <c r="J960" i="14"/>
  <c r="J956" i="18" s="1"/>
  <c r="J961" i="14"/>
  <c r="J957" i="18" s="1"/>
  <c r="J962" i="14"/>
  <c r="J958" i="18" s="1"/>
  <c r="J963" i="14"/>
  <c r="J959" i="18" s="1"/>
  <c r="J964" i="14"/>
  <c r="J960" i="18" s="1"/>
  <c r="J965" i="14"/>
  <c r="J961" i="18" s="1"/>
  <c r="J966" i="14"/>
  <c r="J962" i="18" s="1"/>
  <c r="J967" i="14"/>
  <c r="J963" i="18" s="1"/>
  <c r="J968" i="14"/>
  <c r="J964" i="18" s="1"/>
  <c r="J969" i="14"/>
  <c r="J965" i="18" s="1"/>
  <c r="J970" i="14"/>
  <c r="J966" i="18" s="1"/>
  <c r="J971" i="14"/>
  <c r="J967" i="18" s="1"/>
  <c r="J972" i="14"/>
  <c r="J968" i="18" s="1"/>
  <c r="J973" i="14"/>
  <c r="J969" i="18" s="1"/>
  <c r="J974" i="14"/>
  <c r="J970" i="18" s="1"/>
  <c r="J975" i="14"/>
  <c r="J971" i="18" s="1"/>
  <c r="J976" i="14"/>
  <c r="J972" i="18" s="1"/>
  <c r="J977" i="14"/>
  <c r="J973" i="18" s="1"/>
  <c r="J978" i="14"/>
  <c r="J974" i="18" s="1"/>
  <c r="J979" i="14"/>
  <c r="J975" i="18" s="1"/>
  <c r="J980" i="14"/>
  <c r="J976" i="18" s="1"/>
  <c r="J981" i="14"/>
  <c r="J977" i="18" s="1"/>
  <c r="J982" i="14"/>
  <c r="J978" i="18" s="1"/>
  <c r="J983" i="14"/>
  <c r="J979" i="18" s="1"/>
  <c r="J984" i="14"/>
  <c r="J980" i="18" s="1"/>
  <c r="J985" i="14"/>
  <c r="J981" i="18" s="1"/>
  <c r="J986" i="14"/>
  <c r="J982" i="18" s="1"/>
  <c r="J987" i="14"/>
  <c r="J983" i="18" s="1"/>
  <c r="J988" i="14"/>
  <c r="J984" i="18" s="1"/>
  <c r="J989" i="14"/>
  <c r="J985" i="18" s="1"/>
  <c r="J990" i="14"/>
  <c r="J986" i="18" s="1"/>
  <c r="J991" i="14"/>
  <c r="J987" i="18" s="1"/>
  <c r="J992" i="14"/>
  <c r="J988" i="18" s="1"/>
  <c r="J993" i="14"/>
  <c r="J989" i="18" s="1"/>
  <c r="J994" i="14"/>
  <c r="J990" i="18" s="1"/>
  <c r="J995" i="14"/>
  <c r="J991" i="18" s="1"/>
  <c r="J996" i="14"/>
  <c r="J992" i="18" s="1"/>
  <c r="J997" i="14"/>
  <c r="J993" i="18" s="1"/>
  <c r="J998" i="14"/>
  <c r="J994" i="18" s="1"/>
  <c r="J999" i="14"/>
  <c r="J995" i="18" s="1"/>
  <c r="J1000" i="14"/>
  <c r="J996" i="18" s="1"/>
  <c r="J1001" i="14"/>
  <c r="J997" i="18" s="1"/>
  <c r="J1002" i="14"/>
  <c r="J998" i="18" s="1"/>
  <c r="J1003" i="14"/>
  <c r="J999" i="18" s="1"/>
  <c r="J1004" i="14"/>
  <c r="J1000" i="18" s="1"/>
  <c r="J1005" i="14"/>
  <c r="J1001" i="18" s="1"/>
  <c r="J1006" i="14"/>
  <c r="J1002" i="18" s="1"/>
  <c r="J1007" i="14"/>
  <c r="J1003" i="18" s="1"/>
  <c r="J1008" i="14"/>
  <c r="J1004" i="18" s="1"/>
  <c r="J1009" i="14"/>
  <c r="J1005" i="18" s="1"/>
  <c r="J1010" i="14"/>
  <c r="J1006" i="18" s="1"/>
  <c r="J1011" i="14"/>
  <c r="J1007" i="18" s="1"/>
  <c r="J1012" i="14"/>
  <c r="J1008" i="18" s="1"/>
  <c r="J1013" i="14"/>
  <c r="J1009" i="18" s="1"/>
  <c r="J1014" i="14"/>
  <c r="J1010" i="18" s="1"/>
  <c r="J1015" i="14"/>
  <c r="J1011" i="18" s="1"/>
  <c r="J1016" i="14"/>
  <c r="J1012" i="18" s="1"/>
  <c r="J1017" i="14"/>
  <c r="J1013" i="18" s="1"/>
  <c r="J1018" i="14"/>
  <c r="J1014" i="18" s="1"/>
  <c r="J1019" i="14"/>
  <c r="J1015" i="18" s="1"/>
  <c r="J1020" i="14"/>
  <c r="J1016" i="18" s="1"/>
  <c r="J1021" i="14"/>
  <c r="J1017" i="18" s="1"/>
  <c r="J1022" i="14"/>
  <c r="J1018" i="18" s="1"/>
  <c r="J1023" i="14"/>
  <c r="J1019" i="18" s="1"/>
  <c r="J1024" i="14"/>
  <c r="J1020" i="18" s="1"/>
  <c r="J1025" i="14"/>
  <c r="J1021" i="18" s="1"/>
  <c r="J1026" i="14"/>
  <c r="J1022" i="18" s="1"/>
  <c r="J1027" i="14"/>
  <c r="J1023" i="18" s="1"/>
  <c r="J1028" i="14"/>
  <c r="J1024" i="18" s="1"/>
  <c r="J1029" i="14"/>
  <c r="J1025" i="18" s="1"/>
  <c r="J1030" i="14"/>
  <c r="J1026" i="18" s="1"/>
  <c r="J1031" i="14"/>
  <c r="J1027" i="18" s="1"/>
  <c r="J1032" i="14"/>
  <c r="J1028" i="18" s="1"/>
  <c r="J1033" i="14"/>
  <c r="J1029" i="18" s="1"/>
  <c r="J1034" i="14"/>
  <c r="J1030" i="18" s="1"/>
  <c r="J1035" i="14"/>
  <c r="J1031" i="18" s="1"/>
  <c r="J1036" i="14"/>
  <c r="J1032" i="18" s="1"/>
  <c r="J1037" i="14"/>
  <c r="J1033" i="18" s="1"/>
  <c r="J1038" i="14"/>
  <c r="J1034" i="18" s="1"/>
  <c r="J1039" i="14"/>
  <c r="J1035" i="18" s="1"/>
  <c r="J1040" i="14"/>
  <c r="J1036" i="18" s="1"/>
  <c r="J1041" i="14"/>
  <c r="J1037" i="18" s="1"/>
  <c r="J1042" i="14"/>
  <c r="J1038" i="18" s="1"/>
  <c r="J1043" i="14"/>
  <c r="J1039" i="18" s="1"/>
  <c r="J1044" i="14"/>
  <c r="J1040" i="18" s="1"/>
  <c r="J1045" i="14"/>
  <c r="J1041" i="18" s="1"/>
  <c r="J1046" i="14"/>
  <c r="J1042" i="18" s="1"/>
  <c r="J1047" i="14"/>
  <c r="J1043" i="18" s="1"/>
  <c r="J1048" i="14"/>
  <c r="J1044" i="18" s="1"/>
  <c r="J1049" i="14"/>
  <c r="J1045" i="18" s="1"/>
  <c r="J1050" i="14"/>
  <c r="J1046" i="18" s="1"/>
  <c r="J1051" i="14"/>
  <c r="J1047" i="18" s="1"/>
  <c r="J1052" i="14"/>
  <c r="J1048" i="18" s="1"/>
  <c r="J1053" i="14"/>
  <c r="J1049" i="18" s="1"/>
  <c r="J1054" i="14"/>
  <c r="J1050" i="18" s="1"/>
  <c r="J1055" i="14"/>
  <c r="J1051" i="18" s="1"/>
  <c r="J1056" i="14"/>
  <c r="J1052" i="18" s="1"/>
  <c r="J1057" i="14"/>
  <c r="J1053" i="18" s="1"/>
  <c r="J1058" i="14"/>
  <c r="J1054" i="18" s="1"/>
  <c r="J1059" i="14"/>
  <c r="J1055" i="18" s="1"/>
  <c r="J1060" i="14"/>
  <c r="J1056" i="18" s="1"/>
  <c r="J1061" i="14"/>
  <c r="J1057" i="18" s="1"/>
  <c r="J1062" i="14"/>
  <c r="J1058" i="18" s="1"/>
  <c r="J1063" i="14"/>
  <c r="J1059" i="18" s="1"/>
  <c r="J1064" i="14"/>
  <c r="J1060" i="18" s="1"/>
  <c r="J1065" i="14"/>
  <c r="J1061" i="18" s="1"/>
  <c r="J1066" i="14"/>
  <c r="J1062" i="18" s="1"/>
  <c r="J1067" i="14"/>
  <c r="J1063" i="18" s="1"/>
  <c r="J1068" i="14"/>
  <c r="J1064" i="18" s="1"/>
  <c r="J1069" i="14"/>
  <c r="J1065" i="18" s="1"/>
  <c r="J1070" i="14"/>
  <c r="J1066" i="18" s="1"/>
  <c r="J1071" i="14"/>
  <c r="J1067" i="18" s="1"/>
  <c r="J1072" i="14"/>
  <c r="J1068" i="18" s="1"/>
  <c r="J1073" i="14"/>
  <c r="J1069" i="18" s="1"/>
  <c r="J1074" i="14"/>
  <c r="J1070" i="18" s="1"/>
  <c r="J1075" i="14"/>
  <c r="J1071" i="18" s="1"/>
  <c r="J1076" i="14"/>
  <c r="J1072" i="18" s="1"/>
  <c r="J1077" i="14"/>
  <c r="J1073" i="18" s="1"/>
  <c r="J1078" i="14"/>
  <c r="J1074" i="18" s="1"/>
  <c r="J1079" i="14"/>
  <c r="J1075" i="18" s="1"/>
  <c r="J1080" i="14"/>
  <c r="J1076" i="18" s="1"/>
  <c r="J1081" i="14"/>
  <c r="J1077" i="18" s="1"/>
  <c r="J1082" i="14"/>
  <c r="J1078" i="18" s="1"/>
  <c r="J1083" i="14"/>
  <c r="J1079" i="18" s="1"/>
  <c r="J1084" i="14"/>
  <c r="J1080" i="18" s="1"/>
  <c r="J1085" i="14"/>
  <c r="J1081" i="18" s="1"/>
  <c r="J1086" i="14"/>
  <c r="J1082" i="18" s="1"/>
  <c r="J1087" i="14"/>
  <c r="J1083" i="18" s="1"/>
  <c r="J1088" i="14"/>
  <c r="J1084" i="18" s="1"/>
  <c r="J1089" i="14"/>
  <c r="J1085" i="18" s="1"/>
  <c r="J1090" i="14"/>
  <c r="J1086" i="18" s="1"/>
  <c r="J1091" i="14"/>
  <c r="J1087" i="18" s="1"/>
  <c r="J1092" i="14"/>
  <c r="J1088" i="18" s="1"/>
  <c r="J1093" i="14"/>
  <c r="J1089" i="18" s="1"/>
  <c r="J1094" i="14"/>
  <c r="J1090" i="18" s="1"/>
  <c r="J1095" i="14"/>
  <c r="J1091" i="18" s="1"/>
  <c r="J1096" i="14"/>
  <c r="J1092" i="18" s="1"/>
  <c r="J1097" i="14"/>
  <c r="J1093" i="18" s="1"/>
  <c r="J1098" i="14"/>
  <c r="J1094" i="18" s="1"/>
  <c r="J1099" i="14"/>
  <c r="J1095" i="18" s="1"/>
  <c r="J1100" i="14"/>
  <c r="J1096" i="18" s="1"/>
  <c r="J1101" i="14"/>
  <c r="J1097" i="18" s="1"/>
  <c r="J1102" i="14"/>
  <c r="J1098" i="18" s="1"/>
  <c r="J1103" i="14"/>
  <c r="J1099" i="18" s="1"/>
  <c r="J1104" i="14"/>
  <c r="J1100" i="18" s="1"/>
  <c r="J1105" i="14"/>
  <c r="J1101" i="18" s="1"/>
  <c r="J1106" i="14"/>
  <c r="J1102" i="18" s="1"/>
  <c r="J1107" i="14"/>
  <c r="J1103" i="18" s="1"/>
  <c r="J1108" i="14"/>
  <c r="J1104" i="18" s="1"/>
  <c r="J1109" i="14"/>
  <c r="J1105" i="18" s="1"/>
  <c r="J1110" i="14"/>
  <c r="J1106" i="18" s="1"/>
  <c r="B7" i="14"/>
  <c r="B3" i="18" s="1"/>
  <c r="B8" i="14"/>
  <c r="B4" i="18" s="1"/>
  <c r="B9" i="14"/>
  <c r="B5" i="18" s="1"/>
  <c r="B10" i="14"/>
  <c r="B6" i="18" s="1"/>
  <c r="B11" i="14"/>
  <c r="B7" i="18" s="1"/>
  <c r="B12" i="14"/>
  <c r="B8" i="18" s="1"/>
  <c r="B13" i="14"/>
  <c r="B9" i="18" s="1"/>
  <c r="B14" i="14"/>
  <c r="B10" i="18" s="1"/>
  <c r="B15" i="14"/>
  <c r="B11" i="18" s="1"/>
  <c r="B16" i="14"/>
  <c r="B12" i="18" s="1"/>
  <c r="B17" i="14"/>
  <c r="B13" i="18" s="1"/>
  <c r="B18" i="14"/>
  <c r="B14" i="18" s="1"/>
  <c r="B19" i="14"/>
  <c r="B15" i="18" s="1"/>
  <c r="B20" i="14"/>
  <c r="B16" i="18" s="1"/>
  <c r="B21" i="14"/>
  <c r="B17" i="18" s="1"/>
  <c r="B22" i="14"/>
  <c r="B18" i="18" s="1"/>
  <c r="B23" i="14"/>
  <c r="B19" i="18" s="1"/>
  <c r="B24" i="14"/>
  <c r="B20" i="18" s="1"/>
  <c r="B25" i="14"/>
  <c r="B21" i="18" s="1"/>
  <c r="B26" i="14"/>
  <c r="B22" i="18" s="1"/>
  <c r="B27" i="14"/>
  <c r="B23" i="18" s="1"/>
  <c r="B28" i="14"/>
  <c r="B24" i="18" s="1"/>
  <c r="B29" i="14"/>
  <c r="B25" i="18" s="1"/>
  <c r="B30" i="14"/>
  <c r="B26" i="18" s="1"/>
  <c r="B31" i="14"/>
  <c r="B27" i="18" s="1"/>
  <c r="B32" i="14"/>
  <c r="B28" i="18" s="1"/>
  <c r="B33" i="14"/>
  <c r="B29" i="18" s="1"/>
  <c r="B34" i="14"/>
  <c r="B30" i="18" s="1"/>
  <c r="B35" i="14"/>
  <c r="B31" i="18" s="1"/>
  <c r="B36" i="14"/>
  <c r="B32" i="18" s="1"/>
  <c r="B37" i="14"/>
  <c r="B33" i="18" s="1"/>
  <c r="B38" i="14"/>
  <c r="B34" i="18" s="1"/>
  <c r="B39" i="14"/>
  <c r="B35" i="18" s="1"/>
  <c r="B40" i="14"/>
  <c r="B36" i="18" s="1"/>
  <c r="B41" i="14"/>
  <c r="B37" i="18" s="1"/>
  <c r="B42" i="14"/>
  <c r="B38" i="18" s="1"/>
  <c r="B43" i="14"/>
  <c r="B39" i="18" s="1"/>
  <c r="B44" i="14"/>
  <c r="B40" i="18" s="1"/>
  <c r="B45" i="14"/>
  <c r="B41" i="18" s="1"/>
  <c r="B46" i="14"/>
  <c r="B42" i="18" s="1"/>
  <c r="B47" i="14"/>
  <c r="B43" i="18" s="1"/>
  <c r="B48" i="14"/>
  <c r="B44" i="18" s="1"/>
  <c r="B49" i="14"/>
  <c r="B45" i="18" s="1"/>
  <c r="B50" i="14"/>
  <c r="B46" i="18" s="1"/>
  <c r="B51" i="14"/>
  <c r="B47" i="18" s="1"/>
  <c r="B52" i="14"/>
  <c r="B48" i="18" s="1"/>
  <c r="B53" i="14"/>
  <c r="B49" i="18" s="1"/>
  <c r="B54" i="14"/>
  <c r="B50" i="18" s="1"/>
  <c r="B55" i="14"/>
  <c r="B51" i="18" s="1"/>
  <c r="B56" i="14"/>
  <c r="B52" i="18" s="1"/>
  <c r="B57" i="14"/>
  <c r="B53" i="18" s="1"/>
  <c r="B58" i="14"/>
  <c r="B54" i="18" s="1"/>
  <c r="B59" i="14"/>
  <c r="B55" i="18" s="1"/>
  <c r="B60" i="14"/>
  <c r="B56" i="18" s="1"/>
  <c r="B61" i="14"/>
  <c r="B57" i="18" s="1"/>
  <c r="B62" i="14"/>
  <c r="B58" i="18" s="1"/>
  <c r="B63" i="14"/>
  <c r="B59" i="18" s="1"/>
  <c r="B64" i="14"/>
  <c r="B60" i="18" s="1"/>
  <c r="B65" i="14"/>
  <c r="B61" i="18" s="1"/>
  <c r="B66" i="14"/>
  <c r="B62" i="18" s="1"/>
  <c r="B67" i="14"/>
  <c r="B63" i="18" s="1"/>
  <c r="B68" i="14"/>
  <c r="B64" i="18" s="1"/>
  <c r="B69" i="14"/>
  <c r="B65" i="18" s="1"/>
  <c r="B70" i="14"/>
  <c r="B66" i="18" s="1"/>
  <c r="B71" i="14"/>
  <c r="B67" i="18" s="1"/>
  <c r="B72" i="14"/>
  <c r="B68" i="18" s="1"/>
  <c r="B73" i="14"/>
  <c r="B69" i="18" s="1"/>
  <c r="B74" i="14"/>
  <c r="B70" i="18" s="1"/>
  <c r="B75" i="14"/>
  <c r="B71" i="18" s="1"/>
  <c r="B76" i="14"/>
  <c r="B72" i="18" s="1"/>
  <c r="B77" i="14"/>
  <c r="B73" i="18" s="1"/>
  <c r="B78" i="14"/>
  <c r="B74" i="18" s="1"/>
  <c r="B79" i="14"/>
  <c r="B75" i="18" s="1"/>
  <c r="B80" i="14"/>
  <c r="B76" i="18" s="1"/>
  <c r="B81" i="14"/>
  <c r="B77" i="18" s="1"/>
  <c r="B82" i="14"/>
  <c r="B78" i="18" s="1"/>
  <c r="B83" i="14"/>
  <c r="B79" i="18" s="1"/>
  <c r="B84" i="14"/>
  <c r="B80" i="18" s="1"/>
  <c r="B85" i="14"/>
  <c r="B81" i="18" s="1"/>
  <c r="B86" i="14"/>
  <c r="B82" i="18" s="1"/>
  <c r="B87" i="14"/>
  <c r="B83" i="18" s="1"/>
  <c r="B88" i="14"/>
  <c r="B84" i="18" s="1"/>
  <c r="B89" i="14"/>
  <c r="B85" i="18" s="1"/>
  <c r="B90" i="14"/>
  <c r="B86" i="18" s="1"/>
  <c r="B91" i="14"/>
  <c r="B87" i="18" s="1"/>
  <c r="B92" i="14"/>
  <c r="B88" i="18" s="1"/>
  <c r="B93" i="14"/>
  <c r="B89" i="18" s="1"/>
  <c r="B94" i="14"/>
  <c r="B90" i="18" s="1"/>
  <c r="B95" i="14"/>
  <c r="B91" i="18" s="1"/>
  <c r="B96" i="14"/>
  <c r="B92" i="18" s="1"/>
  <c r="B97" i="14"/>
  <c r="B93" i="18" s="1"/>
  <c r="B98" i="14"/>
  <c r="B94" i="18" s="1"/>
  <c r="B99" i="14"/>
  <c r="B95" i="18" s="1"/>
  <c r="B100" i="14"/>
  <c r="B96" i="18" s="1"/>
  <c r="B101" i="14"/>
  <c r="B97" i="18" s="1"/>
  <c r="B102" i="14"/>
  <c r="B98" i="18" s="1"/>
  <c r="B103" i="14"/>
  <c r="B99" i="18" s="1"/>
  <c r="B104" i="14"/>
  <c r="B100" i="18" s="1"/>
  <c r="B105" i="14"/>
  <c r="B101" i="18" s="1"/>
  <c r="B106" i="14"/>
  <c r="B102" i="18" s="1"/>
  <c r="B107" i="14"/>
  <c r="B103" i="18" s="1"/>
  <c r="B108" i="14"/>
  <c r="B104" i="18" s="1"/>
  <c r="B109" i="14"/>
  <c r="B105" i="18" s="1"/>
  <c r="B110" i="14"/>
  <c r="B106" i="18" s="1"/>
  <c r="B111" i="14"/>
  <c r="B107" i="18" s="1"/>
  <c r="B112" i="14"/>
  <c r="B108" i="18" s="1"/>
  <c r="B113" i="14"/>
  <c r="B109" i="18" s="1"/>
  <c r="B114" i="14"/>
  <c r="B110" i="18" s="1"/>
  <c r="B115" i="14"/>
  <c r="B111" i="18" s="1"/>
  <c r="B116" i="14"/>
  <c r="B112" i="18" s="1"/>
  <c r="B117" i="14"/>
  <c r="B113" i="18" s="1"/>
  <c r="B118" i="14"/>
  <c r="B114" i="18" s="1"/>
  <c r="B119" i="14"/>
  <c r="B115" i="18" s="1"/>
  <c r="B120" i="14"/>
  <c r="B116" i="18" s="1"/>
  <c r="B121" i="14"/>
  <c r="B117" i="18" s="1"/>
  <c r="B122" i="14"/>
  <c r="B118" i="18" s="1"/>
  <c r="B123" i="14"/>
  <c r="B119" i="18" s="1"/>
  <c r="B124" i="14"/>
  <c r="B120" i="18" s="1"/>
  <c r="B125" i="14"/>
  <c r="B121" i="18" s="1"/>
  <c r="B126" i="14"/>
  <c r="B122" i="18" s="1"/>
  <c r="B127" i="14"/>
  <c r="B123" i="18" s="1"/>
  <c r="B128" i="14"/>
  <c r="B124" i="18" s="1"/>
  <c r="B129" i="14"/>
  <c r="B125" i="18" s="1"/>
  <c r="B130" i="14"/>
  <c r="B126" i="18" s="1"/>
  <c r="B131" i="14"/>
  <c r="B127" i="18" s="1"/>
  <c r="B132" i="14"/>
  <c r="B128" i="18" s="1"/>
  <c r="B133" i="14"/>
  <c r="B129" i="18" s="1"/>
  <c r="B134" i="14"/>
  <c r="B130" i="18" s="1"/>
  <c r="B135" i="14"/>
  <c r="B131" i="18" s="1"/>
  <c r="B136" i="14"/>
  <c r="B132" i="18" s="1"/>
  <c r="B137" i="14"/>
  <c r="B133" i="18" s="1"/>
  <c r="B138" i="14"/>
  <c r="B134" i="18" s="1"/>
  <c r="B139" i="14"/>
  <c r="B135" i="18" s="1"/>
  <c r="B140" i="14"/>
  <c r="B136" i="18" s="1"/>
  <c r="B141" i="14"/>
  <c r="B137" i="18" s="1"/>
  <c r="B142" i="14"/>
  <c r="B138" i="18" s="1"/>
  <c r="B143" i="14"/>
  <c r="B139" i="18" s="1"/>
  <c r="B144" i="14"/>
  <c r="B140" i="18" s="1"/>
  <c r="B145" i="14"/>
  <c r="B141" i="18" s="1"/>
  <c r="B146" i="14"/>
  <c r="B142" i="18" s="1"/>
  <c r="B147" i="14"/>
  <c r="B143" i="18" s="1"/>
  <c r="B148" i="14"/>
  <c r="B144" i="18" s="1"/>
  <c r="B149" i="14"/>
  <c r="B145" i="18" s="1"/>
  <c r="B150" i="14"/>
  <c r="B146" i="18" s="1"/>
  <c r="B151" i="14"/>
  <c r="B147" i="18" s="1"/>
  <c r="B152" i="14"/>
  <c r="B148" i="18" s="1"/>
  <c r="B153" i="14"/>
  <c r="B149" i="18" s="1"/>
  <c r="B154" i="14"/>
  <c r="B150" i="18" s="1"/>
  <c r="B155" i="14"/>
  <c r="B151" i="18" s="1"/>
  <c r="B156" i="14"/>
  <c r="B152" i="18" s="1"/>
  <c r="B157" i="14"/>
  <c r="B153" i="18" s="1"/>
  <c r="B158" i="14"/>
  <c r="B154" i="18" s="1"/>
  <c r="B159" i="14"/>
  <c r="B155" i="18" s="1"/>
  <c r="B160" i="14"/>
  <c r="B156" i="18" s="1"/>
  <c r="B161" i="14"/>
  <c r="B157" i="18" s="1"/>
  <c r="B162" i="14"/>
  <c r="B158" i="18" s="1"/>
  <c r="B163" i="14"/>
  <c r="B159" i="18" s="1"/>
  <c r="B164" i="14"/>
  <c r="B160" i="18" s="1"/>
  <c r="B165" i="14"/>
  <c r="B161" i="18" s="1"/>
  <c r="B166" i="14"/>
  <c r="B162" i="18" s="1"/>
  <c r="B167" i="14"/>
  <c r="B163" i="18" s="1"/>
  <c r="B168" i="14"/>
  <c r="B164" i="18" s="1"/>
  <c r="B169" i="14"/>
  <c r="B165" i="18" s="1"/>
  <c r="B170" i="14"/>
  <c r="B166" i="18" s="1"/>
  <c r="B171" i="14"/>
  <c r="B167" i="18" s="1"/>
  <c r="B172" i="14"/>
  <c r="B168" i="18" s="1"/>
  <c r="B173" i="14"/>
  <c r="B169" i="18" s="1"/>
  <c r="B174" i="14"/>
  <c r="B170" i="18" s="1"/>
  <c r="B175" i="14"/>
  <c r="B171" i="18" s="1"/>
  <c r="B176" i="14"/>
  <c r="B172" i="18" s="1"/>
  <c r="B177" i="14"/>
  <c r="B173" i="18" s="1"/>
  <c r="B178" i="14"/>
  <c r="B174" i="18" s="1"/>
  <c r="B179" i="14"/>
  <c r="B175" i="18" s="1"/>
  <c r="B180" i="14"/>
  <c r="B176" i="18" s="1"/>
  <c r="B181" i="14"/>
  <c r="B177" i="18" s="1"/>
  <c r="B182" i="14"/>
  <c r="B178" i="18" s="1"/>
  <c r="B183" i="14"/>
  <c r="B179" i="18" s="1"/>
  <c r="B184" i="14"/>
  <c r="B180" i="18" s="1"/>
  <c r="B185" i="14"/>
  <c r="B181" i="18" s="1"/>
  <c r="B186" i="14"/>
  <c r="B182" i="18" s="1"/>
  <c r="B187" i="14"/>
  <c r="B183" i="18" s="1"/>
  <c r="B188" i="14"/>
  <c r="B184" i="18" s="1"/>
  <c r="B189" i="14"/>
  <c r="B185" i="18" s="1"/>
  <c r="B190" i="14"/>
  <c r="B186" i="18" s="1"/>
  <c r="B191" i="14"/>
  <c r="B187" i="18" s="1"/>
  <c r="B192" i="14"/>
  <c r="B188" i="18" s="1"/>
  <c r="B193" i="14"/>
  <c r="B189" i="18" s="1"/>
  <c r="B194" i="14"/>
  <c r="B190" i="18" s="1"/>
  <c r="B195" i="14"/>
  <c r="B191" i="18" s="1"/>
  <c r="B196" i="14"/>
  <c r="B192" i="18" s="1"/>
  <c r="B197" i="14"/>
  <c r="B193" i="18" s="1"/>
  <c r="B198" i="14"/>
  <c r="B194" i="18" s="1"/>
  <c r="B199" i="14"/>
  <c r="B195" i="18" s="1"/>
  <c r="B200" i="14"/>
  <c r="B196" i="18" s="1"/>
  <c r="B201" i="14"/>
  <c r="B197" i="18" s="1"/>
  <c r="B202" i="14"/>
  <c r="B198" i="18" s="1"/>
  <c r="B203" i="14"/>
  <c r="B199" i="18" s="1"/>
  <c r="B204" i="14"/>
  <c r="B200" i="18" s="1"/>
  <c r="B205" i="14"/>
  <c r="B201" i="18" s="1"/>
  <c r="B206" i="14"/>
  <c r="B202" i="18" s="1"/>
  <c r="B207" i="14"/>
  <c r="B203" i="18" s="1"/>
  <c r="B208" i="14"/>
  <c r="B204" i="18" s="1"/>
  <c r="B209" i="14"/>
  <c r="B205" i="18" s="1"/>
  <c r="B210" i="14"/>
  <c r="B206" i="18" s="1"/>
  <c r="B211" i="14"/>
  <c r="B207" i="18" s="1"/>
  <c r="B212" i="14"/>
  <c r="B208" i="18" s="1"/>
  <c r="B213" i="14"/>
  <c r="B209" i="18" s="1"/>
  <c r="B214" i="14"/>
  <c r="B210" i="18" s="1"/>
  <c r="B215" i="14"/>
  <c r="B211" i="18" s="1"/>
  <c r="B216" i="14"/>
  <c r="B212" i="18" s="1"/>
  <c r="B217" i="14"/>
  <c r="B213" i="18" s="1"/>
  <c r="B218" i="14"/>
  <c r="B214" i="18" s="1"/>
  <c r="B219" i="14"/>
  <c r="B215" i="18" s="1"/>
  <c r="B220" i="14"/>
  <c r="B216" i="18" s="1"/>
  <c r="B221" i="14"/>
  <c r="B217" i="18" s="1"/>
  <c r="B222" i="14"/>
  <c r="B218" i="18" s="1"/>
  <c r="B223" i="14"/>
  <c r="B219" i="18" s="1"/>
  <c r="B224" i="14"/>
  <c r="B220" i="18" s="1"/>
  <c r="B225" i="14"/>
  <c r="B221" i="18" s="1"/>
  <c r="B226" i="14"/>
  <c r="B222" i="18" s="1"/>
  <c r="B227" i="14"/>
  <c r="B223" i="18" s="1"/>
  <c r="B228" i="14"/>
  <c r="B224" i="18" s="1"/>
  <c r="B229" i="14"/>
  <c r="B225" i="18" s="1"/>
  <c r="B230" i="14"/>
  <c r="B226" i="18" s="1"/>
  <c r="B231" i="14"/>
  <c r="B227" i="18" s="1"/>
  <c r="B232" i="14"/>
  <c r="B228" i="18" s="1"/>
  <c r="B233" i="14"/>
  <c r="B229" i="18" s="1"/>
  <c r="B234" i="14"/>
  <c r="B230" i="18" s="1"/>
  <c r="B235" i="14"/>
  <c r="B231" i="18" s="1"/>
  <c r="B236" i="14"/>
  <c r="B232" i="18" s="1"/>
  <c r="B237" i="14"/>
  <c r="B233" i="18" s="1"/>
  <c r="B238" i="14"/>
  <c r="B234" i="18" s="1"/>
  <c r="B239" i="14"/>
  <c r="B235" i="18" s="1"/>
  <c r="B240" i="14"/>
  <c r="B236" i="18" s="1"/>
  <c r="B241" i="14"/>
  <c r="B237" i="18" s="1"/>
  <c r="B242" i="14"/>
  <c r="B238" i="18" s="1"/>
  <c r="B243" i="14"/>
  <c r="B239" i="18" s="1"/>
  <c r="B244" i="14"/>
  <c r="B240" i="18" s="1"/>
  <c r="B245" i="14"/>
  <c r="B241" i="18" s="1"/>
  <c r="B246" i="14"/>
  <c r="B242" i="18" s="1"/>
  <c r="B247" i="14"/>
  <c r="B243" i="18" s="1"/>
  <c r="B248" i="14"/>
  <c r="B244" i="18" s="1"/>
  <c r="B249" i="14"/>
  <c r="B245" i="18" s="1"/>
  <c r="B250" i="14"/>
  <c r="B246" i="18" s="1"/>
  <c r="B251" i="14"/>
  <c r="B247" i="18" s="1"/>
  <c r="B252" i="14"/>
  <c r="B248" i="18" s="1"/>
  <c r="B253" i="14"/>
  <c r="B249" i="18" s="1"/>
  <c r="B254" i="14"/>
  <c r="B250" i="18" s="1"/>
  <c r="B255" i="14"/>
  <c r="B251" i="18" s="1"/>
  <c r="B256" i="14"/>
  <c r="B252" i="18" s="1"/>
  <c r="B257" i="14"/>
  <c r="B253" i="18" s="1"/>
  <c r="B258" i="14"/>
  <c r="B254" i="18" s="1"/>
  <c r="B259" i="14"/>
  <c r="B255" i="18" s="1"/>
  <c r="B260" i="14"/>
  <c r="B256" i="18" s="1"/>
  <c r="B261" i="14"/>
  <c r="B257" i="18" s="1"/>
  <c r="B262" i="14"/>
  <c r="B258" i="18" s="1"/>
  <c r="B263" i="14"/>
  <c r="B259" i="18" s="1"/>
  <c r="B264" i="14"/>
  <c r="B260" i="18" s="1"/>
  <c r="B265" i="14"/>
  <c r="B261" i="18" s="1"/>
  <c r="B266" i="14"/>
  <c r="B262" i="18" s="1"/>
  <c r="B267" i="14"/>
  <c r="B263" i="18" s="1"/>
  <c r="B268" i="14"/>
  <c r="B264" i="18" s="1"/>
  <c r="B269" i="14"/>
  <c r="B265" i="18" s="1"/>
  <c r="B270" i="14"/>
  <c r="B266" i="18" s="1"/>
  <c r="B271" i="14"/>
  <c r="B267" i="18" s="1"/>
  <c r="B272" i="14"/>
  <c r="B268" i="18" s="1"/>
  <c r="B273" i="14"/>
  <c r="B269" i="18" s="1"/>
  <c r="B274" i="14"/>
  <c r="B270" i="18" s="1"/>
  <c r="B275" i="14"/>
  <c r="B271" i="18" s="1"/>
  <c r="B276" i="14"/>
  <c r="B272" i="18" s="1"/>
  <c r="B277" i="14"/>
  <c r="B273" i="18" s="1"/>
  <c r="B278" i="14"/>
  <c r="B274" i="18" s="1"/>
  <c r="B279" i="14"/>
  <c r="B275" i="18" s="1"/>
  <c r="B280" i="14"/>
  <c r="B276" i="18" s="1"/>
  <c r="B281" i="14"/>
  <c r="B277" i="18" s="1"/>
  <c r="B282" i="14"/>
  <c r="B278" i="18" s="1"/>
  <c r="B283" i="14"/>
  <c r="B279" i="18" s="1"/>
  <c r="B284" i="14"/>
  <c r="B280" i="18" s="1"/>
  <c r="B285" i="14"/>
  <c r="B281" i="18" s="1"/>
  <c r="B286" i="14"/>
  <c r="B282" i="18" s="1"/>
  <c r="B287" i="14"/>
  <c r="B283" i="18" s="1"/>
  <c r="B288" i="14"/>
  <c r="B284" i="18" s="1"/>
  <c r="B289" i="14"/>
  <c r="B285" i="18" s="1"/>
  <c r="B290" i="14"/>
  <c r="B286" i="18" s="1"/>
  <c r="B291" i="14"/>
  <c r="B287" i="18" s="1"/>
  <c r="B292" i="14"/>
  <c r="B288" i="18" s="1"/>
  <c r="B293" i="14"/>
  <c r="B289" i="18" s="1"/>
  <c r="B294" i="14"/>
  <c r="B290" i="18" s="1"/>
  <c r="B295" i="14"/>
  <c r="B291" i="18" s="1"/>
  <c r="B296" i="14"/>
  <c r="B292" i="18" s="1"/>
  <c r="B297" i="14"/>
  <c r="B293" i="18" s="1"/>
  <c r="B298" i="14"/>
  <c r="B294" i="18" s="1"/>
  <c r="B299" i="14"/>
  <c r="B295" i="18" s="1"/>
  <c r="B300" i="14"/>
  <c r="B296" i="18" s="1"/>
  <c r="B301" i="14"/>
  <c r="B297" i="18" s="1"/>
  <c r="B302" i="14"/>
  <c r="B298" i="18" s="1"/>
  <c r="B303" i="14"/>
  <c r="B299" i="18" s="1"/>
  <c r="B304" i="14"/>
  <c r="B300" i="18" s="1"/>
  <c r="B305" i="14"/>
  <c r="B301" i="18" s="1"/>
  <c r="B306" i="14"/>
  <c r="B302" i="18" s="1"/>
  <c r="B307" i="14"/>
  <c r="B303" i="18" s="1"/>
  <c r="B308" i="14"/>
  <c r="B304" i="18" s="1"/>
  <c r="B309" i="14"/>
  <c r="B305" i="18" s="1"/>
  <c r="B310" i="14"/>
  <c r="B306" i="18" s="1"/>
  <c r="B311" i="14"/>
  <c r="B307" i="18" s="1"/>
  <c r="B312" i="14"/>
  <c r="B308" i="18" s="1"/>
  <c r="B313" i="14"/>
  <c r="B309" i="18" s="1"/>
  <c r="B314" i="14"/>
  <c r="B310" i="18" s="1"/>
  <c r="B315" i="14"/>
  <c r="B311" i="18" s="1"/>
  <c r="B316" i="14"/>
  <c r="B312" i="18" s="1"/>
  <c r="B317" i="14"/>
  <c r="B313" i="18" s="1"/>
  <c r="B318" i="14"/>
  <c r="B314" i="18" s="1"/>
  <c r="B319" i="14"/>
  <c r="B315" i="18" s="1"/>
  <c r="B320" i="14"/>
  <c r="B316" i="18" s="1"/>
  <c r="B321" i="14"/>
  <c r="B317" i="18" s="1"/>
  <c r="B322" i="14"/>
  <c r="B318" i="18" s="1"/>
  <c r="B323" i="14"/>
  <c r="B319" i="18" s="1"/>
  <c r="B324" i="14"/>
  <c r="B320" i="18" s="1"/>
  <c r="B325" i="14"/>
  <c r="B321" i="18" s="1"/>
  <c r="B326" i="14"/>
  <c r="B322" i="18" s="1"/>
  <c r="B327" i="14"/>
  <c r="B323" i="18" s="1"/>
  <c r="B328" i="14"/>
  <c r="B324" i="18" s="1"/>
  <c r="B329" i="14"/>
  <c r="B325" i="18" s="1"/>
  <c r="B330" i="14"/>
  <c r="B326" i="18" s="1"/>
  <c r="B331" i="14"/>
  <c r="B327" i="18" s="1"/>
  <c r="B332" i="14"/>
  <c r="B328" i="18" s="1"/>
  <c r="B333" i="14"/>
  <c r="B329" i="18" s="1"/>
  <c r="B334" i="14"/>
  <c r="B330" i="18" s="1"/>
  <c r="B335" i="14"/>
  <c r="B331" i="18" s="1"/>
  <c r="B336" i="14"/>
  <c r="B332" i="18" s="1"/>
  <c r="B337" i="14"/>
  <c r="B333" i="18" s="1"/>
  <c r="B338" i="14"/>
  <c r="B334" i="18" s="1"/>
  <c r="B339" i="14"/>
  <c r="B335" i="18" s="1"/>
  <c r="B340" i="14"/>
  <c r="B336" i="18" s="1"/>
  <c r="B341" i="14"/>
  <c r="B337" i="18" s="1"/>
  <c r="B342" i="14"/>
  <c r="B338" i="18" s="1"/>
  <c r="B343" i="14"/>
  <c r="B339" i="18" s="1"/>
  <c r="B344" i="14"/>
  <c r="B340" i="18" s="1"/>
  <c r="B345" i="14"/>
  <c r="B341" i="18" s="1"/>
  <c r="B346" i="14"/>
  <c r="B342" i="18" s="1"/>
  <c r="B347" i="14"/>
  <c r="B343" i="18" s="1"/>
  <c r="B348" i="14"/>
  <c r="B344" i="18" s="1"/>
  <c r="B349" i="14"/>
  <c r="B345" i="18" s="1"/>
  <c r="B350" i="14"/>
  <c r="B346" i="18" s="1"/>
  <c r="B351" i="14"/>
  <c r="B347" i="18" s="1"/>
  <c r="B352" i="14"/>
  <c r="B348" i="18" s="1"/>
  <c r="B353" i="14"/>
  <c r="B349" i="18" s="1"/>
  <c r="B354" i="14"/>
  <c r="B350" i="18" s="1"/>
  <c r="B355" i="14"/>
  <c r="B351" i="18" s="1"/>
  <c r="B356" i="14"/>
  <c r="B352" i="18" s="1"/>
  <c r="B357" i="14"/>
  <c r="B353" i="18" s="1"/>
  <c r="B358" i="14"/>
  <c r="B354" i="18" s="1"/>
  <c r="B359" i="14"/>
  <c r="B355" i="18" s="1"/>
  <c r="B360" i="14"/>
  <c r="B356" i="18" s="1"/>
  <c r="B361" i="14"/>
  <c r="B357" i="18" s="1"/>
  <c r="B362" i="14"/>
  <c r="B358" i="18" s="1"/>
  <c r="B363" i="14"/>
  <c r="B359" i="18" s="1"/>
  <c r="B364" i="14"/>
  <c r="B360" i="18" s="1"/>
  <c r="B365" i="14"/>
  <c r="B361" i="18" s="1"/>
  <c r="B366" i="14"/>
  <c r="B362" i="18" s="1"/>
  <c r="B367" i="14"/>
  <c r="B363" i="18" s="1"/>
  <c r="B368" i="14"/>
  <c r="B364" i="18" s="1"/>
  <c r="B369" i="14"/>
  <c r="B365" i="18" s="1"/>
  <c r="B370" i="14"/>
  <c r="B366" i="18" s="1"/>
  <c r="B371" i="14"/>
  <c r="B367" i="18" s="1"/>
  <c r="B372" i="14"/>
  <c r="B368" i="18" s="1"/>
  <c r="B373" i="14"/>
  <c r="B369" i="18" s="1"/>
  <c r="B374" i="14"/>
  <c r="B370" i="18" s="1"/>
  <c r="B375" i="14"/>
  <c r="B371" i="18" s="1"/>
  <c r="B376" i="14"/>
  <c r="B372" i="18" s="1"/>
  <c r="B377" i="14"/>
  <c r="B373" i="18" s="1"/>
  <c r="B378" i="14"/>
  <c r="B374" i="18" s="1"/>
  <c r="B379" i="14"/>
  <c r="B375" i="18" s="1"/>
  <c r="B380" i="14"/>
  <c r="B376" i="18" s="1"/>
  <c r="B381" i="14"/>
  <c r="B377" i="18" s="1"/>
  <c r="B382" i="14"/>
  <c r="B378" i="18" s="1"/>
  <c r="B383" i="14"/>
  <c r="B379" i="18" s="1"/>
  <c r="B384" i="14"/>
  <c r="B380" i="18" s="1"/>
  <c r="B385" i="14"/>
  <c r="B381" i="18" s="1"/>
  <c r="B386" i="14"/>
  <c r="B382" i="18" s="1"/>
  <c r="B387" i="14"/>
  <c r="B383" i="18" s="1"/>
  <c r="B388" i="14"/>
  <c r="B384" i="18" s="1"/>
  <c r="B389" i="14"/>
  <c r="B385" i="18" s="1"/>
  <c r="B390" i="14"/>
  <c r="B386" i="18" s="1"/>
  <c r="B391" i="14"/>
  <c r="B387" i="18" s="1"/>
  <c r="B392" i="14"/>
  <c r="B388" i="18" s="1"/>
  <c r="B393" i="14"/>
  <c r="B389" i="18" s="1"/>
  <c r="B394" i="14"/>
  <c r="B390" i="18" s="1"/>
  <c r="B395" i="14"/>
  <c r="B391" i="18" s="1"/>
  <c r="B396" i="14"/>
  <c r="B392" i="18" s="1"/>
  <c r="B397" i="14"/>
  <c r="B393" i="18" s="1"/>
  <c r="B398" i="14"/>
  <c r="B394" i="18" s="1"/>
  <c r="B399" i="14"/>
  <c r="B395" i="18" s="1"/>
  <c r="B400" i="14"/>
  <c r="B396" i="18" s="1"/>
  <c r="B401" i="14"/>
  <c r="B397" i="18" s="1"/>
  <c r="B402" i="14"/>
  <c r="B398" i="18" s="1"/>
  <c r="B403" i="14"/>
  <c r="B399" i="18" s="1"/>
  <c r="B404" i="14"/>
  <c r="B400" i="18" s="1"/>
  <c r="B405" i="14"/>
  <c r="B401" i="18" s="1"/>
  <c r="B406" i="14"/>
  <c r="B402" i="18" s="1"/>
  <c r="B407" i="14"/>
  <c r="B403" i="18" s="1"/>
  <c r="B408" i="14"/>
  <c r="B404" i="18" s="1"/>
  <c r="B409" i="14"/>
  <c r="B405" i="18" s="1"/>
  <c r="B410" i="14"/>
  <c r="B406" i="18" s="1"/>
  <c r="B411" i="14"/>
  <c r="B407" i="18" s="1"/>
  <c r="B412" i="14"/>
  <c r="B408" i="18" s="1"/>
  <c r="B413" i="14"/>
  <c r="B409" i="18" s="1"/>
  <c r="B414" i="14"/>
  <c r="B410" i="18" s="1"/>
  <c r="B415" i="14"/>
  <c r="B411" i="18" s="1"/>
  <c r="B416" i="14"/>
  <c r="B412" i="18" s="1"/>
  <c r="B417" i="14"/>
  <c r="B413" i="18" s="1"/>
  <c r="B418" i="14"/>
  <c r="B414" i="18" s="1"/>
  <c r="B419" i="14"/>
  <c r="B415" i="18" s="1"/>
  <c r="B420" i="14"/>
  <c r="B416" i="18" s="1"/>
  <c r="B421" i="14"/>
  <c r="B417" i="18" s="1"/>
  <c r="B422" i="14"/>
  <c r="B418" i="18" s="1"/>
  <c r="B423" i="14"/>
  <c r="B419" i="18" s="1"/>
  <c r="B424" i="14"/>
  <c r="B420" i="18" s="1"/>
  <c r="B425" i="14"/>
  <c r="B421" i="18" s="1"/>
  <c r="B426" i="14"/>
  <c r="B422" i="18" s="1"/>
  <c r="B427" i="14"/>
  <c r="B423" i="18" s="1"/>
  <c r="B428" i="14"/>
  <c r="B424" i="18" s="1"/>
  <c r="B429" i="14"/>
  <c r="B425" i="18" s="1"/>
  <c r="B430" i="14"/>
  <c r="B426" i="18" s="1"/>
  <c r="B431" i="14"/>
  <c r="B427" i="18" s="1"/>
  <c r="B432" i="14"/>
  <c r="B428" i="18" s="1"/>
  <c r="B433" i="14"/>
  <c r="B429" i="18" s="1"/>
  <c r="B434" i="14"/>
  <c r="B430" i="18" s="1"/>
  <c r="B435" i="14"/>
  <c r="B431" i="18" s="1"/>
  <c r="B436" i="14"/>
  <c r="B432" i="18" s="1"/>
  <c r="B437" i="14"/>
  <c r="B433" i="18" s="1"/>
  <c r="B438" i="14"/>
  <c r="B434" i="18" s="1"/>
  <c r="B439" i="14"/>
  <c r="B435" i="18" s="1"/>
  <c r="B440" i="14"/>
  <c r="B436" i="18" s="1"/>
  <c r="B441" i="14"/>
  <c r="B437" i="18" s="1"/>
  <c r="B442" i="14"/>
  <c r="B438" i="18" s="1"/>
  <c r="B443" i="14"/>
  <c r="B439" i="18" s="1"/>
  <c r="B444" i="14"/>
  <c r="B440" i="18" s="1"/>
  <c r="B445" i="14"/>
  <c r="B441" i="18" s="1"/>
  <c r="B446" i="14"/>
  <c r="B442" i="18" s="1"/>
  <c r="B447" i="14"/>
  <c r="B443" i="18" s="1"/>
  <c r="B448" i="14"/>
  <c r="B444" i="18" s="1"/>
  <c r="B449" i="14"/>
  <c r="B445" i="18" s="1"/>
  <c r="B450" i="14"/>
  <c r="B446" i="18" s="1"/>
  <c r="B451" i="14"/>
  <c r="B447" i="18" s="1"/>
  <c r="B452" i="14"/>
  <c r="B448" i="18" s="1"/>
  <c r="B453" i="14"/>
  <c r="B449" i="18" s="1"/>
  <c r="B454" i="14"/>
  <c r="B450" i="18" s="1"/>
  <c r="B455" i="14"/>
  <c r="B451" i="18" s="1"/>
  <c r="B456" i="14"/>
  <c r="B452" i="18" s="1"/>
  <c r="B457" i="14"/>
  <c r="B453" i="18" s="1"/>
  <c r="B458" i="14"/>
  <c r="B454" i="18" s="1"/>
  <c r="B459" i="14"/>
  <c r="B455" i="18" s="1"/>
  <c r="B460" i="14"/>
  <c r="B456" i="18" s="1"/>
  <c r="B461" i="14"/>
  <c r="B457" i="18" s="1"/>
  <c r="B462" i="14"/>
  <c r="B458" i="18" s="1"/>
  <c r="B463" i="14"/>
  <c r="B459" i="18" s="1"/>
  <c r="B464" i="14"/>
  <c r="B460" i="18" s="1"/>
  <c r="B465" i="14"/>
  <c r="B461" i="18" s="1"/>
  <c r="B466" i="14"/>
  <c r="B462" i="18" s="1"/>
  <c r="B467" i="14"/>
  <c r="B463" i="18" s="1"/>
  <c r="B468" i="14"/>
  <c r="B464" i="18" s="1"/>
  <c r="B469" i="14"/>
  <c r="B465" i="18" s="1"/>
  <c r="B470" i="14"/>
  <c r="B466" i="18" s="1"/>
  <c r="B471" i="14"/>
  <c r="B467" i="18" s="1"/>
  <c r="B472" i="14"/>
  <c r="B468" i="18" s="1"/>
  <c r="B473" i="14"/>
  <c r="B469" i="18" s="1"/>
  <c r="B474" i="14"/>
  <c r="B470" i="18" s="1"/>
  <c r="B475" i="14"/>
  <c r="B471" i="18" s="1"/>
  <c r="B476" i="14"/>
  <c r="B472" i="18" s="1"/>
  <c r="B477" i="14"/>
  <c r="B473" i="18" s="1"/>
  <c r="B478" i="14"/>
  <c r="B474" i="18" s="1"/>
  <c r="B479" i="14"/>
  <c r="B475" i="18" s="1"/>
  <c r="B480" i="14"/>
  <c r="B476" i="18" s="1"/>
  <c r="B481" i="14"/>
  <c r="B477" i="18" s="1"/>
  <c r="B482" i="14"/>
  <c r="B478" i="18" s="1"/>
  <c r="B483" i="14"/>
  <c r="B479" i="18" s="1"/>
  <c r="B484" i="14"/>
  <c r="B480" i="18" s="1"/>
  <c r="B485" i="14"/>
  <c r="B481" i="18" s="1"/>
  <c r="B486" i="14"/>
  <c r="B482" i="18" s="1"/>
  <c r="B487" i="14"/>
  <c r="B483" i="18" s="1"/>
  <c r="B488" i="14"/>
  <c r="B484" i="18" s="1"/>
  <c r="B489" i="14"/>
  <c r="B485" i="18" s="1"/>
  <c r="B490" i="14"/>
  <c r="B486" i="18" s="1"/>
  <c r="B491" i="14"/>
  <c r="B487" i="18" s="1"/>
  <c r="B492" i="14"/>
  <c r="B488" i="18" s="1"/>
  <c r="B493" i="14"/>
  <c r="B489" i="18" s="1"/>
  <c r="B494" i="14"/>
  <c r="B490" i="18" s="1"/>
  <c r="B495" i="14"/>
  <c r="B491" i="18" s="1"/>
  <c r="B496" i="14"/>
  <c r="B492" i="18" s="1"/>
  <c r="B497" i="14"/>
  <c r="B493" i="18" s="1"/>
  <c r="B498" i="14"/>
  <c r="B494" i="18" s="1"/>
  <c r="B499" i="14"/>
  <c r="B495" i="18" s="1"/>
  <c r="B500" i="14"/>
  <c r="B496" i="18" s="1"/>
  <c r="B501" i="14"/>
  <c r="B497" i="18" s="1"/>
  <c r="B502" i="14"/>
  <c r="B498" i="18" s="1"/>
  <c r="B503" i="14"/>
  <c r="B499" i="18" s="1"/>
  <c r="B504" i="14"/>
  <c r="B500" i="18" s="1"/>
  <c r="B505" i="14"/>
  <c r="B501" i="18" s="1"/>
  <c r="B506" i="14"/>
  <c r="B502" i="18" s="1"/>
  <c r="B507" i="14"/>
  <c r="B503" i="18" s="1"/>
  <c r="B508" i="14"/>
  <c r="B504" i="18" s="1"/>
  <c r="B509" i="14"/>
  <c r="B505" i="18" s="1"/>
  <c r="B510" i="14"/>
  <c r="B506" i="18" s="1"/>
  <c r="B511" i="14"/>
  <c r="B507" i="18" s="1"/>
  <c r="B512" i="14"/>
  <c r="B508" i="18" s="1"/>
  <c r="B513" i="14"/>
  <c r="B509" i="18" s="1"/>
  <c r="B514" i="14"/>
  <c r="B510" i="18" s="1"/>
  <c r="B515" i="14"/>
  <c r="B511" i="18" s="1"/>
  <c r="B516" i="14"/>
  <c r="B512" i="18" s="1"/>
  <c r="B517" i="14"/>
  <c r="B513" i="18" s="1"/>
  <c r="B518" i="14"/>
  <c r="B514" i="18" s="1"/>
  <c r="B519" i="14"/>
  <c r="B515" i="18" s="1"/>
  <c r="B520" i="14"/>
  <c r="B516" i="18" s="1"/>
  <c r="B521" i="14"/>
  <c r="B517" i="18" s="1"/>
  <c r="B522" i="14"/>
  <c r="B518" i="18" s="1"/>
  <c r="B523" i="14"/>
  <c r="B519" i="18" s="1"/>
  <c r="B524" i="14"/>
  <c r="B520" i="18" s="1"/>
  <c r="B525" i="14"/>
  <c r="B521" i="18" s="1"/>
  <c r="B526" i="14"/>
  <c r="B522" i="18" s="1"/>
  <c r="B527" i="14"/>
  <c r="B523" i="18" s="1"/>
  <c r="B528" i="14"/>
  <c r="B524" i="18" s="1"/>
  <c r="B529" i="14"/>
  <c r="B525" i="18" s="1"/>
  <c r="B530" i="14"/>
  <c r="B526" i="18" s="1"/>
  <c r="B531" i="14"/>
  <c r="B527" i="18" s="1"/>
  <c r="B532" i="14"/>
  <c r="B528" i="18" s="1"/>
  <c r="B533" i="14"/>
  <c r="B529" i="18" s="1"/>
  <c r="B534" i="14"/>
  <c r="B530" i="18" s="1"/>
  <c r="B535" i="14"/>
  <c r="B531" i="18" s="1"/>
  <c r="B536" i="14"/>
  <c r="B532" i="18" s="1"/>
  <c r="B537" i="14"/>
  <c r="B533" i="18" s="1"/>
  <c r="B538" i="14"/>
  <c r="B534" i="18" s="1"/>
  <c r="B539" i="14"/>
  <c r="B535" i="18" s="1"/>
  <c r="B540" i="14"/>
  <c r="B536" i="18" s="1"/>
  <c r="B541" i="14"/>
  <c r="B537" i="18" s="1"/>
  <c r="B542" i="14"/>
  <c r="B538" i="18" s="1"/>
  <c r="B543" i="14"/>
  <c r="B539" i="18" s="1"/>
  <c r="B544" i="14"/>
  <c r="B540" i="18" s="1"/>
  <c r="B545" i="14"/>
  <c r="B541" i="18" s="1"/>
  <c r="B546" i="14"/>
  <c r="B542" i="18" s="1"/>
  <c r="B547" i="14"/>
  <c r="B543" i="18" s="1"/>
  <c r="B548" i="14"/>
  <c r="B544" i="18" s="1"/>
  <c r="B549" i="14"/>
  <c r="B545" i="18" s="1"/>
  <c r="B550" i="14"/>
  <c r="B546" i="18" s="1"/>
  <c r="B551" i="14"/>
  <c r="B547" i="18" s="1"/>
  <c r="B552" i="14"/>
  <c r="B548" i="18" s="1"/>
  <c r="B553" i="14"/>
  <c r="B549" i="18" s="1"/>
  <c r="B554" i="14"/>
  <c r="B550" i="18" s="1"/>
  <c r="B555" i="14"/>
  <c r="B551" i="18" s="1"/>
  <c r="B556" i="14"/>
  <c r="B552" i="18" s="1"/>
  <c r="B557" i="14"/>
  <c r="B553" i="18" s="1"/>
  <c r="B558" i="14"/>
  <c r="B554" i="18" s="1"/>
  <c r="B559" i="14"/>
  <c r="B555" i="18" s="1"/>
  <c r="B560" i="14"/>
  <c r="B556" i="18" s="1"/>
  <c r="B561" i="14"/>
  <c r="B557" i="18" s="1"/>
  <c r="B562" i="14"/>
  <c r="B558" i="18" s="1"/>
  <c r="B563" i="14"/>
  <c r="B559" i="18" s="1"/>
  <c r="B564" i="14"/>
  <c r="B560" i="18" s="1"/>
  <c r="B565" i="14"/>
  <c r="B561" i="18" s="1"/>
  <c r="B566" i="14"/>
  <c r="B562" i="18" s="1"/>
  <c r="B567" i="14"/>
  <c r="B563" i="18" s="1"/>
  <c r="B568" i="14"/>
  <c r="B564" i="18" s="1"/>
  <c r="B569" i="14"/>
  <c r="B565" i="18" s="1"/>
  <c r="B570" i="14"/>
  <c r="B566" i="18" s="1"/>
  <c r="B571" i="14"/>
  <c r="B567" i="18" s="1"/>
  <c r="B572" i="14"/>
  <c r="B568" i="18" s="1"/>
  <c r="B573" i="14"/>
  <c r="B569" i="18" s="1"/>
  <c r="B574" i="14"/>
  <c r="B570" i="18" s="1"/>
  <c r="B575" i="14"/>
  <c r="B571" i="18" s="1"/>
  <c r="B576" i="14"/>
  <c r="B572" i="18" s="1"/>
  <c r="B577" i="14"/>
  <c r="B573" i="18" s="1"/>
  <c r="B578" i="14"/>
  <c r="B574" i="18" s="1"/>
  <c r="B579" i="14"/>
  <c r="B575" i="18" s="1"/>
  <c r="B580" i="14"/>
  <c r="B576" i="18" s="1"/>
  <c r="B581" i="14"/>
  <c r="B577" i="18" s="1"/>
  <c r="B582" i="14"/>
  <c r="B578" i="18" s="1"/>
  <c r="B583" i="14"/>
  <c r="B579" i="18" s="1"/>
  <c r="B584" i="14"/>
  <c r="B580" i="18" s="1"/>
  <c r="B585" i="14"/>
  <c r="B581" i="18" s="1"/>
  <c r="B586" i="14"/>
  <c r="B582" i="18" s="1"/>
  <c r="B587" i="14"/>
  <c r="B583" i="18" s="1"/>
  <c r="B588" i="14"/>
  <c r="B584" i="18" s="1"/>
  <c r="B589" i="14"/>
  <c r="B585" i="18" s="1"/>
  <c r="B590" i="14"/>
  <c r="B586" i="18" s="1"/>
  <c r="B591" i="14"/>
  <c r="B587" i="18" s="1"/>
  <c r="B592" i="14"/>
  <c r="B588" i="18" s="1"/>
  <c r="B593" i="14"/>
  <c r="B589" i="18" s="1"/>
  <c r="B594" i="14"/>
  <c r="B590" i="18" s="1"/>
  <c r="B595" i="14"/>
  <c r="B591" i="18" s="1"/>
  <c r="B596" i="14"/>
  <c r="B592" i="18" s="1"/>
  <c r="B597" i="14"/>
  <c r="B593" i="18" s="1"/>
  <c r="B598" i="14"/>
  <c r="B594" i="18" s="1"/>
  <c r="B599" i="14"/>
  <c r="B595" i="18" s="1"/>
  <c r="B600" i="14"/>
  <c r="B596" i="18" s="1"/>
  <c r="B601" i="14"/>
  <c r="B597" i="18" s="1"/>
  <c r="B602" i="14"/>
  <c r="B598" i="18" s="1"/>
  <c r="B603" i="14"/>
  <c r="B599" i="18" s="1"/>
  <c r="B604" i="14"/>
  <c r="B600" i="18" s="1"/>
  <c r="B605" i="14"/>
  <c r="B601" i="18" s="1"/>
  <c r="B606" i="14"/>
  <c r="B602" i="18" s="1"/>
  <c r="B607" i="14"/>
  <c r="B603" i="18" s="1"/>
  <c r="B608" i="14"/>
  <c r="B604" i="18" s="1"/>
  <c r="B609" i="14"/>
  <c r="B605" i="18" s="1"/>
  <c r="B610" i="14"/>
  <c r="B606" i="18" s="1"/>
  <c r="B611" i="14"/>
  <c r="B607" i="18" s="1"/>
  <c r="B612" i="14"/>
  <c r="B608" i="18" s="1"/>
  <c r="B613" i="14"/>
  <c r="B609" i="18" s="1"/>
  <c r="B614" i="14"/>
  <c r="B610" i="18" s="1"/>
  <c r="B615" i="14"/>
  <c r="B611" i="18" s="1"/>
  <c r="B616" i="14"/>
  <c r="B612" i="18" s="1"/>
  <c r="B617" i="14"/>
  <c r="B613" i="18" s="1"/>
  <c r="B618" i="14"/>
  <c r="B614" i="18" s="1"/>
  <c r="B619" i="14"/>
  <c r="B615" i="18" s="1"/>
  <c r="B620" i="14"/>
  <c r="B616" i="18" s="1"/>
  <c r="B621" i="14"/>
  <c r="B617" i="18" s="1"/>
  <c r="B622" i="14"/>
  <c r="B618" i="18" s="1"/>
  <c r="B623" i="14"/>
  <c r="B619" i="18" s="1"/>
  <c r="B624" i="14"/>
  <c r="B620" i="18" s="1"/>
  <c r="B625" i="14"/>
  <c r="B621" i="18" s="1"/>
  <c r="B626" i="14"/>
  <c r="B622" i="18" s="1"/>
  <c r="B627" i="14"/>
  <c r="B623" i="18" s="1"/>
  <c r="B628" i="14"/>
  <c r="B624" i="18" s="1"/>
  <c r="B629" i="14"/>
  <c r="B625" i="18" s="1"/>
  <c r="B630" i="14"/>
  <c r="B626" i="18" s="1"/>
  <c r="B631" i="14"/>
  <c r="B627" i="18" s="1"/>
  <c r="B632" i="14"/>
  <c r="B628" i="18" s="1"/>
  <c r="B633" i="14"/>
  <c r="B629" i="18" s="1"/>
  <c r="B634" i="14"/>
  <c r="B630" i="18" s="1"/>
  <c r="B635" i="14"/>
  <c r="B631" i="18" s="1"/>
  <c r="B636" i="14"/>
  <c r="B632" i="18" s="1"/>
  <c r="B637" i="14"/>
  <c r="B633" i="18" s="1"/>
  <c r="B638" i="14"/>
  <c r="B634" i="18" s="1"/>
  <c r="B639" i="14"/>
  <c r="B635" i="18" s="1"/>
  <c r="B640" i="14"/>
  <c r="B636" i="18" s="1"/>
  <c r="B641" i="14"/>
  <c r="B637" i="18" s="1"/>
  <c r="B642" i="14"/>
  <c r="B638" i="18" s="1"/>
  <c r="B643" i="14"/>
  <c r="B639" i="18" s="1"/>
  <c r="B644" i="14"/>
  <c r="B640" i="18" s="1"/>
  <c r="B645" i="14"/>
  <c r="B641" i="18" s="1"/>
  <c r="B646" i="14"/>
  <c r="B642" i="18" s="1"/>
  <c r="B647" i="14"/>
  <c r="B643" i="18" s="1"/>
  <c r="B648" i="14"/>
  <c r="B644" i="18" s="1"/>
  <c r="B649" i="14"/>
  <c r="B645" i="18" s="1"/>
  <c r="B650" i="14"/>
  <c r="B646" i="18" s="1"/>
  <c r="B651" i="14"/>
  <c r="B647" i="18" s="1"/>
  <c r="B652" i="14"/>
  <c r="B648" i="18" s="1"/>
  <c r="B653" i="14"/>
  <c r="B649" i="18" s="1"/>
  <c r="B654" i="14"/>
  <c r="B650" i="18" s="1"/>
  <c r="B655" i="14"/>
  <c r="B651" i="18" s="1"/>
  <c r="B656" i="14"/>
  <c r="B652" i="18" s="1"/>
  <c r="B657" i="14"/>
  <c r="B653" i="18" s="1"/>
  <c r="B658" i="14"/>
  <c r="B654" i="18" s="1"/>
  <c r="B659" i="14"/>
  <c r="B655" i="18" s="1"/>
  <c r="B660" i="14"/>
  <c r="B656" i="18" s="1"/>
  <c r="B661" i="14"/>
  <c r="B657" i="18" s="1"/>
  <c r="B662" i="14"/>
  <c r="B658" i="18" s="1"/>
  <c r="B663" i="14"/>
  <c r="B659" i="18" s="1"/>
  <c r="B664" i="14"/>
  <c r="B660" i="18" s="1"/>
  <c r="B665" i="14"/>
  <c r="B661" i="18" s="1"/>
  <c r="B666" i="14"/>
  <c r="B662" i="18" s="1"/>
  <c r="B667" i="14"/>
  <c r="B663" i="18" s="1"/>
  <c r="B668" i="14"/>
  <c r="B664" i="18" s="1"/>
  <c r="B669" i="14"/>
  <c r="B665" i="18" s="1"/>
  <c r="B670" i="14"/>
  <c r="B666" i="18" s="1"/>
  <c r="B671" i="14"/>
  <c r="B667" i="18" s="1"/>
  <c r="B672" i="14"/>
  <c r="B668" i="18" s="1"/>
  <c r="B673" i="14"/>
  <c r="B669" i="18" s="1"/>
  <c r="B674" i="14"/>
  <c r="B670" i="18" s="1"/>
  <c r="B675" i="14"/>
  <c r="B671" i="18" s="1"/>
  <c r="B676" i="14"/>
  <c r="B672" i="18" s="1"/>
  <c r="B677" i="14"/>
  <c r="B673" i="18" s="1"/>
  <c r="B678" i="14"/>
  <c r="B674" i="18" s="1"/>
  <c r="B679" i="14"/>
  <c r="B675" i="18" s="1"/>
  <c r="B680" i="14"/>
  <c r="B676" i="18" s="1"/>
  <c r="B681" i="14"/>
  <c r="B677" i="18" s="1"/>
  <c r="B682" i="14"/>
  <c r="B678" i="18" s="1"/>
  <c r="B683" i="14"/>
  <c r="B679" i="18" s="1"/>
  <c r="B684" i="14"/>
  <c r="B680" i="18" s="1"/>
  <c r="B685" i="14"/>
  <c r="B681" i="18" s="1"/>
  <c r="B686" i="14"/>
  <c r="B682" i="18" s="1"/>
  <c r="B687" i="14"/>
  <c r="B683" i="18" s="1"/>
  <c r="B688" i="14"/>
  <c r="B684" i="18" s="1"/>
  <c r="B689" i="14"/>
  <c r="B685" i="18" s="1"/>
  <c r="B690" i="14"/>
  <c r="B686" i="18" s="1"/>
  <c r="B691" i="14"/>
  <c r="B687" i="18" s="1"/>
  <c r="B692" i="14"/>
  <c r="B688" i="18" s="1"/>
  <c r="B693" i="14"/>
  <c r="B689" i="18" s="1"/>
  <c r="B694" i="14"/>
  <c r="B690" i="18" s="1"/>
  <c r="B695" i="14"/>
  <c r="B691" i="18" s="1"/>
  <c r="B696" i="14"/>
  <c r="B692" i="18" s="1"/>
  <c r="B697" i="14"/>
  <c r="B693" i="18" s="1"/>
  <c r="B698" i="14"/>
  <c r="B694" i="18" s="1"/>
  <c r="B699" i="14"/>
  <c r="B695" i="18" s="1"/>
  <c r="B700" i="14"/>
  <c r="B696" i="18" s="1"/>
  <c r="B701" i="14"/>
  <c r="B697" i="18" s="1"/>
  <c r="B702" i="14"/>
  <c r="B698" i="18" s="1"/>
  <c r="B703" i="14"/>
  <c r="B699" i="18" s="1"/>
  <c r="B704" i="14"/>
  <c r="B700" i="18" s="1"/>
  <c r="B705" i="14"/>
  <c r="B701" i="18" s="1"/>
  <c r="B706" i="14"/>
  <c r="B702" i="18" s="1"/>
  <c r="B707" i="14"/>
  <c r="B703" i="18" s="1"/>
  <c r="B708" i="14"/>
  <c r="B704" i="18" s="1"/>
  <c r="B709" i="14"/>
  <c r="B705" i="18" s="1"/>
  <c r="B710" i="14"/>
  <c r="B706" i="18" s="1"/>
  <c r="B711" i="14"/>
  <c r="B707" i="18" s="1"/>
  <c r="B712" i="14"/>
  <c r="B708" i="18" s="1"/>
  <c r="B713" i="14"/>
  <c r="B709" i="18" s="1"/>
  <c r="B714" i="14"/>
  <c r="B710" i="18" s="1"/>
  <c r="B715" i="14"/>
  <c r="B711" i="18" s="1"/>
  <c r="B716" i="14"/>
  <c r="B712" i="18" s="1"/>
  <c r="B717" i="14"/>
  <c r="B713" i="18" s="1"/>
  <c r="B718" i="14"/>
  <c r="B714" i="18" s="1"/>
  <c r="B719" i="14"/>
  <c r="B715" i="18" s="1"/>
  <c r="B720" i="14"/>
  <c r="B716" i="18" s="1"/>
  <c r="B721" i="14"/>
  <c r="B717" i="18" s="1"/>
  <c r="B722" i="14"/>
  <c r="B718" i="18" s="1"/>
  <c r="B723" i="14"/>
  <c r="B719" i="18" s="1"/>
  <c r="B724" i="14"/>
  <c r="B720" i="18" s="1"/>
  <c r="B725" i="14"/>
  <c r="B721" i="18" s="1"/>
  <c r="B726" i="14"/>
  <c r="B722" i="18" s="1"/>
  <c r="B727" i="14"/>
  <c r="B723" i="18" s="1"/>
  <c r="B728" i="14"/>
  <c r="B724" i="18" s="1"/>
  <c r="B729" i="14"/>
  <c r="B725" i="18" s="1"/>
  <c r="B730" i="14"/>
  <c r="B726" i="18" s="1"/>
  <c r="B731" i="14"/>
  <c r="B727" i="18" s="1"/>
  <c r="B732" i="14"/>
  <c r="B728" i="18" s="1"/>
  <c r="B733" i="14"/>
  <c r="B729" i="18" s="1"/>
  <c r="B734" i="14"/>
  <c r="B730" i="18" s="1"/>
  <c r="B735" i="14"/>
  <c r="B731" i="18" s="1"/>
  <c r="B736" i="14"/>
  <c r="B732" i="18" s="1"/>
  <c r="B737" i="14"/>
  <c r="B733" i="18" s="1"/>
  <c r="B738" i="14"/>
  <c r="B734" i="18" s="1"/>
  <c r="B739" i="14"/>
  <c r="B735" i="18" s="1"/>
  <c r="B740" i="14"/>
  <c r="B736" i="18" s="1"/>
  <c r="B741" i="14"/>
  <c r="B737" i="18" s="1"/>
  <c r="B742" i="14"/>
  <c r="B738" i="18" s="1"/>
  <c r="B743" i="14"/>
  <c r="B739" i="18" s="1"/>
  <c r="B744" i="14"/>
  <c r="B740" i="18" s="1"/>
  <c r="B745" i="14"/>
  <c r="B741" i="18" s="1"/>
  <c r="B746" i="14"/>
  <c r="B742" i="18" s="1"/>
  <c r="B747" i="14"/>
  <c r="B743" i="18" s="1"/>
  <c r="B748" i="14"/>
  <c r="B744" i="18" s="1"/>
  <c r="B749" i="14"/>
  <c r="B745" i="18" s="1"/>
  <c r="B750" i="14"/>
  <c r="B746" i="18" s="1"/>
  <c r="B751" i="14"/>
  <c r="B747" i="18" s="1"/>
  <c r="B752" i="14"/>
  <c r="B748" i="18" s="1"/>
  <c r="B753" i="14"/>
  <c r="B749" i="18" s="1"/>
  <c r="B754" i="14"/>
  <c r="B750" i="18" s="1"/>
  <c r="B755" i="14"/>
  <c r="B751" i="18" s="1"/>
  <c r="B756" i="14"/>
  <c r="B752" i="18" s="1"/>
  <c r="B757" i="14"/>
  <c r="B753" i="18" s="1"/>
  <c r="B758" i="14"/>
  <c r="B754" i="18" s="1"/>
  <c r="B759" i="14"/>
  <c r="B755" i="18" s="1"/>
  <c r="B760" i="14"/>
  <c r="B756" i="18" s="1"/>
  <c r="B761" i="14"/>
  <c r="B757" i="18" s="1"/>
  <c r="B762" i="14"/>
  <c r="B758" i="18" s="1"/>
  <c r="B763" i="14"/>
  <c r="B759" i="18" s="1"/>
  <c r="B764" i="14"/>
  <c r="B760" i="18" s="1"/>
  <c r="B765" i="14"/>
  <c r="B761" i="18" s="1"/>
  <c r="B766" i="14"/>
  <c r="B762" i="18" s="1"/>
  <c r="B767" i="14"/>
  <c r="B763" i="18" s="1"/>
  <c r="B768" i="14"/>
  <c r="B764" i="18" s="1"/>
  <c r="B769" i="14"/>
  <c r="B765" i="18" s="1"/>
  <c r="B770" i="14"/>
  <c r="B766" i="18" s="1"/>
  <c r="B771" i="14"/>
  <c r="B767" i="18" s="1"/>
  <c r="B772" i="14"/>
  <c r="B768" i="18" s="1"/>
  <c r="B773" i="14"/>
  <c r="B769" i="18" s="1"/>
  <c r="B774" i="14"/>
  <c r="B770" i="18" s="1"/>
  <c r="B775" i="14"/>
  <c r="B771" i="18" s="1"/>
  <c r="B776" i="14"/>
  <c r="B772" i="18" s="1"/>
  <c r="B777" i="14"/>
  <c r="B773" i="18" s="1"/>
  <c r="B778" i="14"/>
  <c r="B774" i="18" s="1"/>
  <c r="B779" i="14"/>
  <c r="B775" i="18" s="1"/>
  <c r="B780" i="14"/>
  <c r="B776" i="18" s="1"/>
  <c r="B781" i="14"/>
  <c r="B777" i="18" s="1"/>
  <c r="B782" i="14"/>
  <c r="B778" i="18" s="1"/>
  <c r="B783" i="14"/>
  <c r="B779" i="18" s="1"/>
  <c r="B784" i="14"/>
  <c r="B780" i="18" s="1"/>
  <c r="B785" i="14"/>
  <c r="B781" i="18" s="1"/>
  <c r="B786" i="14"/>
  <c r="B782" i="18" s="1"/>
  <c r="B787" i="14"/>
  <c r="B783" i="18" s="1"/>
  <c r="B788" i="14"/>
  <c r="B784" i="18" s="1"/>
  <c r="B789" i="14"/>
  <c r="B785" i="18" s="1"/>
  <c r="B790" i="14"/>
  <c r="B786" i="18" s="1"/>
  <c r="B791" i="14"/>
  <c r="B787" i="18" s="1"/>
  <c r="B792" i="14"/>
  <c r="B788" i="18" s="1"/>
  <c r="B793" i="14"/>
  <c r="B789" i="18" s="1"/>
  <c r="B794" i="14"/>
  <c r="B790" i="18" s="1"/>
  <c r="B795" i="14"/>
  <c r="B791" i="18" s="1"/>
  <c r="B796" i="14"/>
  <c r="B792" i="18" s="1"/>
  <c r="B797" i="14"/>
  <c r="B793" i="18" s="1"/>
  <c r="B798" i="14"/>
  <c r="B794" i="18" s="1"/>
  <c r="B799" i="14"/>
  <c r="B795" i="18" s="1"/>
  <c r="B800" i="14"/>
  <c r="B796" i="18" s="1"/>
  <c r="B801" i="14"/>
  <c r="B797" i="18" s="1"/>
  <c r="B802" i="14"/>
  <c r="B798" i="18" s="1"/>
  <c r="B803" i="14"/>
  <c r="B799" i="18" s="1"/>
  <c r="B804" i="14"/>
  <c r="B800" i="18" s="1"/>
  <c r="B805" i="14"/>
  <c r="B801" i="18" s="1"/>
  <c r="B806" i="14"/>
  <c r="B802" i="18" s="1"/>
  <c r="B807" i="14"/>
  <c r="B803" i="18" s="1"/>
  <c r="B808" i="14"/>
  <c r="B804" i="18" s="1"/>
  <c r="B809" i="14"/>
  <c r="B805" i="18" s="1"/>
  <c r="B810" i="14"/>
  <c r="B806" i="18" s="1"/>
  <c r="B811" i="14"/>
  <c r="B807" i="18" s="1"/>
  <c r="B812" i="14"/>
  <c r="B808" i="18" s="1"/>
  <c r="B813" i="14"/>
  <c r="B809" i="18" s="1"/>
  <c r="B814" i="14"/>
  <c r="B810" i="18" s="1"/>
  <c r="B815" i="14"/>
  <c r="B811" i="18" s="1"/>
  <c r="B816" i="14"/>
  <c r="B812" i="18" s="1"/>
  <c r="B817" i="14"/>
  <c r="B813" i="18" s="1"/>
  <c r="B818" i="14"/>
  <c r="B814" i="18" s="1"/>
  <c r="B819" i="14"/>
  <c r="B815" i="18" s="1"/>
  <c r="B820" i="14"/>
  <c r="B816" i="18" s="1"/>
  <c r="B821" i="14"/>
  <c r="B817" i="18" s="1"/>
  <c r="B822" i="14"/>
  <c r="B818" i="18" s="1"/>
  <c r="B823" i="14"/>
  <c r="B819" i="18" s="1"/>
  <c r="B824" i="14"/>
  <c r="B820" i="18" s="1"/>
  <c r="B825" i="14"/>
  <c r="B821" i="18" s="1"/>
  <c r="B826" i="14"/>
  <c r="B822" i="18" s="1"/>
  <c r="B827" i="14"/>
  <c r="B823" i="18" s="1"/>
  <c r="B828" i="14"/>
  <c r="B824" i="18" s="1"/>
  <c r="B829" i="14"/>
  <c r="B825" i="18" s="1"/>
  <c r="B830" i="14"/>
  <c r="B826" i="18" s="1"/>
  <c r="B831" i="14"/>
  <c r="B827" i="18" s="1"/>
  <c r="B832" i="14"/>
  <c r="B828" i="18" s="1"/>
  <c r="B833" i="14"/>
  <c r="B829" i="18" s="1"/>
  <c r="B834" i="14"/>
  <c r="B830" i="18" s="1"/>
  <c r="B835" i="14"/>
  <c r="B831" i="18" s="1"/>
  <c r="B836" i="14"/>
  <c r="B832" i="18" s="1"/>
  <c r="B837" i="14"/>
  <c r="B833" i="18" s="1"/>
  <c r="B838" i="14"/>
  <c r="B834" i="18" s="1"/>
  <c r="B839" i="14"/>
  <c r="B835" i="18" s="1"/>
  <c r="B840" i="14"/>
  <c r="B836" i="18" s="1"/>
  <c r="B841" i="14"/>
  <c r="B837" i="18" s="1"/>
  <c r="B842" i="14"/>
  <c r="B838" i="18" s="1"/>
  <c r="B843" i="14"/>
  <c r="B839" i="18" s="1"/>
  <c r="B844" i="14"/>
  <c r="B840" i="18" s="1"/>
  <c r="B845" i="14"/>
  <c r="B841" i="18" s="1"/>
  <c r="B846" i="14"/>
  <c r="B842" i="18" s="1"/>
  <c r="B847" i="14"/>
  <c r="B843" i="18" s="1"/>
  <c r="B848" i="14"/>
  <c r="B844" i="18" s="1"/>
  <c r="B849" i="14"/>
  <c r="B845" i="18" s="1"/>
  <c r="B850" i="14"/>
  <c r="B846" i="18" s="1"/>
  <c r="B851" i="14"/>
  <c r="B847" i="18" s="1"/>
  <c r="B852" i="14"/>
  <c r="B848" i="18" s="1"/>
  <c r="B853" i="14"/>
  <c r="B849" i="18" s="1"/>
  <c r="B854" i="14"/>
  <c r="B850" i="18" s="1"/>
  <c r="B855" i="14"/>
  <c r="B851" i="18" s="1"/>
  <c r="B856" i="14"/>
  <c r="B852" i="18" s="1"/>
  <c r="B857" i="14"/>
  <c r="B853" i="18" s="1"/>
  <c r="B858" i="14"/>
  <c r="B854" i="18" s="1"/>
  <c r="B859" i="14"/>
  <c r="B855" i="18" s="1"/>
  <c r="B860" i="14"/>
  <c r="B856" i="18" s="1"/>
  <c r="B861" i="14"/>
  <c r="B857" i="18" s="1"/>
  <c r="B862" i="14"/>
  <c r="B858" i="18" s="1"/>
  <c r="B863" i="14"/>
  <c r="B859" i="18" s="1"/>
  <c r="B864" i="14"/>
  <c r="B860" i="18" s="1"/>
  <c r="B865" i="14"/>
  <c r="B861" i="18" s="1"/>
  <c r="B866" i="14"/>
  <c r="B862" i="18" s="1"/>
  <c r="B867" i="14"/>
  <c r="B863" i="18" s="1"/>
  <c r="B868" i="14"/>
  <c r="B864" i="18" s="1"/>
  <c r="B869" i="14"/>
  <c r="B865" i="18" s="1"/>
  <c r="B870" i="14"/>
  <c r="B866" i="18" s="1"/>
  <c r="B871" i="14"/>
  <c r="B867" i="18" s="1"/>
  <c r="B872" i="14"/>
  <c r="B868" i="18" s="1"/>
  <c r="B873" i="14"/>
  <c r="B869" i="18" s="1"/>
  <c r="B874" i="14"/>
  <c r="B870" i="18" s="1"/>
  <c r="B875" i="14"/>
  <c r="B871" i="18" s="1"/>
  <c r="B876" i="14"/>
  <c r="B872" i="18" s="1"/>
  <c r="B877" i="14"/>
  <c r="B873" i="18" s="1"/>
  <c r="B878" i="14"/>
  <c r="B874" i="18" s="1"/>
  <c r="B879" i="14"/>
  <c r="B875" i="18" s="1"/>
  <c r="B880" i="14"/>
  <c r="B876" i="18" s="1"/>
  <c r="B881" i="14"/>
  <c r="B877" i="18" s="1"/>
  <c r="B882" i="14"/>
  <c r="B878" i="18" s="1"/>
  <c r="B883" i="14"/>
  <c r="B879" i="18" s="1"/>
  <c r="B884" i="14"/>
  <c r="B880" i="18" s="1"/>
  <c r="B885" i="14"/>
  <c r="B881" i="18" s="1"/>
  <c r="B886" i="14"/>
  <c r="B882" i="18" s="1"/>
  <c r="B887" i="14"/>
  <c r="B883" i="18" s="1"/>
  <c r="B888" i="14"/>
  <c r="B884" i="18" s="1"/>
  <c r="B889" i="14"/>
  <c r="B885" i="18" s="1"/>
  <c r="B890" i="14"/>
  <c r="B886" i="18" s="1"/>
  <c r="B891" i="14"/>
  <c r="B887" i="18" s="1"/>
  <c r="B892" i="14"/>
  <c r="B888" i="18" s="1"/>
  <c r="B893" i="14"/>
  <c r="B889" i="18" s="1"/>
  <c r="B894" i="14"/>
  <c r="B890" i="18" s="1"/>
  <c r="B895" i="14"/>
  <c r="B891" i="18" s="1"/>
  <c r="B896" i="14"/>
  <c r="B892" i="18" s="1"/>
  <c r="B897" i="14"/>
  <c r="B893" i="18" s="1"/>
  <c r="B898" i="14"/>
  <c r="B894" i="18" s="1"/>
  <c r="B899" i="14"/>
  <c r="B895" i="18" s="1"/>
  <c r="B900" i="14"/>
  <c r="B896" i="18" s="1"/>
  <c r="B901" i="14"/>
  <c r="B897" i="18" s="1"/>
  <c r="B902" i="14"/>
  <c r="B898" i="18" s="1"/>
  <c r="B903" i="14"/>
  <c r="B899" i="18" s="1"/>
  <c r="B904" i="14"/>
  <c r="B900" i="18" s="1"/>
  <c r="B905" i="14"/>
  <c r="B901" i="18" s="1"/>
  <c r="B906" i="14"/>
  <c r="B902" i="18" s="1"/>
  <c r="B907" i="14"/>
  <c r="B903" i="18" s="1"/>
  <c r="B908" i="14"/>
  <c r="B904" i="18" s="1"/>
  <c r="B909" i="14"/>
  <c r="B905" i="18" s="1"/>
  <c r="B910" i="14"/>
  <c r="B906" i="18" s="1"/>
  <c r="B911" i="14"/>
  <c r="B907" i="18" s="1"/>
  <c r="B912" i="14"/>
  <c r="B908" i="18" s="1"/>
  <c r="B913" i="14"/>
  <c r="B909" i="18" s="1"/>
  <c r="B914" i="14"/>
  <c r="B910" i="18" s="1"/>
  <c r="B915" i="14"/>
  <c r="B911" i="18" s="1"/>
  <c r="B916" i="14"/>
  <c r="B912" i="18" s="1"/>
  <c r="B917" i="14"/>
  <c r="B913" i="18" s="1"/>
  <c r="B918" i="14"/>
  <c r="B914" i="18" s="1"/>
  <c r="B919" i="14"/>
  <c r="B915" i="18" s="1"/>
  <c r="B920" i="14"/>
  <c r="B916" i="18" s="1"/>
  <c r="B921" i="14"/>
  <c r="B917" i="18" s="1"/>
  <c r="B922" i="14"/>
  <c r="B918" i="18" s="1"/>
  <c r="B923" i="14"/>
  <c r="B919" i="18" s="1"/>
  <c r="B924" i="14"/>
  <c r="B920" i="18" s="1"/>
  <c r="B925" i="14"/>
  <c r="B921" i="18" s="1"/>
  <c r="B926" i="14"/>
  <c r="B922" i="18" s="1"/>
  <c r="B927" i="14"/>
  <c r="B923" i="18" s="1"/>
  <c r="B928" i="14"/>
  <c r="B924" i="18" s="1"/>
  <c r="B929" i="14"/>
  <c r="B925" i="18" s="1"/>
  <c r="B930" i="14"/>
  <c r="B926" i="18" s="1"/>
  <c r="B931" i="14"/>
  <c r="B927" i="18" s="1"/>
  <c r="B932" i="14"/>
  <c r="B928" i="18" s="1"/>
  <c r="B933" i="14"/>
  <c r="B929" i="18" s="1"/>
  <c r="B934" i="14"/>
  <c r="B930" i="18" s="1"/>
  <c r="B935" i="14"/>
  <c r="B931" i="18" s="1"/>
  <c r="B936" i="14"/>
  <c r="B932" i="18" s="1"/>
  <c r="B937" i="14"/>
  <c r="B933" i="18" s="1"/>
  <c r="B938" i="14"/>
  <c r="B934" i="18" s="1"/>
  <c r="B939" i="14"/>
  <c r="B935" i="18" s="1"/>
  <c r="B940" i="14"/>
  <c r="B936" i="18" s="1"/>
  <c r="B941" i="14"/>
  <c r="B937" i="18" s="1"/>
  <c r="B942" i="14"/>
  <c r="B938" i="18" s="1"/>
  <c r="B943" i="14"/>
  <c r="B939" i="18" s="1"/>
  <c r="B944" i="14"/>
  <c r="B940" i="18" s="1"/>
  <c r="B945" i="14"/>
  <c r="B941" i="18" s="1"/>
  <c r="B946" i="14"/>
  <c r="B942" i="18" s="1"/>
  <c r="B947" i="14"/>
  <c r="B943" i="18" s="1"/>
  <c r="B948" i="14"/>
  <c r="B944" i="18" s="1"/>
  <c r="B949" i="14"/>
  <c r="B945" i="18" s="1"/>
  <c r="B950" i="14"/>
  <c r="B946" i="18" s="1"/>
  <c r="B951" i="14"/>
  <c r="B947" i="18" s="1"/>
  <c r="B952" i="14"/>
  <c r="B948" i="18" s="1"/>
  <c r="B953" i="14"/>
  <c r="B949" i="18" s="1"/>
  <c r="B954" i="14"/>
  <c r="B950" i="18" s="1"/>
  <c r="B955" i="14"/>
  <c r="B951" i="18" s="1"/>
  <c r="B956" i="14"/>
  <c r="B952" i="18" s="1"/>
  <c r="B957" i="14"/>
  <c r="B953" i="18" s="1"/>
  <c r="B958" i="14"/>
  <c r="B954" i="18" s="1"/>
  <c r="B959" i="14"/>
  <c r="B955" i="18" s="1"/>
  <c r="B960" i="14"/>
  <c r="B956" i="18" s="1"/>
  <c r="B961" i="14"/>
  <c r="B957" i="18" s="1"/>
  <c r="B962" i="14"/>
  <c r="B958" i="18" s="1"/>
  <c r="B963" i="14"/>
  <c r="B959" i="18" s="1"/>
  <c r="B964" i="14"/>
  <c r="B960" i="18" s="1"/>
  <c r="B965" i="14"/>
  <c r="B961" i="18" s="1"/>
  <c r="B966" i="14"/>
  <c r="B962" i="18" s="1"/>
  <c r="B967" i="14"/>
  <c r="B963" i="18" s="1"/>
  <c r="B968" i="14"/>
  <c r="B964" i="18" s="1"/>
  <c r="B969" i="14"/>
  <c r="B965" i="18" s="1"/>
  <c r="B970" i="14"/>
  <c r="B966" i="18" s="1"/>
  <c r="B971" i="14"/>
  <c r="B967" i="18" s="1"/>
  <c r="B972" i="14"/>
  <c r="B968" i="18" s="1"/>
  <c r="B973" i="14"/>
  <c r="B969" i="18" s="1"/>
  <c r="B974" i="14"/>
  <c r="B970" i="18" s="1"/>
  <c r="B975" i="14"/>
  <c r="B971" i="18" s="1"/>
  <c r="B976" i="14"/>
  <c r="B972" i="18" s="1"/>
  <c r="B977" i="14"/>
  <c r="B973" i="18" s="1"/>
  <c r="B978" i="14"/>
  <c r="B974" i="18" s="1"/>
  <c r="B979" i="14"/>
  <c r="B975" i="18" s="1"/>
  <c r="B980" i="14"/>
  <c r="B976" i="18" s="1"/>
  <c r="B981" i="14"/>
  <c r="B977" i="18" s="1"/>
  <c r="B982" i="14"/>
  <c r="B978" i="18" s="1"/>
  <c r="B983" i="14"/>
  <c r="B979" i="18" s="1"/>
  <c r="B984" i="14"/>
  <c r="B980" i="18" s="1"/>
  <c r="B985" i="14"/>
  <c r="B981" i="18" s="1"/>
  <c r="B986" i="14"/>
  <c r="B982" i="18" s="1"/>
  <c r="B987" i="14"/>
  <c r="B983" i="18" s="1"/>
  <c r="B988" i="14"/>
  <c r="B984" i="18" s="1"/>
  <c r="B989" i="14"/>
  <c r="B985" i="18" s="1"/>
  <c r="B990" i="14"/>
  <c r="B986" i="18" s="1"/>
  <c r="B991" i="14"/>
  <c r="B987" i="18" s="1"/>
  <c r="B992" i="14"/>
  <c r="B988" i="18" s="1"/>
  <c r="B993" i="14"/>
  <c r="B989" i="18" s="1"/>
  <c r="B994" i="14"/>
  <c r="B990" i="18" s="1"/>
  <c r="B995" i="14"/>
  <c r="B991" i="18" s="1"/>
  <c r="B996" i="14"/>
  <c r="B992" i="18" s="1"/>
  <c r="B997" i="14"/>
  <c r="B993" i="18" s="1"/>
  <c r="B998" i="14"/>
  <c r="B994" i="18" s="1"/>
  <c r="B999" i="14"/>
  <c r="B995" i="18" s="1"/>
  <c r="B1000" i="14"/>
  <c r="B996" i="18" s="1"/>
  <c r="B1001" i="14"/>
  <c r="B997" i="18" s="1"/>
  <c r="B1002" i="14"/>
  <c r="B998" i="18" s="1"/>
  <c r="B1003" i="14"/>
  <c r="B999" i="18" s="1"/>
  <c r="B1004" i="14"/>
  <c r="B1000" i="18" s="1"/>
  <c r="B1005" i="14"/>
  <c r="B1001" i="18" s="1"/>
  <c r="B1006" i="14"/>
  <c r="B1002" i="18" s="1"/>
  <c r="B1007" i="14"/>
  <c r="B1003" i="18" s="1"/>
  <c r="B1008" i="14"/>
  <c r="B1004" i="18" s="1"/>
  <c r="B1009" i="14"/>
  <c r="B1005" i="18" s="1"/>
  <c r="B1010" i="14"/>
  <c r="B1006" i="18" s="1"/>
  <c r="B1011" i="14"/>
  <c r="B1007" i="18" s="1"/>
  <c r="B1012" i="14"/>
  <c r="B1008" i="18" s="1"/>
  <c r="B1013" i="14"/>
  <c r="B1009" i="18" s="1"/>
  <c r="B1014" i="14"/>
  <c r="B1010" i="18" s="1"/>
  <c r="B1015" i="14"/>
  <c r="B1011" i="18" s="1"/>
  <c r="B1016" i="14"/>
  <c r="B1012" i="18" s="1"/>
  <c r="B1017" i="14"/>
  <c r="B1013" i="18" s="1"/>
  <c r="B1018" i="14"/>
  <c r="B1014" i="18" s="1"/>
  <c r="B1019" i="14"/>
  <c r="B1015" i="18" s="1"/>
  <c r="B1020" i="14"/>
  <c r="B1016" i="18" s="1"/>
  <c r="B1021" i="14"/>
  <c r="B1017" i="18" s="1"/>
  <c r="B1022" i="14"/>
  <c r="B1018" i="18" s="1"/>
  <c r="B1023" i="14"/>
  <c r="B1019" i="18" s="1"/>
  <c r="B1024" i="14"/>
  <c r="B1020" i="18" s="1"/>
  <c r="B1025" i="14"/>
  <c r="B1021" i="18" s="1"/>
  <c r="B1026" i="14"/>
  <c r="B1022" i="18" s="1"/>
  <c r="B1027" i="14"/>
  <c r="B1023" i="18" s="1"/>
  <c r="B1028" i="14"/>
  <c r="B1024" i="18" s="1"/>
  <c r="B1029" i="14"/>
  <c r="B1025" i="18" s="1"/>
  <c r="B1030" i="14"/>
  <c r="B1026" i="18" s="1"/>
  <c r="B1031" i="14"/>
  <c r="B1027" i="18" s="1"/>
  <c r="B1032" i="14"/>
  <c r="B1028" i="18" s="1"/>
  <c r="B1033" i="14"/>
  <c r="B1029" i="18" s="1"/>
  <c r="B1034" i="14"/>
  <c r="B1030" i="18" s="1"/>
  <c r="B1035" i="14"/>
  <c r="B1031" i="18" s="1"/>
  <c r="B1036" i="14"/>
  <c r="B1032" i="18" s="1"/>
  <c r="B1037" i="14"/>
  <c r="B1033" i="18" s="1"/>
  <c r="B1038" i="14"/>
  <c r="B1034" i="18" s="1"/>
  <c r="B1039" i="14"/>
  <c r="B1035" i="18" s="1"/>
  <c r="B1040" i="14"/>
  <c r="B1036" i="18" s="1"/>
  <c r="B1041" i="14"/>
  <c r="B1037" i="18" s="1"/>
  <c r="B1042" i="14"/>
  <c r="B1038" i="18" s="1"/>
  <c r="B1043" i="14"/>
  <c r="B1039" i="18" s="1"/>
  <c r="B1044" i="14"/>
  <c r="B1040" i="18" s="1"/>
  <c r="B1045" i="14"/>
  <c r="B1041" i="18" s="1"/>
  <c r="B1046" i="14"/>
  <c r="B1042" i="18" s="1"/>
  <c r="B1047" i="14"/>
  <c r="B1043" i="18" s="1"/>
  <c r="B1048" i="14"/>
  <c r="B1044" i="18" s="1"/>
  <c r="B1049" i="14"/>
  <c r="B1045" i="18" s="1"/>
  <c r="B1050" i="14"/>
  <c r="B1046" i="18" s="1"/>
  <c r="B1051" i="14"/>
  <c r="B1047" i="18" s="1"/>
  <c r="B1052" i="14"/>
  <c r="B1048" i="18" s="1"/>
  <c r="B1053" i="14"/>
  <c r="B1049" i="18" s="1"/>
  <c r="B1054" i="14"/>
  <c r="B1050" i="18" s="1"/>
  <c r="B1055" i="14"/>
  <c r="B1051" i="18" s="1"/>
  <c r="B1056" i="14"/>
  <c r="B1052" i="18" s="1"/>
  <c r="B1057" i="14"/>
  <c r="B1053" i="18" s="1"/>
  <c r="B1058" i="14"/>
  <c r="B1054" i="18" s="1"/>
  <c r="B1059" i="14"/>
  <c r="B1055" i="18" s="1"/>
  <c r="B1060" i="14"/>
  <c r="B1056" i="18" s="1"/>
  <c r="B1061" i="14"/>
  <c r="B1057" i="18" s="1"/>
  <c r="B1062" i="14"/>
  <c r="B1058" i="18" s="1"/>
  <c r="B1063" i="14"/>
  <c r="B1059" i="18" s="1"/>
  <c r="B1064" i="14"/>
  <c r="B1060" i="18" s="1"/>
  <c r="B1065" i="14"/>
  <c r="B1061" i="18" s="1"/>
  <c r="B1066" i="14"/>
  <c r="B1062" i="18" s="1"/>
  <c r="B1067" i="14"/>
  <c r="B1063" i="18" s="1"/>
  <c r="B1068" i="14"/>
  <c r="B1064" i="18" s="1"/>
  <c r="B1069" i="14"/>
  <c r="B1065" i="18" s="1"/>
  <c r="B1070" i="14"/>
  <c r="B1066" i="18" s="1"/>
  <c r="B1071" i="14"/>
  <c r="B1067" i="18" s="1"/>
  <c r="B1072" i="14"/>
  <c r="B1068" i="18" s="1"/>
  <c r="B1073" i="14"/>
  <c r="B1069" i="18" s="1"/>
  <c r="B1074" i="14"/>
  <c r="B1070" i="18" s="1"/>
  <c r="B1075" i="14"/>
  <c r="B1071" i="18" s="1"/>
  <c r="B1076" i="14"/>
  <c r="B1072" i="18" s="1"/>
  <c r="B1077" i="14"/>
  <c r="B1073" i="18" s="1"/>
  <c r="B1078" i="14"/>
  <c r="B1074" i="18" s="1"/>
  <c r="B1079" i="14"/>
  <c r="B1075" i="18" s="1"/>
  <c r="B1080" i="14"/>
  <c r="B1076" i="18" s="1"/>
  <c r="B1081" i="14"/>
  <c r="B1077" i="18" s="1"/>
  <c r="B1082" i="14"/>
  <c r="B1078" i="18" s="1"/>
  <c r="B1083" i="14"/>
  <c r="B1079" i="18" s="1"/>
  <c r="B1084" i="14"/>
  <c r="B1080" i="18" s="1"/>
  <c r="B1085" i="14"/>
  <c r="B1081" i="18" s="1"/>
  <c r="B1086" i="14"/>
  <c r="B1082" i="18" s="1"/>
  <c r="B1087" i="14"/>
  <c r="B1083" i="18" s="1"/>
  <c r="B1088" i="14"/>
  <c r="B1084" i="18" s="1"/>
  <c r="B1089" i="14"/>
  <c r="B1085" i="18" s="1"/>
  <c r="B1090" i="14"/>
  <c r="B1086" i="18" s="1"/>
  <c r="B1091" i="14"/>
  <c r="B1087" i="18" s="1"/>
  <c r="B1092" i="14"/>
  <c r="B1088" i="18" s="1"/>
  <c r="B1093" i="14"/>
  <c r="B1089" i="18" s="1"/>
  <c r="B1094" i="14"/>
  <c r="B1090" i="18" s="1"/>
  <c r="B1095" i="14"/>
  <c r="B1091" i="18" s="1"/>
  <c r="B1096" i="14"/>
  <c r="B1092" i="18" s="1"/>
  <c r="B1097" i="14"/>
  <c r="B1093" i="18" s="1"/>
  <c r="B1098" i="14"/>
  <c r="B1094" i="18" s="1"/>
  <c r="B1099" i="14"/>
  <c r="B1095" i="18" s="1"/>
  <c r="B1100" i="14"/>
  <c r="B1096" i="18" s="1"/>
  <c r="B1101" i="14"/>
  <c r="B1097" i="18" s="1"/>
  <c r="B1102" i="14"/>
  <c r="B1098" i="18" s="1"/>
  <c r="B1103" i="14"/>
  <c r="B1099" i="18" s="1"/>
  <c r="B1104" i="14"/>
  <c r="B1100" i="18" s="1"/>
  <c r="B1105" i="14"/>
  <c r="B1101" i="18" s="1"/>
  <c r="B1106" i="14"/>
  <c r="B1102" i="18" s="1"/>
  <c r="B1107" i="14"/>
  <c r="B1103" i="18" s="1"/>
  <c r="B1108" i="14"/>
  <c r="B1104" i="18" s="1"/>
  <c r="B1109" i="14"/>
  <c r="B1105" i="18" s="1"/>
  <c r="B1110" i="14"/>
  <c r="B1106" i="18" s="1"/>
  <c r="J6" i="14"/>
  <c r="J2" i="18" s="1"/>
  <c r="B6" i="14"/>
  <c r="B2" i="18" s="1"/>
  <c r="AP500" i="14"/>
  <c r="G499" i="14"/>
  <c r="G495" i="18" s="1"/>
  <c r="AP495" i="14"/>
  <c r="G494" i="14"/>
  <c r="G490" i="18" s="1"/>
  <c r="AP493" i="14"/>
  <c r="AP487" i="14"/>
  <c r="AP479" i="14"/>
  <c r="AP473" i="14"/>
  <c r="G468" i="14"/>
  <c r="G464" i="18" s="1"/>
  <c r="AP461" i="14"/>
  <c r="AP459" i="14"/>
  <c r="AP455" i="14"/>
  <c r="AP447" i="14"/>
  <c r="AP441" i="14"/>
  <c r="AP437" i="14"/>
  <c r="G436" i="14"/>
  <c r="G432" i="18" s="1"/>
  <c r="AP435" i="14"/>
  <c r="AP433" i="14"/>
  <c r="AP431" i="14"/>
  <c r="AP429" i="14"/>
  <c r="AP427" i="14"/>
  <c r="AP425" i="14"/>
  <c r="AP423" i="14"/>
  <c r="AP421" i="14"/>
  <c r="AP419" i="14"/>
  <c r="AP417" i="14"/>
  <c r="AP415" i="14"/>
  <c r="AP413" i="14"/>
  <c r="AP411" i="14"/>
  <c r="AP409" i="14"/>
  <c r="AP407" i="14"/>
  <c r="AP405" i="14"/>
  <c r="G403" i="14"/>
  <c r="G399" i="18" s="1"/>
  <c r="AP402" i="14"/>
  <c r="AP401" i="14"/>
  <c r="G399" i="14"/>
  <c r="G395" i="18" s="1"/>
  <c r="G395" i="14"/>
  <c r="G391" i="18" s="1"/>
  <c r="AP901" i="14"/>
  <c r="AP895" i="14"/>
  <c r="AP893" i="14"/>
  <c r="AP887" i="14"/>
  <c r="AP884" i="14"/>
  <c r="AP883" i="14"/>
  <c r="G877" i="14"/>
  <c r="G873" i="18" s="1"/>
  <c r="AP875" i="14"/>
  <c r="G873" i="14"/>
  <c r="G869" i="18" s="1"/>
  <c r="G871" i="14"/>
  <c r="G867" i="18" s="1"/>
  <c r="G870" i="14"/>
  <c r="G866" i="18" s="1"/>
  <c r="G869" i="14"/>
  <c r="G865" i="18" s="1"/>
  <c r="G865" i="14"/>
  <c r="G861" i="18" s="1"/>
  <c r="AP861" i="14"/>
  <c r="AP853" i="14"/>
  <c r="AP844" i="14"/>
  <c r="AP843" i="14"/>
  <c r="AP841" i="14"/>
  <c r="G837" i="14"/>
  <c r="G833" i="18" s="1"/>
  <c r="G834" i="14"/>
  <c r="G830" i="18" s="1"/>
  <c r="G833" i="14"/>
  <c r="G829" i="18" s="1"/>
  <c r="G827" i="14"/>
  <c r="G823" i="18" s="1"/>
  <c r="G819" i="14"/>
  <c r="G815" i="18" s="1"/>
  <c r="AP803" i="14"/>
  <c r="G801" i="14"/>
  <c r="G797" i="18" s="1"/>
  <c r="G797" i="14"/>
  <c r="G793" i="18" s="1"/>
  <c r="AP795" i="14"/>
  <c r="G792" i="14"/>
  <c r="G788" i="18" s="1"/>
  <c r="AP783" i="14"/>
  <c r="G779" i="14"/>
  <c r="G775" i="18" s="1"/>
  <c r="AP777" i="14"/>
  <c r="G767" i="14"/>
  <c r="G763" i="18" s="1"/>
  <c r="G759" i="14"/>
  <c r="G755" i="18" s="1"/>
  <c r="G755" i="14"/>
  <c r="G751" i="18" s="1"/>
  <c r="G751" i="14"/>
  <c r="G747" i="18" s="1"/>
  <c r="G749" i="14"/>
  <c r="G745" i="18" s="1"/>
  <c r="G747" i="14"/>
  <c r="G743" i="18" s="1"/>
  <c r="AP743" i="14"/>
  <c r="AP735" i="14"/>
  <c r="AP725" i="14"/>
  <c r="G721" i="14"/>
  <c r="G717" i="18" s="1"/>
  <c r="AP719" i="14"/>
  <c r="AP716" i="14"/>
  <c r="AP715" i="14"/>
  <c r="AP707" i="14"/>
  <c r="AP705" i="14"/>
  <c r="G701" i="14"/>
  <c r="G697" i="18" s="1"/>
  <c r="G697" i="14"/>
  <c r="G693" i="18" s="1"/>
  <c r="AP694" i="14"/>
  <c r="AP693" i="14"/>
  <c r="G687" i="14"/>
  <c r="G683" i="18" s="1"/>
  <c r="G685" i="14"/>
  <c r="G681" i="18" s="1"/>
  <c r="G683" i="14"/>
  <c r="G679" i="18" s="1"/>
  <c r="AP681" i="14"/>
  <c r="AP679" i="14"/>
  <c r="AP677" i="14"/>
  <c r="G675" i="14"/>
  <c r="G671" i="18" s="1"/>
  <c r="AP673" i="14"/>
  <c r="G668" i="14"/>
  <c r="G664" i="18" s="1"/>
  <c r="G663" i="14"/>
  <c r="G659" i="18" s="1"/>
  <c r="AP661" i="14"/>
  <c r="AP657" i="14"/>
  <c r="G655" i="14"/>
  <c r="G651" i="18" s="1"/>
  <c r="AP653" i="14"/>
  <c r="AP652" i="14"/>
  <c r="AP651" i="14"/>
  <c r="AP649" i="14"/>
  <c r="AP647" i="14"/>
  <c r="AP646" i="14"/>
  <c r="AP645" i="14"/>
  <c r="G643" i="14"/>
  <c r="G639" i="18" s="1"/>
  <c r="AP642" i="14"/>
  <c r="AP641" i="14"/>
  <c r="AP639" i="14"/>
  <c r="AP637" i="14"/>
  <c r="G635" i="14"/>
  <c r="G631" i="18" s="1"/>
  <c r="AP633" i="14"/>
  <c r="G629" i="14"/>
  <c r="G625" i="18" s="1"/>
  <c r="G627" i="14"/>
  <c r="G623" i="18" s="1"/>
  <c r="G625" i="14"/>
  <c r="G621" i="18" s="1"/>
  <c r="AP623" i="14"/>
  <c r="AP621" i="14"/>
  <c r="AP619" i="14"/>
  <c r="G617" i="14"/>
  <c r="G613" i="18" s="1"/>
  <c r="AP615" i="14"/>
  <c r="G613" i="14"/>
  <c r="G609" i="18" s="1"/>
  <c r="AP609" i="14"/>
  <c r="G607" i="14"/>
  <c r="G603" i="18" s="1"/>
  <c r="AP605" i="14"/>
  <c r="AP603" i="14"/>
  <c r="G601" i="14"/>
  <c r="G597" i="18" s="1"/>
  <c r="AP599" i="14"/>
  <c r="G597" i="14"/>
  <c r="G593" i="18" s="1"/>
  <c r="AP593" i="14"/>
  <c r="AP592" i="14"/>
  <c r="AP591" i="14"/>
  <c r="AP589" i="14"/>
  <c r="AP587" i="14"/>
  <c r="AP583" i="14"/>
  <c r="AP579" i="14"/>
  <c r="G577" i="14"/>
  <c r="G573" i="18" s="1"/>
  <c r="AP571" i="14"/>
  <c r="AP567" i="14"/>
  <c r="AP565" i="14"/>
  <c r="G563" i="14"/>
  <c r="G559" i="18" s="1"/>
  <c r="G555" i="14"/>
  <c r="G551" i="18" s="1"/>
  <c r="AP551" i="14"/>
  <c r="AP549" i="14"/>
  <c r="AP545" i="14"/>
  <c r="G543" i="14"/>
  <c r="G539" i="18" s="1"/>
  <c r="AP539" i="14"/>
  <c r="AP535" i="14"/>
  <c r="G533" i="14"/>
  <c r="G529" i="18" s="1"/>
  <c r="AP527" i="14"/>
  <c r="G525" i="14"/>
  <c r="G521" i="18" s="1"/>
  <c r="AP523" i="14"/>
  <c r="AP521" i="14"/>
  <c r="G519" i="14"/>
  <c r="G515" i="18" s="1"/>
  <c r="G516" i="14"/>
  <c r="G512" i="18" s="1"/>
  <c r="AP515" i="14"/>
  <c r="G513" i="14"/>
  <c r="G509" i="18" s="1"/>
  <c r="AP509" i="14"/>
  <c r="AP507" i="14"/>
  <c r="G506" i="14"/>
  <c r="G502" i="18" s="1"/>
  <c r="G393" i="14"/>
  <c r="G389" i="18" s="1"/>
  <c r="G391" i="14"/>
  <c r="G387" i="18" s="1"/>
  <c r="AP389" i="14"/>
  <c r="AP379" i="14"/>
  <c r="AP378" i="14"/>
  <c r="G377" i="14"/>
  <c r="G373" i="18" s="1"/>
  <c r="AP373" i="14"/>
  <c r="AP372" i="14"/>
  <c r="G369" i="14"/>
  <c r="G365" i="18" s="1"/>
  <c r="AP367" i="14"/>
  <c r="AP363" i="14"/>
  <c r="G361" i="14"/>
  <c r="G357" i="18" s="1"/>
  <c r="AP357" i="14"/>
  <c r="AP355" i="14"/>
  <c r="AP354" i="14"/>
  <c r="G349" i="14"/>
  <c r="G345" i="18" s="1"/>
  <c r="G347" i="14"/>
  <c r="G343" i="18" s="1"/>
  <c r="G345" i="14"/>
  <c r="G341" i="18" s="1"/>
  <c r="G344" i="14"/>
  <c r="G340" i="18" s="1"/>
  <c r="AP335" i="14"/>
  <c r="AP333" i="14"/>
  <c r="G331" i="14"/>
  <c r="G327" i="18" s="1"/>
  <c r="AP328" i="14"/>
  <c r="G327" i="14"/>
  <c r="G323" i="18" s="1"/>
  <c r="G323" i="14"/>
  <c r="G319" i="18" s="1"/>
  <c r="AP320" i="14"/>
  <c r="G319" i="14"/>
  <c r="G315" i="18" s="1"/>
  <c r="G315" i="14"/>
  <c r="G311" i="18" s="1"/>
  <c r="AP313" i="14"/>
  <c r="G312" i="14"/>
  <c r="G308" i="18" s="1"/>
  <c r="G307" i="14"/>
  <c r="G303" i="18" s="1"/>
  <c r="AP305" i="14"/>
  <c r="AP303" i="14"/>
  <c r="G301" i="14"/>
  <c r="G297" i="18" s="1"/>
  <c r="AP300" i="14"/>
  <c r="G299" i="14"/>
  <c r="G295" i="18" s="1"/>
  <c r="AP294" i="14"/>
  <c r="G293" i="14"/>
  <c r="G289" i="18" s="1"/>
  <c r="G291" i="14"/>
  <c r="G287" i="18" s="1"/>
  <c r="AP289" i="14"/>
  <c r="AP287" i="14"/>
  <c r="G281" i="14"/>
  <c r="G277" i="18" s="1"/>
  <c r="AP279" i="14"/>
  <c r="AP277" i="14"/>
  <c r="AP275" i="14"/>
  <c r="AP272" i="14"/>
  <c r="AP269" i="14"/>
  <c r="AP265" i="14"/>
  <c r="G263" i="14"/>
  <c r="G259" i="18" s="1"/>
  <c r="AP261" i="14"/>
  <c r="G259" i="14"/>
  <c r="G255" i="18" s="1"/>
  <c r="G253" i="14"/>
  <c r="G249" i="18" s="1"/>
  <c r="AP248" i="14"/>
  <c r="AP247" i="14"/>
  <c r="G245" i="14"/>
  <c r="G241" i="18" s="1"/>
  <c r="AP241" i="14"/>
  <c r="G240" i="14"/>
  <c r="G236" i="18" s="1"/>
  <c r="AP239" i="14"/>
  <c r="G237" i="14"/>
  <c r="G233" i="18" s="1"/>
  <c r="AP232" i="14"/>
  <c r="G231" i="14"/>
  <c r="G227" i="18" s="1"/>
  <c r="AP227" i="14"/>
  <c r="AP225" i="14"/>
  <c r="AP214" i="14"/>
  <c r="AP203" i="14"/>
  <c r="G194" i="14"/>
  <c r="G190" i="18" s="1"/>
  <c r="G193" i="14"/>
  <c r="G189" i="18" s="1"/>
  <c r="AP189" i="14"/>
  <c r="G187" i="14"/>
  <c r="G183" i="18" s="1"/>
  <c r="AP185" i="14"/>
  <c r="AP183" i="14"/>
  <c r="G181" i="14"/>
  <c r="G177" i="18" s="1"/>
  <c r="AP179" i="14"/>
  <c r="G175" i="14"/>
  <c r="G171" i="18" s="1"/>
  <c r="G173" i="14"/>
  <c r="G169" i="18" s="1"/>
  <c r="AP171" i="14"/>
  <c r="G165" i="14"/>
  <c r="G161" i="18" s="1"/>
  <c r="AP163" i="14"/>
  <c r="AP161" i="14"/>
  <c r="G160" i="14"/>
  <c r="G156" i="18" s="1"/>
  <c r="AP159" i="14"/>
  <c r="AP150" i="14"/>
  <c r="AP149" i="14"/>
  <c r="G148" i="14"/>
  <c r="G144" i="18" s="1"/>
  <c r="AP1067" i="14"/>
  <c r="G1069" i="14"/>
  <c r="G1065" i="18" s="1"/>
  <c r="AP1073" i="14"/>
  <c r="G1077" i="14"/>
  <c r="G1073" i="18" s="1"/>
  <c r="AP1083" i="14"/>
  <c r="AP1085" i="14"/>
  <c r="G1087" i="14"/>
  <c r="G1083" i="18" s="1"/>
  <c r="AP1089" i="14"/>
  <c r="AP1091" i="14"/>
  <c r="AP1097" i="14"/>
  <c r="AP1099" i="14"/>
  <c r="AP1101" i="14"/>
  <c r="AP1103" i="14"/>
  <c r="G1105" i="14"/>
  <c r="G1101" i="18" s="1"/>
  <c r="G1109" i="14"/>
  <c r="G1105" i="18" s="1"/>
  <c r="AP9" i="14"/>
  <c r="AP15" i="14"/>
  <c r="AP17" i="14"/>
  <c r="AP20" i="14"/>
  <c r="AP23" i="14"/>
  <c r="G25" i="14"/>
  <c r="G21" i="18" s="1"/>
  <c r="AP27" i="14"/>
  <c r="AP31" i="14"/>
  <c r="G33" i="14"/>
  <c r="G29" i="18" s="1"/>
  <c r="AP41" i="14"/>
  <c r="G47" i="14"/>
  <c r="G43" i="18" s="1"/>
  <c r="G51" i="14"/>
  <c r="G47" i="18" s="1"/>
  <c r="AP57" i="14"/>
  <c r="AP59" i="14"/>
  <c r="AP61" i="14"/>
  <c r="AP98" i="14"/>
  <c r="AP99" i="14"/>
  <c r="G107" i="14"/>
  <c r="G103" i="18" s="1"/>
  <c r="AP109" i="14"/>
  <c r="AP111" i="14"/>
  <c r="G115" i="14"/>
  <c r="G111" i="18" s="1"/>
  <c r="G121" i="14"/>
  <c r="G117" i="18" s="1"/>
  <c r="AP123" i="14"/>
  <c r="AP128" i="14"/>
  <c r="AP131" i="14"/>
  <c r="AP137" i="14"/>
  <c r="AP143" i="14"/>
  <c r="G147" i="14"/>
  <c r="G143" i="18" s="1"/>
  <c r="AP909" i="14"/>
  <c r="G923" i="14"/>
  <c r="G919" i="18" s="1"/>
  <c r="G927" i="14"/>
  <c r="G923" i="18" s="1"/>
  <c r="AP931" i="14"/>
  <c r="G935" i="14"/>
  <c r="G931" i="18" s="1"/>
  <c r="G937" i="14"/>
  <c r="G933" i="18" s="1"/>
  <c r="AP941" i="14"/>
  <c r="G944" i="14"/>
  <c r="G940" i="18" s="1"/>
  <c r="AP945" i="14"/>
  <c r="AP949" i="14"/>
  <c r="G955" i="14"/>
  <c r="G951" i="18" s="1"/>
  <c r="G956" i="14"/>
  <c r="G952" i="18" s="1"/>
  <c r="G957" i="14"/>
  <c r="G953" i="18" s="1"/>
  <c r="G959" i="14"/>
  <c r="G955" i="18" s="1"/>
  <c r="AP967" i="14"/>
  <c r="G969" i="14"/>
  <c r="G965" i="18" s="1"/>
  <c r="AP971" i="14"/>
  <c r="G973" i="14"/>
  <c r="G969" i="18" s="1"/>
  <c r="AP974" i="14"/>
  <c r="AP975" i="14"/>
  <c r="AP981" i="14"/>
  <c r="AP983" i="14"/>
  <c r="G985" i="14"/>
  <c r="G981" i="18" s="1"/>
  <c r="G991" i="14"/>
  <c r="G987" i="18" s="1"/>
  <c r="G999" i="14"/>
  <c r="G995" i="18" s="1"/>
  <c r="AP1001" i="14"/>
  <c r="G1003" i="14"/>
  <c r="G999" i="18" s="1"/>
  <c r="AP1005" i="14"/>
  <c r="AP1007" i="14"/>
  <c r="AP1013" i="14"/>
  <c r="AP1021" i="14"/>
  <c r="AP1023" i="14"/>
  <c r="G1031" i="14"/>
  <c r="G1027" i="18" s="1"/>
  <c r="G1035" i="14"/>
  <c r="G1031" i="18" s="1"/>
  <c r="AP1036" i="14"/>
  <c r="AP1041" i="14"/>
  <c r="G1059" i="14"/>
  <c r="G1055" i="18" s="1"/>
  <c r="AP962" i="14"/>
  <c r="AP56" i="14"/>
  <c r="AP8" i="14"/>
  <c r="AP805" i="14"/>
  <c r="G807" i="14"/>
  <c r="G803" i="18" s="1"/>
  <c r="AP809" i="14"/>
  <c r="G810" i="14"/>
  <c r="G806" i="18" s="1"/>
  <c r="G811" i="14"/>
  <c r="G807" i="18" s="1"/>
  <c r="AP814" i="14"/>
  <c r="G815" i="14"/>
  <c r="G811" i="18" s="1"/>
  <c r="G604" i="14"/>
  <c r="G600" i="18" s="1"/>
  <c r="AP629" i="14"/>
  <c r="G645" i="14"/>
  <c r="G641" i="18" s="1"/>
  <c r="AP91" i="14"/>
  <c r="AP1075" i="14"/>
  <c r="G459" i="14"/>
  <c r="G455" i="18" s="1"/>
  <c r="G461" i="14"/>
  <c r="G457" i="18" s="1"/>
  <c r="G407" i="14"/>
  <c r="G403" i="18" s="1"/>
  <c r="G414" i="14"/>
  <c r="G410" i="18" s="1"/>
  <c r="G415" i="14"/>
  <c r="G411" i="18" s="1"/>
  <c r="G423" i="14"/>
  <c r="G419" i="18" s="1"/>
  <c r="G657" i="14"/>
  <c r="G653" i="18" s="1"/>
  <c r="AP635" i="14"/>
  <c r="AP669" i="14"/>
  <c r="G669" i="14"/>
  <c r="G665" i="18" s="1"/>
  <c r="G651" i="14"/>
  <c r="G647" i="18" s="1"/>
  <c r="G619" i="14"/>
  <c r="G615" i="18" s="1"/>
  <c r="AP685" i="14"/>
  <c r="AP643" i="14"/>
  <c r="G661" i="14"/>
  <c r="G657" i="18" s="1"/>
  <c r="AP395" i="14"/>
  <c r="AP403" i="14"/>
  <c r="G681" i="14"/>
  <c r="G677" i="18" s="1"/>
  <c r="G623" i="14"/>
  <c r="G619" i="18" s="1"/>
  <c r="G639" i="14"/>
  <c r="G635" i="18" s="1"/>
  <c r="G673" i="14"/>
  <c r="G669" i="18" s="1"/>
  <c r="AP399" i="14"/>
  <c r="G588" i="14"/>
  <c r="G584" i="18" s="1"/>
  <c r="AP617" i="14"/>
  <c r="AP667" i="14"/>
  <c r="G667" i="14"/>
  <c r="G663" i="18" s="1"/>
  <c r="AP675" i="14"/>
  <c r="G586" i="14"/>
  <c r="G582" i="18" s="1"/>
  <c r="AP655" i="14"/>
  <c r="AP663" i="14"/>
  <c r="AP671" i="14"/>
  <c r="G671" i="14"/>
  <c r="G667" i="18" s="1"/>
  <c r="G679" i="14"/>
  <c r="G675" i="18" s="1"/>
  <c r="G417" i="14"/>
  <c r="G413" i="18" s="1"/>
  <c r="G587" i="14"/>
  <c r="G583" i="18" s="1"/>
  <c r="G895" i="14"/>
  <c r="G891" i="18" s="1"/>
  <c r="G605" i="14"/>
  <c r="G601" i="18" s="1"/>
  <c r="AP607" i="14"/>
  <c r="AP613" i="14"/>
  <c r="G615" i="14"/>
  <c r="G611" i="18" s="1"/>
  <c r="G413" i="14"/>
  <c r="G409" i="18" s="1"/>
  <c r="G429" i="14"/>
  <c r="G425" i="18" s="1"/>
  <c r="G649" i="14"/>
  <c r="G645" i="18" s="1"/>
  <c r="AP625" i="14"/>
  <c r="G719" i="14"/>
  <c r="G715" i="18" s="1"/>
  <c r="G647" i="14"/>
  <c r="G643" i="18" s="1"/>
  <c r="G795" i="14"/>
  <c r="G791" i="18" s="1"/>
  <c r="G648" i="14"/>
  <c r="G644" i="18" s="1"/>
  <c r="AP648" i="14"/>
  <c r="AP815" i="14"/>
  <c r="AP187" i="14"/>
  <c r="G401" i="14"/>
  <c r="G397" i="18" s="1"/>
  <c r="G672" i="14"/>
  <c r="G668" i="18" s="1"/>
  <c r="G421" i="14"/>
  <c r="G417" i="18" s="1"/>
  <c r="G1041" i="14"/>
  <c r="G1037" i="18" s="1"/>
  <c r="G893" i="14"/>
  <c r="G889" i="18" s="1"/>
  <c r="G901" i="14"/>
  <c r="G897" i="18" s="1"/>
  <c r="G409" i="14"/>
  <c r="G405" i="18" s="1"/>
  <c r="G425" i="14"/>
  <c r="G421" i="18" s="1"/>
  <c r="G621" i="14"/>
  <c r="G617" i="18" s="1"/>
  <c r="AP684" i="14"/>
  <c r="G431" i="14"/>
  <c r="G427" i="18" s="1"/>
  <c r="G419" i="14"/>
  <c r="G415" i="18" s="1"/>
  <c r="G411" i="14"/>
  <c r="G407" i="18" s="1"/>
  <c r="G405" i="14"/>
  <c r="G401" i="18" s="1"/>
  <c r="G473" i="14"/>
  <c r="G469" i="18" s="1"/>
  <c r="G455" i="14"/>
  <c r="G451" i="18" s="1"/>
  <c r="AP627" i="14"/>
  <c r="G653" i="14"/>
  <c r="G649" i="18" s="1"/>
  <c r="G583" i="14"/>
  <c r="G579" i="18" s="1"/>
  <c r="G593" i="14"/>
  <c r="G589" i="18" s="1"/>
  <c r="AP877" i="14"/>
  <c r="G433" i="14"/>
  <c r="G429" i="18" s="1"/>
  <c r="G427" i="14"/>
  <c r="G423" i="18" s="1"/>
  <c r="AP186" i="14"/>
  <c r="G203" i="14"/>
  <c r="G199" i="18" s="1"/>
  <c r="G993" i="14"/>
  <c r="G989" i="18" s="1"/>
  <c r="AP993" i="14"/>
  <c r="AP1069" i="14"/>
  <c r="G210" i="14"/>
  <c r="G206" i="18" s="1"/>
  <c r="G809" i="14"/>
  <c r="G805" i="18" s="1"/>
  <c r="G32" i="14"/>
  <c r="G28" i="18" s="1"/>
  <c r="AP1105" i="14"/>
  <c r="G1070" i="14"/>
  <c r="G1066" i="18" s="1"/>
  <c r="AP1035" i="14"/>
  <c r="AP921" i="14"/>
  <c r="G921" i="14"/>
  <c r="G917" i="18" s="1"/>
  <c r="AP611" i="14"/>
  <c r="G611" i="14"/>
  <c r="G607" i="18" s="1"/>
  <c r="G609" i="14"/>
  <c r="G605" i="18" s="1"/>
  <c r="G108" i="14"/>
  <c r="G104" i="18" s="1"/>
  <c r="AP1011" i="14"/>
  <c r="G1011" i="14"/>
  <c r="G1007" i="18" s="1"/>
  <c r="AP1009" i="14"/>
  <c r="G1009" i="14"/>
  <c r="G1005" i="18" s="1"/>
  <c r="G1007" i="14"/>
  <c r="G1003" i="18" s="1"/>
  <c r="G1005" i="14"/>
  <c r="G1001" i="18" s="1"/>
  <c r="AP1003" i="14"/>
  <c r="G915" i="14"/>
  <c r="G911" i="18" s="1"/>
  <c r="AP915" i="14"/>
  <c r="G909" i="14"/>
  <c r="G905" i="18" s="1"/>
  <c r="AP1086" i="14"/>
  <c r="G1103" i="14"/>
  <c r="G1099" i="18" s="1"/>
  <c r="G48" i="14"/>
  <c r="G44" i="18" s="1"/>
  <c r="AP104" i="14"/>
  <c r="G1001" i="14"/>
  <c r="G997" i="18" s="1"/>
  <c r="AP999" i="14"/>
  <c r="AP937" i="14"/>
  <c r="AP935" i="14"/>
  <c r="AP1109" i="14"/>
  <c r="AP1076" i="14"/>
  <c r="AP827" i="14"/>
  <c r="AP801" i="14"/>
  <c r="G373" i="14"/>
  <c r="G369" i="18" s="1"/>
  <c r="AP864" i="14"/>
  <c r="G735" i="14"/>
  <c r="G731" i="18" s="1"/>
  <c r="G883" i="14"/>
  <c r="G879" i="18" s="1"/>
  <c r="G389" i="14"/>
  <c r="G385" i="18" s="1"/>
  <c r="G803" i="14"/>
  <c r="G799" i="18" s="1"/>
  <c r="AP253" i="14"/>
  <c r="G545" i="14"/>
  <c r="G541" i="18" s="1"/>
  <c r="AP516" i="14"/>
  <c r="G824" i="14"/>
  <c r="G820" i="18" s="1"/>
  <c r="AP797" i="14"/>
  <c r="AP721" i="14"/>
  <c r="AP172" i="14"/>
  <c r="AP175" i="14"/>
  <c r="AP115" i="14"/>
  <c r="AP121" i="14"/>
  <c r="G137" i="14"/>
  <c r="G133" i="18" s="1"/>
  <c r="G143" i="14"/>
  <c r="G139" i="18" s="1"/>
  <c r="G983" i="14"/>
  <c r="G979" i="18" s="1"/>
  <c r="G179" i="14"/>
  <c r="G175" i="18" s="1"/>
  <c r="G287" i="14"/>
  <c r="G283" i="18" s="1"/>
  <c r="G277" i="14"/>
  <c r="G273" i="18" s="1"/>
  <c r="AP991" i="14"/>
  <c r="G1099" i="14"/>
  <c r="G1095" i="18" s="1"/>
  <c r="G27" i="14"/>
  <c r="G23" i="18" s="1"/>
  <c r="G949" i="14"/>
  <c r="G945" i="18" s="1"/>
  <c r="G1036" i="14"/>
  <c r="G1032" i="18" s="1"/>
  <c r="AP346" i="14"/>
  <c r="AP291" i="14"/>
  <c r="G333" i="14"/>
  <c r="G329" i="18" s="1"/>
  <c r="AP871" i="14"/>
  <c r="G374" i="14"/>
  <c r="G370" i="18" s="1"/>
  <c r="AP873" i="14"/>
  <c r="AP755" i="14"/>
  <c r="AP865" i="14"/>
  <c r="G539" i="14"/>
  <c r="G535" i="18" s="1"/>
  <c r="G549" i="14"/>
  <c r="G545" i="18" s="1"/>
  <c r="G364" i="14"/>
  <c r="G360" i="18" s="1"/>
  <c r="G521" i="14"/>
  <c r="G517" i="18" s="1"/>
  <c r="G298" i="14"/>
  <c r="G294" i="18" s="1"/>
  <c r="G853" i="14"/>
  <c r="G849" i="18" s="1"/>
  <c r="G447" i="14"/>
  <c r="G443" i="18" s="1"/>
  <c r="AP577" i="14"/>
  <c r="AP525" i="14"/>
  <c r="AP391" i="14"/>
  <c r="G490" i="14"/>
  <c r="G486" i="18" s="1"/>
  <c r="AP747" i="14"/>
  <c r="AP393" i="14"/>
  <c r="G693" i="14"/>
  <c r="G689" i="18" s="1"/>
  <c r="G437" i="14"/>
  <c r="G433" i="18" s="1"/>
  <c r="G790" i="14"/>
  <c r="G786" i="18" s="1"/>
  <c r="G848" i="14"/>
  <c r="G844" i="18" s="1"/>
  <c r="G185" i="14"/>
  <c r="G181" i="18" s="1"/>
  <c r="AP107" i="14"/>
  <c r="G936" i="14"/>
  <c r="G932" i="18" s="1"/>
  <c r="AP969" i="14"/>
  <c r="G1091" i="14"/>
  <c r="G1087" i="18" s="1"/>
  <c r="G941" i="14"/>
  <c r="G937" i="18" s="1"/>
  <c r="AP1040" i="14"/>
  <c r="G1073" i="14"/>
  <c r="G1069" i="18" s="1"/>
  <c r="AP237" i="14"/>
  <c r="G171" i="14"/>
  <c r="G167" i="18" s="1"/>
  <c r="G57" i="14"/>
  <c r="G53" i="18" s="1"/>
  <c r="G183" i="14"/>
  <c r="G179" i="18" s="1"/>
  <c r="G1097" i="14"/>
  <c r="G1093" i="18" s="1"/>
  <c r="G111" i="14"/>
  <c r="G107" i="18" s="1"/>
  <c r="AP165" i="14"/>
  <c r="G163" i="14"/>
  <c r="G159" i="18" s="1"/>
  <c r="G353" i="14"/>
  <c r="G349" i="18" s="1"/>
  <c r="AP353" i="14"/>
  <c r="AP732" i="14"/>
  <c r="AP739" i="14"/>
  <c r="G739" i="14"/>
  <c r="G735" i="18" s="1"/>
  <c r="G745" i="14"/>
  <c r="G741" i="18" s="1"/>
  <c r="AP745" i="14"/>
  <c r="AP760" i="14"/>
  <c r="G763" i="14"/>
  <c r="G759" i="18" s="1"/>
  <c r="AP763" i="14"/>
  <c r="AP765" i="14"/>
  <c r="G765" i="14"/>
  <c r="G761" i="18" s="1"/>
  <c r="AP769" i="14"/>
  <c r="G769" i="14"/>
  <c r="G765" i="18" s="1"/>
  <c r="G771" i="14"/>
  <c r="G767" i="18" s="1"/>
  <c r="AP771" i="14"/>
  <c r="AP785" i="14"/>
  <c r="G785" i="14"/>
  <c r="G781" i="18" s="1"/>
  <c r="AP789" i="14"/>
  <c r="G789" i="14"/>
  <c r="G785" i="18" s="1"/>
  <c r="AP791" i="14"/>
  <c r="G791" i="14"/>
  <c r="G787" i="18" s="1"/>
  <c r="G823" i="14"/>
  <c r="G819" i="18" s="1"/>
  <c r="AP823" i="14"/>
  <c r="AP836" i="14"/>
  <c r="AP842" i="14"/>
  <c r="G867" i="14"/>
  <c r="G863" i="18" s="1"/>
  <c r="AP867" i="14"/>
  <c r="G945" i="14"/>
  <c r="G941" i="18" s="1"/>
  <c r="G71" i="14"/>
  <c r="G67" i="18" s="1"/>
  <c r="AP71" i="14"/>
  <c r="AP151" i="14"/>
  <c r="G151" i="14"/>
  <c r="G147" i="18" s="1"/>
  <c r="AP153" i="14"/>
  <c r="G153" i="14"/>
  <c r="G149" i="18" s="1"/>
  <c r="AP155" i="14"/>
  <c r="G155" i="14"/>
  <c r="G151" i="18" s="1"/>
  <c r="G161" i="14"/>
  <c r="G157" i="18" s="1"/>
  <c r="G189" i="14"/>
  <c r="G185" i="18" s="1"/>
  <c r="G226" i="14"/>
  <c r="G222" i="18" s="1"/>
  <c r="G227" i="14"/>
  <c r="G223" i="18" s="1"/>
  <c r="AP233" i="14"/>
  <c r="G233" i="14"/>
  <c r="G229" i="18" s="1"/>
  <c r="AP235" i="14"/>
  <c r="G235" i="14"/>
  <c r="G231" i="18" s="1"/>
  <c r="AP240" i="14"/>
  <c r="AP255" i="14"/>
  <c r="G255" i="14"/>
  <c r="G251" i="18" s="1"/>
  <c r="AP259" i="14"/>
  <c r="G265" i="14"/>
  <c r="G261" i="18" s="1"/>
  <c r="AP270" i="14"/>
  <c r="G273" i="14"/>
  <c r="G269" i="18" s="1"/>
  <c r="AP273" i="14"/>
  <c r="G278" i="14"/>
  <c r="G274" i="18" s="1"/>
  <c r="AP285" i="14"/>
  <c r="G285" i="14"/>
  <c r="G281" i="18" s="1"/>
  <c r="G292" i="14"/>
  <c r="G288" i="18" s="1"/>
  <c r="AP295" i="14"/>
  <c r="G295" i="14"/>
  <c r="G291" i="18" s="1"/>
  <c r="AP296" i="14"/>
  <c r="G308" i="14"/>
  <c r="G304" i="18" s="1"/>
  <c r="G309" i="14"/>
  <c r="G305" i="18" s="1"/>
  <c r="AP309" i="14"/>
  <c r="G311" i="14"/>
  <c r="G307" i="18" s="1"/>
  <c r="AP311" i="14"/>
  <c r="AP317" i="14"/>
  <c r="G317" i="14"/>
  <c r="G313" i="18" s="1"/>
  <c r="AP325" i="14"/>
  <c r="G325" i="14"/>
  <c r="G321" i="18" s="1"/>
  <c r="G330" i="14"/>
  <c r="G326" i="18" s="1"/>
  <c r="G338" i="14"/>
  <c r="G334" i="18" s="1"/>
  <c r="AP339" i="14"/>
  <c r="G339" i="14"/>
  <c r="G335" i="18" s="1"/>
  <c r="G340" i="14"/>
  <c r="G336" i="18" s="1"/>
  <c r="AP351" i="14"/>
  <c r="G351" i="14"/>
  <c r="G347" i="18" s="1"/>
  <c r="G365" i="14"/>
  <c r="G361" i="18" s="1"/>
  <c r="AP365" i="14"/>
  <c r="AP381" i="14"/>
  <c r="G381" i="14"/>
  <c r="G377" i="18" s="1"/>
  <c r="AP383" i="14"/>
  <c r="G383" i="14"/>
  <c r="G379" i="18" s="1"/>
  <c r="AP387" i="14"/>
  <c r="G387" i="14"/>
  <c r="G383" i="18" s="1"/>
  <c r="AP388" i="14"/>
  <c r="G505" i="14"/>
  <c r="G501" i="18" s="1"/>
  <c r="AP505" i="14"/>
  <c r="AP508" i="14"/>
  <c r="G508" i="14"/>
  <c r="G504" i="18" s="1"/>
  <c r="G511" i="14"/>
  <c r="G507" i="18" s="1"/>
  <c r="AP511" i="14"/>
  <c r="G517" i="14"/>
  <c r="G513" i="18" s="1"/>
  <c r="AP517" i="14"/>
  <c r="G529" i="14"/>
  <c r="G525" i="18" s="1"/>
  <c r="AP529" i="14"/>
  <c r="G530" i="14"/>
  <c r="G526" i="18" s="1"/>
  <c r="G534" i="14"/>
  <c r="G530" i="18" s="1"/>
  <c r="AP537" i="14"/>
  <c r="G537" i="14"/>
  <c r="G533" i="18" s="1"/>
  <c r="AP541" i="14"/>
  <c r="G541" i="14"/>
  <c r="G537" i="18" s="1"/>
  <c r="AP547" i="14"/>
  <c r="G547" i="14"/>
  <c r="G543" i="18" s="1"/>
  <c r="AP552" i="14"/>
  <c r="G553" i="14"/>
  <c r="G549" i="18" s="1"/>
  <c r="AP553" i="14"/>
  <c r="AP554" i="14"/>
  <c r="AP557" i="14"/>
  <c r="G557" i="14"/>
  <c r="G553" i="18" s="1"/>
  <c r="G561" i="14"/>
  <c r="G557" i="18" s="1"/>
  <c r="AP561" i="14"/>
  <c r="G564" i="14"/>
  <c r="G560" i="18" s="1"/>
  <c r="AP568" i="14"/>
  <c r="G569" i="14"/>
  <c r="G565" i="18" s="1"/>
  <c r="AP569" i="14"/>
  <c r="AP573" i="14"/>
  <c r="G573" i="14"/>
  <c r="G569" i="18" s="1"/>
  <c r="AP574" i="14"/>
  <c r="AP581" i="14"/>
  <c r="G581" i="14"/>
  <c r="G577" i="18" s="1"/>
  <c r="AP585" i="14"/>
  <c r="G585" i="14"/>
  <c r="G581" i="18" s="1"/>
  <c r="G691" i="14"/>
  <c r="G687" i="18" s="1"/>
  <c r="AP691" i="14"/>
  <c r="AP695" i="14"/>
  <c r="G695" i="14"/>
  <c r="G691" i="18" s="1"/>
  <c r="AP722" i="14"/>
  <c r="AP724" i="14"/>
  <c r="AP727" i="14"/>
  <c r="G727" i="14"/>
  <c r="G723" i="18" s="1"/>
  <c r="AP731" i="14"/>
  <c r="G731" i="14"/>
  <c r="G727" i="18" s="1"/>
  <c r="AP733" i="14"/>
  <c r="G733" i="14"/>
  <c r="G729" i="18" s="1"/>
  <c r="G748" i="14"/>
  <c r="G744" i="18" s="1"/>
  <c r="G754" i="14"/>
  <c r="G750" i="18" s="1"/>
  <c r="G761" i="14"/>
  <c r="G757" i="18" s="1"/>
  <c r="AP761" i="14"/>
  <c r="G766" i="14"/>
  <c r="G762" i="18" s="1"/>
  <c r="G768" i="14"/>
  <c r="G764" i="18" s="1"/>
  <c r="AP772" i="14"/>
  <c r="AP775" i="14"/>
  <c r="G775" i="14"/>
  <c r="G771" i="18" s="1"/>
  <c r="AP788" i="14"/>
  <c r="AP799" i="14"/>
  <c r="G799" i="14"/>
  <c r="G795" i="18" s="1"/>
  <c r="AP817" i="14"/>
  <c r="G817" i="14"/>
  <c r="G813" i="18" s="1"/>
  <c r="G829" i="14"/>
  <c r="G825" i="18" s="1"/>
  <c r="AP829" i="14"/>
  <c r="AP845" i="14"/>
  <c r="G845" i="14"/>
  <c r="G841" i="18" s="1"/>
  <c r="AP847" i="14"/>
  <c r="G847" i="14"/>
  <c r="G843" i="18" s="1"/>
  <c r="AP849" i="14"/>
  <c r="G849" i="14"/>
  <c r="G845" i="18" s="1"/>
  <c r="AP851" i="14"/>
  <c r="G851" i="14"/>
  <c r="G847" i="18" s="1"/>
  <c r="G855" i="14"/>
  <c r="G851" i="18" s="1"/>
  <c r="AP855" i="14"/>
  <c r="G866" i="14"/>
  <c r="G862" i="18" s="1"/>
  <c r="G876" i="14"/>
  <c r="G872" i="18" s="1"/>
  <c r="G881" i="14"/>
  <c r="G877" i="18" s="1"/>
  <c r="AP881" i="14"/>
  <c r="AP882" i="14"/>
  <c r="AP888" i="14"/>
  <c r="AP889" i="14"/>
  <c r="G889" i="14"/>
  <c r="G885" i="18" s="1"/>
  <c r="G892" i="14"/>
  <c r="G888" i="18" s="1"/>
  <c r="AP898" i="14"/>
  <c r="AP397" i="14"/>
  <c r="G397" i="14"/>
  <c r="G393" i="18" s="1"/>
  <c r="G438" i="14"/>
  <c r="G434" i="18" s="1"/>
  <c r="AP443" i="14"/>
  <c r="G443" i="14"/>
  <c r="G439" i="18" s="1"/>
  <c r="AP450" i="14"/>
  <c r="G452" i="14"/>
  <c r="G448" i="18" s="1"/>
  <c r="AP453" i="14"/>
  <c r="G453" i="14"/>
  <c r="G449" i="18" s="1"/>
  <c r="AP457" i="14"/>
  <c r="G457" i="14"/>
  <c r="G453" i="18" s="1"/>
  <c r="AP475" i="14"/>
  <c r="G475" i="14"/>
  <c r="G471" i="18" s="1"/>
  <c r="G476" i="14"/>
  <c r="G472" i="18" s="1"/>
  <c r="AP477" i="14"/>
  <c r="G477" i="14"/>
  <c r="G473" i="18" s="1"/>
  <c r="G478" i="14"/>
  <c r="G474" i="18" s="1"/>
  <c r="AP481" i="14"/>
  <c r="G481" i="14"/>
  <c r="G477" i="18" s="1"/>
  <c r="AP489" i="14"/>
  <c r="G489" i="14"/>
  <c r="G485" i="18" s="1"/>
  <c r="AP492" i="14"/>
  <c r="AP501" i="14"/>
  <c r="G501" i="14"/>
  <c r="G497" i="18" s="1"/>
  <c r="AP173" i="14"/>
  <c r="G131" i="14"/>
  <c r="G127" i="18" s="1"/>
  <c r="AP959" i="14"/>
  <c r="AP147" i="14"/>
  <c r="G123" i="14"/>
  <c r="G119" i="18" s="1"/>
  <c r="AP927" i="14"/>
  <c r="AP806" i="14"/>
  <c r="G1083" i="14"/>
  <c r="G1079" i="18" s="1"/>
  <c r="G109" i="14"/>
  <c r="G105" i="18" s="1"/>
  <c r="AP955" i="14"/>
  <c r="AP614" i="14"/>
  <c r="G1089" i="14"/>
  <c r="G1085" i="18" s="1"/>
  <c r="AP230" i="14"/>
  <c r="AP193" i="14"/>
  <c r="G1101" i="14"/>
  <c r="G1097" i="18" s="1"/>
  <c r="G1085" i="14"/>
  <c r="G1081" i="18" s="1"/>
  <c r="G174" i="14"/>
  <c r="G170" i="18" s="1"/>
  <c r="AP51" i="14"/>
  <c r="AP299" i="14"/>
  <c r="G261" i="14"/>
  <c r="G257" i="18" s="1"/>
  <c r="AP245" i="14"/>
  <c r="AP47" i="14"/>
  <c r="AP281" i="14"/>
  <c r="G178" i="14"/>
  <c r="G174" i="18" s="1"/>
  <c r="AP759" i="14"/>
  <c r="G305" i="14"/>
  <c r="G301" i="18" s="1"/>
  <c r="G435" i="14"/>
  <c r="G431" i="18" s="1"/>
  <c r="AP767" i="14"/>
  <c r="G551" i="14"/>
  <c r="G547" i="18" s="1"/>
  <c r="G362" i="14"/>
  <c r="G358" i="18" s="1"/>
  <c r="G15" i="14"/>
  <c r="G11" i="18" s="1"/>
  <c r="G1052" i="14"/>
  <c r="G1048" i="18" s="1"/>
  <c r="G743" i="14"/>
  <c r="G739" i="18" s="1"/>
  <c r="AP819" i="14"/>
  <c r="AP833" i="14"/>
  <c r="G875" i="14"/>
  <c r="G871" i="18" s="1"/>
  <c r="G527" i="14"/>
  <c r="G523" i="18" s="1"/>
  <c r="G567" i="14"/>
  <c r="G563" i="18" s="1"/>
  <c r="G523" i="14"/>
  <c r="G519" i="18" s="1"/>
  <c r="G716" i="14"/>
  <c r="G712" i="18" s="1"/>
  <c r="G495" i="14"/>
  <c r="G491" i="18" s="1"/>
  <c r="AP324" i="14"/>
  <c r="G841" i="14"/>
  <c r="G837" i="18" s="1"/>
  <c r="G843" i="14"/>
  <c r="G839" i="18" s="1"/>
  <c r="G441" i="14"/>
  <c r="G437" i="18" s="1"/>
  <c r="G149" i="14"/>
  <c r="G145" i="18" s="1"/>
  <c r="G159" i="14"/>
  <c r="G155" i="18" s="1"/>
  <c r="G487" i="14"/>
  <c r="G483" i="18" s="1"/>
  <c r="AP499" i="14"/>
  <c r="G579" i="14"/>
  <c r="G575" i="18" s="1"/>
  <c r="G493" i="14"/>
  <c r="G489" i="18" s="1"/>
  <c r="AP555" i="14"/>
  <c r="AP533" i="14"/>
  <c r="AP513" i="14"/>
  <c r="G507" i="14"/>
  <c r="G503" i="18" s="1"/>
  <c r="G379" i="14"/>
  <c r="G375" i="18" s="1"/>
  <c r="G328" i="14"/>
  <c r="G324" i="18" s="1"/>
  <c r="G241" i="14"/>
  <c r="G237" i="18" s="1"/>
  <c r="G236" i="14"/>
  <c r="G232" i="18" s="1"/>
  <c r="AP751" i="14"/>
  <c r="G335" i="14"/>
  <c r="G331" i="18" s="1"/>
  <c r="G225" i="14"/>
  <c r="G221" i="18" s="1"/>
  <c r="AP869" i="14"/>
  <c r="G479" i="14"/>
  <c r="G475" i="18" s="1"/>
  <c r="AP231" i="14"/>
  <c r="AP181" i="14"/>
  <c r="G777" i="14"/>
  <c r="G773" i="18" s="1"/>
  <c r="G822" i="14"/>
  <c r="G818" i="18" s="1"/>
  <c r="G783" i="14"/>
  <c r="G779" i="18" s="1"/>
  <c r="AP687" i="14"/>
  <c r="G528" i="14"/>
  <c r="G524" i="18" s="1"/>
  <c r="G363" i="14"/>
  <c r="G359" i="18" s="1"/>
  <c r="AP818" i="14"/>
  <c r="AP572" i="14"/>
  <c r="AP870" i="14"/>
  <c r="AP697" i="14"/>
  <c r="G861" i="14"/>
  <c r="G857" i="18" s="1"/>
  <c r="G725" i="14"/>
  <c r="G721" i="18" s="1"/>
  <c r="AP377" i="14"/>
  <c r="AP779" i="14"/>
  <c r="AP446" i="14"/>
  <c r="AP244" i="14"/>
  <c r="G887" i="14"/>
  <c r="G883" i="18" s="1"/>
  <c r="AP837" i="14"/>
  <c r="AP749" i="14"/>
  <c r="G1002" i="14"/>
  <c r="G998" i="18" s="1"/>
  <c r="AP157" i="14"/>
  <c r="G157" i="14"/>
  <c r="G153" i="18" s="1"/>
  <c r="AP204" i="14"/>
  <c r="G221" i="14"/>
  <c r="G217" i="18" s="1"/>
  <c r="AP221" i="14"/>
  <c r="G267" i="14"/>
  <c r="G263" i="18" s="1"/>
  <c r="AP267" i="14"/>
  <c r="G271" i="14"/>
  <c r="G267" i="18" s="1"/>
  <c r="AP271" i="14"/>
  <c r="AP283" i="14"/>
  <c r="G283" i="14"/>
  <c r="G279" i="18" s="1"/>
  <c r="AP297" i="14"/>
  <c r="G297" i="14"/>
  <c r="G293" i="18" s="1"/>
  <c r="G321" i="14"/>
  <c r="G317" i="18" s="1"/>
  <c r="AP321" i="14"/>
  <c r="AP337" i="14"/>
  <c r="G337" i="14"/>
  <c r="G333" i="18" s="1"/>
  <c r="AP359" i="14"/>
  <c r="G359" i="14"/>
  <c r="G355" i="18" s="1"/>
  <c r="G371" i="14"/>
  <c r="G367" i="18" s="1"/>
  <c r="AP371" i="14"/>
  <c r="AP375" i="14"/>
  <c r="G375" i="14"/>
  <c r="G371" i="18" s="1"/>
  <c r="G385" i="14"/>
  <c r="G381" i="18" s="1"/>
  <c r="AP385" i="14"/>
  <c r="AP531" i="14"/>
  <c r="G531" i="14"/>
  <c r="G527" i="18" s="1"/>
  <c r="G575" i="14"/>
  <c r="G571" i="18" s="1"/>
  <c r="AP575" i="14"/>
  <c r="G620" i="14"/>
  <c r="G616" i="18" s="1"/>
  <c r="AP620" i="14"/>
  <c r="G632" i="14"/>
  <c r="G628" i="18" s="1"/>
  <c r="AP638" i="14"/>
  <c r="AP678" i="14"/>
  <c r="AP689" i="14"/>
  <c r="G689" i="14"/>
  <c r="G685" i="18" s="1"/>
  <c r="AP699" i="14"/>
  <c r="G699" i="14"/>
  <c r="G695" i="18" s="1"/>
  <c r="G703" i="14"/>
  <c r="G699" i="18" s="1"/>
  <c r="AP703" i="14"/>
  <c r="AP717" i="14"/>
  <c r="G717" i="14"/>
  <c r="G713" i="18" s="1"/>
  <c r="G723" i="14"/>
  <c r="G719" i="18" s="1"/>
  <c r="AP723" i="14"/>
  <c r="G729" i="14"/>
  <c r="G725" i="18" s="1"/>
  <c r="AP729" i="14"/>
  <c r="G737" i="14"/>
  <c r="G733" i="18" s="1"/>
  <c r="AP737" i="14"/>
  <c r="G741" i="14"/>
  <c r="G737" i="18" s="1"/>
  <c r="AP741" i="14"/>
  <c r="G753" i="14"/>
  <c r="G749" i="18" s="1"/>
  <c r="AP753" i="14"/>
  <c r="AP757" i="14"/>
  <c r="G757" i="14"/>
  <c r="G753" i="18" s="1"/>
  <c r="AP773" i="14"/>
  <c r="G773" i="14"/>
  <c r="G769" i="18" s="1"/>
  <c r="AP781" i="14"/>
  <c r="G781" i="14"/>
  <c r="G777" i="18" s="1"/>
  <c r="AP787" i="14"/>
  <c r="G787" i="14"/>
  <c r="G783" i="18" s="1"/>
  <c r="AP793" i="14"/>
  <c r="G793" i="14"/>
  <c r="G789" i="18" s="1"/>
  <c r="G821" i="14"/>
  <c r="G817" i="18" s="1"/>
  <c r="AP821" i="14"/>
  <c r="AP825" i="14"/>
  <c r="G825" i="14"/>
  <c r="G821" i="18" s="1"/>
  <c r="G831" i="14"/>
  <c r="G827" i="18" s="1"/>
  <c r="AP831" i="14"/>
  <c r="G839" i="14"/>
  <c r="G835" i="18" s="1"/>
  <c r="AP839" i="14"/>
  <c r="AP857" i="14"/>
  <c r="G857" i="14"/>
  <c r="G853" i="18" s="1"/>
  <c r="G859" i="14"/>
  <c r="G855" i="18" s="1"/>
  <c r="AP859" i="14"/>
  <c r="AP863" i="14"/>
  <c r="G863" i="14"/>
  <c r="G859" i="18" s="1"/>
  <c r="G879" i="14"/>
  <c r="G875" i="18" s="1"/>
  <c r="AP879" i="14"/>
  <c r="G885" i="14"/>
  <c r="G881" i="18" s="1"/>
  <c r="AP885" i="14"/>
  <c r="AP891" i="14"/>
  <c r="G891" i="14"/>
  <c r="G887" i="18" s="1"/>
  <c r="AP416" i="14"/>
  <c r="G418" i="14"/>
  <c r="G414" i="18" s="1"/>
  <c r="G424" i="14"/>
  <c r="G420" i="18" s="1"/>
  <c r="AP439" i="14"/>
  <c r="G439" i="14"/>
  <c r="G435" i="18" s="1"/>
  <c r="AP445" i="14"/>
  <c r="G445" i="14"/>
  <c r="G441" i="18" s="1"/>
  <c r="AP449" i="14"/>
  <c r="G449" i="14"/>
  <c r="G445" i="18" s="1"/>
  <c r="AP451" i="14"/>
  <c r="G451" i="14"/>
  <c r="G447" i="18" s="1"/>
  <c r="AP458" i="14"/>
  <c r="AP483" i="14"/>
  <c r="G483" i="14"/>
  <c r="G479" i="18" s="1"/>
  <c r="AP485" i="14"/>
  <c r="G485" i="14"/>
  <c r="G481" i="18" s="1"/>
  <c r="AP497" i="14"/>
  <c r="G497" i="14"/>
  <c r="G493" i="18" s="1"/>
  <c r="AP94" i="14"/>
  <c r="AP196" i="14"/>
  <c r="G252" i="14"/>
  <c r="G248" i="18" s="1"/>
  <c r="G342" i="14"/>
  <c r="G338" i="18" s="1"/>
  <c r="AP548" i="14"/>
  <c r="AP631" i="14"/>
  <c r="G631" i="14"/>
  <c r="G627" i="18" s="1"/>
  <c r="AP659" i="14"/>
  <c r="G659" i="14"/>
  <c r="G655" i="18" s="1"/>
  <c r="AP708" i="14"/>
  <c r="AP712" i="14"/>
  <c r="AP1094" i="14"/>
  <c r="G341" i="14"/>
  <c r="G337" i="18" s="1"/>
  <c r="AP341" i="14"/>
  <c r="AP343" i="14"/>
  <c r="G343" i="14"/>
  <c r="G339" i="18" s="1"/>
  <c r="G503" i="14"/>
  <c r="G499" i="18" s="1"/>
  <c r="AP503" i="14"/>
  <c r="AP559" i="14"/>
  <c r="G559" i="14"/>
  <c r="G555" i="18" s="1"/>
  <c r="AP658" i="14"/>
  <c r="G660" i="14"/>
  <c r="G656" i="18" s="1"/>
  <c r="AP709" i="14"/>
  <c r="G709" i="14"/>
  <c r="G705" i="18" s="1"/>
  <c r="G711" i="14"/>
  <c r="G707" i="18" s="1"/>
  <c r="AP711" i="14"/>
  <c r="G713" i="14"/>
  <c r="G709" i="18" s="1"/>
  <c r="AP713" i="14"/>
  <c r="G835" i="14"/>
  <c r="G831" i="18" s="1"/>
  <c r="AP835" i="14"/>
  <c r="G91" i="14"/>
  <c r="G87" i="18" s="1"/>
  <c r="G1028" i="14"/>
  <c r="G1024" i="18" s="1"/>
  <c r="AP977" i="14"/>
  <c r="G977" i="14"/>
  <c r="G973" i="18" s="1"/>
  <c r="G963" i="14"/>
  <c r="G959" i="18" s="1"/>
  <c r="AP963" i="14"/>
  <c r="G1029" i="14"/>
  <c r="G1025" i="18" s="1"/>
  <c r="AP1029" i="14"/>
  <c r="AP925" i="14"/>
  <c r="G925" i="14"/>
  <c r="G921" i="18" s="1"/>
  <c r="AP922" i="14"/>
  <c r="G191" i="14"/>
  <c r="G187" i="18" s="1"/>
  <c r="AP191" i="14"/>
  <c r="G197" i="14"/>
  <c r="G193" i="18" s="1"/>
  <c r="AP197" i="14"/>
  <c r="AP201" i="14"/>
  <c r="G201" i="14"/>
  <c r="G197" i="18" s="1"/>
  <c r="G207" i="14"/>
  <c r="G203" i="18" s="1"/>
  <c r="AP207" i="14"/>
  <c r="G105" i="14"/>
  <c r="G101" i="18" s="1"/>
  <c r="AP105" i="14"/>
  <c r="AP195" i="14"/>
  <c r="G195" i="14"/>
  <c r="G191" i="18" s="1"/>
  <c r="G199" i="14"/>
  <c r="G195" i="18" s="1"/>
  <c r="AP199" i="14"/>
  <c r="AP205" i="14"/>
  <c r="G205" i="14"/>
  <c r="G201" i="18" s="1"/>
  <c r="G209" i="14"/>
  <c r="G205" i="18" s="1"/>
  <c r="AP209" i="14"/>
  <c r="G967" i="14"/>
  <c r="G963" i="18" s="1"/>
  <c r="G59" i="14"/>
  <c r="G55" i="18" s="1"/>
  <c r="AP985" i="14"/>
  <c r="AP120" i="14"/>
  <c r="AP1077" i="14"/>
  <c r="G1022" i="14"/>
  <c r="G1018" i="18" s="1"/>
  <c r="G606" i="14"/>
  <c r="G602" i="18" s="1"/>
  <c r="G971" i="14"/>
  <c r="G967" i="18" s="1"/>
  <c r="AP976" i="14"/>
  <c r="AP808" i="14"/>
  <c r="G1090" i="14"/>
  <c r="G1086" i="18" s="1"/>
  <c r="AP33" i="14"/>
  <c r="G23" i="14"/>
  <c r="G19" i="18" s="1"/>
  <c r="AP1087" i="14"/>
  <c r="G17" i="14"/>
  <c r="G13" i="18" s="1"/>
  <c r="G1075" i="14"/>
  <c r="G1071" i="18" s="1"/>
  <c r="G31" i="14"/>
  <c r="G27" i="18" s="1"/>
  <c r="G41" i="14"/>
  <c r="G37" i="18" s="1"/>
  <c r="G313" i="14"/>
  <c r="G309" i="18" s="1"/>
  <c r="G1067" i="14"/>
  <c r="G1063" i="18" s="1"/>
  <c r="AP25" i="14"/>
  <c r="AP973" i="14"/>
  <c r="AP994" i="14"/>
  <c r="AP1080" i="14"/>
  <c r="G535" i="14"/>
  <c r="G531" i="18" s="1"/>
  <c r="G571" i="14"/>
  <c r="G567" i="18" s="1"/>
  <c r="AP597" i="14"/>
  <c r="G279" i="14"/>
  <c r="G275" i="18" s="1"/>
  <c r="AP293" i="14"/>
  <c r="G633" i="14"/>
  <c r="G629" i="18" s="1"/>
  <c r="G289" i="14"/>
  <c r="G285" i="18" s="1"/>
  <c r="G509" i="14"/>
  <c r="G505" i="18" s="1"/>
  <c r="G637" i="14"/>
  <c r="G633" i="18" s="1"/>
  <c r="G1023" i="14"/>
  <c r="G1019" i="18" s="1"/>
  <c r="G239" i="14"/>
  <c r="G235" i="18" s="1"/>
  <c r="AP263" i="14"/>
  <c r="AP1031" i="14"/>
  <c r="G61" i="14"/>
  <c r="G57" i="18" s="1"/>
  <c r="AP327" i="14"/>
  <c r="G357" i="14"/>
  <c r="G353" i="18" s="1"/>
  <c r="G86" i="14"/>
  <c r="G82" i="18" s="1"/>
  <c r="G290" i="14"/>
  <c r="G286" i="18" s="1"/>
  <c r="AP315" i="14"/>
  <c r="AP345" i="14"/>
  <c r="G99" i="14"/>
  <c r="G95" i="18" s="1"/>
  <c r="AP361" i="14"/>
  <c r="G247" i="14"/>
  <c r="G243" i="18" s="1"/>
  <c r="G355" i="14"/>
  <c r="G351" i="18" s="1"/>
  <c r="AP323" i="14"/>
  <c r="G9" i="14"/>
  <c r="G5" i="18" s="1"/>
  <c r="G269" i="14"/>
  <c r="G265" i="18" s="1"/>
  <c r="AP307" i="14"/>
  <c r="AP331" i="14"/>
  <c r="G372" i="14"/>
  <c r="G368" i="18" s="1"/>
  <c r="G589" i="14"/>
  <c r="G585" i="18" s="1"/>
  <c r="AP519" i="14"/>
  <c r="G222" i="14"/>
  <c r="G218" i="18" s="1"/>
  <c r="G164" i="14"/>
  <c r="G160" i="18" s="1"/>
  <c r="G367" i="14"/>
  <c r="G363" i="18" s="1"/>
  <c r="AP349" i="14"/>
  <c r="G603" i="14"/>
  <c r="G599" i="18" s="1"/>
  <c r="AP347" i="14"/>
  <c r="G707" i="14"/>
  <c r="G703" i="18" s="1"/>
  <c r="AP683" i="14"/>
  <c r="G641" i="14"/>
  <c r="G637" i="18" s="1"/>
  <c r="AP601" i="14"/>
  <c r="G705" i="14"/>
  <c r="G701" i="18" s="1"/>
  <c r="G275" i="14"/>
  <c r="G271" i="18" s="1"/>
  <c r="G715" i="14"/>
  <c r="G711" i="18" s="1"/>
  <c r="G515" i="14"/>
  <c r="G511" i="18" s="1"/>
  <c r="AP301" i="14"/>
  <c r="AP369" i="14"/>
  <c r="G677" i="14"/>
  <c r="G673" i="18" s="1"/>
  <c r="G591" i="14"/>
  <c r="G587" i="18" s="1"/>
  <c r="AP701" i="14"/>
  <c r="AP319" i="14"/>
  <c r="G565" i="14"/>
  <c r="G561" i="18" s="1"/>
  <c r="G303" i="14"/>
  <c r="G299" i="18" s="1"/>
  <c r="AP666" i="14"/>
  <c r="G599" i="14"/>
  <c r="G595" i="18" s="1"/>
  <c r="AP563" i="14"/>
  <c r="AP543" i="14"/>
  <c r="G958" i="14"/>
  <c r="G954" i="18" s="1"/>
  <c r="AP74" i="14"/>
  <c r="G29" i="14"/>
  <c r="G25" i="18" s="1"/>
  <c r="AP29" i="14"/>
  <c r="AP218" i="14"/>
  <c r="AP1107" i="14"/>
  <c r="G1107" i="14"/>
  <c r="G1103" i="18" s="1"/>
  <c r="AP177" i="14"/>
  <c r="G177" i="14"/>
  <c r="G173" i="18" s="1"/>
  <c r="AP1063" i="14"/>
  <c r="G1063" i="14"/>
  <c r="G1059" i="18" s="1"/>
  <c r="AP1061" i="14"/>
  <c r="G1061" i="14"/>
  <c r="G1057" i="18" s="1"/>
  <c r="G1042" i="14"/>
  <c r="G1038" i="18" s="1"/>
  <c r="G1026" i="14"/>
  <c r="G1022" i="18" s="1"/>
  <c r="AP1019" i="14"/>
  <c r="G1019" i="14"/>
  <c r="G1015" i="18" s="1"/>
  <c r="G1017" i="14"/>
  <c r="G1013" i="18" s="1"/>
  <c r="AP1017" i="14"/>
  <c r="AP961" i="14"/>
  <c r="G961" i="14"/>
  <c r="G957" i="18" s="1"/>
  <c r="AP952" i="14"/>
  <c r="G933" i="14"/>
  <c r="G929" i="18" s="1"/>
  <c r="AP933" i="14"/>
  <c r="G908" i="14"/>
  <c r="G904" i="18" s="1"/>
  <c r="AP142" i="14"/>
  <c r="G130" i="14"/>
  <c r="G126" i="18" s="1"/>
  <c r="AP103" i="14"/>
  <c r="G103" i="14"/>
  <c r="G99" i="18" s="1"/>
  <c r="AP101" i="14"/>
  <c r="G101" i="14"/>
  <c r="G97" i="18" s="1"/>
  <c r="AP80" i="14"/>
  <c r="G76" i="14"/>
  <c r="G72" i="18" s="1"/>
  <c r="AP69" i="14"/>
  <c r="G69" i="14"/>
  <c r="G65" i="18" s="1"/>
  <c r="AP64" i="14"/>
  <c r="G54" i="14"/>
  <c r="G50" i="18" s="1"/>
  <c r="AP44" i="14"/>
  <c r="G19" i="14"/>
  <c r="G15" i="18" s="1"/>
  <c r="AP19" i="14"/>
  <c r="G12" i="14"/>
  <c r="G8" i="18" s="1"/>
  <c r="AP1064" i="14"/>
  <c r="AP1054" i="14"/>
  <c r="G1037" i="14"/>
  <c r="G1033" i="18" s="1"/>
  <c r="AP1037" i="14"/>
  <c r="G1033" i="14"/>
  <c r="G1029" i="18" s="1"/>
  <c r="AP1033" i="14"/>
  <c r="AP1025" i="14"/>
  <c r="G1025" i="14"/>
  <c r="G1021" i="18" s="1"/>
  <c r="AP1018" i="14"/>
  <c r="AP997" i="14"/>
  <c r="G997" i="14"/>
  <c r="G993" i="18" s="1"/>
  <c r="AP979" i="14"/>
  <c r="G979" i="14"/>
  <c r="G975" i="18" s="1"/>
  <c r="AP953" i="14"/>
  <c r="G953" i="14"/>
  <c r="G949" i="18" s="1"/>
  <c r="G947" i="14"/>
  <c r="G943" i="18" s="1"/>
  <c r="AP947" i="14"/>
  <c r="G917" i="14"/>
  <c r="G913" i="18" s="1"/>
  <c r="AP917" i="14"/>
  <c r="G913" i="14"/>
  <c r="G909" i="18" s="1"/>
  <c r="AP913" i="14"/>
  <c r="AP911" i="14"/>
  <c r="G911" i="14"/>
  <c r="G907" i="18" s="1"/>
  <c r="AP907" i="14"/>
  <c r="G907" i="14"/>
  <c r="G903" i="18" s="1"/>
  <c r="G145" i="14"/>
  <c r="G141" i="18" s="1"/>
  <c r="AP145" i="14"/>
  <c r="AP141" i="14"/>
  <c r="G141" i="14"/>
  <c r="G137" i="18" s="1"/>
  <c r="AP139" i="14"/>
  <c r="G139" i="14"/>
  <c r="G135" i="18" s="1"/>
  <c r="G129" i="14"/>
  <c r="G125" i="18" s="1"/>
  <c r="AP129" i="14"/>
  <c r="G119" i="14"/>
  <c r="G115" i="18" s="1"/>
  <c r="AP119" i="14"/>
  <c r="G113" i="14"/>
  <c r="G109" i="18" s="1"/>
  <c r="AP113" i="14"/>
  <c r="G102" i="14"/>
  <c r="G98" i="18" s="1"/>
  <c r="G96" i="14"/>
  <c r="G92" i="18" s="1"/>
  <c r="AP83" i="14"/>
  <c r="G83" i="14"/>
  <c r="G79" i="18" s="1"/>
  <c r="AP81" i="14"/>
  <c r="G81" i="14"/>
  <c r="G77" i="18" s="1"/>
  <c r="AP79" i="14"/>
  <c r="G79" i="14"/>
  <c r="G75" i="18" s="1"/>
  <c r="G77" i="14"/>
  <c r="G73" i="18" s="1"/>
  <c r="AP77" i="14"/>
  <c r="G70" i="14"/>
  <c r="G66" i="18" s="1"/>
  <c r="AP55" i="14"/>
  <c r="G55" i="14"/>
  <c r="G51" i="18" s="1"/>
  <c r="AP53" i="14"/>
  <c r="G53" i="14"/>
  <c r="G49" i="18" s="1"/>
  <c r="AP22" i="14"/>
  <c r="AP13" i="14"/>
  <c r="G13" i="14"/>
  <c r="G9" i="18" s="1"/>
  <c r="G906" i="14"/>
  <c r="G902" i="18" s="1"/>
  <c r="AP1065" i="14"/>
  <c r="G1065" i="14"/>
  <c r="G1061" i="18" s="1"/>
  <c r="AP1047" i="14"/>
  <c r="G1047" i="14"/>
  <c r="G1043" i="18" s="1"/>
  <c r="AP1027" i="14"/>
  <c r="G1027" i="14"/>
  <c r="G1023" i="18" s="1"/>
  <c r="AP1012" i="14"/>
  <c r="AP989" i="14"/>
  <c r="G989" i="14"/>
  <c r="G985" i="18" s="1"/>
  <c r="G938" i="14"/>
  <c r="G934" i="18" s="1"/>
  <c r="G903" i="14"/>
  <c r="G899" i="18" s="1"/>
  <c r="AP903" i="14"/>
  <c r="AP133" i="14"/>
  <c r="G133" i="14"/>
  <c r="G129" i="18" s="1"/>
  <c r="G122" i="14"/>
  <c r="G118" i="18" s="1"/>
  <c r="G110" i="14"/>
  <c r="G106" i="18" s="1"/>
  <c r="G97" i="14"/>
  <c r="G93" i="18" s="1"/>
  <c r="AP97" i="14"/>
  <c r="G93" i="14"/>
  <c r="G89" i="18" s="1"/>
  <c r="AP93" i="14"/>
  <c r="G73" i="14"/>
  <c r="G69" i="18" s="1"/>
  <c r="AP73" i="14"/>
  <c r="AP65" i="14"/>
  <c r="G65" i="14"/>
  <c r="G61" i="18" s="1"/>
  <c r="AP39" i="14"/>
  <c r="G39" i="14"/>
  <c r="G35" i="18" s="1"/>
  <c r="AP16" i="14"/>
  <c r="G1053" i="14"/>
  <c r="G1049" i="18" s="1"/>
  <c r="AP1053" i="14"/>
  <c r="G1039" i="14"/>
  <c r="G1035" i="18" s="1"/>
  <c r="AP1039" i="14"/>
  <c r="G1024" i="14"/>
  <c r="G1020" i="18" s="1"/>
  <c r="AP995" i="14"/>
  <c r="G995" i="14"/>
  <c r="G991" i="18" s="1"/>
  <c r="AP950" i="14"/>
  <c r="AP919" i="14"/>
  <c r="G919" i="14"/>
  <c r="G915" i="18" s="1"/>
  <c r="AP127" i="14"/>
  <c r="G127" i="14"/>
  <c r="G123" i="18" s="1"/>
  <c r="G117" i="14"/>
  <c r="G113" i="18" s="1"/>
  <c r="AP117" i="14"/>
  <c r="AP95" i="14"/>
  <c r="G95" i="14"/>
  <c r="G91" i="18" s="1"/>
  <c r="AP90" i="14"/>
  <c r="G67" i="14"/>
  <c r="G63" i="18" s="1"/>
  <c r="AP67" i="14"/>
  <c r="G63" i="14"/>
  <c r="G59" i="18" s="1"/>
  <c r="AP63" i="14"/>
  <c r="G43" i="14"/>
  <c r="G39" i="18" s="1"/>
  <c r="AP43" i="14"/>
  <c r="AP21" i="14"/>
  <c r="G21" i="14"/>
  <c r="G17" i="18" s="1"/>
  <c r="AP1045" i="14"/>
  <c r="G1045" i="14"/>
  <c r="G1041" i="18" s="1"/>
  <c r="G965" i="14"/>
  <c r="G961" i="18" s="1"/>
  <c r="AP965" i="14"/>
  <c r="AP930" i="14"/>
  <c r="AP916" i="14"/>
  <c r="G916" i="14"/>
  <c r="G912" i="18" s="1"/>
  <c r="AP125" i="14"/>
  <c r="G125" i="14"/>
  <c r="G121" i="18" s="1"/>
  <c r="AP78" i="14"/>
  <c r="G49" i="14"/>
  <c r="G45" i="18" s="1"/>
  <c r="AP49" i="14"/>
  <c r="AP37" i="14"/>
  <c r="G37" i="14"/>
  <c r="G33" i="18" s="1"/>
  <c r="AP30" i="14"/>
  <c r="AP215" i="14"/>
  <c r="G215" i="14"/>
  <c r="G211" i="18" s="1"/>
  <c r="AP219" i="14"/>
  <c r="G219" i="14"/>
  <c r="G215" i="18" s="1"/>
  <c r="G257" i="14"/>
  <c r="G253" i="18" s="1"/>
  <c r="AP257" i="14"/>
  <c r="AP811" i="14"/>
  <c r="AP807" i="14"/>
  <c r="AP813" i="14"/>
  <c r="G813" i="14"/>
  <c r="G809" i="18" s="1"/>
  <c r="AP1057" i="14"/>
  <c r="G1057" i="14"/>
  <c r="G1053" i="18" s="1"/>
  <c r="G1055" i="14"/>
  <c r="G1051" i="18" s="1"/>
  <c r="AP1055" i="14"/>
  <c r="AP1043" i="14"/>
  <c r="G1043" i="14"/>
  <c r="G1039" i="18" s="1"/>
  <c r="AP1015" i="14"/>
  <c r="G1015" i="14"/>
  <c r="G1011" i="18" s="1"/>
  <c r="AP951" i="14"/>
  <c r="G951" i="14"/>
  <c r="G947" i="18" s="1"/>
  <c r="G929" i="14"/>
  <c r="G925" i="18" s="1"/>
  <c r="AP929" i="14"/>
  <c r="G134" i="14"/>
  <c r="G130" i="18" s="1"/>
  <c r="AP118" i="14"/>
  <c r="G87" i="14"/>
  <c r="G83" i="18" s="1"/>
  <c r="AP87" i="14"/>
  <c r="AP85" i="14"/>
  <c r="G85" i="14"/>
  <c r="G81" i="18" s="1"/>
  <c r="AP45" i="14"/>
  <c r="G45" i="14"/>
  <c r="G41" i="18" s="1"/>
  <c r="AP42" i="14"/>
  <c r="G40" i="14"/>
  <c r="G36" i="18" s="1"/>
  <c r="G11" i="14"/>
  <c r="G7" i="18" s="1"/>
  <c r="AP11" i="14"/>
  <c r="G1110" i="14"/>
  <c r="G1106" i="18" s="1"/>
  <c r="AP243" i="14"/>
  <c r="G243" i="14"/>
  <c r="G239" i="18" s="1"/>
  <c r="AP251" i="14"/>
  <c r="G251" i="14"/>
  <c r="G247" i="18" s="1"/>
  <c r="G1060" i="14"/>
  <c r="G1056" i="18" s="1"/>
  <c r="AP1060" i="14"/>
  <c r="G135" i="14"/>
  <c r="G131" i="18" s="1"/>
  <c r="AP135" i="14"/>
  <c r="G975" i="14"/>
  <c r="G971" i="18" s="1"/>
  <c r="G140" i="14"/>
  <c r="G136" i="18" s="1"/>
  <c r="G931" i="14"/>
  <c r="G927" i="18" s="1"/>
  <c r="G974" i="14"/>
  <c r="G970" i="18" s="1"/>
  <c r="G128" i="14"/>
  <c r="G124" i="18" s="1"/>
  <c r="AP812" i="14"/>
  <c r="G1021" i="14"/>
  <c r="G1017" i="18" s="1"/>
  <c r="AP1059" i="14"/>
  <c r="G1013" i="14"/>
  <c r="G1009" i="18" s="1"/>
  <c r="AP957" i="14"/>
  <c r="G981" i="14"/>
  <c r="G977" i="18" s="1"/>
  <c r="AP923" i="14"/>
  <c r="AP986" i="14"/>
  <c r="G612" i="14"/>
  <c r="G608" i="18" s="1"/>
  <c r="G1071" i="14"/>
  <c r="G1067" i="18" s="1"/>
  <c r="AP1071" i="14"/>
  <c r="AP1051" i="14"/>
  <c r="G1051" i="14"/>
  <c r="G1047" i="18" s="1"/>
  <c r="AP1049" i="14"/>
  <c r="G1049" i="14"/>
  <c r="G1045" i="18" s="1"/>
  <c r="AP1046" i="14"/>
  <c r="AP1030" i="14"/>
  <c r="AP987" i="14"/>
  <c r="G987" i="14"/>
  <c r="G983" i="18" s="1"/>
  <c r="AP943" i="14"/>
  <c r="G943" i="14"/>
  <c r="G939" i="18" s="1"/>
  <c r="G939" i="14"/>
  <c r="G935" i="18" s="1"/>
  <c r="AP939" i="14"/>
  <c r="AP905" i="14"/>
  <c r="G905" i="14"/>
  <c r="G901" i="18" s="1"/>
  <c r="G138" i="14"/>
  <c r="G134" i="18" s="1"/>
  <c r="AP112" i="14"/>
  <c r="G112" i="14"/>
  <c r="G108" i="18" s="1"/>
  <c r="G89" i="14"/>
  <c r="G85" i="18" s="1"/>
  <c r="AP89" i="14"/>
  <c r="G75" i="14"/>
  <c r="G71" i="18" s="1"/>
  <c r="AP75" i="14"/>
  <c r="AP72" i="14"/>
  <c r="G66" i="14"/>
  <c r="G62" i="18" s="1"/>
  <c r="AP35" i="14"/>
  <c r="G35" i="14"/>
  <c r="G31" i="18" s="1"/>
  <c r="AP10" i="14"/>
  <c r="AP7" i="14"/>
  <c r="G7" i="14"/>
  <c r="G3" i="18" s="1"/>
  <c r="AP1102" i="14"/>
  <c r="AP1100" i="14"/>
  <c r="G1098" i="14"/>
  <c r="G1094" i="18" s="1"/>
  <c r="G1095" i="14"/>
  <c r="G1091" i="18" s="1"/>
  <c r="AP1095" i="14"/>
  <c r="AP1093" i="14"/>
  <c r="G1093" i="14"/>
  <c r="G1089" i="18" s="1"/>
  <c r="G1081" i="14"/>
  <c r="G1077" i="18" s="1"/>
  <c r="AP1081" i="14"/>
  <c r="G1079" i="14"/>
  <c r="G1075" i="18" s="1"/>
  <c r="AP1079" i="14"/>
  <c r="AP167" i="14"/>
  <c r="G167" i="14"/>
  <c r="G163" i="18" s="1"/>
  <c r="G169" i="14"/>
  <c r="G165" i="18" s="1"/>
  <c r="AP169" i="14"/>
  <c r="G211" i="14"/>
  <c r="G207" i="18" s="1"/>
  <c r="AP211" i="14"/>
  <c r="AP213" i="14"/>
  <c r="G213" i="14"/>
  <c r="G209" i="18" s="1"/>
  <c r="AP217" i="14"/>
  <c r="G217" i="14"/>
  <c r="G213" i="18" s="1"/>
  <c r="AP223" i="14"/>
  <c r="G223" i="14"/>
  <c r="G219" i="18" s="1"/>
  <c r="AP229" i="14"/>
  <c r="G229" i="14"/>
  <c r="G225" i="18" s="1"/>
  <c r="AP234" i="14"/>
  <c r="AP249" i="14"/>
  <c r="G249" i="14"/>
  <c r="G245" i="18" s="1"/>
  <c r="AP254" i="14"/>
  <c r="AP329" i="14"/>
  <c r="G329" i="14"/>
  <c r="G325" i="18" s="1"/>
  <c r="AP595" i="14"/>
  <c r="G595" i="14"/>
  <c r="G591" i="18" s="1"/>
  <c r="AP665" i="14"/>
  <c r="G665" i="14"/>
  <c r="G661" i="18" s="1"/>
  <c r="AP868" i="14"/>
  <c r="AP872" i="14"/>
  <c r="AP897" i="14"/>
  <c r="G897" i="14"/>
  <c r="G893" i="18" s="1"/>
  <c r="AP899" i="14"/>
  <c r="G899" i="14"/>
  <c r="G895" i="18" s="1"/>
  <c r="AP463" i="14"/>
  <c r="G463" i="14"/>
  <c r="G459" i="18" s="1"/>
  <c r="AP465" i="14"/>
  <c r="G465" i="14"/>
  <c r="G461" i="18" s="1"/>
  <c r="AP467" i="14"/>
  <c r="G467" i="14"/>
  <c r="G463" i="18" s="1"/>
  <c r="AP469" i="14"/>
  <c r="G469" i="14"/>
  <c r="G465" i="18" s="1"/>
  <c r="AP471" i="14"/>
  <c r="G471" i="14"/>
  <c r="G467" i="18" s="1"/>
  <c r="AP491" i="14"/>
  <c r="G491" i="14"/>
  <c r="G487" i="18" s="1"/>
  <c r="AP946" i="14"/>
  <c r="G805" i="14"/>
  <c r="G801" i="18" s="1"/>
  <c r="G144" i="14" l="1"/>
  <c r="G140" i="18" s="1"/>
  <c r="AP84" i="14"/>
  <c r="AP912" i="14"/>
  <c r="AP160" i="14"/>
  <c r="G304" i="14"/>
  <c r="G300" i="18" s="1"/>
  <c r="AP276" i="14"/>
  <c r="AP660" i="14"/>
  <c r="AP780" i="14"/>
  <c r="AP424" i="14"/>
  <c r="AP344" i="14"/>
  <c r="AP448" i="14"/>
  <c r="AP892" i="14"/>
  <c r="AP876" i="14"/>
  <c r="G836" i="14"/>
  <c r="G832" i="18" s="1"/>
  <c r="G332" i="14"/>
  <c r="G328" i="18" s="1"/>
  <c r="AP360" i="14"/>
  <c r="AP376" i="14"/>
  <c r="AP988" i="14"/>
  <c r="G592" i="14"/>
  <c r="G588" i="18" s="1"/>
  <c r="AP936" i="14"/>
  <c r="AP236" i="14"/>
  <c r="G360" i="14"/>
  <c r="G356" i="18" s="1"/>
  <c r="G572" i="14"/>
  <c r="G568" i="18" s="1"/>
  <c r="AP840" i="14"/>
  <c r="AP624" i="14"/>
  <c r="G156" i="14"/>
  <c r="G152" i="18" s="1"/>
  <c r="G72" i="14"/>
  <c r="G68" i="18" s="1"/>
  <c r="AP116" i="14"/>
  <c r="AP964" i="14"/>
  <c r="AP604" i="14"/>
  <c r="AP40" i="14"/>
  <c r="G616" i="14"/>
  <c r="G612" i="18" s="1"/>
  <c r="G100" i="14"/>
  <c r="G96" i="18" s="1"/>
  <c r="G1016" i="14"/>
  <c r="G1012" i="18" s="1"/>
  <c r="G1012" i="14"/>
  <c r="G1008" i="18" s="1"/>
  <c r="AP12" i="14"/>
  <c r="G44" i="14"/>
  <c r="G40" i="18" s="1"/>
  <c r="G80" i="14"/>
  <c r="G76" i="18" s="1"/>
  <c r="G920" i="14"/>
  <c r="G916" i="18" s="1"/>
  <c r="G948" i="14"/>
  <c r="G944" i="18" s="1"/>
  <c r="AP1044" i="14"/>
  <c r="G320" i="14"/>
  <c r="G316" i="18" s="1"/>
  <c r="AP1008" i="14"/>
  <c r="G1032" i="14"/>
  <c r="G1028" i="18" s="1"/>
  <c r="AP944" i="14"/>
  <c r="AP924" i="14"/>
  <c r="G712" i="14"/>
  <c r="G708" i="18" s="1"/>
  <c r="G432" i="14"/>
  <c r="G428" i="18" s="1"/>
  <c r="G656" i="14"/>
  <c r="G652" i="18" s="1"/>
  <c r="G628" i="14"/>
  <c r="G624" i="18" s="1"/>
  <c r="AP600" i="14"/>
  <c r="G204" i="14"/>
  <c r="G200" i="18" s="1"/>
  <c r="AP436" i="14"/>
  <c r="AP512" i="14"/>
  <c r="G280" i="14"/>
  <c r="G276" i="18" s="1"/>
  <c r="AP312" i="14"/>
  <c r="G456" i="14"/>
  <c r="G452" i="18" s="1"/>
  <c r="G580" i="14"/>
  <c r="G576" i="18" s="1"/>
  <c r="G552" i="14"/>
  <c r="G548" i="18" s="1"/>
  <c r="G524" i="14"/>
  <c r="G520" i="18" s="1"/>
  <c r="AP340" i="14"/>
  <c r="G856" i="14"/>
  <c r="G852" i="18" s="1"/>
  <c r="G784" i="14"/>
  <c r="G780" i="18" s="1"/>
  <c r="G728" i="14"/>
  <c r="G724" i="18" s="1"/>
  <c r="AP560" i="14"/>
  <c r="G844" i="14"/>
  <c r="G840" i="18" s="1"/>
  <c r="G796" i="14"/>
  <c r="G792" i="18" s="1"/>
  <c r="AP756" i="14"/>
  <c r="AP984" i="14"/>
  <c r="G988" i="14"/>
  <c r="G984" i="18" s="1"/>
  <c r="G212" i="14"/>
  <c r="G208" i="18" s="1"/>
  <c r="AP1032" i="14"/>
  <c r="AP208" i="14"/>
  <c r="AP464" i="14"/>
  <c r="AP644" i="14"/>
  <c r="G652" i="14"/>
  <c r="G648" i="18" s="1"/>
  <c r="AP1004" i="14"/>
  <c r="G976" i="14"/>
  <c r="G972" i="18" s="1"/>
  <c r="G972" i="14"/>
  <c r="G968" i="18" s="1"/>
  <c r="G964" i="14"/>
  <c r="G960" i="18" s="1"/>
  <c r="AP36" i="14"/>
  <c r="G244" i="14"/>
  <c r="G240" i="18" s="1"/>
  <c r="G276" i="14"/>
  <c r="G272" i="18" s="1"/>
  <c r="AP332" i="14"/>
  <c r="G512" i="14"/>
  <c r="G508" i="18" s="1"/>
  <c r="AP588" i="14"/>
  <c r="G756" i="14"/>
  <c r="G752" i="18" s="1"/>
  <c r="AP796" i="14"/>
  <c r="G872" i="14"/>
  <c r="G868" i="18" s="1"/>
  <c r="G840" i="14"/>
  <c r="G836" i="18" s="1"/>
  <c r="G316" i="14"/>
  <c r="G312" i="18" s="1"/>
  <c r="AP156" i="14"/>
  <c r="G92" i="14"/>
  <c r="G88" i="18" s="1"/>
  <c r="AP960" i="14"/>
  <c r="AP28" i="14"/>
  <c r="AP100" i="14"/>
  <c r="AP1024" i="14"/>
  <c r="AP1020" i="14"/>
  <c r="G608" i="14"/>
  <c r="G604" i="18" s="1"/>
  <c r="G68" i="14"/>
  <c r="G64" i="18" s="1"/>
  <c r="G932" i="14"/>
  <c r="G928" i="18" s="1"/>
  <c r="G52" i="14"/>
  <c r="G48" i="18" s="1"/>
  <c r="G84" i="14"/>
  <c r="G80" i="18" s="1"/>
  <c r="AP908" i="14"/>
  <c r="AP920" i="14"/>
  <c r="AP948" i="14"/>
  <c r="G996" i="14"/>
  <c r="G992" i="18" s="1"/>
  <c r="G664" i="14"/>
  <c r="G660" i="18" s="1"/>
  <c r="AP1048" i="14"/>
  <c r="G1004" i="14"/>
  <c r="G1000" i="18" s="1"/>
  <c r="AP968" i="14"/>
  <c r="AP1028" i="14"/>
  <c r="G992" i="14"/>
  <c r="G988" i="18" s="1"/>
  <c r="G708" i="14"/>
  <c r="G704" i="18" s="1"/>
  <c r="AP252" i="14"/>
  <c r="AP432" i="14"/>
  <c r="G416" i="14"/>
  <c r="G412" i="18" s="1"/>
  <c r="AP656" i="14"/>
  <c r="AP628" i="14"/>
  <c r="G392" i="14"/>
  <c r="G388" i="18" s="1"/>
  <c r="G232" i="14"/>
  <c r="G228" i="18" s="1"/>
  <c r="G496" i="14"/>
  <c r="G492" i="18" s="1"/>
  <c r="G448" i="14"/>
  <c r="G444" i="18" s="1"/>
  <c r="AP828" i="14"/>
  <c r="G772" i="14"/>
  <c r="G768" i="18" s="1"/>
  <c r="AP748" i="14"/>
  <c r="G584" i="14"/>
  <c r="G580" i="18" s="1"/>
  <c r="AP524" i="14"/>
  <c r="AP380" i="14"/>
  <c r="G272" i="14"/>
  <c r="G268" i="18" s="1"/>
  <c r="AP784" i="14"/>
  <c r="G384" i="14"/>
  <c r="G380" i="18" s="1"/>
  <c r="G480" i="14"/>
  <c r="G476" i="18" s="1"/>
  <c r="AP1084" i="14"/>
  <c r="AP108" i="14"/>
  <c r="G24" i="14"/>
  <c r="G20" i="18" s="1"/>
  <c r="AP428" i="14"/>
  <c r="AP612" i="14"/>
  <c r="G1008" i="14"/>
  <c r="G1004" i="18" s="1"/>
  <c r="G120" i="14"/>
  <c r="G116" i="18" s="1"/>
  <c r="AP48" i="14"/>
  <c r="AP24" i="14"/>
  <c r="AP164" i="14"/>
  <c r="AP188" i="14"/>
  <c r="G376" i="14"/>
  <c r="G372" i="18" s="1"/>
  <c r="AP384" i="14"/>
  <c r="AP528" i="14"/>
  <c r="G540" i="14"/>
  <c r="G536" i="18" s="1"/>
  <c r="G644" i="14"/>
  <c r="G640" i="18" s="1"/>
  <c r="AP664" i="14"/>
  <c r="G428" i="14"/>
  <c r="G424" i="18" s="1"/>
  <c r="G464" i="14"/>
  <c r="G460" i="18" s="1"/>
  <c r="N2" i="18"/>
  <c r="AP6" i="14"/>
  <c r="N1102" i="18"/>
  <c r="G1106" i="14"/>
  <c r="G1102" i="18" s="1"/>
  <c r="AP1106" i="14"/>
  <c r="N1090" i="18"/>
  <c r="G1094" i="14"/>
  <c r="G1090" i="18" s="1"/>
  <c r="N1086" i="18"/>
  <c r="AP1090" i="14"/>
  <c r="N1082" i="18"/>
  <c r="G1086" i="14"/>
  <c r="G1082" i="18" s="1"/>
  <c r="N1078" i="18"/>
  <c r="G1082" i="14"/>
  <c r="G1078" i="18" s="1"/>
  <c r="AP1082" i="14"/>
  <c r="N1074" i="18"/>
  <c r="G1078" i="14"/>
  <c r="G1074" i="18" s="1"/>
  <c r="AP1078" i="14"/>
  <c r="N1070" i="18"/>
  <c r="G1074" i="14"/>
  <c r="G1070" i="18" s="1"/>
  <c r="N1066" i="18"/>
  <c r="AP1070" i="14"/>
  <c r="N1062" i="18"/>
  <c r="G1066" i="14"/>
  <c r="G1062" i="18" s="1"/>
  <c r="AP1066" i="14"/>
  <c r="N1058" i="18"/>
  <c r="G1062" i="14"/>
  <c r="G1058" i="18" s="1"/>
  <c r="AP1062" i="14"/>
  <c r="N1054" i="18"/>
  <c r="AP1058" i="14"/>
  <c r="G1058" i="14"/>
  <c r="G1054" i="18" s="1"/>
  <c r="N1046" i="18"/>
  <c r="G1050" i="14"/>
  <c r="G1046" i="18" s="1"/>
  <c r="N1042" i="18"/>
  <c r="G1046" i="14"/>
  <c r="G1042" i="18" s="1"/>
  <c r="N1034" i="18"/>
  <c r="AP1038" i="14"/>
  <c r="G1038" i="14"/>
  <c r="G1034" i="18" s="1"/>
  <c r="N1030" i="18"/>
  <c r="G1034" i="14"/>
  <c r="G1030" i="18" s="1"/>
  <c r="N1018" i="18"/>
  <c r="AP1022" i="14"/>
  <c r="N1010" i="18"/>
  <c r="AP1014" i="14"/>
  <c r="G1014" i="14"/>
  <c r="G1010" i="18" s="1"/>
  <c r="N1006" i="18"/>
  <c r="G1010" i="14"/>
  <c r="G1006" i="18" s="1"/>
  <c r="AP1010" i="14"/>
  <c r="N1002" i="18"/>
  <c r="AP1006" i="14"/>
  <c r="N998" i="18"/>
  <c r="AP1002" i="14"/>
  <c r="N994" i="18"/>
  <c r="G998" i="14"/>
  <c r="G994" i="18" s="1"/>
  <c r="AP998" i="14"/>
  <c r="N986" i="18"/>
  <c r="AP990" i="14"/>
  <c r="G990" i="14"/>
  <c r="G986" i="18" s="1"/>
  <c r="N982" i="18"/>
  <c r="G986" i="14"/>
  <c r="G982" i="18" s="1"/>
  <c r="N978" i="18"/>
  <c r="AP982" i="14"/>
  <c r="N974" i="18"/>
  <c r="AP978" i="14"/>
  <c r="N966" i="18"/>
  <c r="G970" i="14"/>
  <c r="G966" i="18" s="1"/>
  <c r="AP970" i="14"/>
  <c r="N962" i="18"/>
  <c r="AP966" i="14"/>
  <c r="N958" i="18"/>
  <c r="G962" i="14"/>
  <c r="G958" i="18" s="1"/>
  <c r="N954" i="18"/>
  <c r="AP958" i="14"/>
  <c r="N950" i="18"/>
  <c r="G954" i="14"/>
  <c r="G950" i="18" s="1"/>
  <c r="N946" i="18"/>
  <c r="G950" i="14"/>
  <c r="G946" i="18" s="1"/>
  <c r="N942" i="18"/>
  <c r="G946" i="14"/>
  <c r="G942" i="18" s="1"/>
  <c r="N938" i="18"/>
  <c r="AP942" i="14"/>
  <c r="N930" i="18"/>
  <c r="AP934" i="14"/>
  <c r="G934" i="14"/>
  <c r="G930" i="18" s="1"/>
  <c r="N926" i="18"/>
  <c r="G930" i="14"/>
  <c r="G926" i="18" s="1"/>
  <c r="N922" i="18"/>
  <c r="G926" i="14"/>
  <c r="G922" i="18" s="1"/>
  <c r="N918" i="18"/>
  <c r="G922" i="14"/>
  <c r="G918" i="18" s="1"/>
  <c r="N914" i="18"/>
  <c r="G918" i="14"/>
  <c r="G914" i="18" s="1"/>
  <c r="AP918" i="14"/>
  <c r="N910" i="18"/>
  <c r="G914" i="14"/>
  <c r="G910" i="18" s="1"/>
  <c r="N906" i="18"/>
  <c r="G910" i="14"/>
  <c r="G906" i="18" s="1"/>
  <c r="N898" i="18"/>
  <c r="G902" i="14"/>
  <c r="G898" i="18" s="1"/>
  <c r="N894" i="18"/>
  <c r="G898" i="14"/>
  <c r="G894" i="18" s="1"/>
  <c r="N890" i="18"/>
  <c r="AP894" i="14"/>
  <c r="G894" i="14"/>
  <c r="G890" i="18" s="1"/>
  <c r="N886" i="18"/>
  <c r="G890" i="14"/>
  <c r="G886" i="18" s="1"/>
  <c r="N882" i="18"/>
  <c r="G886" i="14"/>
  <c r="G882" i="18" s="1"/>
  <c r="N878" i="18"/>
  <c r="G882" i="14"/>
  <c r="G878" i="18" s="1"/>
  <c r="N874" i="18"/>
  <c r="G878" i="14"/>
  <c r="G874" i="18" s="1"/>
  <c r="AP878" i="14"/>
  <c r="N870" i="18"/>
  <c r="G874" i="14"/>
  <c r="G870" i="18" s="1"/>
  <c r="N862" i="18"/>
  <c r="AP866" i="14"/>
  <c r="N858" i="18"/>
  <c r="AP862" i="14"/>
  <c r="N854" i="18"/>
  <c r="G858" i="14"/>
  <c r="G854" i="18" s="1"/>
  <c r="AP858" i="14"/>
  <c r="N850" i="18"/>
  <c r="G854" i="14"/>
  <c r="G850" i="18" s="1"/>
  <c r="N846" i="18"/>
  <c r="G850" i="14"/>
  <c r="G846" i="18" s="1"/>
  <c r="AP850" i="14"/>
  <c r="N842" i="18"/>
  <c r="G846" i="14"/>
  <c r="G842" i="18" s="1"/>
  <c r="N838" i="18"/>
  <c r="G842" i="14"/>
  <c r="G838" i="18" s="1"/>
  <c r="N834" i="18"/>
  <c r="AP838" i="14"/>
  <c r="G838" i="14"/>
  <c r="G834" i="18" s="1"/>
  <c r="N830" i="18"/>
  <c r="AP834" i="14"/>
  <c r="N826" i="18"/>
  <c r="AP830" i="14"/>
  <c r="G830" i="14"/>
  <c r="G826" i="18" s="1"/>
  <c r="N822" i="18"/>
  <c r="G826" i="14"/>
  <c r="G822" i="18" s="1"/>
  <c r="AP826" i="14"/>
  <c r="N814" i="18"/>
  <c r="G818" i="14"/>
  <c r="G814" i="18" s="1"/>
  <c r="N806" i="18"/>
  <c r="AP810" i="14"/>
  <c r="N802" i="18"/>
  <c r="G806" i="14"/>
  <c r="G802" i="18" s="1"/>
  <c r="N798" i="18"/>
  <c r="AP802" i="14"/>
  <c r="G802" i="14"/>
  <c r="G798" i="18" s="1"/>
  <c r="N794" i="18"/>
  <c r="AP798" i="14"/>
  <c r="G798" i="14"/>
  <c r="G794" i="18" s="1"/>
  <c r="N790" i="18"/>
  <c r="AP794" i="14"/>
  <c r="N786" i="18"/>
  <c r="AP790" i="14"/>
  <c r="N782" i="18"/>
  <c r="G786" i="14"/>
  <c r="G782" i="18" s="1"/>
  <c r="AP786" i="14"/>
  <c r="N778" i="18"/>
  <c r="AP782" i="14"/>
  <c r="N774" i="18"/>
  <c r="AP778" i="14"/>
  <c r="N770" i="18"/>
  <c r="G774" i="14"/>
  <c r="G770" i="18" s="1"/>
  <c r="AP774" i="14"/>
  <c r="N766" i="18"/>
  <c r="AP770" i="14"/>
  <c r="N762" i="18"/>
  <c r="AP766" i="14"/>
  <c r="N758" i="18"/>
  <c r="AP762" i="14"/>
  <c r="G762" i="14"/>
  <c r="G758" i="18" s="1"/>
  <c r="N754" i="18"/>
  <c r="G758" i="14"/>
  <c r="G754" i="18" s="1"/>
  <c r="AP758" i="14"/>
  <c r="N750" i="18"/>
  <c r="AP754" i="14"/>
  <c r="N746" i="18"/>
  <c r="G750" i="14"/>
  <c r="G746" i="18" s="1"/>
  <c r="N742" i="18"/>
  <c r="G746" i="14"/>
  <c r="G742" i="18" s="1"/>
  <c r="AP746" i="14"/>
  <c r="N738" i="18"/>
  <c r="G742" i="14"/>
  <c r="G738" i="18" s="1"/>
  <c r="N734" i="18"/>
  <c r="G738" i="14"/>
  <c r="G734" i="18" s="1"/>
  <c r="N730" i="18"/>
  <c r="AP734" i="14"/>
  <c r="N722" i="18"/>
  <c r="AP726" i="14"/>
  <c r="G726" i="14"/>
  <c r="G722" i="18" s="1"/>
  <c r="N718" i="18"/>
  <c r="G722" i="14"/>
  <c r="G718" i="18" s="1"/>
  <c r="N714" i="18"/>
  <c r="AP718" i="14"/>
  <c r="G718" i="14"/>
  <c r="G714" i="18" s="1"/>
  <c r="N710" i="18"/>
  <c r="G714" i="14"/>
  <c r="G710" i="18" s="1"/>
  <c r="N706" i="18"/>
  <c r="G710" i="14"/>
  <c r="G706" i="18" s="1"/>
  <c r="N702" i="18"/>
  <c r="AP706" i="14"/>
  <c r="N698" i="18"/>
  <c r="G702" i="14"/>
  <c r="G698" i="18" s="1"/>
  <c r="AP702" i="14"/>
  <c r="N694" i="18"/>
  <c r="G698" i="14"/>
  <c r="G694" i="18" s="1"/>
  <c r="AP698" i="14"/>
  <c r="N690" i="18"/>
  <c r="G694" i="14"/>
  <c r="G690" i="18" s="1"/>
  <c r="N686" i="18"/>
  <c r="G690" i="14"/>
  <c r="G686" i="18" s="1"/>
  <c r="N682" i="18"/>
  <c r="AP686" i="14"/>
  <c r="N678" i="18"/>
  <c r="AP682" i="14"/>
  <c r="G682" i="14"/>
  <c r="G678" i="18" s="1"/>
  <c r="N674" i="18"/>
  <c r="G678" i="14"/>
  <c r="G674" i="18" s="1"/>
  <c r="N670" i="18"/>
  <c r="G674" i="14"/>
  <c r="G670" i="18" s="1"/>
  <c r="N666" i="18"/>
  <c r="G670" i="14"/>
  <c r="G666" i="18" s="1"/>
  <c r="AP670" i="14"/>
  <c r="N662" i="18"/>
  <c r="G666" i="14"/>
  <c r="G662" i="18" s="1"/>
  <c r="N658" i="18"/>
  <c r="AP662" i="14"/>
  <c r="N654" i="18"/>
  <c r="G658" i="14"/>
  <c r="G654" i="18" s="1"/>
  <c r="N650" i="18"/>
  <c r="AP654" i="14"/>
  <c r="G654" i="14"/>
  <c r="G650" i="18" s="1"/>
  <c r="N646" i="18"/>
  <c r="G650" i="14"/>
  <c r="G646" i="18" s="1"/>
  <c r="AP650" i="14"/>
  <c r="N642" i="18"/>
  <c r="G646" i="14"/>
  <c r="G642" i="18" s="1"/>
  <c r="N638" i="18"/>
  <c r="G642" i="14"/>
  <c r="G638" i="18" s="1"/>
  <c r="N634" i="18"/>
  <c r="G638" i="14"/>
  <c r="G634" i="18" s="1"/>
  <c r="N630" i="18"/>
  <c r="AP634" i="14"/>
  <c r="N626" i="18"/>
  <c r="AP630" i="14"/>
  <c r="N622" i="18"/>
  <c r="G626" i="14"/>
  <c r="G622" i="18" s="1"/>
  <c r="AP626" i="14"/>
  <c r="N618" i="18"/>
  <c r="G622" i="14"/>
  <c r="G618" i="18" s="1"/>
  <c r="N614" i="18"/>
  <c r="G618" i="14"/>
  <c r="G614" i="18" s="1"/>
  <c r="N610" i="18"/>
  <c r="G614" i="14"/>
  <c r="G610" i="18" s="1"/>
  <c r="N606" i="18"/>
  <c r="AP610" i="14"/>
  <c r="G610" i="14"/>
  <c r="G606" i="18" s="1"/>
  <c r="N602" i="18"/>
  <c r="AP606" i="14"/>
  <c r="N598" i="18"/>
  <c r="AP602" i="14"/>
  <c r="N594" i="18"/>
  <c r="G598" i="14"/>
  <c r="G594" i="18" s="1"/>
  <c r="AP598" i="14"/>
  <c r="N590" i="18"/>
  <c r="G594" i="14"/>
  <c r="G590" i="18" s="1"/>
  <c r="AP594" i="14"/>
  <c r="N586" i="18"/>
  <c r="G590" i="14"/>
  <c r="G586" i="18" s="1"/>
  <c r="N582" i="18"/>
  <c r="AP586" i="14"/>
  <c r="N578" i="18"/>
  <c r="AP582" i="14"/>
  <c r="G582" i="14"/>
  <c r="G578" i="18" s="1"/>
  <c r="N574" i="18"/>
  <c r="AP578" i="14"/>
  <c r="G578" i="14"/>
  <c r="G574" i="18" s="1"/>
  <c r="N570" i="18"/>
  <c r="G574" i="14"/>
  <c r="G570" i="18" s="1"/>
  <c r="N566" i="18"/>
  <c r="AP570" i="14"/>
  <c r="G570" i="14"/>
  <c r="G566" i="18" s="1"/>
  <c r="N562" i="18"/>
  <c r="AP566" i="14"/>
  <c r="G566" i="14"/>
  <c r="G562" i="18" s="1"/>
  <c r="N558" i="18"/>
  <c r="AP562" i="14"/>
  <c r="G562" i="14"/>
  <c r="G558" i="18" s="1"/>
  <c r="N554" i="18"/>
  <c r="AP558" i="14"/>
  <c r="N550" i="18"/>
  <c r="G554" i="14"/>
  <c r="G550" i="18" s="1"/>
  <c r="N546" i="18"/>
  <c r="AP550" i="14"/>
  <c r="N542" i="18"/>
  <c r="AP546" i="14"/>
  <c r="G546" i="14"/>
  <c r="G542" i="18" s="1"/>
  <c r="N538" i="18"/>
  <c r="AP542" i="14"/>
  <c r="G542" i="14"/>
  <c r="G538" i="18" s="1"/>
  <c r="N534" i="18"/>
  <c r="AP538" i="14"/>
  <c r="G538" i="14"/>
  <c r="G534" i="18" s="1"/>
  <c r="N530" i="18"/>
  <c r="AP534" i="14"/>
  <c r="N526" i="18"/>
  <c r="AP530" i="14"/>
  <c r="N522" i="18"/>
  <c r="AP526" i="14"/>
  <c r="N518" i="18"/>
  <c r="AP522" i="14"/>
  <c r="G522" i="14"/>
  <c r="G518" i="18" s="1"/>
  <c r="N514" i="18"/>
  <c r="G518" i="14"/>
  <c r="G514" i="18" s="1"/>
  <c r="N510" i="18"/>
  <c r="AP514" i="14"/>
  <c r="G514" i="14"/>
  <c r="G510" i="18" s="1"/>
  <c r="N506" i="18"/>
  <c r="AP510" i="14"/>
  <c r="N502" i="18"/>
  <c r="AP506" i="14"/>
  <c r="N498" i="18"/>
  <c r="AP502" i="14"/>
  <c r="N494" i="18"/>
  <c r="AP498" i="14"/>
  <c r="G498" i="14"/>
  <c r="G494" i="18" s="1"/>
  <c r="N490" i="18"/>
  <c r="AP494" i="14"/>
  <c r="N486" i="18"/>
  <c r="AP490" i="14"/>
  <c r="N482" i="18"/>
  <c r="AP486" i="14"/>
  <c r="N478" i="18"/>
  <c r="AP482" i="14"/>
  <c r="G482" i="14"/>
  <c r="G478" i="18" s="1"/>
  <c r="N474" i="18"/>
  <c r="AP478" i="14"/>
  <c r="N470" i="18"/>
  <c r="AP474" i="14"/>
  <c r="G474" i="14"/>
  <c r="G470" i="18" s="1"/>
  <c r="N466" i="18"/>
  <c r="G470" i="14"/>
  <c r="G466" i="18" s="1"/>
  <c r="N462" i="18"/>
  <c r="AP466" i="14"/>
  <c r="N458" i="18"/>
  <c r="G462" i="14"/>
  <c r="G458" i="18" s="1"/>
  <c r="AP462" i="14"/>
  <c r="N454" i="18"/>
  <c r="G458" i="14"/>
  <c r="G454" i="18" s="1"/>
  <c r="N450" i="18"/>
  <c r="AP454" i="14"/>
  <c r="G454" i="14"/>
  <c r="G450" i="18" s="1"/>
  <c r="N446" i="18"/>
  <c r="G450" i="14"/>
  <c r="G446" i="18" s="1"/>
  <c r="N442" i="18"/>
  <c r="G446" i="14"/>
  <c r="G442" i="18" s="1"/>
  <c r="N438" i="18"/>
  <c r="AP442" i="14"/>
  <c r="N434" i="18"/>
  <c r="AP438" i="14"/>
  <c r="N430" i="18"/>
  <c r="G434" i="14"/>
  <c r="G430" i="18" s="1"/>
  <c r="AP434" i="14"/>
  <c r="N426" i="18"/>
  <c r="AP430" i="14"/>
  <c r="N422" i="18"/>
  <c r="AP426" i="14"/>
  <c r="N418" i="18"/>
  <c r="AP422" i="14"/>
  <c r="N414" i="18"/>
  <c r="AP418" i="14"/>
  <c r="N410" i="18"/>
  <c r="AP414" i="14"/>
  <c r="N406" i="18"/>
  <c r="AP410" i="14"/>
  <c r="N402" i="18"/>
  <c r="G406" i="14"/>
  <c r="G402" i="18" s="1"/>
  <c r="AP406" i="14"/>
  <c r="N398" i="18"/>
  <c r="G402" i="14"/>
  <c r="G398" i="18" s="1"/>
  <c r="N394" i="18"/>
  <c r="G398" i="14"/>
  <c r="G394" i="18" s="1"/>
  <c r="AP398" i="14"/>
  <c r="N390" i="18"/>
  <c r="AP394" i="14"/>
  <c r="N386" i="18"/>
  <c r="G390" i="14"/>
  <c r="G386" i="18" s="1"/>
  <c r="N382" i="18"/>
  <c r="G386" i="14"/>
  <c r="G382" i="18" s="1"/>
  <c r="AP386" i="14"/>
  <c r="N378" i="18"/>
  <c r="AP382" i="14"/>
  <c r="N374" i="18"/>
  <c r="G378" i="14"/>
  <c r="G374" i="18" s="1"/>
  <c r="N370" i="18"/>
  <c r="AP374" i="14"/>
  <c r="N366" i="18"/>
  <c r="G370" i="14"/>
  <c r="G366" i="18" s="1"/>
  <c r="N362" i="18"/>
  <c r="AP366" i="14"/>
  <c r="G366" i="14"/>
  <c r="G362" i="18" s="1"/>
  <c r="N358" i="18"/>
  <c r="AP362" i="14"/>
  <c r="N354" i="18"/>
  <c r="G358" i="14"/>
  <c r="G354" i="18" s="1"/>
  <c r="AP358" i="14"/>
  <c r="N350" i="18"/>
  <c r="G354" i="14"/>
  <c r="G350" i="18" s="1"/>
  <c r="N346" i="18"/>
  <c r="G350" i="14"/>
  <c r="G346" i="18" s="1"/>
  <c r="AP350" i="14"/>
  <c r="N338" i="18"/>
  <c r="AP342" i="14"/>
  <c r="N334" i="18"/>
  <c r="AP338" i="14"/>
  <c r="N326" i="18"/>
  <c r="AP330" i="14"/>
  <c r="N322" i="18"/>
  <c r="G326" i="14"/>
  <c r="G322" i="18" s="1"/>
  <c r="N318" i="18"/>
  <c r="AP322" i="14"/>
  <c r="G322" i="14"/>
  <c r="G318" i="18" s="1"/>
  <c r="N314" i="18"/>
  <c r="AP318" i="14"/>
  <c r="N310" i="18"/>
  <c r="AP314" i="14"/>
  <c r="G314" i="14"/>
  <c r="G310" i="18" s="1"/>
  <c r="N306" i="18"/>
  <c r="AP310" i="14"/>
  <c r="N302" i="18"/>
  <c r="G306" i="14"/>
  <c r="G302" i="18" s="1"/>
  <c r="N298" i="18"/>
  <c r="AP302" i="14"/>
  <c r="G302" i="14"/>
  <c r="G298" i="18" s="1"/>
  <c r="N294" i="18"/>
  <c r="AP298" i="14"/>
  <c r="N290" i="18"/>
  <c r="G294" i="14"/>
  <c r="G290" i="18" s="1"/>
  <c r="N286" i="18"/>
  <c r="AP290" i="14"/>
  <c r="N282" i="18"/>
  <c r="AP286" i="14"/>
  <c r="G286" i="14"/>
  <c r="G282" i="18" s="1"/>
  <c r="N278" i="18"/>
  <c r="AP282" i="14"/>
  <c r="G282" i="14"/>
  <c r="G278" i="18" s="1"/>
  <c r="N274" i="18"/>
  <c r="AP278" i="14"/>
  <c r="N270" i="18"/>
  <c r="AP274" i="14"/>
  <c r="G274" i="14"/>
  <c r="G270" i="18" s="1"/>
  <c r="N266" i="18"/>
  <c r="G270" i="14"/>
  <c r="G266" i="18" s="1"/>
  <c r="N262" i="18"/>
  <c r="AP266" i="14"/>
  <c r="N258" i="18"/>
  <c r="G262" i="14"/>
  <c r="G258" i="18" s="1"/>
  <c r="AP262" i="14"/>
  <c r="N254" i="18"/>
  <c r="G258" i="14"/>
  <c r="G254" i="18" s="1"/>
  <c r="AP258" i="14"/>
  <c r="N246" i="18"/>
  <c r="G250" i="14"/>
  <c r="G246" i="18" s="1"/>
  <c r="AP250" i="14"/>
  <c r="N242" i="18"/>
  <c r="G246" i="14"/>
  <c r="G242" i="18" s="1"/>
  <c r="AP246" i="14"/>
  <c r="N234" i="18"/>
  <c r="G238" i="14"/>
  <c r="G234" i="18" s="1"/>
  <c r="N226" i="18"/>
  <c r="G230" i="14"/>
  <c r="G226" i="18" s="1"/>
  <c r="N222" i="18"/>
  <c r="AP226" i="14"/>
  <c r="N218" i="18"/>
  <c r="AP222" i="14"/>
  <c r="N210" i="18"/>
  <c r="G214" i="14"/>
  <c r="G210" i="18" s="1"/>
  <c r="N206" i="18"/>
  <c r="AP210" i="14"/>
  <c r="N202" i="18"/>
  <c r="AP206" i="14"/>
  <c r="N198" i="18"/>
  <c r="G202" i="14"/>
  <c r="G198" i="18" s="1"/>
  <c r="AP202" i="14"/>
  <c r="N194" i="18"/>
  <c r="G198" i="14"/>
  <c r="G194" i="18" s="1"/>
  <c r="AP198" i="14"/>
  <c r="N190" i="18"/>
  <c r="AP194" i="14"/>
  <c r="N186" i="18"/>
  <c r="G190" i="14"/>
  <c r="G186" i="18" s="1"/>
  <c r="N182" i="18"/>
  <c r="G186" i="14"/>
  <c r="G182" i="18" s="1"/>
  <c r="N178" i="18"/>
  <c r="G182" i="14"/>
  <c r="G178" i="18" s="1"/>
  <c r="AP182" i="14"/>
  <c r="N174" i="18"/>
  <c r="AP178" i="14"/>
  <c r="N170" i="18"/>
  <c r="AP174" i="14"/>
  <c r="N166" i="18"/>
  <c r="G170" i="14"/>
  <c r="G166" i="18" s="1"/>
  <c r="N162" i="18"/>
  <c r="AP166" i="14"/>
  <c r="N158" i="18"/>
  <c r="AP162" i="14"/>
  <c r="G162" i="14"/>
  <c r="G158" i="18" s="1"/>
  <c r="N154" i="18"/>
  <c r="G158" i="14"/>
  <c r="G154" i="18" s="1"/>
  <c r="AP158" i="14"/>
  <c r="N150" i="18"/>
  <c r="AP154" i="14"/>
  <c r="N142" i="18"/>
  <c r="AP146" i="14"/>
  <c r="N130" i="18"/>
  <c r="AP134" i="14"/>
  <c r="N126" i="18"/>
  <c r="AP130" i="14"/>
  <c r="N122" i="18"/>
  <c r="AP126" i="14"/>
  <c r="N118" i="18"/>
  <c r="AP122" i="14"/>
  <c r="N110" i="18"/>
  <c r="AP114" i="14"/>
  <c r="N102" i="18"/>
  <c r="G106" i="14"/>
  <c r="G102" i="18" s="1"/>
  <c r="N94" i="18"/>
  <c r="G98" i="14"/>
  <c r="G94" i="18" s="1"/>
  <c r="N90" i="18"/>
  <c r="G94" i="14"/>
  <c r="G90" i="18" s="1"/>
  <c r="N82" i="18"/>
  <c r="AP86" i="14"/>
  <c r="N78" i="18"/>
  <c r="AP82" i="14"/>
  <c r="N62" i="18"/>
  <c r="AP66" i="14"/>
  <c r="N58" i="18"/>
  <c r="AP62" i="14"/>
  <c r="N54" i="18"/>
  <c r="AP58" i="14"/>
  <c r="G58" i="14"/>
  <c r="G54" i="18" s="1"/>
  <c r="N46" i="18"/>
  <c r="AP50" i="14"/>
  <c r="N42" i="18"/>
  <c r="G46" i="14"/>
  <c r="G42" i="18" s="1"/>
  <c r="N38" i="18"/>
  <c r="G42" i="14"/>
  <c r="G38" i="18" s="1"/>
  <c r="N34" i="18"/>
  <c r="AP38" i="14"/>
  <c r="N30" i="18"/>
  <c r="AP34" i="14"/>
  <c r="N14" i="18"/>
  <c r="G18" i="14"/>
  <c r="G14" i="18" s="1"/>
  <c r="AP18" i="14"/>
  <c r="N10" i="18"/>
  <c r="G14" i="14"/>
  <c r="G10" i="18" s="1"/>
  <c r="G422" i="14"/>
  <c r="G418" i="18" s="1"/>
  <c r="AP518" i="14"/>
  <c r="G254" i="14"/>
  <c r="G250" i="18" s="1"/>
  <c r="G234" i="14"/>
  <c r="G230" i="18" s="1"/>
  <c r="AP1098" i="14"/>
  <c r="AP14" i="14"/>
  <c r="AP902" i="14"/>
  <c r="G38" i="14"/>
  <c r="G34" i="18" s="1"/>
  <c r="G118" i="14"/>
  <c r="G114" i="18" s="1"/>
  <c r="G114" i="14"/>
  <c r="G110" i="18" s="1"/>
  <c r="G30" i="14"/>
  <c r="G26" i="18" s="1"/>
  <c r="G78" i="14"/>
  <c r="G74" i="18" s="1"/>
  <c r="AP46" i="14"/>
  <c r="AP938" i="14"/>
  <c r="AP70" i="14"/>
  <c r="AP102" i="14"/>
  <c r="AP54" i="14"/>
  <c r="G82" i="14"/>
  <c r="G78" i="18" s="1"/>
  <c r="G142" i="14"/>
  <c r="G138" i="18" s="1"/>
  <c r="AP1026" i="14"/>
  <c r="AP1042" i="14"/>
  <c r="G218" i="14"/>
  <c r="G214" i="18" s="1"/>
  <c r="G74" i="14"/>
  <c r="G70" i="18" s="1"/>
  <c r="AP618" i="14"/>
  <c r="G150" i="14"/>
  <c r="G146" i="18" s="1"/>
  <c r="G502" i="14"/>
  <c r="G498" i="18" s="1"/>
  <c r="G334" i="14"/>
  <c r="G330" i="18" s="1"/>
  <c r="AP954" i="14"/>
  <c r="G206" i="14"/>
  <c r="G202" i="18" s="1"/>
  <c r="G394" i="14"/>
  <c r="G390" i="18" s="1"/>
  <c r="AP914" i="14"/>
  <c r="G486" i="14"/>
  <c r="G482" i="18" s="1"/>
  <c r="G442" i="14"/>
  <c r="G438" i="18" s="1"/>
  <c r="AP890" i="14"/>
  <c r="AP886" i="14"/>
  <c r="AP738" i="14"/>
  <c r="G558" i="14"/>
  <c r="G554" i="18" s="1"/>
  <c r="G550" i="14"/>
  <c r="G546" i="18" s="1"/>
  <c r="G382" i="14"/>
  <c r="G378" i="18" s="1"/>
  <c r="AP170" i="14"/>
  <c r="G154" i="14"/>
  <c r="G150" i="18" s="1"/>
  <c r="AP854" i="14"/>
  <c r="G242" i="14"/>
  <c r="G238" i="18" s="1"/>
  <c r="AP190" i="14"/>
  <c r="AP106" i="14"/>
  <c r="G942" i="14"/>
  <c r="G938" i="18" s="1"/>
  <c r="G686" i="14"/>
  <c r="G682" i="18" s="1"/>
  <c r="G510" i="14"/>
  <c r="G506" i="18" s="1"/>
  <c r="G126" i="14"/>
  <c r="G122" i="18" s="1"/>
  <c r="AP470" i="14"/>
  <c r="AP906" i="14"/>
  <c r="G1006" i="14"/>
  <c r="G1002" i="18" s="1"/>
  <c r="G26" i="14"/>
  <c r="G22" i="18" s="1"/>
  <c r="AP326" i="14"/>
  <c r="AP714" i="14"/>
  <c r="G770" i="14"/>
  <c r="G766" i="18" s="1"/>
  <c r="AP822" i="14"/>
  <c r="G410" i="14"/>
  <c r="G406" i="18" s="1"/>
  <c r="G430" i="14"/>
  <c r="G426" i="18" s="1"/>
  <c r="G978" i="14"/>
  <c r="G974" i="18" s="1"/>
  <c r="G734" i="14"/>
  <c r="G730" i="18" s="1"/>
  <c r="AP1074" i="14"/>
  <c r="G1102" i="14"/>
  <c r="G1098" i="18" s="1"/>
  <c r="G10" i="14"/>
  <c r="G6" i="18" s="1"/>
  <c r="AP138" i="14"/>
  <c r="G1030" i="14"/>
  <c r="G1026" i="18" s="1"/>
  <c r="AP1110" i="14"/>
  <c r="G50" i="14"/>
  <c r="G46" i="18" s="1"/>
  <c r="G982" i="14"/>
  <c r="G978" i="18" s="1"/>
  <c r="G34" i="14"/>
  <c r="G30" i="18" s="1"/>
  <c r="G90" i="14"/>
  <c r="G86" i="18" s="1"/>
  <c r="AP110" i="14"/>
  <c r="G22" i="14"/>
  <c r="G18" i="18" s="1"/>
  <c r="G1018" i="14"/>
  <c r="G1014" i="18" s="1"/>
  <c r="G1054" i="14"/>
  <c r="G1050" i="18" s="1"/>
  <c r="G146" i="14"/>
  <c r="G142" i="18" s="1"/>
  <c r="AP1034" i="14"/>
  <c r="G814" i="14"/>
  <c r="G810" i="18" s="1"/>
  <c r="G630" i="14"/>
  <c r="G626" i="18" s="1"/>
  <c r="G310" i="14"/>
  <c r="G306" i="18" s="1"/>
  <c r="AP306" i="14"/>
  <c r="G6" i="14"/>
  <c r="G2" i="18" s="1"/>
  <c r="AP926" i="14"/>
  <c r="G966" i="14"/>
  <c r="G962" i="18" s="1"/>
  <c r="AP846" i="14"/>
  <c r="AP710" i="14"/>
  <c r="AP370" i="14"/>
  <c r="G466" i="14"/>
  <c r="G462" i="18" s="1"/>
  <c r="G426" i="14"/>
  <c r="G422" i="18" s="1"/>
  <c r="AP690" i="14"/>
  <c r="G662" i="14"/>
  <c r="G658" i="18" s="1"/>
  <c r="G634" i="14"/>
  <c r="G630" i="18" s="1"/>
  <c r="AP622" i="14"/>
  <c r="AP590" i="14"/>
  <c r="AP750" i="14"/>
  <c r="G730" i="14"/>
  <c r="G726" i="18" s="1"/>
  <c r="AP874" i="14"/>
  <c r="AP742" i="14"/>
  <c r="G706" i="14"/>
  <c r="G702" i="18" s="1"/>
  <c r="AP390" i="14"/>
  <c r="G318" i="14"/>
  <c r="G314" i="18" s="1"/>
  <c r="G266" i="14"/>
  <c r="G262" i="18" s="1"/>
  <c r="G862" i="14"/>
  <c r="G858" i="18" s="1"/>
  <c r="G782" i="14"/>
  <c r="G778" i="18" s="1"/>
  <c r="G166" i="14"/>
  <c r="G162" i="18" s="1"/>
  <c r="G526" i="14"/>
  <c r="G522" i="18" s="1"/>
  <c r="G794" i="14"/>
  <c r="G790" i="18" s="1"/>
  <c r="AP26" i="14"/>
  <c r="G62" i="14"/>
  <c r="G58" i="18" s="1"/>
  <c r="G602" i="14"/>
  <c r="G598" i="18" s="1"/>
  <c r="AP1050" i="14"/>
  <c r="G994" i="14"/>
  <c r="G990" i="18" s="1"/>
  <c r="AP910" i="14"/>
  <c r="AP238" i="14"/>
  <c r="AP242" i="14"/>
  <c r="AP334" i="14"/>
  <c r="G346" i="14"/>
  <c r="G342" i="18" s="1"/>
  <c r="AP674" i="14"/>
  <c r="AP730" i="14"/>
  <c r="G778" i="14"/>
  <c r="G774" i="18" s="1"/>
  <c r="N1104" i="18"/>
  <c r="AP1108" i="14"/>
  <c r="N1100" i="18"/>
  <c r="AP1104" i="14"/>
  <c r="N1092" i="18"/>
  <c r="G1096" i="14"/>
  <c r="G1092" i="18" s="1"/>
  <c r="AP1096" i="14"/>
  <c r="N1084" i="18"/>
  <c r="G1088" i="14"/>
  <c r="G1084" i="18" s="1"/>
  <c r="N1076" i="18"/>
  <c r="G1080" i="14"/>
  <c r="G1076" i="18" s="1"/>
  <c r="N1068" i="18"/>
  <c r="G1072" i="14"/>
  <c r="G1068" i="18" s="1"/>
  <c r="N1064" i="18"/>
  <c r="AP1068" i="14"/>
  <c r="N1052" i="18"/>
  <c r="AP1056" i="14"/>
  <c r="N1048" i="18"/>
  <c r="AP1052" i="14"/>
  <c r="N1036" i="18"/>
  <c r="G1040" i="14"/>
  <c r="G1036" i="18" s="1"/>
  <c r="N996" i="18"/>
  <c r="G1000" i="14"/>
  <c r="G996" i="18" s="1"/>
  <c r="AP1000" i="14"/>
  <c r="N976" i="18"/>
  <c r="AP980" i="14"/>
  <c r="N952" i="18"/>
  <c r="AP956" i="14"/>
  <c r="N936" i="18"/>
  <c r="AP940" i="14"/>
  <c r="G940" i="14"/>
  <c r="G936" i="18" s="1"/>
  <c r="N924" i="18"/>
  <c r="G928" i="14"/>
  <c r="G924" i="18" s="1"/>
  <c r="N900" i="18"/>
  <c r="G904" i="14"/>
  <c r="G900" i="18" s="1"/>
  <c r="N896" i="18"/>
  <c r="G900" i="14"/>
  <c r="G896" i="18" s="1"/>
  <c r="N892" i="18"/>
  <c r="G896" i="14"/>
  <c r="G892" i="18" s="1"/>
  <c r="N884" i="18"/>
  <c r="G888" i="14"/>
  <c r="G884" i="18" s="1"/>
  <c r="N876" i="18"/>
  <c r="G880" i="14"/>
  <c r="G876" i="18" s="1"/>
  <c r="N860" i="18"/>
  <c r="G864" i="14"/>
  <c r="G860" i="18" s="1"/>
  <c r="N856" i="18"/>
  <c r="AP860" i="14"/>
  <c r="N848" i="18"/>
  <c r="AP852" i="14"/>
  <c r="N844" i="18"/>
  <c r="AP848" i="14"/>
  <c r="N828" i="18"/>
  <c r="G832" i="14"/>
  <c r="G828" i="18" s="1"/>
  <c r="AP832" i="14"/>
  <c r="N820" i="18"/>
  <c r="AP824" i="14"/>
  <c r="N816" i="18"/>
  <c r="G820" i="14"/>
  <c r="G816" i="18" s="1"/>
  <c r="N812" i="18"/>
  <c r="AP816" i="14"/>
  <c r="N808" i="18"/>
  <c r="G812" i="14"/>
  <c r="G808" i="18" s="1"/>
  <c r="N804" i="18"/>
  <c r="G808" i="14"/>
  <c r="G804" i="18" s="1"/>
  <c r="N800" i="18"/>
  <c r="AP804" i="14"/>
  <c r="N796" i="18"/>
  <c r="AP800" i="14"/>
  <c r="N784" i="18"/>
  <c r="G788" i="14"/>
  <c r="G784" i="18" s="1"/>
  <c r="N772" i="18"/>
  <c r="AP776" i="14"/>
  <c r="N764" i="18"/>
  <c r="AP768" i="14"/>
  <c r="N760" i="18"/>
  <c r="AP764" i="14"/>
  <c r="N748" i="18"/>
  <c r="G752" i="14"/>
  <c r="G748" i="18" s="1"/>
  <c r="N740" i="18"/>
  <c r="G744" i="14"/>
  <c r="G740" i="18" s="1"/>
  <c r="N736" i="18"/>
  <c r="AP740" i="14"/>
  <c r="N732" i="18"/>
  <c r="G736" i="14"/>
  <c r="G732" i="18" s="1"/>
  <c r="N728" i="18"/>
  <c r="G732" i="14"/>
  <c r="G728" i="18" s="1"/>
  <c r="N720" i="18"/>
  <c r="G724" i="14"/>
  <c r="G720" i="18" s="1"/>
  <c r="N716" i="18"/>
  <c r="G720" i="14"/>
  <c r="G716" i="18" s="1"/>
  <c r="N700" i="18"/>
  <c r="AP704" i="14"/>
  <c r="N696" i="18"/>
  <c r="AP700" i="14"/>
  <c r="G700" i="14"/>
  <c r="G696" i="18" s="1"/>
  <c r="N692" i="18"/>
  <c r="AP696" i="14"/>
  <c r="N688" i="18"/>
  <c r="AP692" i="14"/>
  <c r="N684" i="18"/>
  <c r="AP688" i="14"/>
  <c r="N680" i="18"/>
  <c r="G684" i="14"/>
  <c r="G680" i="18" s="1"/>
  <c r="N676" i="18"/>
  <c r="AP680" i="14"/>
  <c r="G680" i="14"/>
  <c r="G676" i="18" s="1"/>
  <c r="N672" i="18"/>
  <c r="G676" i="14"/>
  <c r="G672" i="18" s="1"/>
  <c r="N668" i="18"/>
  <c r="AP672" i="14"/>
  <c r="N636" i="18"/>
  <c r="G640" i="14"/>
  <c r="G636" i="18" s="1"/>
  <c r="N632" i="18"/>
  <c r="AP636" i="14"/>
  <c r="G636" i="14"/>
  <c r="G632" i="18" s="1"/>
  <c r="N592" i="18"/>
  <c r="G596" i="14"/>
  <c r="G592" i="18" s="1"/>
  <c r="AP596" i="14"/>
  <c r="N572" i="18"/>
  <c r="AP576" i="14"/>
  <c r="G576" i="14"/>
  <c r="G572" i="18" s="1"/>
  <c r="N564" i="18"/>
  <c r="G568" i="14"/>
  <c r="G564" i="18" s="1"/>
  <c r="N552" i="18"/>
  <c r="AP556" i="14"/>
  <c r="N540" i="18"/>
  <c r="AP544" i="14"/>
  <c r="N532" i="18"/>
  <c r="G536" i="14"/>
  <c r="G532" i="18" s="1"/>
  <c r="N528" i="18"/>
  <c r="AP532" i="14"/>
  <c r="N500" i="18"/>
  <c r="AP504" i="14"/>
  <c r="N496" i="18"/>
  <c r="G500" i="14"/>
  <c r="G496" i="18" s="1"/>
  <c r="N488" i="18"/>
  <c r="G492" i="14"/>
  <c r="G488" i="18" s="1"/>
  <c r="N484" i="18"/>
  <c r="AP488" i="14"/>
  <c r="N480" i="18"/>
  <c r="AP484" i="14"/>
  <c r="G484" i="14"/>
  <c r="G480" i="18" s="1"/>
  <c r="N472" i="18"/>
  <c r="AP476" i="14"/>
  <c r="N464" i="18"/>
  <c r="AP468" i="14"/>
  <c r="N456" i="18"/>
  <c r="AP460" i="14"/>
  <c r="N440" i="18"/>
  <c r="AP444" i="14"/>
  <c r="N436" i="18"/>
  <c r="AP440" i="14"/>
  <c r="G440" i="14"/>
  <c r="G436" i="18" s="1"/>
  <c r="N416" i="18"/>
  <c r="G420" i="14"/>
  <c r="G416" i="18" s="1"/>
  <c r="N408" i="18"/>
  <c r="AP412" i="14"/>
  <c r="N404" i="18"/>
  <c r="AP408" i="14"/>
  <c r="G408" i="14"/>
  <c r="G404" i="18" s="1"/>
  <c r="N400" i="18"/>
  <c r="AP404" i="14"/>
  <c r="N396" i="18"/>
  <c r="G400" i="14"/>
  <c r="G396" i="18" s="1"/>
  <c r="AP400" i="14"/>
  <c r="N392" i="18"/>
  <c r="G396" i="14"/>
  <c r="G392" i="18" s="1"/>
  <c r="N384" i="18"/>
  <c r="G388" i="14"/>
  <c r="G384" i="18" s="1"/>
  <c r="N364" i="18"/>
  <c r="AP368" i="14"/>
  <c r="G368" i="14"/>
  <c r="G364" i="18" s="1"/>
  <c r="N352" i="18"/>
  <c r="G356" i="14"/>
  <c r="G352" i="18" s="1"/>
  <c r="N344" i="18"/>
  <c r="G348" i="14"/>
  <c r="G344" i="18" s="1"/>
  <c r="N332" i="18"/>
  <c r="AP336" i="14"/>
  <c r="N320" i="18"/>
  <c r="G324" i="14"/>
  <c r="G320" i="18" s="1"/>
  <c r="N292" i="18"/>
  <c r="G296" i="14"/>
  <c r="G292" i="18" s="1"/>
  <c r="N288" i="18"/>
  <c r="AP292" i="14"/>
  <c r="N284" i="18"/>
  <c r="G288" i="14"/>
  <c r="G284" i="18" s="1"/>
  <c r="N280" i="18"/>
  <c r="G284" i="14"/>
  <c r="G280" i="18" s="1"/>
  <c r="N264" i="18"/>
  <c r="G268" i="14"/>
  <c r="G264" i="18" s="1"/>
  <c r="N256" i="18"/>
  <c r="AP260" i="14"/>
  <c r="N252" i="18"/>
  <c r="AP256" i="14"/>
  <c r="N224" i="18"/>
  <c r="AP228" i="14"/>
  <c r="N220" i="18"/>
  <c r="G224" i="14"/>
  <c r="G220" i="18" s="1"/>
  <c r="N216" i="18"/>
  <c r="G220" i="14"/>
  <c r="G216" i="18" s="1"/>
  <c r="N212" i="18"/>
  <c r="G216" i="14"/>
  <c r="G212" i="18" s="1"/>
  <c r="N196" i="18"/>
  <c r="AP200" i="14"/>
  <c r="G200" i="14"/>
  <c r="G196" i="18" s="1"/>
  <c r="N188" i="18"/>
  <c r="G192" i="14"/>
  <c r="G188" i="18" s="1"/>
  <c r="N180" i="18"/>
  <c r="G184" i="14"/>
  <c r="G180" i="18" s="1"/>
  <c r="N176" i="18"/>
  <c r="AP180" i="14"/>
  <c r="G180" i="14"/>
  <c r="G176" i="18" s="1"/>
  <c r="N172" i="18"/>
  <c r="G176" i="14"/>
  <c r="G172" i="18" s="1"/>
  <c r="N164" i="18"/>
  <c r="AP168" i="14"/>
  <c r="N148" i="18"/>
  <c r="AP152" i="14"/>
  <c r="N136" i="18"/>
  <c r="AP140" i="14"/>
  <c r="N132" i="18"/>
  <c r="G136" i="14"/>
  <c r="G132" i="18" s="1"/>
  <c r="N128" i="18"/>
  <c r="G132" i="14"/>
  <c r="G128" i="18" s="1"/>
  <c r="N120" i="18"/>
  <c r="G124" i="14"/>
  <c r="G120" i="18" s="1"/>
  <c r="N56" i="18"/>
  <c r="G60" i="14"/>
  <c r="G56" i="18" s="1"/>
  <c r="N28" i="18"/>
  <c r="AP32" i="14"/>
  <c r="G868" i="14"/>
  <c r="G864" i="18" s="1"/>
  <c r="G624" i="14"/>
  <c r="G620" i="18" s="1"/>
  <c r="AP316" i="14"/>
  <c r="G1100" i="14"/>
  <c r="G1096" i="18" s="1"/>
  <c r="AP92" i="14"/>
  <c r="G116" i="14"/>
  <c r="G112" i="18" s="1"/>
  <c r="AP616" i="14"/>
  <c r="G28" i="14"/>
  <c r="G24" i="18" s="1"/>
  <c r="AP144" i="14"/>
  <c r="AP1016" i="14"/>
  <c r="G16" i="14"/>
  <c r="G12" i="18" s="1"/>
  <c r="G1020" i="14"/>
  <c r="G1016" i="18" s="1"/>
  <c r="G8" i="14"/>
  <c r="G4" i="18" s="1"/>
  <c r="AP68" i="14"/>
  <c r="AP96" i="14"/>
  <c r="AP932" i="14"/>
  <c r="G1064" i="14"/>
  <c r="G1060" i="18" s="1"/>
  <c r="AP52" i="14"/>
  <c r="G64" i="14"/>
  <c r="G60" i="18" s="1"/>
  <c r="AP76" i="14"/>
  <c r="G912" i="14"/>
  <c r="G908" i="18" s="1"/>
  <c r="G952" i="14"/>
  <c r="G948" i="18" s="1"/>
  <c r="AP996" i="14"/>
  <c r="G1044" i="14"/>
  <c r="G1040" i="18" s="1"/>
  <c r="G260" i="14"/>
  <c r="G256" i="18" s="1"/>
  <c r="AP668" i="14"/>
  <c r="G168" i="14"/>
  <c r="G164" i="18" s="1"/>
  <c r="G300" i="14"/>
  <c r="G296" i="18" s="1"/>
  <c r="AP972" i="14"/>
  <c r="AP124" i="14"/>
  <c r="AP88" i="14"/>
  <c r="G968" i="14"/>
  <c r="G964" i="18" s="1"/>
  <c r="G924" i="14"/>
  <c r="G920" i="18" s="1"/>
  <c r="G780" i="14"/>
  <c r="G776" i="18" s="1"/>
  <c r="G548" i="14"/>
  <c r="G544" i="18" s="1"/>
  <c r="G196" i="14"/>
  <c r="G192" i="18" s="1"/>
  <c r="AP632" i="14"/>
  <c r="G600" i="14"/>
  <c r="G596" i="18" s="1"/>
  <c r="AP820" i="14"/>
  <c r="G544" i="14"/>
  <c r="G540" i="18" s="1"/>
  <c r="G884" i="14"/>
  <c r="G880" i="18" s="1"/>
  <c r="AP352" i="14"/>
  <c r="AP792" i="14"/>
  <c r="G704" i="14"/>
  <c r="G700" i="18" s="1"/>
  <c r="AP148" i="14"/>
  <c r="G816" i="14"/>
  <c r="G812" i="18" s="1"/>
  <c r="G1068" i="14"/>
  <c r="G1064" i="18" s="1"/>
  <c r="AP496" i="14"/>
  <c r="AP456" i="14"/>
  <c r="AP452" i="14"/>
  <c r="G444" i="14"/>
  <c r="G440" i="18" s="1"/>
  <c r="AP896" i="14"/>
  <c r="AP880" i="14"/>
  <c r="G828" i="14"/>
  <c r="G824" i="18" s="1"/>
  <c r="AP720" i="14"/>
  <c r="AP584" i="14"/>
  <c r="AP580" i="14"/>
  <c r="AP564" i="14"/>
  <c r="G556" i="14"/>
  <c r="G552" i="18" s="1"/>
  <c r="G380" i="14"/>
  <c r="G376" i="18" s="1"/>
  <c r="AP348" i="14"/>
  <c r="AP308" i="14"/>
  <c r="AP268" i="14"/>
  <c r="G152" i="14"/>
  <c r="G148" i="18" s="1"/>
  <c r="G760" i="14"/>
  <c r="G756" i="18" s="1"/>
  <c r="AP728" i="14"/>
  <c r="AP220" i="14"/>
  <c r="AP520" i="14"/>
  <c r="G248" i="14"/>
  <c r="G244" i="18" s="1"/>
  <c r="G264" i="14"/>
  <c r="G260" i="18" s="1"/>
  <c r="AP540" i="14"/>
  <c r="G504" i="14"/>
  <c r="G500" i="18" s="1"/>
  <c r="G188" i="14"/>
  <c r="G184" i="18" s="1"/>
  <c r="G36" i="14"/>
  <c r="G32" i="18" s="1"/>
  <c r="G104" i="14"/>
  <c r="G100" i="18" s="1"/>
  <c r="G1092" i="14"/>
  <c r="G1088" i="18" s="1"/>
  <c r="AP132" i="14"/>
  <c r="AP212" i="14"/>
  <c r="G56" i="14"/>
  <c r="G52" i="18" s="1"/>
  <c r="G20" i="14"/>
  <c r="G16" i="18" s="1"/>
  <c r="G404" i="14"/>
  <c r="G400" i="18" s="1"/>
  <c r="G472" i="14"/>
  <c r="G468" i="18" s="1"/>
  <c r="G412" i="14"/>
  <c r="G408" i="18" s="1"/>
  <c r="AP608" i="14"/>
  <c r="AP992" i="14"/>
  <c r="G1048" i="14"/>
  <c r="G1044" i="18" s="1"/>
  <c r="G984" i="14"/>
  <c r="G980" i="18" s="1"/>
  <c r="G960" i="14"/>
  <c r="G956" i="18" s="1"/>
  <c r="G88" i="14"/>
  <c r="G84" i="18" s="1"/>
  <c r="AP1092" i="14"/>
  <c r="AP1088" i="14"/>
  <c r="G1084" i="14"/>
  <c r="G1080" i="18" s="1"/>
  <c r="G1076" i="14"/>
  <c r="G1072" i="18" s="1"/>
  <c r="G172" i="14"/>
  <c r="G168" i="18" s="1"/>
  <c r="G208" i="14"/>
  <c r="G204" i="18" s="1"/>
  <c r="AP264" i="14"/>
  <c r="AP280" i="14"/>
  <c r="AP304" i="14"/>
  <c r="G352" i="14"/>
  <c r="G348" i="18" s="1"/>
  <c r="AP364" i="14"/>
  <c r="AP392" i="14"/>
  <c r="G520" i="14"/>
  <c r="G516" i="18" s="1"/>
  <c r="G560" i="14"/>
  <c r="G556" i="18" s="1"/>
  <c r="AP752" i="14"/>
  <c r="AP856" i="14"/>
  <c r="G460" i="14"/>
  <c r="G456" i="18" s="1"/>
  <c r="AP472" i="14"/>
  <c r="AP480" i="14"/>
  <c r="L1173" i="14"/>
  <c r="L1171" i="14"/>
  <c r="L1169" i="14"/>
  <c r="L1167" i="14"/>
  <c r="L1165" i="14"/>
  <c r="L1163" i="14"/>
  <c r="L1161" i="14"/>
  <c r="L1159" i="14"/>
  <c r="L1157" i="14"/>
  <c r="L1155" i="14"/>
  <c r="L1153" i="14"/>
  <c r="L1151" i="14"/>
  <c r="L1149" i="14"/>
  <c r="L1147" i="14"/>
  <c r="L1145" i="14"/>
  <c r="L1143" i="14"/>
  <c r="L1141" i="14"/>
  <c r="L1139" i="14"/>
  <c r="L1137" i="14"/>
  <c r="L1135" i="14"/>
  <c r="L1133" i="14"/>
  <c r="L1131" i="14"/>
  <c r="L1129" i="14"/>
  <c r="L1127" i="14"/>
  <c r="L1125" i="14"/>
  <c r="L1123" i="14"/>
  <c r="L1121" i="14"/>
  <c r="L1119" i="14"/>
  <c r="L1117" i="14"/>
  <c r="L1115" i="14"/>
  <c r="L1113" i="14"/>
  <c r="L1111" i="14"/>
  <c r="L1107" i="18" s="1"/>
  <c r="L1172" i="14"/>
  <c r="L1170" i="14"/>
  <c r="L1168" i="14"/>
  <c r="L1166" i="14"/>
  <c r="L1164" i="14"/>
  <c r="L1162" i="14"/>
  <c r="L1160" i="14"/>
  <c r="L1158" i="14"/>
  <c r="L1156" i="14"/>
  <c r="L1154" i="14"/>
  <c r="L1152" i="14"/>
  <c r="L1150" i="14"/>
  <c r="L1148" i="14"/>
  <c r="L1146" i="14"/>
  <c r="L1144" i="14"/>
  <c r="L1142" i="14"/>
  <c r="L1140" i="14"/>
  <c r="L1138" i="14"/>
  <c r="L1136" i="14"/>
  <c r="L1134" i="14"/>
  <c r="L1132" i="14"/>
  <c r="L1130" i="14"/>
  <c r="L1128" i="14"/>
  <c r="L1126" i="14"/>
  <c r="L1124" i="14"/>
  <c r="L1122" i="14"/>
  <c r="L1120" i="14"/>
  <c r="L1118" i="14"/>
  <c r="L1116" i="14"/>
  <c r="L1114" i="14"/>
  <c r="L1112" i="14"/>
</calcChain>
</file>

<file path=xl/comments1.xml><?xml version="1.0" encoding="utf-8"?>
<comments xmlns="http://schemas.openxmlformats.org/spreadsheetml/2006/main">
  <authors>
    <author>김 도훈</author>
    <author>zugul</author>
  </authors>
  <commentList>
    <comment ref="AG1" authorId="0">
      <text>
        <r>
          <rPr>
            <b/>
            <sz val="9"/>
            <color indexed="81"/>
            <rFont val="돋움"/>
            <family val="3"/>
            <charset val="129"/>
          </rPr>
          <t>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도훈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대분류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소분류로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분리하여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개선하야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함
</t>
        </r>
      </text>
    </comment>
    <comment ref="F2" authorId="1">
      <text>
        <r>
          <rPr>
            <b/>
            <sz val="9"/>
            <color indexed="81"/>
            <rFont val="굴림"/>
            <family val="3"/>
            <charset val="129"/>
          </rPr>
          <t>zugul:</t>
        </r>
        <r>
          <rPr>
            <sz val="9"/>
            <color indexed="81"/>
            <rFont val="굴림"/>
            <family val="3"/>
            <charset val="129"/>
          </rPr>
          <t xml:space="preserve">
0을 제외한 인덱스에서 동일한 인덱스를 가진 마법 옵션은 자동 생성시에 동시에 붙지 않도록 한다.</t>
        </r>
      </text>
    </comment>
  </commentList>
</comments>
</file>

<file path=xl/comments2.xml><?xml version="1.0" encoding="utf-8"?>
<comments xmlns="http://schemas.openxmlformats.org/spreadsheetml/2006/main">
  <authors>
    <author>김 동현</author>
  </authors>
  <commentList>
    <comment ref="B11" authorId="0">
      <text>
        <r>
          <rPr>
            <b/>
            <sz val="9"/>
            <color indexed="81"/>
            <rFont val="돋움"/>
            <family val="3"/>
            <charset val="129"/>
          </rPr>
          <t>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동현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byte </t>
        </r>
        <r>
          <rPr>
            <sz val="9"/>
            <color indexed="81"/>
            <rFont val="돋움"/>
            <family val="3"/>
            <charset val="129"/>
          </rPr>
          <t>이므로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앞에
</t>
        </r>
        <r>
          <rPr>
            <sz val="9"/>
            <color indexed="81"/>
            <rFont val="Tahoma"/>
            <family val="2"/>
          </rPr>
          <t xml:space="preserve">b </t>
        </r>
        <r>
          <rPr>
            <sz val="9"/>
            <color indexed="81"/>
            <rFont val="돋움"/>
            <family val="3"/>
            <charset val="129"/>
          </rPr>
          <t>말고</t>
        </r>
        <r>
          <rPr>
            <sz val="9"/>
            <color indexed="81"/>
            <rFont val="Tahoma"/>
            <family val="2"/>
          </rPr>
          <t xml:space="preserve"> by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부이자</t>
        </r>
      </text>
    </comment>
  </commentList>
</comments>
</file>

<file path=xl/sharedStrings.xml><?xml version="1.0" encoding="utf-8"?>
<sst xmlns="http://schemas.openxmlformats.org/spreadsheetml/2006/main" count="2446" uniqueCount="834">
  <si>
    <t>Tblidx</t>
    <phoneticPr fontId="5" type="noConversion"/>
  </si>
  <si>
    <t>상대의 크리티컬 공격 %d%% 확률로 저지</t>
    <phoneticPr fontId="5" type="noConversion"/>
  </si>
  <si>
    <t>혼란</t>
  </si>
  <si>
    <t>공포</t>
  </si>
  <si>
    <t>기절</t>
  </si>
  <si>
    <t>수면</t>
  </si>
  <si>
    <t>마비</t>
  </si>
  <si>
    <t>동시 착용 수</t>
    <phoneticPr fontId="5" type="noConversion"/>
  </si>
  <si>
    <t>bRvType</t>
    <phoneticPr fontId="5" type="noConversion"/>
  </si>
  <si>
    <t>bIsRare</t>
    <phoneticPr fontId="5" type="noConversion"/>
  </si>
  <si>
    <t>없음</t>
    <phoneticPr fontId="5" type="noConversion"/>
  </si>
  <si>
    <t>Invalid</t>
    <phoneticPr fontId="5" type="noConversion"/>
  </si>
  <si>
    <t>None</t>
    <phoneticPr fontId="5" type="noConversion"/>
  </si>
  <si>
    <t>Name</t>
    <phoneticPr fontId="5" type="noConversion"/>
  </si>
  <si>
    <t>Size</t>
    <phoneticPr fontId="5" type="noConversion"/>
  </si>
  <si>
    <t>Mini Tblidx</t>
    <phoneticPr fontId="5" type="noConversion"/>
  </si>
  <si>
    <t>Cell</t>
    <phoneticPr fontId="5" type="noConversion"/>
  </si>
  <si>
    <t>Client</t>
    <phoneticPr fontId="5" type="noConversion"/>
  </si>
  <si>
    <t>Server</t>
    <phoneticPr fontId="5" type="noConversion"/>
  </si>
  <si>
    <t>A</t>
    <phoneticPr fontId="5" type="noConversion"/>
  </si>
  <si>
    <t>O</t>
    <phoneticPr fontId="5" type="noConversion"/>
  </si>
  <si>
    <t>B</t>
    <phoneticPr fontId="5" type="noConversion"/>
  </si>
  <si>
    <t>C</t>
    <phoneticPr fontId="5" type="noConversion"/>
  </si>
  <si>
    <t>D</t>
    <phoneticPr fontId="5" type="noConversion"/>
  </si>
  <si>
    <t>E</t>
    <phoneticPr fontId="5" type="noConversion"/>
  </si>
  <si>
    <t>F</t>
    <phoneticPr fontId="5" type="noConversion"/>
  </si>
  <si>
    <t>G</t>
    <phoneticPr fontId="5" type="noConversion"/>
  </si>
  <si>
    <t>H</t>
    <phoneticPr fontId="5" type="noConversion"/>
  </si>
  <si>
    <t>I</t>
    <phoneticPr fontId="5" type="noConversion"/>
  </si>
  <si>
    <t>J</t>
    <phoneticPr fontId="5" type="noConversion"/>
  </si>
  <si>
    <t>K</t>
    <phoneticPr fontId="5" type="noConversion"/>
  </si>
  <si>
    <t>일련번호</t>
    <phoneticPr fontId="5" type="noConversion"/>
  </si>
  <si>
    <t>부여 마법 이름</t>
    <phoneticPr fontId="5" type="noConversion"/>
  </si>
  <si>
    <t>System Effect Idx</t>
    <phoneticPr fontId="5" type="noConversion"/>
  </si>
  <si>
    <t>적용 최대치</t>
    <phoneticPr fontId="5" type="noConversion"/>
  </si>
  <si>
    <t>배타적 마법 구분</t>
    <phoneticPr fontId="5" type="noConversion"/>
  </si>
  <si>
    <t>bRvType</t>
    <phoneticPr fontId="5" type="noConversion"/>
  </si>
  <si>
    <t>wMaxValue</t>
    <phoneticPr fontId="5" type="noConversion"/>
  </si>
  <si>
    <t>bMinLevel</t>
    <phoneticPr fontId="5" type="noConversion"/>
  </si>
  <si>
    <t>bExclIndex</t>
    <phoneticPr fontId="5" type="noConversion"/>
  </si>
  <si>
    <t>힘</t>
    <phoneticPr fontId="5" type="noConversion"/>
  </si>
  <si>
    <t>민첩</t>
    <phoneticPr fontId="5" type="noConversion"/>
  </si>
  <si>
    <t>기합</t>
    <phoneticPr fontId="5" type="noConversion"/>
  </si>
  <si>
    <t>기운</t>
    <phoneticPr fontId="5" type="noConversion"/>
  </si>
  <si>
    <t>타격 공격력</t>
  </si>
  <si>
    <t>LP</t>
  </si>
  <si>
    <t>LP 회복율</t>
  </si>
  <si>
    <t>앉기 LP 회복율</t>
  </si>
  <si>
    <t>명중률</t>
    <phoneticPr fontId="5" type="noConversion"/>
  </si>
  <si>
    <t>상태이상 성공률</t>
    <phoneticPr fontId="5" type="noConversion"/>
  </si>
  <si>
    <t>기공 공격력</t>
  </si>
  <si>
    <t>상태이상 저항</t>
    <phoneticPr fontId="5" type="noConversion"/>
  </si>
  <si>
    <t>EP</t>
  </si>
  <si>
    <t>EP 회복율</t>
  </si>
  <si>
    <t>앉기 EP 회복율</t>
  </si>
  <si>
    <t>RP 재생속도</t>
  </si>
  <si>
    <t>타격 크리티컬 확률</t>
  </si>
  <si>
    <t>기공 크리티컬 확률</t>
  </si>
  <si>
    <t>마비 저항력 %d 강화</t>
  </si>
  <si>
    <t>공포 저항력 %d 강화</t>
  </si>
  <si>
    <t>혼란 저항력 %d 강화</t>
  </si>
  <si>
    <t>석화 저항력 %d 강화</t>
  </si>
  <si>
    <t>캔디 저항력 %d 강화</t>
  </si>
  <si>
    <t>마비 지속 시간 %d 감소</t>
  </si>
  <si>
    <t>공포 지속 시간 %d 감소</t>
  </si>
  <si>
    <t>혼란 지속 시간 %d 감소</t>
  </si>
  <si>
    <t>석화 지속 시간 %d 감소</t>
  </si>
  <si>
    <t>캔디 지속 시간 %d 감소</t>
  </si>
  <si>
    <t>출혈 지속 시간 %d 감소</t>
  </si>
  <si>
    <t>독 지속 시간 %d 감소</t>
  </si>
  <si>
    <t>복통 지속 시간 %d 감소</t>
  </si>
  <si>
    <t>속성 능력 %d 상승</t>
  </si>
  <si>
    <t>타격 대미지 %d 반사</t>
  </si>
  <si>
    <t>Set 효과</t>
    <phoneticPr fontId="5" type="noConversion"/>
  </si>
  <si>
    <t>bIsSuperior</t>
    <phoneticPr fontId="5" type="noConversion"/>
  </si>
  <si>
    <t>bIsExcellent</t>
    <phoneticPr fontId="5" type="noConversion"/>
  </si>
  <si>
    <t>bIsLegendary</t>
    <phoneticPr fontId="5" type="noConversion"/>
  </si>
  <si>
    <t>dw_SE_Idx</t>
    <phoneticPr fontId="5" type="noConversion"/>
  </si>
  <si>
    <t>성능 계산 기준 레벨</t>
    <phoneticPr fontId="5" type="noConversion"/>
  </si>
  <si>
    <t>기공 데미지 %d 반사</t>
    <phoneticPr fontId="5" type="noConversion"/>
  </si>
  <si>
    <t>타격 크리티컬 데미지 %d%% 상승</t>
    <phoneticPr fontId="5" type="noConversion"/>
  </si>
  <si>
    <t>기공 크리티컬 데미지 %d%% 상승</t>
    <phoneticPr fontId="5" type="noConversion"/>
  </si>
  <si>
    <t>근성</t>
  </si>
  <si>
    <t>집중</t>
  </si>
  <si>
    <t>스카우터칩</t>
    <phoneticPr fontId="5" type="noConversion"/>
  </si>
  <si>
    <t>Dwindex</t>
    <phoneticPr fontId="5" type="noConversion"/>
  </si>
  <si>
    <t>dw_SE_idx</t>
    <phoneticPr fontId="5" type="noConversion"/>
  </si>
  <si>
    <t>bMinLevel</t>
    <phoneticPr fontId="5" type="noConversion"/>
  </si>
  <si>
    <t>wMaxvalue</t>
    <phoneticPr fontId="5" type="noConversion"/>
  </si>
  <si>
    <t>blsSuperior</t>
    <phoneticPr fontId="5" type="noConversion"/>
  </si>
  <si>
    <t>blsExcellent</t>
    <phoneticPr fontId="5" type="noConversion"/>
  </si>
  <si>
    <t>blsRare</t>
    <phoneticPr fontId="5" type="noConversion"/>
  </si>
  <si>
    <t>blsLegendary</t>
    <phoneticPr fontId="5" type="noConversion"/>
  </si>
  <si>
    <t>Enchant_Data</t>
    <phoneticPr fontId="5" type="noConversion"/>
  </si>
  <si>
    <t>참조할 System_data의 tblidx를 정의한다.</t>
    <phoneticPr fontId="5" type="noConversion"/>
  </si>
  <si>
    <t>No.</t>
    <phoneticPr fontId="5" type="noConversion"/>
  </si>
  <si>
    <t>List</t>
    <phoneticPr fontId="5" type="noConversion"/>
  </si>
  <si>
    <t>보정없음</t>
    <phoneticPr fontId="5" type="noConversion"/>
  </si>
  <si>
    <t>타격 공격력 보정</t>
    <phoneticPr fontId="5" type="noConversion"/>
  </si>
  <si>
    <t>기공 공격력 보정</t>
    <phoneticPr fontId="5" type="noConversion"/>
  </si>
  <si>
    <t>성능 비율 보정</t>
    <phoneticPr fontId="5" type="noConversion"/>
  </si>
  <si>
    <t>각 타입에 따른 보정 비율 적용</t>
    <phoneticPr fontId="5" type="noConversion"/>
  </si>
  <si>
    <t>배타적 마법 구분 : 같은 값이면 Group이 되어서 한개의 아이템에 같은 Group의 옵션이 붙지 않는다.</t>
    <phoneticPr fontId="5" type="noConversion"/>
  </si>
  <si>
    <t>Byte</t>
    <phoneticPr fontId="5" type="noConversion"/>
  </si>
  <si>
    <t>옵션이 적용 가능한 아이템의 최저 레벨</t>
    <phoneticPr fontId="5" type="noConversion"/>
  </si>
  <si>
    <t>bool</t>
    <phoneticPr fontId="5" type="noConversion"/>
  </si>
  <si>
    <t>word</t>
    <phoneticPr fontId="5" type="noConversion"/>
  </si>
  <si>
    <t>Tblidx</t>
    <phoneticPr fontId="5" type="noConversion"/>
  </si>
  <si>
    <t>타격 방어 성능 비율 보정</t>
    <phoneticPr fontId="5" type="noConversion"/>
  </si>
  <si>
    <t>기공 방어 성능 비율 보정</t>
    <phoneticPr fontId="5" type="noConversion"/>
  </si>
  <si>
    <t>bSeType</t>
    <phoneticPr fontId="5" type="noConversion"/>
  </si>
  <si>
    <t>Bool</t>
    <phoneticPr fontId="5" type="noConversion"/>
  </si>
  <si>
    <t>L</t>
    <phoneticPr fontId="5" type="noConversion"/>
  </si>
  <si>
    <t>dw_SE_idx의 값이 0 =&gt; 정수, 1 =&gt; 퍼센트로 구분한다.</t>
    <phoneticPr fontId="5" type="noConversion"/>
  </si>
  <si>
    <t>타격 방어력(상의)</t>
    <phoneticPr fontId="5" type="noConversion"/>
  </si>
  <si>
    <t>타격 방어력(하의)</t>
    <phoneticPr fontId="5" type="noConversion"/>
  </si>
  <si>
    <t>타격 방어력(신발)</t>
    <phoneticPr fontId="5" type="noConversion"/>
  </si>
  <si>
    <t>기공 방어력(상의)</t>
    <phoneticPr fontId="5" type="noConversion"/>
  </si>
  <si>
    <t>기공 방어력(하의)</t>
    <phoneticPr fontId="5" type="noConversion"/>
  </si>
  <si>
    <t>타격 방어력(세트)</t>
    <phoneticPr fontId="5" type="noConversion"/>
  </si>
  <si>
    <t>기공 방어력(세트)</t>
    <phoneticPr fontId="5" type="noConversion"/>
  </si>
  <si>
    <t>회피율(상의)</t>
    <phoneticPr fontId="5" type="noConversion"/>
  </si>
  <si>
    <t>회피율(하의)</t>
    <phoneticPr fontId="5" type="noConversion"/>
  </si>
  <si>
    <t>회피율(신발)</t>
    <phoneticPr fontId="5" type="noConversion"/>
  </si>
  <si>
    <t>방어율(상의)</t>
    <phoneticPr fontId="5" type="noConversion"/>
  </si>
  <si>
    <t>방어율(하의)</t>
    <phoneticPr fontId="5" type="noConversion"/>
  </si>
  <si>
    <t>방어율(신발)</t>
    <phoneticPr fontId="5" type="noConversion"/>
  </si>
  <si>
    <t>가드 발동시 일반 스킬 무력화 확률(상의)</t>
    <phoneticPr fontId="5" type="noConversion"/>
  </si>
  <si>
    <t>가드 발동시 일반 스킬 무력화 확률(하의)</t>
    <phoneticPr fontId="5" type="noConversion"/>
  </si>
  <si>
    <t>가드 발동시 일반 스킬 무력화 확률(신발)</t>
    <phoneticPr fontId="5" type="noConversion"/>
  </si>
  <si>
    <t>가드 발동시 상태 이상 무력화 확률(상의)</t>
    <phoneticPr fontId="5" type="noConversion"/>
  </si>
  <si>
    <t>가드 발동시 상태 이상 무력화 확률(하의)</t>
    <phoneticPr fontId="5" type="noConversion"/>
  </si>
  <si>
    <t>가드 발동시 상태 이상 무력화 확률(신발)</t>
    <phoneticPr fontId="5" type="noConversion"/>
  </si>
  <si>
    <t>가드 발동시 다운 무력화 확률(상의)</t>
    <phoneticPr fontId="5" type="noConversion"/>
  </si>
  <si>
    <t>가드 발동시 다운 무력화 확률(하의)</t>
    <phoneticPr fontId="5" type="noConversion"/>
  </si>
  <si>
    <t>가드 발동시 다운 무력화 확률(신발)</t>
    <phoneticPr fontId="5" type="noConversion"/>
  </si>
  <si>
    <t>가드 발동시 HTB 무력화 확률(상의)</t>
    <phoneticPr fontId="5" type="noConversion"/>
  </si>
  <si>
    <t>가드 발동시 HTB 무력화 확률(하의)</t>
    <phoneticPr fontId="5" type="noConversion"/>
  </si>
  <si>
    <t>가드 발동시 HTB 무력화 확률(신발)</t>
    <phoneticPr fontId="5" type="noConversion"/>
  </si>
  <si>
    <t>순수 속성방어(상의)</t>
    <phoneticPr fontId="5" type="noConversion"/>
  </si>
  <si>
    <t>기이 속성방어(상의)</t>
    <phoneticPr fontId="5" type="noConversion"/>
  </si>
  <si>
    <t>용맹 속성방어(상의)</t>
    <phoneticPr fontId="5" type="noConversion"/>
  </si>
  <si>
    <t>고상 속성방어(상의)</t>
    <phoneticPr fontId="5" type="noConversion"/>
  </si>
  <si>
    <t>유쾌 속성방어(상의)</t>
    <phoneticPr fontId="5" type="noConversion"/>
  </si>
  <si>
    <t>순수 속성방어(하의)</t>
    <phoneticPr fontId="5" type="noConversion"/>
  </si>
  <si>
    <t>기이 속성방어(하의)</t>
    <phoneticPr fontId="5" type="noConversion"/>
  </si>
  <si>
    <t>용맹 속성방어(하의)</t>
    <phoneticPr fontId="5" type="noConversion"/>
  </si>
  <si>
    <t>고상 속성방어(하의)</t>
    <phoneticPr fontId="5" type="noConversion"/>
  </si>
  <si>
    <t>유쾌 속성방어(하의)</t>
    <phoneticPr fontId="5" type="noConversion"/>
  </si>
  <si>
    <t>순수 속성방어(신발)</t>
    <phoneticPr fontId="5" type="noConversion"/>
  </si>
  <si>
    <t>기이 속성방어(신발)</t>
    <phoneticPr fontId="5" type="noConversion"/>
  </si>
  <si>
    <t>용맹 속성방어(신발)</t>
    <phoneticPr fontId="5" type="noConversion"/>
  </si>
  <si>
    <t>고상 속성방어(신발)</t>
    <phoneticPr fontId="5" type="noConversion"/>
  </si>
  <si>
    <t>유쾌 속성방어(신발)</t>
    <phoneticPr fontId="5" type="noConversion"/>
  </si>
  <si>
    <t>데미지 %d 무효화(상의)</t>
    <phoneticPr fontId="5" type="noConversion"/>
  </si>
  <si>
    <t>데미지 %d 무효화(하의)</t>
    <phoneticPr fontId="5" type="noConversion"/>
  </si>
  <si>
    <t>데미지 %d 무효화(신발)</t>
    <phoneticPr fontId="5" type="noConversion"/>
  </si>
  <si>
    <t>순수 속성공격</t>
    <phoneticPr fontId="5" type="noConversion"/>
  </si>
  <si>
    <t>기이 속성공격</t>
  </si>
  <si>
    <t>용맹 속성공격</t>
  </si>
  <si>
    <t>고상 속성공격</t>
  </si>
  <si>
    <t>유쾌 속성공격</t>
  </si>
  <si>
    <t>byKind</t>
  </si>
  <si>
    <t>byGroupNo</t>
  </si>
  <si>
    <t>도발</t>
  </si>
  <si>
    <t>석화</t>
  </si>
  <si>
    <t>캔디</t>
  </si>
  <si>
    <t>기를 모을 수 없는 상태로 만든다</t>
  </si>
  <si>
    <t>2초마다 만큼 LP 흡수</t>
  </si>
  <si>
    <t>2초마다 만큼 EP 흡수</t>
  </si>
  <si>
    <t>Enchant data의 일련번호</t>
    <phoneticPr fontId="5" type="noConversion"/>
  </si>
  <si>
    <t>byGroupNo</t>
    <phoneticPr fontId="5" type="noConversion"/>
  </si>
  <si>
    <t>byGroupNo</t>
    <phoneticPr fontId="5" type="noConversion"/>
  </si>
  <si>
    <t>byKind</t>
    <phoneticPr fontId="5" type="noConversion"/>
  </si>
  <si>
    <t>Byte</t>
    <phoneticPr fontId="5" type="noConversion"/>
  </si>
  <si>
    <t>동일 dwKind 내에서 Group으로 묶어주는 번호 (0 이상의 정수)</t>
    <phoneticPr fontId="5" type="noConversion"/>
  </si>
  <si>
    <t>레벨 100을 기준으로 해당 옵션의 최대 적용 받을 수 있는 수치</t>
    <phoneticPr fontId="5" type="noConversion"/>
  </si>
  <si>
    <t>상급 옵션 적용 가능 여부 (1: 옵션 적용 가능, 0: 옵션 적용 불가능)</t>
    <phoneticPr fontId="5" type="noConversion"/>
  </si>
  <si>
    <t>특급 옵션 적용 가능 여부 (1: 옵션 적용 가능, 0: 옵션 적용 불가능)</t>
  </si>
  <si>
    <t>희귀 옵션 적용 가능 여부 (1: 옵션 적용 가능, 0: 옵션 적용 불가능)</t>
    <phoneticPr fontId="5" type="noConversion"/>
  </si>
  <si>
    <t>전설 옵션 적용 가능 여부 (1: 옵션 적용 가능, 0: 옵션 적용 불가능)</t>
    <phoneticPr fontId="5" type="noConversion"/>
  </si>
  <si>
    <t>Name</t>
  </si>
  <si>
    <t>Size</t>
  </si>
  <si>
    <t>Mini Tblidx</t>
  </si>
  <si>
    <t>Cell</t>
  </si>
  <si>
    <t>Client</t>
  </si>
  <si>
    <t>Server</t>
  </si>
  <si>
    <t>Invalid</t>
  </si>
  <si>
    <t>Description</t>
  </si>
  <si>
    <t>Dwindex</t>
  </si>
  <si>
    <t>Dword</t>
  </si>
  <si>
    <t>Enchant Data의 일련번호</t>
  </si>
  <si>
    <t>String(40)</t>
  </si>
  <si>
    <t>이름</t>
  </si>
  <si>
    <t>dw_SE_idx</t>
  </si>
  <si>
    <t>참조할 System_data의 tblidx를 정의한다.</t>
  </si>
  <si>
    <t>bSeType</t>
  </si>
  <si>
    <t>Bool</t>
  </si>
  <si>
    <t>dw_SE_idx의 값이 0 =&gt; 정수, 1 =&gt; 퍼센트로 구분한다.</t>
  </si>
  <si>
    <t>bRvType</t>
  </si>
  <si>
    <t>Byte</t>
  </si>
  <si>
    <t>더 이상 사용하지 않음</t>
  </si>
  <si>
    <t>bExclIndex</t>
  </si>
  <si>
    <t>배타적 마법 구분 : 같은 값이면 Group이 되어서 한개의 아이템에 같은 Group의 옵션이 붙지 않는다.</t>
  </si>
  <si>
    <t>bMinLevel</t>
  </si>
  <si>
    <t>옵션이 적용 가능한 아이템의 최저 레벨</t>
  </si>
  <si>
    <t>bMaxLevel</t>
  </si>
  <si>
    <t>옵션이 적용 가능한 아이템의 최고 레벨</t>
  </si>
  <si>
    <t>Frequency</t>
  </si>
  <si>
    <t>같은 그룹 내에서 얼마나 높은 확률로 옵션을 선택할 것인가</t>
  </si>
  <si>
    <t>Enchant_Value</t>
  </si>
  <si>
    <t>해당 시스템이펙트가 갖는 가중치 값</t>
  </si>
  <si>
    <t>wMaxvalue</t>
  </si>
  <si>
    <t>word</t>
  </si>
  <si>
    <t>blsSuperior</t>
  </si>
  <si>
    <t>bool</t>
  </si>
  <si>
    <t>상급 옵션 적용 가능 여부 (1: 옵션 적용 가능, 0: 옵션 적용 불가능)</t>
  </si>
  <si>
    <t>blsExcellent</t>
  </si>
  <si>
    <t>blsRare</t>
  </si>
  <si>
    <t>희귀 옵션 적용 가능 여부 (1: 옵션 적용 가능, 0: 옵션 적용 불가능)</t>
  </si>
  <si>
    <t>blsLegendary</t>
  </si>
  <si>
    <t>전설 옵션 적용 가능 여부 (1: 옵션 적용 가능, 0: 옵션 적용 불가능)</t>
  </si>
  <si>
    <t>Item의 Type (Table_Item_Data의 Item Type 값 사용)</t>
    <phoneticPr fontId="5" type="noConversion"/>
  </si>
  <si>
    <t>사용할 수 있는 아이템 종류 설정 (비트 플래그 이용하여 복수 지정이 가능하도록 한다.)</t>
    <phoneticPr fontId="5" type="noConversion"/>
  </si>
  <si>
    <t>bMaxLevel</t>
    <phoneticPr fontId="5" type="noConversion"/>
  </si>
  <si>
    <t>출현 빈도</t>
    <phoneticPr fontId="5" type="noConversion"/>
  </si>
  <si>
    <t>Frequency</t>
    <phoneticPr fontId="5" type="noConversion"/>
  </si>
  <si>
    <t>Enchant_Value</t>
    <phoneticPr fontId="5" type="noConversion"/>
  </si>
  <si>
    <t>적용 가능 장비</t>
    <phoneticPr fontId="5" type="noConversion"/>
  </si>
  <si>
    <t>가중치</t>
  </si>
  <si>
    <t xml:space="preserve">데미지 </t>
  </si>
  <si>
    <t>데미지 (후방 공격시 크리티컬 피해)</t>
  </si>
  <si>
    <t>데미지 (자동 후방 공격)</t>
  </si>
  <si>
    <t>데미지 (적 관통)</t>
  </si>
  <si>
    <t>데미지 (크리티컬 공격 성공 시 추가 크리티컬 피해)</t>
  </si>
  <si>
    <t xml:space="preserve">2초마다 출혈 데미지 </t>
  </si>
  <si>
    <t xml:space="preserve">2초마다 독 데미지 </t>
  </si>
  <si>
    <t xml:space="preserve">2초마다 복통 데미지 </t>
  </si>
  <si>
    <t xml:space="preserve">2초마다 화상 데미지 </t>
  </si>
  <si>
    <t>LP 회복</t>
  </si>
  <si>
    <t>EP 회복</t>
  </si>
  <si>
    <t>2초마다 LP 회복</t>
  </si>
  <si>
    <t>2초마다 EP 회복</t>
  </si>
  <si>
    <t>순간이동</t>
  </si>
  <si>
    <t>독 치료 ( 확률)</t>
  </si>
  <si>
    <t>복통 치료 ( 확률)</t>
  </si>
  <si>
    <t>마비 치료 ( 확률)</t>
  </si>
  <si>
    <t>마비를 제외한 저주를 제거 ( 확률)</t>
  </si>
  <si>
    <t>초사이어인화</t>
  </si>
  <si>
    <t>순수 마인화</t>
  </si>
  <si>
    <t>마신룡 소환.  스킬의 LV이 증가할수록 소환되는 마신룡의 LV도 증가합니다.</t>
  </si>
  <si>
    <t>RP 상승</t>
  </si>
  <si>
    <t>구원 후 LP 회복</t>
  </si>
  <si>
    <t>계왕권 공격력과 속력이 증가하지만 지속적으로 LP와 EP를 소모한다.</t>
  </si>
  <si>
    <t>거대화와 함께 캐릭터의 능력이 증가하게 된다</t>
  </si>
  <si>
    <t>출혈 치료 (확률)</t>
  </si>
  <si>
    <t>화상 치료 (확률)</t>
  </si>
  <si>
    <t>최대 LP 상승</t>
  </si>
  <si>
    <t>최대 EP 상승</t>
  </si>
  <si>
    <t>최대 RP 상승</t>
  </si>
  <si>
    <t>타격 공격력 상승</t>
  </si>
  <si>
    <t>기공 공격력 상승</t>
  </si>
  <si>
    <t>타격 방어력 상승</t>
  </si>
  <si>
    <t>기공 방어력 상승</t>
  </si>
  <si>
    <t>힘 상승</t>
  </si>
  <si>
    <t>근성 상승</t>
  </si>
  <si>
    <t>집중 상승</t>
  </si>
  <si>
    <t>민첩 상승</t>
  </si>
  <si>
    <t>기합 상승</t>
  </si>
  <si>
    <t>기운 상승</t>
  </si>
  <si>
    <t>이동속도 상승</t>
  </si>
  <si>
    <t>공격속도 상승</t>
  </si>
  <si>
    <t>명중률 상승</t>
  </si>
  <si>
    <t>회피율 상승</t>
  </si>
  <si>
    <t>방어율 상승</t>
  </si>
  <si>
    <t>순수 속성방어 % 상승</t>
  </si>
  <si>
    <t>기이 속성방어 % 상승</t>
  </si>
  <si>
    <t>용맹 속성방어 % 상승</t>
  </si>
  <si>
    <t>고상 속성방어 % 상승</t>
  </si>
  <si>
    <t>유쾌 속성방어 % 상승</t>
  </si>
  <si>
    <t>기공 데미지 반사</t>
  </si>
  <si>
    <t>LP 재생효과 상승</t>
  </si>
  <si>
    <t>EP 재생효과 상승</t>
  </si>
  <si>
    <t>RP 재생속도 상승</t>
  </si>
  <si>
    <t>상태이상 성공 상승</t>
  </si>
  <si>
    <t>상태이상 저항 상승</t>
  </si>
  <si>
    <t>타격 크리티컬 확률 상승</t>
  </si>
  <si>
    <t>기공 크리티컬 확률 상승</t>
  </si>
  <si>
    <t>스킬 준비 시간 % 감소</t>
  </si>
  <si>
    <t>스킬 재사용 시간 % 감소</t>
  </si>
  <si>
    <t>데미지 무효화</t>
  </si>
  <si>
    <t>마비 저항력 강화</t>
  </si>
  <si>
    <t>공포 저항력 강화</t>
  </si>
  <si>
    <t>혼란 저항력 강화</t>
  </si>
  <si>
    <t>석화 저항력 강화</t>
  </si>
  <si>
    <t>캔디 저항력 강화</t>
  </si>
  <si>
    <t>마비 지속 시간 감소</t>
  </si>
  <si>
    <t>공포 지속 시간 감소</t>
  </si>
  <si>
    <t>혼란 지속 시간 감소</t>
  </si>
  <si>
    <t>석화 지속 시간 감소</t>
  </si>
  <si>
    <t>캔디 지속 시간 감소</t>
  </si>
  <si>
    <t>출혈 지속 시간 감소</t>
  </si>
  <si>
    <t>독 지속 시간 감소</t>
  </si>
  <si>
    <t>복통 지속 시간 감소</t>
  </si>
  <si>
    <t>상대의 크리티컬 공격 % 확률로 저지</t>
  </si>
  <si>
    <t>가드 발동시 일반 스킬 무력화 확률 % 상승</t>
  </si>
  <si>
    <t>가드 발동시 상태 이상 무력화 확률 % 상승</t>
  </si>
  <si>
    <t>가드 발동시 다운 무력화 확률 % 상승</t>
  </si>
  <si>
    <t>가드 발동시 HTB 무력화 확률 % 상승</t>
  </si>
  <si>
    <t>앉아 있을 때 LP 회복량 증가</t>
  </si>
  <si>
    <t>앉아 있을 때 EP 회복량 증가</t>
  </si>
  <si>
    <t>타격 크리티컬 데미지 % 상승</t>
  </si>
  <si>
    <t>기공 크리티컬 데미지 % 상승</t>
  </si>
  <si>
    <t>기본 공격 거리 증가</t>
  </si>
  <si>
    <t>속성 공격 능력, 방어 능력 상승</t>
  </si>
  <si>
    <t>타격 데미지 반사</t>
  </si>
  <si>
    <t>상대로부터 데미지를 받을 때 만큼 LP를 회복한다.</t>
  </si>
  <si>
    <t>상대로부터 데미지를 받을 때 만큼 EP를 회복한다.</t>
  </si>
  <si>
    <t>순수 속성공격 % 증가</t>
  </si>
  <si>
    <t>기이 속성공격 % 증가</t>
  </si>
  <si>
    <t>용맹 속성공격 % 증가</t>
  </si>
  <si>
    <t>고상 속성공격 % 증가</t>
  </si>
  <si>
    <t>유쾌 속성공격 % 증가</t>
  </si>
  <si>
    <t>상대로부터 데미지를 받을 때 % 만큼 LP를 회복한다.</t>
  </si>
  <si>
    <t>상대로부터 데미지를 받을 때 % 만큼 EP를 회복한다.</t>
  </si>
  <si>
    <t>복통 방어력 증가</t>
  </si>
  <si>
    <t>독 방어력 증가</t>
  </si>
  <si>
    <t>출혈 방어력 증가</t>
  </si>
  <si>
    <t>화상 방어력 증가</t>
  </si>
  <si>
    <t>EP 감소</t>
  </si>
  <si>
    <t>RP 감소</t>
  </si>
  <si>
    <t>축복 확률로 제거</t>
  </si>
  <si>
    <t>대상에게 데미지를 주고 데미지의 만큼 LP를 회복한다.</t>
  </si>
  <si>
    <t>대상에게 데미지를 주고 데미지의 만큼 EP를 회복한다.</t>
  </si>
  <si>
    <t>최대 LP 감소</t>
  </si>
  <si>
    <t>최대 EP 감소</t>
  </si>
  <si>
    <t>최대 RP 감소</t>
  </si>
  <si>
    <t>타격 공격력 감소</t>
  </si>
  <si>
    <t>기공 공격력 감소</t>
  </si>
  <si>
    <t>타격 방어력 감소</t>
  </si>
  <si>
    <t>기공 방어력 감소</t>
  </si>
  <si>
    <t>힘 감소</t>
  </si>
  <si>
    <t>근성 감소</t>
  </si>
  <si>
    <t>집중 감소</t>
  </si>
  <si>
    <t>민첩 감소</t>
  </si>
  <si>
    <t>기합 감소</t>
  </si>
  <si>
    <t>기운 감소</t>
  </si>
  <si>
    <t>이동속도 감소</t>
  </si>
  <si>
    <t>공격속도 감소</t>
  </si>
  <si>
    <t>명중률 감소</t>
  </si>
  <si>
    <t>회피율 감소</t>
  </si>
  <si>
    <t>방어율 감소</t>
  </si>
  <si>
    <t>순수 속성방어 % 감소</t>
  </si>
  <si>
    <t>기이 속성방어 % 감소</t>
  </si>
  <si>
    <t>용맹 속성방어 % 감소</t>
  </si>
  <si>
    <t>고상 속성방어 % 감소</t>
  </si>
  <si>
    <t>유쾌 속성방어 % 감소</t>
  </si>
  <si>
    <t>스킬 준비 시간 % 상승</t>
  </si>
  <si>
    <t>스킬 재사용 시간 % 상승</t>
  </si>
  <si>
    <t>기본 공격 거리 감소</t>
  </si>
  <si>
    <t>대상을 묶어 움직이지 못하게 한다</t>
  </si>
  <si>
    <t>대상을 움직이지 못하게 만든다</t>
  </si>
  <si>
    <t>속성 공격 능력, 방어 능력 감소</t>
  </si>
  <si>
    <t>대상을 놀라게하여 경직 시킨다</t>
  </si>
  <si>
    <t>순간적으로 대상의 눈이 안보이게 만든다.</t>
  </si>
  <si>
    <t>대상을 전투 불능으로 만든다.</t>
  </si>
  <si>
    <t>스킬 사용시 LP 를 추가로 감소한다.</t>
  </si>
  <si>
    <t>스킬 사용시 EP 를 추가로 감소한다.</t>
  </si>
  <si>
    <t>대상이 스킬을 사용 하지 못하도록 만든다.</t>
  </si>
  <si>
    <t>사냥시 경험치 습득 양이 % 만큼 증가한다.</t>
  </si>
  <si>
    <t>퀘스트 아이템 획득 확률 상승</t>
  </si>
  <si>
    <t>스킬 1개의 등급을 1등급 초기화</t>
  </si>
  <si>
    <t>구원 후 LP/EP 회복</t>
  </si>
  <si>
    <t>기공/타격 공격력 15% 감소 기공/타격 방어력 15% 감소 Max LP/EP 10% 감소 이동 속도 5% 감소</t>
  </si>
  <si>
    <t>주무기</t>
    <phoneticPr fontId="5" type="noConversion"/>
  </si>
  <si>
    <t>보조무기</t>
    <phoneticPr fontId="5" type="noConversion"/>
  </si>
  <si>
    <t>상의</t>
    <phoneticPr fontId="5" type="noConversion"/>
  </si>
  <si>
    <t>하의</t>
    <phoneticPr fontId="5" type="noConversion"/>
  </si>
  <si>
    <t>신발</t>
    <phoneticPr fontId="5" type="noConversion"/>
  </si>
  <si>
    <t>귀걸이</t>
    <phoneticPr fontId="5" type="noConversion"/>
  </si>
  <si>
    <t>목걸이</t>
    <phoneticPr fontId="5" type="noConversion"/>
  </si>
  <si>
    <t>반지</t>
    <phoneticPr fontId="5" type="noConversion"/>
  </si>
  <si>
    <t>스카우터</t>
    <phoneticPr fontId="5" type="noConversion"/>
  </si>
  <si>
    <t>근력 상승</t>
  </si>
  <si>
    <t>중독 지속 시간 감소</t>
  </si>
  <si>
    <t>데미지를 받을 때 만큼 LP 회복</t>
  </si>
  <si>
    <t>데미지를 받을 때 만큼 EP 회복</t>
  </si>
  <si>
    <t>데미지를 받을 때 % 만큼 LP 회복</t>
  </si>
  <si>
    <t>데미지를 받을 때 % 만큼 EP 회복</t>
  </si>
  <si>
    <t>중독 방어력 증가</t>
  </si>
  <si>
    <t>dwEquip</t>
    <phoneticPr fontId="5" type="noConversion"/>
  </si>
  <si>
    <t>Dword</t>
    <phoneticPr fontId="5" type="noConversion"/>
  </si>
  <si>
    <t>dwEquip</t>
    <phoneticPr fontId="5" type="noConversion"/>
  </si>
  <si>
    <t>dwEquip</t>
    <phoneticPr fontId="5" type="noConversion"/>
  </si>
  <si>
    <t>Dword</t>
    <phoneticPr fontId="5" type="noConversion"/>
  </si>
  <si>
    <t>@</t>
    <phoneticPr fontId="5" type="noConversion"/>
  </si>
  <si>
    <t>가중치 값</t>
    <phoneticPr fontId="5" type="noConversion"/>
  </si>
  <si>
    <t>Dword</t>
    <phoneticPr fontId="5" type="noConversion"/>
  </si>
  <si>
    <t>적용 가능 최저 레벨</t>
    <phoneticPr fontId="5" type="noConversion"/>
  </si>
  <si>
    <t>적용최대치(전체)</t>
    <phoneticPr fontId="5" type="noConversion"/>
  </si>
  <si>
    <t>레전더리옵션여부</t>
    <phoneticPr fontId="5" type="noConversion"/>
  </si>
  <si>
    <t>레어옵션여부</t>
    <phoneticPr fontId="5" type="noConversion"/>
  </si>
  <si>
    <t>엑셀런트옵션여부</t>
    <phoneticPr fontId="5" type="noConversion"/>
  </si>
  <si>
    <t>슈페리어옵션여부</t>
    <phoneticPr fontId="5" type="noConversion"/>
  </si>
  <si>
    <t>옵션그룹넘버</t>
    <phoneticPr fontId="5" type="noConversion"/>
  </si>
  <si>
    <t>부여가능아이템 타입</t>
    <phoneticPr fontId="5" type="noConversion"/>
  </si>
  <si>
    <t>적용 가능최고 레벨</t>
    <phoneticPr fontId="5" type="noConversion"/>
  </si>
  <si>
    <t>적용 가능최저 레벨</t>
    <phoneticPr fontId="5" type="noConversion"/>
  </si>
  <si>
    <t>보정비율적용</t>
    <phoneticPr fontId="5" type="noConversion"/>
  </si>
  <si>
    <t>System EffectValue Select (0=정수, 1=퍼센트)</t>
    <phoneticPr fontId="5" type="noConversion"/>
  </si>
  <si>
    <t>1. dwEquip</t>
    <phoneticPr fontId="5" type="noConversion"/>
  </si>
  <si>
    <t>(Bitflag)</t>
    <phoneticPr fontId="5" type="noConversion"/>
  </si>
  <si>
    <t>Tblidx</t>
    <rPh sb="0" eb="6">
      <t>일련번호</t>
    </rPh>
    <phoneticPr fontId="91" type="noConversion" alignment="center"/>
  </si>
  <si>
    <t>Name</t>
    <phoneticPr fontId="92" type="noConversion"/>
  </si>
  <si>
    <t>bSeType</t>
    <phoneticPr fontId="92" type="noConversion"/>
  </si>
  <si>
    <t>bRvType</t>
    <phoneticPr fontId="92" type="noConversion"/>
  </si>
  <si>
    <t>bExclIndex</t>
    <phoneticPr fontId="92" type="noConversion"/>
  </si>
  <si>
    <t>bMinLevel</t>
    <phoneticPr fontId="92" type="noConversion"/>
  </si>
  <si>
    <t>bMaxLevel</t>
    <phoneticPr fontId="92" type="noConversion"/>
  </si>
  <si>
    <t>Frequency</t>
    <phoneticPr fontId="92" type="noConversion"/>
  </si>
  <si>
    <t>Enchant_Value</t>
    <phoneticPr fontId="92" type="noConversion"/>
  </si>
  <si>
    <t>byKind</t>
    <phoneticPr fontId="92" type="noConversion"/>
  </si>
  <si>
    <t>dwEquip</t>
    <phoneticPr fontId="92" type="noConversion"/>
  </si>
  <si>
    <t>byGroupNo</t>
    <phoneticPr fontId="92" type="noConversion"/>
  </si>
  <si>
    <t>wMaxValue</t>
    <phoneticPr fontId="92" type="noConversion"/>
  </si>
  <si>
    <t>bIsSuperior</t>
    <phoneticPr fontId="92" type="noConversion"/>
  </si>
  <si>
    <t>bIsExcellent</t>
    <phoneticPr fontId="92" type="noConversion"/>
  </si>
  <si>
    <t>bIsRare</t>
    <phoneticPr fontId="92" type="noConversion"/>
  </si>
  <si>
    <t>bIsLegendary</t>
    <phoneticPr fontId="92" type="noConversion"/>
  </si>
  <si>
    <t>dw_SE_Idx</t>
    <rPh sb="0" eb="9">
      <t>시스템이펙트인덱스</t>
    </rPh>
    <phoneticPr fontId="92" type="noConversion"/>
  </si>
  <si>
    <t>-</t>
    <phoneticPr fontId="5" type="noConversion"/>
  </si>
  <si>
    <t>-</t>
    <phoneticPr fontId="5" type="noConversion"/>
  </si>
  <si>
    <t>-</t>
    <phoneticPr fontId="5" type="noConversion"/>
  </si>
  <si>
    <t>B</t>
    <phoneticPr fontId="5" type="noConversion"/>
  </si>
  <si>
    <t>C</t>
    <phoneticPr fontId="5" type="noConversion"/>
  </si>
  <si>
    <t>E</t>
    <phoneticPr fontId="5" type="noConversion"/>
  </si>
  <si>
    <t>H</t>
    <phoneticPr fontId="5" type="noConversion"/>
  </si>
  <si>
    <t>M</t>
    <phoneticPr fontId="5" type="noConversion"/>
  </si>
  <si>
    <t>N</t>
    <phoneticPr fontId="5" type="noConversion"/>
  </si>
  <si>
    <t>P</t>
    <phoneticPr fontId="5" type="noConversion"/>
  </si>
  <si>
    <t>Q</t>
    <phoneticPr fontId="5" type="noConversion"/>
  </si>
  <si>
    <t>R</t>
    <phoneticPr fontId="5" type="noConversion"/>
  </si>
  <si>
    <t>절대값/상대값(%) 가능</t>
  </si>
  <si>
    <t>@</t>
  </si>
  <si>
    <t>절대값만 가능</t>
  </si>
  <si>
    <t>절대값/상대값(%)</t>
  </si>
  <si>
    <t>절대값</t>
  </si>
  <si>
    <t>ACTIVE_DIRECT_DAMAGE</t>
  </si>
  <si>
    <t>절대값/상대값(%)/@</t>
  </si>
  <si>
    <t>ACTIVE_BACKSTAB</t>
  </si>
  <si>
    <t>ACTIVE_WARP_BACK_ATTACK</t>
  </si>
  <si>
    <t>ACTIVE_THROUGH_ATTACK (관통공격)</t>
  </si>
  <si>
    <t>ACTIVE_CRITICAL_ATTACK</t>
  </si>
  <si>
    <t>ACTIVE_DAMAGE_OVER_TIME</t>
  </si>
  <si>
    <t>절대값/상대값(%)/2</t>
  </si>
  <si>
    <t>ACTIVE_POISON</t>
  </si>
  <si>
    <t>ACTIVE_STOMACHACHE</t>
  </si>
  <si>
    <t>ACTIVE_BURN</t>
  </si>
  <si>
    <t>ACTIVE_DIRECT_HEAL</t>
  </si>
  <si>
    <t>ACTIVE_DIRECT_EP_HEAL</t>
  </si>
  <si>
    <t>ACTIVE_HEAL_OVER_TIME</t>
  </si>
  <si>
    <t>ACTIVE_EP_OVER_TIME</t>
  </si>
  <si>
    <t>ACTIVE_VISIT</t>
  </si>
  <si>
    <t>ACTIVE_POISON_CURE</t>
  </si>
  <si>
    <t>상대값(%)</t>
  </si>
  <si>
    <t>ACTIVE_STOMACHACHE_CURE</t>
  </si>
  <si>
    <t>ACTIVE_PARALYZE_CURE</t>
  </si>
  <si>
    <t>ACTIVE_CURSE_DEBUFF</t>
  </si>
  <si>
    <t>ACTIVE_SUPER_SAIYAN</t>
  </si>
  <si>
    <t>ACTIVE_PURE_MAJIN</t>
  </si>
  <si>
    <t>ACTIVE_SUMMON</t>
  </si>
  <si>
    <t>Active_EP_UP</t>
  </si>
  <si>
    <t>Active_RP_UP</t>
  </si>
  <si>
    <t>ACTIVE_RESCUE</t>
  </si>
  <si>
    <t>ACTIVE_KAIOKEN</t>
  </si>
  <si>
    <t>ACTIVE_GREAT_NAMEK</t>
  </si>
  <si>
    <t>ACTIVE_BLEED_CURE</t>
  </si>
  <si>
    <t>ACTIVE_BURN_CURE</t>
  </si>
  <si>
    <t>ACTIVE_MAX_LP_UP</t>
  </si>
  <si>
    <t>ACTIVE_MAX_EP_UP</t>
  </si>
  <si>
    <t>ACTIVE_MAX_RP_UP</t>
  </si>
  <si>
    <t>ACTIVE_PHYSICAL_OFFENCE_UP</t>
  </si>
  <si>
    <t>ACTIVE_ENERGY_OFFENCE_UP</t>
  </si>
  <si>
    <t>ACTIVE_PHYSICAL_DEFENCE_UP</t>
  </si>
  <si>
    <t>ACTIVE_ENERGY_DEFENCE_UP</t>
  </si>
  <si>
    <t>ACTIVE_STR_UP</t>
  </si>
  <si>
    <t>ACTIVE_CON_UP</t>
  </si>
  <si>
    <t>ACTIVE_FOC_UP</t>
  </si>
  <si>
    <t>ACTIVE_DEX_UP</t>
  </si>
  <si>
    <t>ACTIVE_SOL_UP</t>
  </si>
  <si>
    <t>ACTIVE_ENG_UP</t>
  </si>
  <si>
    <t>ACTIVE_MOVE_SPEED_UP</t>
  </si>
  <si>
    <t>ACTIVE_ATTACK_SPEED_UP</t>
  </si>
  <si>
    <t>ACTIVE_ATTACK_RATE_UP</t>
  </si>
  <si>
    <t>ACTIVE_DODGE_RATE_UP</t>
  </si>
  <si>
    <t>ACTIVE_BLOCK_RATE_UP</t>
  </si>
  <si>
    <t>ACTIVE_HONEST_DEFENCE_UP</t>
  </si>
  <si>
    <t>ACTIVE_STRANGE_DEFENCE_UP</t>
  </si>
  <si>
    <t>ACTIVE_WILD_DEFENCE_UP</t>
  </si>
  <si>
    <t>ACTIVE_ELEGANCE_DEFENCE_UP</t>
  </si>
  <si>
    <t>ACTIVE_FUNNY_DEFENCE_UP</t>
  </si>
  <si>
    <t>ACTIVE_ENERGY_REFLECTION</t>
  </si>
  <si>
    <t>ACTIVE_LP_REGENERATION</t>
  </si>
  <si>
    <t>ACTIVE_EP_REGENERATION</t>
  </si>
  <si>
    <t>ACTIVE_RP_CHARGE_SPEED</t>
  </si>
  <si>
    <t>ACTIVE_CURSE_SUCCESS</t>
  </si>
  <si>
    <t>ACTIVE_CURSE_TOLERANCE</t>
  </si>
  <si>
    <t>ACTIVE_PHYSICAL_CRITICAL</t>
  </si>
  <si>
    <t>ACTIVE_ENERGY_CRITICAL</t>
  </si>
  <si>
    <t>ACTIVE_SKILL_COOL_TIME_DOWN</t>
  </si>
  <si>
    <t>ACTIVE_BARRIER</t>
  </si>
  <si>
    <t>ACTIVE_PARALYZE_TOLERANCE_UP</t>
  </si>
  <si>
    <t>ACTIVE_TERROR_TOLERANCE_UP</t>
  </si>
  <si>
    <t>ACTIVE_CONFUSE_TOLERANCE_UP</t>
  </si>
  <si>
    <t>ACTIVE_STONE_TOLERANCE_UP</t>
  </si>
  <si>
    <t>ACTIVE_CANDY_TOLERANCE_UP</t>
  </si>
  <si>
    <t>ACTIVE_PARALYZE_KEEPTIME_DOWN</t>
  </si>
  <si>
    <t>상대값(%)값만 가능</t>
  </si>
  <si>
    <t>ACTIVE_TERROR_KEEPTIME_DOWN</t>
  </si>
  <si>
    <t>ACTIVE_CONFUSE_KEEPTIME_DOWN</t>
  </si>
  <si>
    <t>ACTIVE_STONE_KEEPTIME_DOWN</t>
  </si>
  <si>
    <t>ACTIVE_CANDY_KEEPTIME_DOWN</t>
  </si>
  <si>
    <t>ACTIVE_BLEEDING_KEEPTIME_DOWN</t>
  </si>
  <si>
    <t>ACTIVE_POISON_KEEPTIME_DOWN</t>
  </si>
  <si>
    <t>ACTIVE_STOMACHACHE_KEEPTIME_DOWN</t>
  </si>
  <si>
    <t>ACTIVE_CRITICAL_BLOCK_UP</t>
  </si>
  <si>
    <t>ACTIVE_NORMAL_SKILL_BLOCK_MODE_UP</t>
  </si>
  <si>
    <t>ACTIVE_CURSE_SKILL_BLOCK_MODE_UP</t>
  </si>
  <si>
    <t>ACTIVE_KNOCKDOWN_ATTACK_BLOCK_MODE_UP</t>
  </si>
  <si>
    <t>ACTIVE_HTB_SKILL_BLOCK_MODE_UP</t>
  </si>
  <si>
    <t>ACTIVE_SIT_DOWN_LP_REGENERATION_UP</t>
  </si>
  <si>
    <t>ACTIVE_SIT_DOWN_EP_REGENERATION_UP</t>
  </si>
  <si>
    <t>ACTIVE_PHYSICAL_CRITICAL_DAMAGE_UP</t>
  </si>
  <si>
    <t>ACTIVE_ENERGY_CRITICAL_DAMAGE_UP</t>
  </si>
  <si>
    <t>ACTIVE_ATTACK_RANGE_UP</t>
  </si>
  <si>
    <t>ACTIVE_BATTLE_ATTRIBUTE_UP</t>
  </si>
  <si>
    <t>ACTIVE_PHYSICAL_REFLECTION</t>
  </si>
  <si>
    <t>ACTIVE_LP_RECOVERY</t>
  </si>
  <si>
    <t>ACTIVE_EP_RECOVERY</t>
  </si>
  <si>
    <t>ACTIVE_HONEST_OFFENCE_UP</t>
  </si>
  <si>
    <t>ACTIVE_STRANGE_OFFENCE_UP</t>
  </si>
  <si>
    <t>ACTIVE_WILD_OFFENCE_UP</t>
  </si>
  <si>
    <t>ACTIVE_ELEGANCE_OFFENCE_UP</t>
  </si>
  <si>
    <t>ACTIVE_FUNNY_OFFENCE_UP</t>
  </si>
  <si>
    <t>ACTIVE_LP_RECOVERY_IN_PERCENT</t>
  </si>
  <si>
    <t>ACTIVE_EP_RECOVERY_IN_PERCENT</t>
  </si>
  <si>
    <t>ACTIVE_STOMACHACHE_DEFENCE</t>
  </si>
  <si>
    <t>ACTIVE_POISON_DEFENCE</t>
  </si>
  <si>
    <t>ACTIVE_BLEED_DEFENCE</t>
  </si>
  <si>
    <t>ACTIVE_BURN_DEFENCE</t>
  </si>
  <si>
    <t>Active_EP_Down</t>
  </si>
  <si>
    <t>Active_RP_Down</t>
  </si>
  <si>
    <t>Active_BLESS_DEBUFF</t>
  </si>
  <si>
    <t>ACTIVE_LP_STEAL</t>
  </si>
  <si>
    <t>ACTIVE_EP_STEAL</t>
  </si>
  <si>
    <t>ACTIVE_TAUNT</t>
  </si>
  <si>
    <t>ACTIVE_PARALYZE</t>
  </si>
  <si>
    <t>ACTIVE_CONFUSE</t>
  </si>
  <si>
    <t>ACTIVE_TERROR</t>
  </si>
  <si>
    <t>ACTIVE_STUN</t>
  </si>
  <si>
    <t>상대값(%)/@</t>
  </si>
  <si>
    <t>ACTIVE_SLEEP</t>
  </si>
  <si>
    <t>ACTIVE_STONE</t>
  </si>
  <si>
    <t>ACTIVE_CANDY</t>
  </si>
  <si>
    <t>ACTIVE_MAX_LP_DOWN</t>
  </si>
  <si>
    <t>ACTIVE_MAX_EP_DOWN</t>
  </si>
  <si>
    <t>ACTIVE_MAX_RP_DOWN</t>
  </si>
  <si>
    <t>ACTIVE_PHYSICAL_OFFENCE_DOWN</t>
  </si>
  <si>
    <t>ACTIVE_ENERGY_OFFENCE_DOWN</t>
  </si>
  <si>
    <t>ACTIVE_PHYSICAL_DEFENCE_DOWN</t>
  </si>
  <si>
    <t>ACTIVE_ENERGY_DEFENCE_DOWN</t>
  </si>
  <si>
    <t>ACTIVE_STR_DOWN</t>
  </si>
  <si>
    <t>ACTIVE_CON_DOWN</t>
  </si>
  <si>
    <t>ACTIVE_FOC_DOWN</t>
  </si>
  <si>
    <t>ACTIVE_DEX_DOWN</t>
  </si>
  <si>
    <t>ACTIVE_SOL_DOWN</t>
  </si>
  <si>
    <t>ACTIVE_ENG_DOWN</t>
  </si>
  <si>
    <t>ACTIVE_MOVE_SPEED_DOWN</t>
  </si>
  <si>
    <t>ACTIVE_ATTACK_SPEED_DOWN</t>
  </si>
  <si>
    <t>ACTIVE_ATTACK_RATE_DOWN</t>
  </si>
  <si>
    <t>ACTIVE_DODGE_RATE_DOWN</t>
  </si>
  <si>
    <t>ACTIVE_BLOCK_RATE_DOWN</t>
  </si>
  <si>
    <t>ACTIVE_HONEST_DEFENCE_DOWN</t>
  </si>
  <si>
    <t>ACTIVE_STRANGE_DEFENCE_DOWN</t>
  </si>
  <si>
    <t>ACTIVE_WILD_DEFENCE_DOWN</t>
  </si>
  <si>
    <t>ACTIVE_ELEGANCE_DEFENCE_DOWN</t>
  </si>
  <si>
    <t>ACTIVE_FUNNY_DEFENCE_DOWN</t>
  </si>
  <si>
    <t>ACTIVE_SKILL_CASTING_TIME_UP</t>
  </si>
  <si>
    <t>ACTIVE_SKILL_COOL_TIME_UP</t>
  </si>
  <si>
    <t>ACTIVE_ATTACK_RANGE_DOWN</t>
  </si>
  <si>
    <t>ACTIVE_TIED_UP</t>
  </si>
  <si>
    <t>ACTIVE_BAN_CHARGE</t>
  </si>
  <si>
    <t>ACTIVE_FREEZE</t>
  </si>
  <si>
    <t>ACTIVE_LP_STEAL_OVER_TIME</t>
  </si>
  <si>
    <t>ACTIVE_EP_STEAL_OVER_TIME</t>
  </si>
  <si>
    <t>ACTIVE_BATTLE_ATTRIBUTE_DOWN</t>
  </si>
  <si>
    <t>ACTIVE_WARP_STUN</t>
  </si>
  <si>
    <t>ACTIVE_TAIYOU_KEN</t>
  </si>
  <si>
    <t>ACTIVE_BATTLE_INABILITY</t>
  </si>
  <si>
    <t>ACTIVE_SKILL_LP_DAMAGE</t>
  </si>
  <si>
    <t>ACTIVE_SKILL_EP_DAMAGE</t>
  </si>
  <si>
    <t>ACTIVE_SKILL_INABILITY</t>
  </si>
  <si>
    <t>ACTIVE_EXP_BOOSTER</t>
  </si>
  <si>
    <t>ACTIVE_MASCOT_RING_QUEST_SUPPORT</t>
  </si>
  <si>
    <t>ACTIVE_SKILL_RESET_ONE</t>
  </si>
  <si>
    <t>ACTIVE_ADVANCED_RESCUE</t>
  </si>
  <si>
    <t>ACTIVE_REVIVAL_AFTEREFFECT</t>
  </si>
  <si>
    <t>번호</t>
  </si>
  <si>
    <t>항목</t>
  </si>
  <si>
    <t>사용 방법</t>
  </si>
  <si>
    <t>사용법</t>
  </si>
  <si>
    <t>설명</t>
  </si>
  <si>
    <t>PASSIVE_MAX_LP_UP</t>
  </si>
  <si>
    <t>`</t>
  </si>
  <si>
    <t>최대 LP %d 상승 (지속)</t>
  </si>
  <si>
    <t>PASSIVE_MAX_EP_UP</t>
  </si>
  <si>
    <t>최대 EP %d 상승 (지속)</t>
  </si>
  <si>
    <t>PASSIVE_MAX_RP_DOWN</t>
  </si>
  <si>
    <t>최대 RP %d 감소 (지속)</t>
  </si>
  <si>
    <t>PASSIVE_PHYSICAL_OFFENCE_UP</t>
  </si>
  <si>
    <t>타격 공격력 %d 상승 (지속)</t>
  </si>
  <si>
    <t>PASSIVE_ENERGY_OFFENCE_UP</t>
  </si>
  <si>
    <t>기공 공격력 %d 상승 (지속)</t>
  </si>
  <si>
    <t>PASSIVE_PHYSICAL_DEFENCE_UP</t>
  </si>
  <si>
    <t>타격 방어력 %d 상승 (지속)</t>
  </si>
  <si>
    <t>PASSIVE_ENERGY_DEFENCE_UP</t>
  </si>
  <si>
    <t>기공 방어력 %d 상승 (지속)</t>
  </si>
  <si>
    <t>PASSIVE_STR_UP</t>
  </si>
  <si>
    <t>힘 %d 상승 (지속)</t>
  </si>
  <si>
    <t>PASSIVE_CON_UP</t>
  </si>
  <si>
    <t>근성 %d 상승 (지속)</t>
  </si>
  <si>
    <t>PASSIVE_FOC_UP</t>
  </si>
  <si>
    <t>집중 %d 상승 (지속)</t>
  </si>
  <si>
    <t>PASSIVE_DEX_UP</t>
  </si>
  <si>
    <t>민첩 %d 상승 (지속)</t>
  </si>
  <si>
    <t>PASSIVE_SOL_UP</t>
  </si>
  <si>
    <t>기합 %d 상승 (지속)</t>
  </si>
  <si>
    <t>PASSIVE_ENG_UP</t>
  </si>
  <si>
    <t>기운 %d 상승 (지속)</t>
  </si>
  <si>
    <t>PASSIVE_DASH</t>
  </si>
  <si>
    <t>단거리 고속 이동</t>
  </si>
  <si>
    <t>PASSIVE_HOVERING</t>
  </si>
  <si>
    <t>공중 이동</t>
  </si>
  <si>
    <t>PASSIVE_LP_REGENERATION</t>
  </si>
  <si>
    <t>LP 재생효과 %d 상승 (지속)</t>
  </si>
  <si>
    <t>PASSIVE_EP_REGENERATION</t>
  </si>
  <si>
    <t>EP 재생효과 %d 상승 (지속)</t>
  </si>
  <si>
    <t>PASSIVE_ATTACK_RATE_UP</t>
  </si>
  <si>
    <t>명중률 %d 상승 (지속)</t>
  </si>
  <si>
    <t>PASSIVE_DODGE_RATE_UP</t>
  </si>
  <si>
    <t>회피율 %d 상승 (지속)</t>
  </si>
  <si>
    <t>PASSIVE_BLOCK_RATE_UP</t>
  </si>
  <si>
    <t>방어율 %d 상승 (지속)</t>
  </si>
  <si>
    <t>PASSIVE_CURSE_SUCCESS_UP</t>
  </si>
  <si>
    <t>상태이상 성공 %d 상승 (지속)</t>
  </si>
  <si>
    <t>PASSIVE_CURSE_TOLERANCE_UP</t>
  </si>
  <si>
    <t>상태이상 저항 %d 상승 (지속)</t>
  </si>
  <si>
    <t>PASSIVE_PHYSICAL_CRITICAL_UP</t>
  </si>
  <si>
    <t>타격 크리티컬 확률 %d 상승 (지속)</t>
  </si>
  <si>
    <t>PASSIVE_ENERGY_CRITICAL_UP</t>
  </si>
  <si>
    <t>기공 크리티컬 확률 %d 상승 (지속)</t>
  </si>
  <si>
    <t>PASSIVE_RP_CHARGE_SPEED</t>
  </si>
  <si>
    <t>RP 채우는 속도 %d 상승 (지속)</t>
  </si>
  <si>
    <t>PASSIVE_MOVE_SPEED</t>
  </si>
  <si>
    <t>이동속도 %d 상승 (지속)</t>
  </si>
  <si>
    <t>PASSIVE_ATTACK_SPEED_UP</t>
  </si>
  <si>
    <t>공격속도 %d 상승 (지속)</t>
  </si>
  <si>
    <t>PASSIVE_SKILL_CASTING_TIME_DOWN</t>
  </si>
  <si>
    <t>스킬 준비시간 %g 감소 (지속)</t>
  </si>
  <si>
    <t>PASSIVE_SKILL_COOL_TIME_DOWN</t>
  </si>
  <si>
    <t>스킬 재사용시간 %d 감소 (지속)</t>
  </si>
  <si>
    <t>PASSIVE_CHARGE</t>
  </si>
  <si>
    <t>RP 축적</t>
  </si>
  <si>
    <t>PASSIVE_BLOCK_MODE</t>
  </si>
  <si>
    <t>방어력 상승 및 특정 공격 무력화 \nLV이 증가할 수록 방어력과 지속시간이 상승한다.</t>
  </si>
  <si>
    <t>PASSIVE_GUARD_COUNTERATTACK</t>
  </si>
  <si>
    <t>가드 후 카운터 어택</t>
  </si>
  <si>
    <t>PASSIVE_DOT_VALUE_UP_ALL</t>
  </si>
  <si>
    <t>지속형 공격 스킬의 데미지 %d%% 상승 (지속)</t>
  </si>
  <si>
    <t>PASSIVE_DOT_TIME_UP_ALL</t>
  </si>
  <si>
    <t>지속형 공격 스킬의 지속 시간 %d초상승 (지속)</t>
  </si>
  <si>
    <t>PASSIVE_SKILL_EFFECT_VALUE_UP</t>
  </si>
  <si>
    <t>스킬 능력 %d 상승 (지속)</t>
  </si>
  <si>
    <t>PASSIVE_SKILL_KEEP_TIME_UP</t>
  </si>
  <si>
    <t>스킬 지속시간 %d 상승 (지속)</t>
  </si>
  <si>
    <t>PASSIVE_REQUIRE_EP_DOWN</t>
  </si>
  <si>
    <t>소모 EP %d 감소 (지속)</t>
  </si>
  <si>
    <t>PASSIVE_CHANGE_APPLY_RANGE</t>
  </si>
  <si>
    <t>범위 변경</t>
  </si>
  <si>
    <t>PASSIVE_APPLY_AREA_SIZE_UP</t>
  </si>
  <si>
    <t>스킬 범위 %d 증가 (지속)</t>
  </si>
  <si>
    <t>PASSIVE_USE_RANGE_UP</t>
  </si>
  <si>
    <t>시전거리 %d 증가 (지속)</t>
  </si>
  <si>
    <t>PASSIVE_MASTERY</t>
  </si>
  <si>
    <t>ACTIVE_LP_AUTO_RECOVER</t>
  </si>
  <si>
    <t>조건에 따라 LP 자동 회복</t>
  </si>
  <si>
    <t>ACTIVE_EP_AUTO_RECOVER</t>
  </si>
  <si>
    <t>조건에 따라 EP 자동 회복</t>
  </si>
  <si>
    <t>ACTIVE_TELEPORT_BIND</t>
  </si>
  <si>
    <t>바인드 포인트로 이동</t>
  </si>
  <si>
    <t>ACTIVE_INVITE</t>
  </si>
  <si>
    <t>해당 캐릭터 불러오기</t>
  </si>
  <si>
    <t>ACTIVE_QUEST_TRIGGER</t>
  </si>
  <si>
    <t>퀘스트 시작 아이템</t>
  </si>
  <si>
    <t>ACTIVE_OBJECT_TRIGGER</t>
  </si>
  <si>
    <t>오브젝트 트리거</t>
  </si>
  <si>
    <t>ACTIVE_GAMBLE_ITEM</t>
  </si>
  <si>
    <t>캡슐 아이템</t>
  </si>
  <si>
    <t>ACTIVE_VEHICLE</t>
  </si>
  <si>
    <t>탈것</t>
  </si>
  <si>
    <t>ACTIVE_WARP</t>
  </si>
  <si>
    <t>상대방의 근처로 재빠르게 이동</t>
  </si>
  <si>
    <t>ACTIVE_CLEAR_TARGET</t>
  </si>
  <si>
    <t>자신을 공격 대상으로 삼고 있는 모든\n상대로부터 공격 목표를 해제시킨다.</t>
  </si>
  <si>
    <t>ACTIVE_RECIPE_UPDATE</t>
  </si>
  <si>
    <t>아이템을 만드려면 근처에 호이포이 캡슐 머신이 있어야 합니다\nCMA는 항상 환경을 생각합니다</t>
  </si>
  <si>
    <t>ACTIVE_CREATE_HOIPOI_MIX_MACHINE</t>
  </si>
  <si>
    <t>아이템을 사용하면 호이포이 캡슐 믹스머신을 소환합니다</t>
  </si>
  <si>
    <t>ACTIVE_CREATE_HOIPOI_HOUSE</t>
  </si>
  <si>
    <t>아이템을 사용하면 호이포이 캡슐 하우스를 소환합니다</t>
  </si>
  <si>
    <t>ACTIVE_MONSTER_TRANCEFORM</t>
  </si>
  <si>
    <t>몬스터 변신</t>
  </si>
  <si>
    <t>ACTIVE_SCRIPT_SIGNAL_SPS</t>
  </si>
  <si>
    <t>ACTIVE_SCRIPT_SIGNAL_TQS</t>
  </si>
  <si>
    <t>ACTIVE_SCRIPT_SIGNAL_WPS</t>
  </si>
  <si>
    <t>ACTIVE_SCRIPT_SIGNAL_AIS</t>
  </si>
  <si>
    <t>ACTIVE_SCRIPT_EXECUTE_WPS_LOC</t>
  </si>
  <si>
    <t>퀘스트 수행 아이템\n우 클릭으로 사용</t>
  </si>
  <si>
    <t>ACTIVE_SHIFT_SEAL_STATE</t>
  </si>
  <si>
    <t>인장 상태 변화</t>
  </si>
  <si>
    <t>ACTIVE_TELEPORT_DOJO</t>
  </si>
  <si>
    <t>도장으로 순간이동</t>
  </si>
  <si>
    <t>ACTIVE_SELF_RESCUE</t>
  </si>
  <si>
    <t>스스로 구원</t>
  </si>
  <si>
    <t>ACTIVE_CALL_PARTY_MEMBER</t>
  </si>
  <si>
    <t>파티맴버를 순간이동으로 부르기</t>
  </si>
  <si>
    <t>ACTIVE_BIG_MONKEY</t>
  </si>
  <si>
    <t>거대 원숭이화</t>
  </si>
  <si>
    <t>ACTIVE_FUSION</t>
  </si>
  <si>
    <t>퓨전</t>
  </si>
  <si>
    <t>ACTIVE_TRANSFORM</t>
  </si>
  <si>
    <t>변신</t>
  </si>
  <si>
    <t>ACTIVE_SKILL_CASTING_TIME_DOWN</t>
  </si>
  <si>
    <t>ACTIVE_ITEM_BREAK_RATE_DOWN</t>
  </si>
  <si>
    <t>업그레이드 실패시 아이템이 파괴될 확률 %d%%감소</t>
  </si>
  <si>
    <t>ACTIVE_ITEM_UPGRADE_RATE_UP</t>
  </si>
  <si>
    <t>아이템 업그레이드 성공 확률 %d%% 상승</t>
  </si>
  <si>
    <t>ACTIVE_SPINNING_ATTACK</t>
  </si>
  <si>
    <t>고속으로 회전하며 접근하는\n모든 상대를 튕겨낸다.\n하지만 계왕권 상태일때는\n 사용이 불가능 하다</t>
  </si>
  <si>
    <t>ACTIVE_HIDE_KI</t>
  </si>
  <si>
    <t>기 숨기기</t>
  </si>
  <si>
    <t>ACTIVE_HIDE</t>
  </si>
  <si>
    <t>은신</t>
  </si>
  <si>
    <t>ACTIVE_FAKE_DEATH</t>
  </si>
  <si>
    <t>죽은 척 하기</t>
  </si>
  <si>
    <t>ACTIVE_CANT_BE_TARGETTED</t>
  </si>
  <si>
    <t>대상을 공격 대상으로\n삼을 수 없는 상태로 만든다.</t>
  </si>
  <si>
    <t>ACTIVE_PERFECT_GUARD</t>
  </si>
  <si>
    <t>무조건 가드로 성공 %d 회</t>
  </si>
  <si>
    <t>ACTIVE_BATTLE_LP_UP</t>
  </si>
  <si>
    <t>전투중 LP 회복량 %d 증가</t>
  </si>
  <si>
    <t>ACTIVE_BATTLE_EP_UP</t>
  </si>
  <si>
    <t>전투중 EP 회복량 %d 증가</t>
  </si>
  <si>
    <t>ACTIVE_ALL_OFFENCE_UP</t>
  </si>
  <si>
    <t>타격/기공 공격력 %d 상승</t>
  </si>
  <si>
    <t>ACTIVE_ALL_DEFENCE_UP</t>
  </si>
  <si>
    <t>타격/기공 방어력 %d 상승</t>
  </si>
  <si>
    <t>ACTIVE_PULL</t>
  </si>
  <si>
    <t>대상을 자기 쪽으로 당겨온다.</t>
  </si>
  <si>
    <t>ACTIVE_MAKE_LOWEST_AGGRO</t>
  </si>
  <si>
    <t>시전자에 대한 몬스터의 적대감을 리스트의 최하위로 만든다.</t>
  </si>
  <si>
    <t>ACTIVE_AGGRO_DOWN</t>
  </si>
  <si>
    <t>몬스터의 적대감 %d 하락</t>
  </si>
  <si>
    <t>ACTIVE_AGGRO_UP</t>
  </si>
  <si>
    <t>몬스터의 적대감 %d 상승</t>
  </si>
  <si>
    <t>ACTIVE_ALL_OFFENCE_DOWN</t>
  </si>
  <si>
    <t>타격/기공 공격력 %d 감소</t>
  </si>
  <si>
    <t>ACTIVE_ALL_DEFENCE_DOWN</t>
  </si>
  <si>
    <t>타격/기공 방어력 %d 감소</t>
  </si>
  <si>
    <t>ACTIVE_TELETELEPORT</t>
  </si>
  <si>
    <t>ACTIVE_SPECIAL_UPGRADE</t>
  </si>
  <si>
    <t>ACTIVE_PARTY_POPO</t>
  </si>
  <si>
    <t>ACTIVE_SKILL_RESET</t>
  </si>
  <si>
    <t>ACTIVE_CHARACTER_RENAME</t>
  </si>
  <si>
    <t>ACTIVE_YUHA_RENAME</t>
  </si>
  <si>
    <t>ACTIVE_SAIBAIMAN_SUMMON</t>
  </si>
  <si>
    <t>ACTIVE_SEX_LOOKS_CHANGE</t>
  </si>
  <si>
    <t>ACTIVE_CRESCENT_POPO</t>
  </si>
  <si>
    <t>ACTIVE_SKILL_RESET_PLUS</t>
  </si>
  <si>
    <t>ACTIVE_MASCOT_REGIST</t>
  </si>
  <si>
    <t>마스코트 등록</t>
  </si>
  <si>
    <t>ACTIVE_MASCOT_SATIETY_UP</t>
  </si>
  <si>
    <t>VP %d 상승</t>
  </si>
  <si>
    <t>ACTIVE_TMQ_LIMIT_COUNT_PLUS</t>
  </si>
  <si>
    <t>TMQ 시간 피로도 1 증가</t>
  </si>
  <si>
    <t>ACTIVE_REVIVAL_AFTEREFFECT_PCBANG</t>
  </si>
  <si>
    <t>기공/타격 공격력 5%% 감소\n기공/타격 방어력 5%% 감소\nMax LP/EP 3%% 감소\n이동 속도 0%% 감소</t>
  </si>
  <si>
    <t>ACTIVE_REVIVAL_AFTEREFFECT_CURE_MINOR</t>
  </si>
  <si>
    <t>1분 이하의 실신 후유증을 정화해줍니다.</t>
  </si>
  <si>
    <t>ACTIVE_REVIVAL_AFTEREFFECT_CURE_MAJOR</t>
  </si>
  <si>
    <t>모든 실신 후유증을 정화해줍니다.</t>
  </si>
  <si>
    <t>ACTIVE_EVENT_COIN_PLUS</t>
  </si>
  <si>
    <t>이벤트 코인 %d 증가</t>
  </si>
  <si>
    <t>ACTIVE_SET_LEVEL</t>
  </si>
  <si>
    <t>LEVEL 이 %d가 된다.</t>
  </si>
  <si>
    <t>ACTIVE_LEARN_SKILL</t>
  </si>
  <si>
    <t>스킬 ID</t>
  </si>
  <si>
    <t>새로운 스킬을 배울 수 있다.</t>
  </si>
  <si>
    <t>©복장</t>
    <phoneticPr fontId="5" type="noConversion"/>
  </si>
  <si>
    <t>©헤어</t>
    <phoneticPr fontId="5" type="noConversion"/>
  </si>
  <si>
    <t>©얼굴</t>
    <phoneticPr fontId="5" type="noConversion"/>
  </si>
  <si>
    <t>©머리위</t>
    <phoneticPr fontId="5" type="noConversion"/>
  </si>
  <si>
    <t>©등</t>
    <phoneticPr fontId="5" type="noConversion"/>
  </si>
  <si>
    <t>구슬아이템</t>
    <phoneticPr fontId="5" type="noConversion"/>
  </si>
  <si>
    <t>ACTIVE_SCOUTER_CHECK_FIGHTING_POWER</t>
  </si>
  <si>
    <t>ACTIVE_SCOUTER_CHECK_ATTACK</t>
  </si>
  <si>
    <t>ACTIVE_SCOUTER_CHECK_DEFENSE</t>
  </si>
  <si>
    <t>ACTIVE_SCOUTER_CHECK_ATTRIBUTES</t>
  </si>
  <si>
    <t>ACTIVE_SCOUTER_CHECK_MONSTER_AI</t>
  </si>
  <si>
    <t>ACTIVE_SCOUTER_CHECK_MONSTER_SKILL</t>
  </si>
  <si>
    <t>ACTIVE_SCOUTER_CHECK_ETC</t>
  </si>
  <si>
    <t>전투력 측정</t>
  </si>
  <si>
    <t>공격력(타격/기공)측정</t>
  </si>
  <si>
    <t>방어력(타격/기공)측정</t>
  </si>
  <si>
    <t>속성 측정</t>
  </si>
  <si>
    <t>AI 측정</t>
  </si>
  <si>
    <t>스킬측정</t>
  </si>
  <si>
    <t>기타측정</t>
  </si>
  <si>
    <t>스카우터</t>
    <phoneticPr fontId="5" type="noConversion"/>
  </si>
  <si>
    <t>byGroupNo</t>
    <phoneticPr fontId="5" type="noConversion"/>
  </si>
  <si>
    <t>드래곤볼 찾기</t>
    <phoneticPr fontId="5" type="noConversion"/>
  </si>
  <si>
    <t>공격력/방어력 측정, 명중률/회피율 측정</t>
    <phoneticPr fontId="5" type="noConversion"/>
  </si>
  <si>
    <t>AI/스킬/속성 측정</t>
    <phoneticPr fontId="5" type="noConversion"/>
  </si>
  <si>
    <t>타인 장비보기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</si>
</sst>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1" formatCode="_-* #,##0_-;\-* #,##0_-;_-* &quot;-&quot;_-;_-@_-"/>
    <numFmt numFmtId="176" formatCode="_-[$€-2]* #,##0.00_-;\-[$€-2]* #,##0.00_-;_-[$€-2]* &quot;-&quot;??_-"/>
  </numFmts>
  <fonts count="109">
    <font>
      <sz val="11"/>
      <name val="돋움"/>
      <family val="3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9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1"/>
      <color indexed="63"/>
      <name val="ＭＳ Ｐゴシック"/>
      <family val="2"/>
      <charset val="128"/>
    </font>
    <font>
      <sz val="11"/>
      <color indexed="9"/>
      <name val="ＭＳ Ｐゴシック"/>
      <family val="2"/>
      <charset val="128"/>
    </font>
    <font>
      <b/>
      <sz val="15"/>
      <color indexed="62"/>
      <name val="ＭＳ Ｐゴシック"/>
      <family val="2"/>
      <charset val="128"/>
    </font>
    <font>
      <b/>
      <sz val="13"/>
      <color indexed="62"/>
      <name val="ＭＳ Ｐゴシック"/>
      <family val="2"/>
      <charset val="128"/>
    </font>
    <font>
      <b/>
      <sz val="11"/>
      <color indexed="62"/>
      <name val="ＭＳ Ｐゴシック"/>
      <family val="2"/>
      <charset val="128"/>
    </font>
    <font>
      <sz val="11"/>
      <color indexed="10"/>
      <name val="ＭＳ Ｐゴシック"/>
      <family val="2"/>
      <charset val="128"/>
    </font>
    <font>
      <b/>
      <sz val="11"/>
      <color indexed="52"/>
      <name val="ＭＳ Ｐゴシック"/>
      <family val="2"/>
      <charset val="128"/>
    </font>
    <font>
      <sz val="11"/>
      <color indexed="17"/>
      <name val="ＭＳ Ｐゴシック"/>
      <family val="2"/>
      <charset val="128"/>
    </font>
    <font>
      <sz val="11"/>
      <color indexed="62"/>
      <name val="ＭＳ Ｐゴシック"/>
      <family val="2"/>
      <charset val="128"/>
    </font>
    <font>
      <b/>
      <sz val="11"/>
      <color indexed="63"/>
      <name val="ＭＳ Ｐゴシック"/>
      <family val="2"/>
      <charset val="128"/>
    </font>
    <font>
      <sz val="11"/>
      <color indexed="20"/>
      <name val="ＭＳ Ｐゴシック"/>
      <family val="2"/>
      <charset val="128"/>
    </font>
    <font>
      <i/>
      <sz val="11"/>
      <color indexed="23"/>
      <name val="ＭＳ Ｐゴシック"/>
      <family val="2"/>
      <charset val="128"/>
    </font>
    <font>
      <b/>
      <sz val="18"/>
      <color indexed="62"/>
      <name val="ＭＳ Ｐゴシック"/>
      <family val="2"/>
      <charset val="128"/>
    </font>
    <font>
      <b/>
      <sz val="11"/>
      <color indexed="9"/>
      <name val="ＭＳ Ｐゴシック"/>
      <family val="2"/>
      <charset val="128"/>
    </font>
    <font>
      <sz val="11"/>
      <color indexed="60"/>
      <name val="ＭＳ Ｐゴシック"/>
      <family val="2"/>
      <charset val="128"/>
    </font>
    <font>
      <sz val="11"/>
      <color indexed="52"/>
      <name val="ＭＳ Ｐゴシック"/>
      <family val="2"/>
      <charset val="128"/>
    </font>
    <font>
      <sz val="9"/>
      <color indexed="81"/>
      <name val="굴림"/>
      <family val="3"/>
      <charset val="129"/>
    </font>
    <font>
      <b/>
      <sz val="9"/>
      <color indexed="81"/>
      <name val="굴림"/>
      <family val="3"/>
      <charset val="129"/>
    </font>
    <font>
      <sz val="11"/>
      <color indexed="8"/>
      <name val="맑은 고딕"/>
      <family val="3"/>
      <charset val="129"/>
    </font>
    <font>
      <sz val="11"/>
      <color indexed="63"/>
      <name val="맑은 고딕"/>
      <family val="3"/>
      <charset val="129"/>
    </font>
    <font>
      <sz val="11"/>
      <color indexed="8"/>
      <name val="ＭＳ Ｐゴシック"/>
      <family val="2"/>
      <charset val="128"/>
    </font>
    <font>
      <sz val="11"/>
      <color indexed="9"/>
      <name val="맑은 고딕"/>
      <family val="3"/>
      <charset val="129"/>
    </font>
    <font>
      <b/>
      <sz val="15"/>
      <color indexed="56"/>
      <name val="ＭＳ Ｐゴシック"/>
      <family val="2"/>
      <charset val="128"/>
    </font>
    <font>
      <b/>
      <sz val="13"/>
      <color indexed="56"/>
      <name val="ＭＳ Ｐゴシック"/>
      <family val="2"/>
      <charset val="128"/>
    </font>
    <font>
      <b/>
      <sz val="11"/>
      <color indexed="56"/>
      <name val="ＭＳ Ｐゴシック"/>
      <family val="2"/>
      <charset val="128"/>
    </font>
    <font>
      <sz val="11"/>
      <color indexed="10"/>
      <name val="맑은 고딕"/>
      <family val="3"/>
      <charset val="129"/>
    </font>
    <font>
      <b/>
      <sz val="11"/>
      <color indexed="52"/>
      <name val="맑은 고딕"/>
      <family val="3"/>
      <charset val="129"/>
    </font>
    <font>
      <b/>
      <sz val="9"/>
      <color indexed="52"/>
      <name val="맑은 고딕"/>
      <family val="3"/>
      <charset val="129"/>
    </font>
    <font>
      <sz val="11"/>
      <color indexed="20"/>
      <name val="맑은 고딕"/>
      <family val="3"/>
      <charset val="129"/>
    </font>
    <font>
      <sz val="11"/>
      <color indexed="60"/>
      <name val="맑은 고딕"/>
      <family val="3"/>
      <charset val="129"/>
    </font>
    <font>
      <i/>
      <sz val="11"/>
      <color indexed="23"/>
      <name val="맑은 고딕"/>
      <family val="3"/>
      <charset val="129"/>
    </font>
    <font>
      <b/>
      <sz val="11"/>
      <color indexed="9"/>
      <name val="맑은 고딕"/>
      <family val="3"/>
      <charset val="129"/>
    </font>
    <font>
      <sz val="11"/>
      <color indexed="52"/>
      <name val="맑은 고딕"/>
      <family val="3"/>
      <charset val="129"/>
    </font>
    <font>
      <b/>
      <sz val="11"/>
      <color indexed="8"/>
      <name val="맑은 고딕"/>
      <family val="3"/>
      <charset val="129"/>
    </font>
    <font>
      <b/>
      <sz val="11"/>
      <color indexed="63"/>
      <name val="맑은 고딕"/>
      <family val="3"/>
      <charset val="129"/>
    </font>
    <font>
      <sz val="11"/>
      <color indexed="62"/>
      <name val="맑은 고딕"/>
      <family val="3"/>
      <charset val="129"/>
    </font>
    <font>
      <b/>
      <sz val="18"/>
      <color indexed="56"/>
      <name val="맑은 고딕"/>
      <family val="3"/>
      <charset val="129"/>
    </font>
    <font>
      <b/>
      <sz val="15"/>
      <color indexed="56"/>
      <name val="맑은 고딕"/>
      <family val="3"/>
      <charset val="129"/>
    </font>
    <font>
      <b/>
      <sz val="15"/>
      <color indexed="62"/>
      <name val="맑은 고딕"/>
      <family val="3"/>
      <charset val="129"/>
    </font>
    <font>
      <b/>
      <sz val="13"/>
      <color indexed="56"/>
      <name val="맑은 고딕"/>
      <family val="3"/>
      <charset val="129"/>
    </font>
    <font>
      <b/>
      <sz val="13"/>
      <color indexed="62"/>
      <name val="맑은 고딕"/>
      <family val="3"/>
      <charset val="129"/>
    </font>
    <font>
      <b/>
      <sz val="11"/>
      <color indexed="56"/>
      <name val="맑은 고딕"/>
      <family val="3"/>
      <charset val="129"/>
    </font>
    <font>
      <b/>
      <sz val="11"/>
      <color indexed="62"/>
      <name val="맑은 고딕"/>
      <family val="3"/>
      <charset val="129"/>
    </font>
    <font>
      <b/>
      <sz val="18"/>
      <color indexed="62"/>
      <name val="맑은 고딕"/>
      <family val="3"/>
      <charset val="129"/>
    </font>
    <font>
      <sz val="11"/>
      <color indexed="17"/>
      <name val="맑은 고딕"/>
      <family val="3"/>
      <charset val="129"/>
    </font>
    <font>
      <b/>
      <sz val="11"/>
      <color indexed="8"/>
      <name val="ＭＳ Ｐゴシック"/>
      <family val="2"/>
      <charset val="128"/>
    </font>
    <font>
      <b/>
      <sz val="9"/>
      <color indexed="63"/>
      <name val="맑은 고딕"/>
      <family val="3"/>
      <charset val="129"/>
    </font>
    <font>
      <sz val="11"/>
      <name val="ＭＳ Ｐゴシック"/>
      <family val="2"/>
      <charset val="128"/>
    </font>
    <font>
      <sz val="9"/>
      <name val="맑은 고딕"/>
      <family val="3"/>
      <charset val="129"/>
    </font>
    <font>
      <b/>
      <sz val="18"/>
      <color indexed="56"/>
      <name val="ＭＳ Ｐゴシック"/>
      <family val="2"/>
      <charset val="128"/>
    </font>
    <font>
      <sz val="9"/>
      <color indexed="9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9"/>
      <color indexed="20"/>
      <name val="맑은 고딕"/>
      <family val="3"/>
      <charset val="129"/>
    </font>
    <font>
      <sz val="9"/>
      <color indexed="60"/>
      <name val="맑은 고딕"/>
      <family val="3"/>
      <charset val="129"/>
    </font>
    <font>
      <i/>
      <sz val="9"/>
      <color indexed="23"/>
      <name val="맑은 고딕"/>
      <family val="3"/>
      <charset val="129"/>
    </font>
    <font>
      <b/>
      <sz val="9"/>
      <color indexed="9"/>
      <name val="맑은 고딕"/>
      <family val="3"/>
      <charset val="129"/>
    </font>
    <font>
      <sz val="9"/>
      <color indexed="52"/>
      <name val="맑은 고딕"/>
      <family val="3"/>
      <charset val="129"/>
    </font>
    <font>
      <sz val="9"/>
      <color indexed="62"/>
      <name val="맑은 고딕"/>
      <family val="3"/>
      <charset val="129"/>
    </font>
    <font>
      <sz val="9"/>
      <color indexed="17"/>
      <name val="맑은 고딕"/>
      <family val="3"/>
      <charset val="129"/>
    </font>
    <font>
      <sz val="9"/>
      <color indexed="63"/>
      <name val="맑은 고딕"/>
      <family val="3"/>
      <charset val="129"/>
    </font>
    <font>
      <sz val="9"/>
      <color indexed="63"/>
      <name val="맑은 고딕"/>
      <family val="3"/>
      <charset val="129"/>
    </font>
    <font>
      <sz val="9"/>
      <color indexed="8"/>
      <name val="맑은 고딕"/>
      <family val="3"/>
      <charset val="129"/>
    </font>
    <font>
      <b/>
      <sz val="9"/>
      <color indexed="8"/>
      <name val="맑은 고딕"/>
      <family val="3"/>
      <charset val="129"/>
    </font>
    <font>
      <b/>
      <sz val="11"/>
      <color indexed="52"/>
      <name val="ＭＳ Ｐゴシック"/>
      <family val="2"/>
    </font>
    <font>
      <b/>
      <sz val="11"/>
      <color indexed="63"/>
      <name val="ＭＳ Ｐゴシック"/>
      <family val="2"/>
    </font>
    <font>
      <sz val="10"/>
      <name val="돋움체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  <font>
      <b/>
      <sz val="18"/>
      <color indexed="62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9"/>
      <color rgb="FFFF0000"/>
      <name val="맑은 고딕"/>
      <family val="3"/>
      <charset val="129"/>
    </font>
    <font>
      <b/>
      <sz val="9"/>
      <color rgb="FFFA7D00"/>
      <name val="맑은 고딕"/>
      <family val="3"/>
      <charset val="129"/>
    </font>
    <font>
      <sz val="9"/>
      <color rgb="FF9C0006"/>
      <name val="맑은 고딕"/>
      <family val="3"/>
      <charset val="129"/>
    </font>
    <font>
      <sz val="9"/>
      <color rgb="FF9C6500"/>
      <name val="맑은 고딕"/>
      <family val="3"/>
      <charset val="129"/>
    </font>
    <font>
      <i/>
      <sz val="9"/>
      <color rgb="FF7F7F7F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rgb="FFFA7D00"/>
      <name val="맑은 고딕"/>
      <family val="3"/>
      <charset val="129"/>
    </font>
    <font>
      <sz val="9"/>
      <color rgb="FF3F3F76"/>
      <name val="맑은 고딕"/>
      <family val="3"/>
      <charset val="129"/>
    </font>
    <font>
      <sz val="9"/>
      <color rgb="FF006100"/>
      <name val="맑은 고딕"/>
      <family val="3"/>
      <charset val="129"/>
    </font>
    <font>
      <sz val="9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trike/>
      <sz val="9"/>
      <color theme="0" tint="-0.499984740745262"/>
      <name val="맑은 고딕"/>
      <family val="3"/>
      <charset val="129"/>
      <scheme val="minor"/>
    </font>
    <font>
      <b/>
      <strike/>
      <sz val="9"/>
      <color theme="0" tint="-0.499984740745262"/>
      <name val="맑은 고딕"/>
      <family val="3"/>
      <charset val="129"/>
      <scheme val="minor"/>
    </font>
    <font>
      <sz val="7"/>
      <name val="맑은 고딕"/>
      <family val="3"/>
      <charset val="129"/>
    </font>
    <font>
      <sz val="7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0"/>
      <name val="ＭＳ Ｐゴシック"/>
      <family val="2"/>
      <charset val="128"/>
    </font>
    <font>
      <sz val="11"/>
      <color theme="1"/>
      <name val="맑은 고딕"/>
      <family val="3"/>
      <charset val="129"/>
      <scheme val="minor"/>
    </font>
    <font>
      <sz val="11"/>
      <color indexed="63"/>
      <name val="맑은 고딕"/>
      <family val="3"/>
      <charset val="129"/>
      <scheme val="minor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b/>
      <sz val="15"/>
      <color theme="3"/>
      <name val="맑은 고딕"/>
      <family val="3"/>
      <charset val="129"/>
    </font>
    <font>
      <b/>
      <sz val="13"/>
      <color theme="3"/>
      <name val="맑은 고딕"/>
      <family val="3"/>
      <charset val="129"/>
    </font>
    <font>
      <b/>
      <sz val="11"/>
      <color theme="3"/>
      <name val="맑은 고딕"/>
      <family val="3"/>
      <charset val="129"/>
    </font>
    <font>
      <b/>
      <sz val="18"/>
      <color theme="3"/>
      <name val="맑은 고딕"/>
      <family val="3"/>
      <charset val="129"/>
      <scheme val="major"/>
    </font>
    <font>
      <b/>
      <sz val="9"/>
      <color rgb="FF3F3F3F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8"/>
      <color theme="8" tint="-0.249977111117893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sz val="8"/>
      <color theme="0" tint="-0.249977111117893"/>
      <name val="맑은 고딕"/>
      <family val="3"/>
      <charset val="129"/>
      <scheme val="minor"/>
    </font>
    <font>
      <sz val="8"/>
      <color rgb="FFFF0000"/>
      <name val="맑은 고딕"/>
      <family val="3"/>
      <charset val="129"/>
      <scheme val="minor"/>
    </font>
  </fonts>
  <fills count="60">
    <fill>
      <patternFill patternType="none"/>
    </fill>
    <fill>
      <patternFill patternType="gray125"/>
    </fill>
    <fill>
      <patternFill patternType="solid">
        <fgColor indexed="8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30"/>
      </patternFill>
    </fill>
    <fill>
      <patternFill patternType="solid">
        <fgColor indexed="22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8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3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7978">
    <xf numFmtId="0" fontId="0" fillId="0" borderId="0">
      <alignment vertical="center"/>
    </xf>
    <xf numFmtId="0" fontId="25" fillId="2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6" fillId="4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65" fillId="2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67" fillId="3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67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65" fillId="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65" fillId="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67" fillId="5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67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65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65" fillId="6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67" fillId="7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67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65" fillId="6" borderId="0" applyNumberFormat="0" applyBorder="0" applyAlignment="0" applyProtection="0">
      <alignment vertical="center"/>
    </xf>
    <xf numFmtId="0" fontId="25" fillId="6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65" fillId="2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67" fillId="8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67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65" fillId="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65" fillId="2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67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67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65" fillId="28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65" fillId="29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67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67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65" fillId="29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26" fillId="10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6" fillId="14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65" fillId="2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67" fillId="10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67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65" fillId="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65" fillId="3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67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67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65" fillId="30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65" fillId="12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67" fillId="13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67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65" fillId="12" borderId="0" applyNumberFormat="0" applyBorder="0" applyAlignment="0" applyProtection="0">
      <alignment vertical="center"/>
    </xf>
    <xf numFmtId="0" fontId="25" fillId="12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65" fillId="2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67" fillId="8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67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65" fillId="2" borderId="0" applyNumberFormat="0" applyBorder="0" applyAlignment="0" applyProtection="0">
      <alignment vertical="center"/>
    </xf>
    <xf numFmtId="0" fontId="25" fillId="2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65" fillId="31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67" fillId="10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67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65" fillId="31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65" fillId="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67" fillId="1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67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65" fillId="4" borderId="0" applyNumberFormat="0" applyBorder="0" applyAlignment="0" applyProtection="0">
      <alignment vertical="center"/>
    </xf>
    <xf numFmtId="0" fontId="25" fillId="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56" fillId="16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56" fillId="16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77" fillId="32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77" fillId="12" borderId="0" applyNumberFormat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77" fillId="17" borderId="0" applyNumberFormat="0" applyBorder="0" applyAlignment="0" applyProtection="0">
      <alignment vertical="center"/>
    </xf>
    <xf numFmtId="0" fontId="27" fillId="17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77" fillId="33" borderId="0" applyNumberFormat="0" applyBorder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7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37" fillId="26" borderId="2" applyNumberFormat="0" applyAlignment="0" applyProtection="0">
      <alignment vertical="center"/>
    </xf>
    <xf numFmtId="176" fontId="54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4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4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27" borderId="9" applyFont="0" applyAlignment="0">
      <alignment horizontal="left" vertical="center" indent="2"/>
    </xf>
    <xf numFmtId="0" fontId="4" fillId="27" borderId="9" applyFont="0" applyAlignment="0">
      <alignment horizontal="left" vertical="center" indent="2"/>
    </xf>
    <xf numFmtId="0" fontId="4" fillId="27" borderId="9" applyFont="0" applyAlignment="0">
      <alignment horizontal="left" vertical="center" indent="2"/>
    </xf>
    <xf numFmtId="0" fontId="4" fillId="27" borderId="9" applyFont="0" applyAlignment="0">
      <alignment horizontal="left" vertical="center" indent="2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4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4" fillId="0" borderId="0">
      <alignment vertical="center"/>
    </xf>
    <xf numFmtId="0" fontId="53" fillId="0" borderId="0">
      <alignment vertical="center"/>
    </xf>
    <xf numFmtId="0" fontId="4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4" fillId="0" borderId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0" fillId="0" borderId="12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40" fillId="0" borderId="12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5" fillId="0" borderId="0" applyNumberFormat="0" applyFill="0" applyBorder="0" applyAlignment="0" applyProtection="0">
      <alignment vertical="center"/>
    </xf>
    <xf numFmtId="0" fontId="19" fillId="26" borderId="2" applyNumberFormat="0" applyAlignment="0" applyProtection="0">
      <alignment vertical="center"/>
    </xf>
    <xf numFmtId="0" fontId="19" fillId="26" borderId="2" applyNumberFormat="0" applyAlignment="0" applyProtection="0">
      <alignment vertical="center"/>
    </xf>
    <xf numFmtId="0" fontId="19" fillId="26" borderId="2" applyNumberFormat="0" applyAlignment="0" applyProtection="0">
      <alignment vertical="center"/>
    </xf>
    <xf numFmtId="0" fontId="19" fillId="26" borderId="2" applyNumberFormat="0" applyAlignment="0" applyProtection="0">
      <alignment vertical="center"/>
    </xf>
    <xf numFmtId="0" fontId="19" fillId="26" borderId="2" applyNumberFormat="0" applyAlignment="0" applyProtection="0">
      <alignment vertical="center"/>
    </xf>
    <xf numFmtId="0" fontId="19" fillId="26" borderId="2" applyNumberFormat="0" applyAlignment="0" applyProtection="0">
      <alignment vertical="center"/>
    </xf>
    <xf numFmtId="0" fontId="19" fillId="26" borderId="2" applyNumberFormat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53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56" fillId="20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56" fillId="20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56" fillId="21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77" fillId="34" borderId="0" applyNumberFormat="0" applyBorder="0" applyAlignment="0" applyProtection="0">
      <alignment vertical="center"/>
    </xf>
    <xf numFmtId="0" fontId="56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56" fillId="22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77" fillId="35" borderId="0" applyNumberFormat="0" applyBorder="0" applyAlignment="0" applyProtection="0">
      <alignment vertical="center"/>
    </xf>
    <xf numFmtId="0" fontId="56" fillId="22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56" fillId="18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77" fillId="36" borderId="0" applyNumberFormat="0" applyBorder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56" fillId="24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77" fillId="37" borderId="0" applyNumberFormat="0" applyBorder="0" applyAlignment="0" applyProtection="0">
      <alignment vertical="center"/>
    </xf>
    <xf numFmtId="0" fontId="56" fillId="24" borderId="0" applyNumberFormat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28" fillId="0" borderId="4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28" fillId="0" borderId="4" applyNumberFormat="0" applyFill="0" applyAlignment="0" applyProtection="0">
      <alignment vertical="center"/>
    </xf>
    <xf numFmtId="0" fontId="28" fillId="0" borderId="4" applyNumberFormat="0" applyFill="0" applyAlignment="0" applyProtection="0">
      <alignment vertical="center"/>
    </xf>
    <xf numFmtId="0" fontId="28" fillId="0" borderId="4" applyNumberFormat="0" applyFill="0" applyAlignment="0" applyProtection="0">
      <alignment vertical="center"/>
    </xf>
    <xf numFmtId="0" fontId="28" fillId="0" borderId="4" applyNumberFormat="0" applyFill="0" applyAlignment="0" applyProtection="0">
      <alignment vertical="center"/>
    </xf>
    <xf numFmtId="0" fontId="28" fillId="0" borderId="4" applyNumberFormat="0" applyFill="0" applyAlignment="0" applyProtection="0">
      <alignment vertical="center"/>
    </xf>
    <xf numFmtId="0" fontId="28" fillId="0" borderId="4" applyNumberFormat="0" applyFill="0" applyAlignment="0" applyProtection="0">
      <alignment vertical="center"/>
    </xf>
    <xf numFmtId="0" fontId="28" fillId="0" borderId="4" applyNumberFormat="0" applyFill="0" applyAlignment="0" applyProtection="0">
      <alignment vertical="center"/>
    </xf>
    <xf numFmtId="0" fontId="28" fillId="0" borderId="4" applyNumberFormat="0" applyFill="0" applyAlignment="0" applyProtection="0">
      <alignment vertical="center"/>
    </xf>
    <xf numFmtId="0" fontId="28" fillId="0" borderId="4" applyNumberFormat="0" applyFill="0" applyAlignment="0" applyProtection="0">
      <alignment vertical="center"/>
    </xf>
    <xf numFmtId="0" fontId="28" fillId="0" borderId="4" applyNumberFormat="0" applyFill="0" applyAlignment="0" applyProtection="0">
      <alignment vertical="center"/>
    </xf>
    <xf numFmtId="0" fontId="28" fillId="0" borderId="4" applyNumberFormat="0" applyFill="0" applyAlignment="0" applyProtection="0">
      <alignment vertical="center"/>
    </xf>
    <xf numFmtId="0" fontId="28" fillId="0" borderId="4" applyNumberFormat="0" applyFill="0" applyAlignment="0" applyProtection="0">
      <alignment vertical="center"/>
    </xf>
    <xf numFmtId="0" fontId="28" fillId="0" borderId="4" applyNumberFormat="0" applyFill="0" applyAlignment="0" applyProtection="0">
      <alignment vertical="center"/>
    </xf>
    <xf numFmtId="0" fontId="28" fillId="0" borderId="4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28" fillId="0" borderId="4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29" fillId="0" borderId="5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30" fillId="0" borderId="7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25" borderId="1" applyNumberFormat="0" applyAlignment="0" applyProtection="0">
      <alignment vertical="center"/>
    </xf>
    <xf numFmtId="0" fontId="1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58" fillId="5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80" fillId="38" borderId="0" applyNumberFormat="0" applyBorder="0" applyAlignment="0" applyProtection="0">
      <alignment vertical="center"/>
    </xf>
    <xf numFmtId="0" fontId="58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66" fillId="43" borderId="19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66" fillId="43" borderId="19" applyNumberFormat="0" applyFont="0" applyAlignment="0" applyProtection="0">
      <alignment vertical="center"/>
    </xf>
    <xf numFmtId="0" fontId="66" fillId="43" borderId="19" applyNumberFormat="0" applyFont="0" applyAlignment="0" applyProtection="0">
      <alignment vertical="center"/>
    </xf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9" fontId="71" fillId="0" borderId="0" applyFont="0" applyFill="0" applyBorder="0" applyAlignment="0" applyProtection="0"/>
    <xf numFmtId="9" fontId="71" fillId="0" borderId="0" applyFont="0" applyFill="0" applyBorder="0" applyAlignment="0" applyProtection="0"/>
    <xf numFmtId="9" fontId="4" fillId="0" borderId="0" applyFont="0" applyFill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59" fillId="12" borderId="0" applyNumberFormat="0" applyBorder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81" fillId="42" borderId="0" applyNumberFormat="0" applyBorder="0" applyAlignment="0" applyProtection="0">
      <alignment vertical="center"/>
    </xf>
    <xf numFmtId="0" fontId="59" fillId="12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82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83" fillId="39" borderId="16" applyNumberFormat="0" applyAlignment="0" applyProtection="0">
      <alignment vertical="center"/>
    </xf>
    <xf numFmtId="0" fontId="83" fillId="39" borderId="16" applyNumberFormat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61" fillId="26" borderId="2" applyNumberFormat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83" fillId="39" borderId="16" applyNumberFormat="0" applyAlignment="0" applyProtection="0">
      <alignment vertical="center"/>
    </xf>
    <xf numFmtId="0" fontId="83" fillId="39" borderId="16" applyNumberFormat="0" applyAlignment="0" applyProtection="0">
      <alignment vertical="center"/>
    </xf>
    <xf numFmtId="0" fontId="83" fillId="39" borderId="16" applyNumberFormat="0" applyAlignment="0" applyProtection="0">
      <alignment vertical="center"/>
    </xf>
    <xf numFmtId="0" fontId="83" fillId="39" borderId="16" applyNumberFormat="0" applyAlignment="0" applyProtection="0">
      <alignment vertical="center"/>
    </xf>
    <xf numFmtId="0" fontId="61" fillId="26" borderId="2" applyNumberFormat="0" applyAlignment="0" applyProtection="0">
      <alignment vertical="center"/>
    </xf>
    <xf numFmtId="41" fontId="25" fillId="0" borderId="0" applyFont="0" applyFill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84" fillId="0" borderId="18" applyNumberFormat="0" applyFill="0" applyAlignment="0" applyProtection="0">
      <alignment vertical="center"/>
    </xf>
    <xf numFmtId="0" fontId="84" fillId="0" borderId="18" applyNumberFormat="0" applyFill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62" fillId="0" borderId="8" applyNumberFormat="0" applyFill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84" fillId="0" borderId="18" applyNumberFormat="0" applyFill="0" applyAlignment="0" applyProtection="0">
      <alignment vertical="center"/>
    </xf>
    <xf numFmtId="0" fontId="84" fillId="0" borderId="18" applyNumberFormat="0" applyFill="0" applyAlignment="0" applyProtection="0">
      <alignment vertical="center"/>
    </xf>
    <xf numFmtId="0" fontId="84" fillId="0" borderId="18" applyNumberFormat="0" applyFill="0" applyAlignment="0" applyProtection="0">
      <alignment vertical="center"/>
    </xf>
    <xf numFmtId="0" fontId="84" fillId="0" borderId="18" applyNumberFormat="0" applyFill="0" applyAlignment="0" applyProtection="0">
      <alignment vertical="center"/>
    </xf>
    <xf numFmtId="0" fontId="62" fillId="0" borderId="8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40" fillId="0" borderId="12" applyNumberFormat="0" applyFill="0" applyAlignment="0" applyProtection="0">
      <alignment vertical="center"/>
    </xf>
    <xf numFmtId="0" fontId="40" fillId="0" borderId="12" applyNumberFormat="0" applyFill="0" applyAlignment="0" applyProtection="0">
      <alignment vertical="center"/>
    </xf>
    <xf numFmtId="0" fontId="40" fillId="0" borderId="12" applyNumberFormat="0" applyFill="0" applyAlignment="0" applyProtection="0">
      <alignment vertical="center"/>
    </xf>
    <xf numFmtId="0" fontId="52" fillId="0" borderId="12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68" fillId="0" borderId="13" applyNumberFormat="0" applyFill="0" applyAlignment="0" applyProtection="0">
      <alignment vertical="center"/>
    </xf>
    <xf numFmtId="0" fontId="40" fillId="0" borderId="12" applyNumberFormat="0" applyFill="0" applyAlignment="0" applyProtection="0">
      <alignment vertical="center"/>
    </xf>
    <xf numFmtId="0" fontId="68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40" fillId="0" borderId="12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40" fillId="0" borderId="12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40" fillId="0" borderId="12" applyNumberFormat="0" applyFill="0" applyAlignment="0" applyProtection="0">
      <alignment vertical="center"/>
    </xf>
    <xf numFmtId="0" fontId="40" fillId="0" borderId="12" applyNumberFormat="0" applyFill="0" applyAlignment="0" applyProtection="0">
      <alignment vertical="center"/>
    </xf>
    <xf numFmtId="0" fontId="40" fillId="0" borderId="12" applyNumberFormat="0" applyFill="0" applyAlignment="0" applyProtection="0">
      <alignment vertical="center"/>
    </xf>
    <xf numFmtId="0" fontId="40" fillId="0" borderId="12" applyNumberFormat="0" applyFill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6" fillId="0" borderId="17" applyNumberFormat="0" applyFill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6" fillId="0" borderId="5" applyNumberFormat="0" applyFill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64" fillId="7" borderId="0" applyNumberFormat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86" fillId="40" borderId="0" applyNumberFormat="0" applyBorder="0" applyAlignment="0" applyProtection="0">
      <alignment vertical="center"/>
    </xf>
    <xf numFmtId="0" fontId="64" fillId="7" borderId="0" applyNumberFormat="0" applyBorder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70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70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70" fillId="0" borderId="12" applyNumberFormat="0" applyFill="0" applyAlignment="0" applyProtection="0">
      <alignment vertical="center"/>
    </xf>
    <xf numFmtId="0" fontId="70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70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70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70" fillId="0" borderId="12" applyNumberFormat="0" applyFill="0" applyAlignment="0" applyProtection="0">
      <alignment vertical="center"/>
    </xf>
    <xf numFmtId="0" fontId="70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15" fillId="0" borderId="12" applyNumberFormat="0" applyFill="0" applyAlignment="0" applyProtection="0">
      <alignment vertical="center"/>
    </xf>
    <xf numFmtId="0" fontId="51" fillId="0" borderId="13" applyNumberFormat="0" applyFill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4" fillId="0" borderId="0">
      <alignment vertical="center"/>
    </xf>
    <xf numFmtId="0" fontId="24" fillId="3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65" fillId="43" borderId="19" applyNumberFormat="0" applyFont="0" applyAlignment="0" applyProtection="0">
      <alignment vertical="center"/>
    </xf>
    <xf numFmtId="0" fontId="65" fillId="43" borderId="19" applyNumberFormat="0" applyFont="0" applyAlignment="0" applyProtection="0">
      <alignment vertical="center"/>
    </xf>
    <xf numFmtId="0" fontId="65" fillId="43" borderId="19" applyNumberFormat="0" applyFont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3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24" fillId="3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93" fillId="0" borderId="0">
      <alignment vertical="center"/>
    </xf>
    <xf numFmtId="0" fontId="57" fillId="0" borderId="0" applyNumberFormat="0" applyFill="0" applyBorder="0" applyAlignment="0" applyProtection="0">
      <alignment vertical="center"/>
    </xf>
    <xf numFmtId="0" fontId="24" fillId="0" borderId="0">
      <alignment vertical="center"/>
    </xf>
    <xf numFmtId="0" fontId="94" fillId="0" borderId="0"/>
    <xf numFmtId="0" fontId="24" fillId="0" borderId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4" fillId="0" borderId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25" fillId="0" borderId="0">
      <alignment vertical="center"/>
    </xf>
    <xf numFmtId="0" fontId="4" fillId="0" borderId="0"/>
    <xf numFmtId="0" fontId="65" fillId="0" borderId="0">
      <alignment vertical="center"/>
    </xf>
    <xf numFmtId="0" fontId="95" fillId="0" borderId="0">
      <alignment vertical="center"/>
    </xf>
    <xf numFmtId="0" fontId="24" fillId="0" borderId="0">
      <alignment vertical="center"/>
    </xf>
    <xf numFmtId="0" fontId="94" fillId="0" borderId="0"/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4" fillId="0" borderId="0">
      <alignment vertical="center"/>
    </xf>
    <xf numFmtId="0" fontId="94" fillId="0" borderId="0"/>
    <xf numFmtId="0" fontId="94" fillId="0" borderId="0"/>
    <xf numFmtId="0" fontId="24" fillId="0" borderId="0">
      <alignment vertical="center"/>
    </xf>
    <xf numFmtId="0" fontId="94" fillId="0" borderId="0"/>
    <xf numFmtId="0" fontId="94" fillId="0" borderId="0"/>
    <xf numFmtId="0" fontId="24" fillId="0" borderId="0">
      <alignment vertical="center"/>
    </xf>
    <xf numFmtId="0" fontId="94" fillId="0" borderId="0"/>
    <xf numFmtId="0" fontId="94" fillId="0" borderId="0"/>
    <xf numFmtId="0" fontId="24" fillId="0" borderId="0">
      <alignment vertical="center"/>
    </xf>
    <xf numFmtId="0" fontId="94" fillId="0" borderId="0"/>
    <xf numFmtId="0" fontId="94" fillId="0" borderId="0"/>
    <xf numFmtId="0" fontId="24" fillId="0" borderId="0">
      <alignment vertical="center"/>
    </xf>
    <xf numFmtId="0" fontId="24" fillId="0" borderId="0">
      <alignment vertical="center"/>
    </xf>
    <xf numFmtId="0" fontId="96" fillId="0" borderId="0">
      <alignment vertical="center"/>
    </xf>
    <xf numFmtId="0" fontId="96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95" fillId="0" borderId="0"/>
    <xf numFmtId="0" fontId="25" fillId="0" borderId="0">
      <alignment vertical="center"/>
    </xf>
    <xf numFmtId="0" fontId="25" fillId="0" borderId="0">
      <alignment vertical="center"/>
    </xf>
    <xf numFmtId="0" fontId="50" fillId="7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71" fillId="0" borderId="0"/>
    <xf numFmtId="0" fontId="94" fillId="0" borderId="0"/>
    <xf numFmtId="0" fontId="94" fillId="0" borderId="0"/>
    <xf numFmtId="0" fontId="27" fillId="15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35" fillId="12" borderId="0" applyNumberFormat="0" applyBorder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" fillId="6" borderId="10" applyNumberFormat="0" applyFont="0" applyAlignment="0" applyProtection="0">
      <alignment vertical="center"/>
    </xf>
    <xf numFmtId="0" fontId="94" fillId="0" borderId="0"/>
    <xf numFmtId="0" fontId="94" fillId="0" borderId="0"/>
    <xf numFmtId="0" fontId="71" fillId="0" borderId="0"/>
    <xf numFmtId="0" fontId="69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71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7" fillId="16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5" fillId="0" borderId="0">
      <alignment vertical="center"/>
    </xf>
    <xf numFmtId="0" fontId="69" fillId="25" borderId="1" applyNumberFormat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96" fillId="0" borderId="0">
      <alignment vertical="center"/>
    </xf>
    <xf numFmtId="0" fontId="94" fillId="0" borderId="0"/>
    <xf numFmtId="0" fontId="24" fillId="0" borderId="0">
      <alignment vertical="center"/>
    </xf>
    <xf numFmtId="0" fontId="69" fillId="25" borderId="1" applyNumberFormat="0" applyAlignment="0" applyProtection="0">
      <alignment vertical="center"/>
    </xf>
    <xf numFmtId="0" fontId="24" fillId="0" borderId="0">
      <alignment vertical="center"/>
    </xf>
    <xf numFmtId="0" fontId="94" fillId="0" borderId="0"/>
    <xf numFmtId="0" fontId="94" fillId="0" borderId="0"/>
    <xf numFmtId="0" fontId="69" fillId="25" borderId="1" applyNumberFormat="0" applyAlignment="0" applyProtection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69" fillId="17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69" fillId="25" borderId="1" applyNumberFormat="0" applyAlignment="0" applyProtection="0">
      <alignment vertical="center"/>
    </xf>
    <xf numFmtId="0" fontId="94" fillId="0" borderId="0"/>
    <xf numFmtId="0" fontId="69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94" fillId="0" borderId="0"/>
    <xf numFmtId="0" fontId="69" fillId="25" borderId="1" applyNumberFormat="0" applyAlignment="0" applyProtection="0">
      <alignment vertical="center"/>
    </xf>
    <xf numFmtId="0" fontId="94" fillId="0" borderId="0"/>
    <xf numFmtId="0" fontId="71" fillId="0" borderId="0"/>
    <xf numFmtId="0" fontId="69" fillId="17" borderId="1" applyNumberFormat="0" applyAlignment="0" applyProtection="0">
      <alignment vertical="center"/>
    </xf>
    <xf numFmtId="0" fontId="94" fillId="0" borderId="0"/>
    <xf numFmtId="0" fontId="94" fillId="0" borderId="0"/>
    <xf numFmtId="0" fontId="69" fillId="17" borderId="1" applyNumberFormat="0" applyAlignment="0" applyProtection="0">
      <alignment vertical="center"/>
    </xf>
    <xf numFmtId="0" fontId="94" fillId="0" borderId="0"/>
    <xf numFmtId="0" fontId="94" fillId="0" borderId="0"/>
    <xf numFmtId="0" fontId="69" fillId="17" borderId="1" applyNumberFormat="0" applyAlignment="0" applyProtection="0">
      <alignment vertical="center"/>
    </xf>
    <xf numFmtId="0" fontId="94" fillId="0" borderId="0"/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94" fillId="0" borderId="0"/>
    <xf numFmtId="0" fontId="69" fillId="17" borderId="1" applyNumberFormat="0" applyAlignment="0" applyProtection="0">
      <alignment vertical="center"/>
    </xf>
    <xf numFmtId="0" fontId="94" fillId="0" borderId="0"/>
    <xf numFmtId="0" fontId="69" fillId="17" borderId="1" applyNumberFormat="0" applyAlignment="0" applyProtection="0">
      <alignment vertical="center"/>
    </xf>
    <xf numFmtId="0" fontId="94" fillId="0" borderId="0"/>
    <xf numFmtId="0" fontId="69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94" fillId="0" borderId="0"/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94" fillId="0" borderId="0"/>
    <xf numFmtId="0" fontId="69" fillId="17" borderId="1" applyNumberFormat="0" applyAlignment="0" applyProtection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4" fillId="0" borderId="0">
      <alignment vertical="center"/>
    </xf>
    <xf numFmtId="0" fontId="24" fillId="0" borderId="0">
      <alignment vertical="center"/>
    </xf>
    <xf numFmtId="0" fontId="94" fillId="0" borderId="0"/>
    <xf numFmtId="0" fontId="24" fillId="0" borderId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94" fillId="0" borderId="0"/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69" fillId="17" borderId="1" applyNumberFormat="0" applyAlignment="0" applyProtection="0">
      <alignment vertical="center"/>
    </xf>
    <xf numFmtId="0" fontId="94" fillId="0" borderId="0"/>
    <xf numFmtId="0" fontId="94" fillId="0" borderId="0"/>
    <xf numFmtId="0" fontId="4" fillId="0" borderId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94" fillId="0" borderId="0"/>
    <xf numFmtId="0" fontId="97" fillId="0" borderId="0">
      <alignment vertical="center"/>
    </xf>
    <xf numFmtId="0" fontId="71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70" fillId="25" borderId="11" applyNumberFormat="0" applyAlignment="0" applyProtection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94" fillId="0" borderId="0"/>
    <xf numFmtId="0" fontId="94" fillId="0" borderId="0"/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71" fillId="0" borderId="0"/>
    <xf numFmtId="0" fontId="12" fillId="25" borderId="1" applyNumberFormat="0" applyAlignment="0" applyProtection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69" fillId="25" borderId="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71" fillId="0" borderId="0"/>
    <xf numFmtId="0" fontId="50" fillId="7" borderId="0" applyNumberFormat="0" applyBorder="0" applyAlignment="0" applyProtection="0">
      <alignment vertical="center"/>
    </xf>
    <xf numFmtId="0" fontId="94" fillId="0" borderId="0"/>
    <xf numFmtId="0" fontId="70" fillId="0" borderId="12" applyNumberFormat="0" applyFill="0" applyAlignment="0" applyProtection="0">
      <alignment vertical="center"/>
    </xf>
    <xf numFmtId="0" fontId="70" fillId="0" borderId="12" applyNumberFormat="0" applyFill="0" applyAlignment="0" applyProtection="0">
      <alignment vertical="center"/>
    </xf>
    <xf numFmtId="0" fontId="70" fillId="0" borderId="12" applyNumberFormat="0" applyFill="0" applyAlignment="0" applyProtection="0">
      <alignment vertical="center"/>
    </xf>
    <xf numFmtId="0" fontId="70" fillId="0" borderId="12" applyNumberFormat="0" applyFill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24" fillId="3" borderId="0" applyNumberFormat="0" applyBorder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17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93" fillId="0" borderId="0">
      <alignment vertical="center"/>
    </xf>
    <xf numFmtId="0" fontId="24" fillId="0" borderId="0">
      <alignment vertical="center"/>
    </xf>
    <xf numFmtId="0" fontId="94" fillId="0" borderId="0"/>
    <xf numFmtId="0" fontId="24" fillId="0" borderId="0">
      <alignment vertical="center"/>
    </xf>
    <xf numFmtId="0" fontId="93" fillId="0" borderId="0">
      <alignment vertical="center"/>
    </xf>
    <xf numFmtId="0" fontId="57" fillId="0" borderId="0" applyNumberFormat="0" applyFill="0" applyBorder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12" fillId="25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25" fillId="0" borderId="0">
      <alignment vertical="center"/>
    </xf>
    <xf numFmtId="0" fontId="4" fillId="0" borderId="0"/>
    <xf numFmtId="0" fontId="65" fillId="0" borderId="0">
      <alignment vertical="center"/>
    </xf>
    <xf numFmtId="0" fontId="95" fillId="0" borderId="0">
      <alignment vertical="center"/>
    </xf>
    <xf numFmtId="0" fontId="24" fillId="0" borderId="0">
      <alignment vertical="center"/>
    </xf>
    <xf numFmtId="0" fontId="94" fillId="0" borderId="0"/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4" fillId="0" borderId="0">
      <alignment vertical="center"/>
    </xf>
    <xf numFmtId="0" fontId="94" fillId="0" borderId="0"/>
    <xf numFmtId="0" fontId="94" fillId="0" borderId="0"/>
    <xf numFmtId="0" fontId="24" fillId="0" borderId="0">
      <alignment vertical="center"/>
    </xf>
    <xf numFmtId="0" fontId="94" fillId="0" borderId="0"/>
    <xf numFmtId="0" fontId="94" fillId="0" borderId="0"/>
    <xf numFmtId="0" fontId="24" fillId="0" borderId="0">
      <alignment vertical="center"/>
    </xf>
    <xf numFmtId="0" fontId="94" fillId="0" borderId="0"/>
    <xf numFmtId="0" fontId="94" fillId="0" borderId="0"/>
    <xf numFmtId="0" fontId="24" fillId="0" borderId="0">
      <alignment vertical="center"/>
    </xf>
    <xf numFmtId="0" fontId="94" fillId="0" borderId="0"/>
    <xf numFmtId="0" fontId="94" fillId="0" borderId="0"/>
    <xf numFmtId="0" fontId="24" fillId="0" borderId="0">
      <alignment vertical="center"/>
    </xf>
    <xf numFmtId="0" fontId="24" fillId="0" borderId="0">
      <alignment vertical="center"/>
    </xf>
    <xf numFmtId="0" fontId="96" fillId="0" borderId="0">
      <alignment vertical="center"/>
    </xf>
    <xf numFmtId="0" fontId="96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95" fillId="0" borderId="0"/>
    <xf numFmtId="0" fontId="25" fillId="0" borderId="0">
      <alignment vertical="center"/>
    </xf>
    <xf numFmtId="0" fontId="25" fillId="0" borderId="0">
      <alignment vertical="center"/>
    </xf>
    <xf numFmtId="9" fontId="93" fillId="0" borderId="0" applyFont="0" applyFill="0" applyBorder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17" borderId="1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17" borderId="11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69" fillId="25" borderId="1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2" fillId="0" borderId="0" applyNumberFormat="0" applyFill="0" applyBorder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2" fillId="0" borderId="0">
      <alignment vertical="center"/>
    </xf>
    <xf numFmtId="0" fontId="93" fillId="0" borderId="0">
      <alignment vertical="center"/>
    </xf>
    <xf numFmtId="0" fontId="32" fillId="17" borderId="1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17" borderId="1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70" fillId="25" borderId="11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4" fillId="0" borderId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4" fillId="0" borderId="0">
      <alignment vertical="center"/>
    </xf>
    <xf numFmtId="0" fontId="94" fillId="0" borderId="0"/>
    <xf numFmtId="0" fontId="4" fillId="0" borderId="0">
      <alignment vertical="center"/>
    </xf>
    <xf numFmtId="0" fontId="4" fillId="0" borderId="0">
      <alignment vertical="center"/>
    </xf>
    <xf numFmtId="0" fontId="94" fillId="0" borderId="0"/>
    <xf numFmtId="0" fontId="71" fillId="0" borderId="0"/>
    <xf numFmtId="0" fontId="4" fillId="0" borderId="0">
      <alignment vertical="center"/>
    </xf>
    <xf numFmtId="0" fontId="41" fillId="4" borderId="1" applyNumberFormat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4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2" fillId="17" borderId="1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9" fillId="25" borderId="1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1" fillId="4" borderId="1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9" fillId="25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70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1" fillId="0" borderId="0"/>
    <xf numFmtId="0" fontId="70" fillId="25" borderId="11" applyNumberFormat="0" applyAlignment="0" applyProtection="0">
      <alignment vertical="center"/>
    </xf>
    <xf numFmtId="9" fontId="93" fillId="0" borderId="0" applyFon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33" fillId="17" borderId="1" applyNumberFormat="0" applyAlignment="0" applyProtection="0">
      <alignment vertical="center"/>
    </xf>
    <xf numFmtId="0" fontId="63" fillId="4" borderId="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7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24" fillId="0" borderId="0">
      <alignment vertical="center"/>
    </xf>
    <xf numFmtId="0" fontId="94" fillId="0" borderId="0"/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4" fillId="0" borderId="0">
      <alignment vertical="center"/>
    </xf>
    <xf numFmtId="0" fontId="94" fillId="0" borderId="0"/>
    <xf numFmtId="0" fontId="24" fillId="0" borderId="0">
      <alignment vertical="center"/>
    </xf>
    <xf numFmtId="0" fontId="94" fillId="0" borderId="0"/>
    <xf numFmtId="0" fontId="24" fillId="0" borderId="0">
      <alignment vertical="center"/>
    </xf>
    <xf numFmtId="0" fontId="94" fillId="0" borderId="0"/>
    <xf numFmtId="0" fontId="24" fillId="0" borderId="0">
      <alignment vertical="center"/>
    </xf>
    <xf numFmtId="0" fontId="94" fillId="0" borderId="0"/>
    <xf numFmtId="0" fontId="24" fillId="0" borderId="0">
      <alignment vertical="center"/>
    </xf>
    <xf numFmtId="0" fontId="24" fillId="0" borderId="0">
      <alignment vertical="center"/>
    </xf>
    <xf numFmtId="0" fontId="71" fillId="0" borderId="0"/>
    <xf numFmtId="0" fontId="24" fillId="3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4" fillId="7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  <xf numFmtId="0" fontId="24" fillId="4" borderId="0" applyNumberFormat="0" applyBorder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79" fillId="25" borderId="15" applyNumberFormat="0" applyAlignment="0" applyProtection="0">
      <alignment vertical="center"/>
    </xf>
    <xf numFmtId="0" fontId="97" fillId="46" borderId="0" applyNumberFormat="0" applyBorder="0" applyAlignment="0" applyProtection="0">
      <alignment vertical="center"/>
    </xf>
    <xf numFmtId="0" fontId="97" fillId="46" borderId="0" applyNumberFormat="0" applyBorder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7" fillId="49" borderId="0" applyNumberFormat="0" applyBorder="0" applyAlignment="0" applyProtection="0">
      <alignment vertical="center"/>
    </xf>
    <xf numFmtId="0" fontId="97" fillId="50" borderId="0" applyNumberFormat="0" applyBorder="0" applyAlignment="0" applyProtection="0">
      <alignment vertical="center"/>
    </xf>
    <xf numFmtId="0" fontId="97" fillId="50" borderId="0" applyNumberFormat="0" applyBorder="0" applyAlignment="0" applyProtection="0">
      <alignment vertical="center"/>
    </xf>
    <xf numFmtId="0" fontId="97" fillId="54" borderId="0" applyNumberFormat="0" applyBorder="0" applyAlignment="0" applyProtection="0">
      <alignment vertical="center"/>
    </xf>
    <xf numFmtId="0" fontId="65" fillId="43" borderId="19" applyNumberFormat="0" applyFont="0" applyAlignment="0" applyProtection="0">
      <alignment vertical="center"/>
    </xf>
    <xf numFmtId="0" fontId="97" fillId="54" borderId="0" applyNumberFormat="0" applyBorder="0" applyAlignment="0" applyProtection="0">
      <alignment vertical="center"/>
    </xf>
    <xf numFmtId="0" fontId="97" fillId="28" borderId="0" applyNumberFormat="0" applyBorder="0" applyAlignment="0" applyProtection="0">
      <alignment vertical="center"/>
    </xf>
    <xf numFmtId="0" fontId="65" fillId="43" borderId="19" applyNumberFormat="0" applyFont="0" applyAlignment="0" applyProtection="0">
      <alignment vertical="center"/>
    </xf>
    <xf numFmtId="0" fontId="65" fillId="43" borderId="19" applyNumberFormat="0" applyFont="0" applyAlignment="0" applyProtection="0">
      <alignment vertical="center"/>
    </xf>
    <xf numFmtId="0" fontId="97" fillId="28" borderId="0" applyNumberFormat="0" applyBorder="0" applyAlignment="0" applyProtection="0">
      <alignment vertical="center"/>
    </xf>
    <xf numFmtId="0" fontId="97" fillId="29" borderId="0" applyNumberFormat="0" applyBorder="0" applyAlignment="0" applyProtection="0">
      <alignment vertical="center"/>
    </xf>
    <xf numFmtId="0" fontId="97" fillId="29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1" borderId="0" applyNumberFormat="0" applyBorder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24" fillId="8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52" fillId="0" borderId="12" applyNumberFormat="0" applyFill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97" fillId="47" borderId="0" applyNumberFormat="0" applyBorder="0" applyAlignment="0" applyProtection="0">
      <alignment vertical="center"/>
    </xf>
    <xf numFmtId="0" fontId="97" fillId="47" borderId="0" applyNumberFormat="0" applyBorder="0" applyAlignment="0" applyProtection="0">
      <alignment vertical="center"/>
    </xf>
    <xf numFmtId="0" fontId="97" fillId="30" borderId="0" applyNumberFormat="0" applyBorder="0" applyAlignment="0" applyProtection="0">
      <alignment vertical="center"/>
    </xf>
    <xf numFmtId="0" fontId="97" fillId="30" borderId="0" applyNumberFormat="0" applyBorder="0" applyAlignment="0" applyProtection="0">
      <alignment vertical="center"/>
    </xf>
    <xf numFmtId="0" fontId="97" fillId="51" borderId="0" applyNumberFormat="0" applyBorder="0" applyAlignment="0" applyProtection="0">
      <alignment vertical="center"/>
    </xf>
    <xf numFmtId="0" fontId="97" fillId="51" borderId="0" applyNumberFormat="0" applyBorder="0" applyAlignment="0" applyProtection="0">
      <alignment vertical="center"/>
    </xf>
    <xf numFmtId="0" fontId="97" fillId="55" borderId="0" applyNumberFormat="0" applyBorder="0" applyAlignment="0" applyProtection="0">
      <alignment vertical="center"/>
    </xf>
    <xf numFmtId="0" fontId="97" fillId="55" borderId="0" applyNumberFormat="0" applyBorder="0" applyAlignment="0" applyProtection="0">
      <alignment vertical="center"/>
    </xf>
    <xf numFmtId="0" fontId="97" fillId="31" borderId="0" applyNumberFormat="0" applyBorder="0" applyAlignment="0" applyProtection="0">
      <alignment vertical="center"/>
    </xf>
    <xf numFmtId="0" fontId="97" fillId="31" borderId="0" applyNumberFormat="0" applyBorder="0" applyAlignment="0" applyProtection="0">
      <alignment vertical="center"/>
    </xf>
    <xf numFmtId="0" fontId="97" fillId="57" borderId="0" applyNumberFormat="0" applyBorder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97" fillId="57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85" fillId="41" borderId="15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77" fillId="48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4" fillId="0" borderId="3" applyNumberFormat="0" applyFill="0" applyAlignment="0" applyProtection="0">
      <alignment vertical="center"/>
    </xf>
    <xf numFmtId="0" fontId="77" fillId="52" borderId="0" applyNumberFormat="0" applyBorder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77" fillId="56" borderId="0" applyNumberFormat="0" applyBorder="0" applyAlignment="0" applyProtection="0">
      <alignment vertical="center"/>
    </xf>
    <xf numFmtId="0" fontId="77" fillId="58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46" fillId="0" borderId="17" applyNumberFormat="0" applyFill="0" applyAlignment="0" applyProtection="0">
      <alignment vertical="center"/>
    </xf>
    <xf numFmtId="0" fontId="27" fillId="21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15" borderId="0" applyNumberFormat="0" applyBorder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27" fillId="24" borderId="0" applyNumberFormat="0" applyBorder="0" applyAlignment="0" applyProtection="0">
      <alignment vertical="center"/>
    </xf>
    <xf numFmtId="0" fontId="34" fillId="5" borderId="0" applyNumberFormat="0" applyBorder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7" fillId="26" borderId="2" applyNumberFormat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50" fillId="7" borderId="0" applyNumberFormat="0" applyBorder="0" applyAlignment="0" applyProtection="0">
      <alignment vertical="center"/>
    </xf>
    <xf numFmtId="0" fontId="43" fillId="0" borderId="4" applyNumberFormat="0" applyFill="0" applyAlignment="0" applyProtection="0">
      <alignment vertical="center"/>
    </xf>
    <xf numFmtId="0" fontId="45" fillId="0" borderId="5" applyNumberFormat="0" applyFill="0" applyAlignment="0" applyProtection="0">
      <alignment vertical="center"/>
    </xf>
    <xf numFmtId="0" fontId="47" fillId="0" borderId="7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6" applyNumberFormat="0" applyFill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38" fillId="0" borderId="8" applyNumberFormat="0" applyFill="0" applyAlignment="0" applyProtection="0">
      <alignment vertical="center"/>
    </xf>
    <xf numFmtId="0" fontId="35" fillId="12" borderId="0" applyNumberFormat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9" fillId="0" borderId="13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77" fillId="45" borderId="0" applyNumberFormat="0" applyBorder="0" applyAlignment="0" applyProtection="0">
      <alignment vertical="center"/>
    </xf>
    <xf numFmtId="0" fontId="77" fillId="53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79" fillId="44" borderId="15" applyNumberFormat="0" applyAlignment="0" applyProtection="0">
      <alignment vertical="center"/>
    </xf>
    <xf numFmtId="0" fontId="79" fillId="44" borderId="15" applyNumberFormat="0" applyAlignment="0" applyProtection="0">
      <alignment vertical="center"/>
    </xf>
    <xf numFmtId="0" fontId="79" fillId="44" borderId="15" applyNumberFormat="0" applyAlignment="0" applyProtection="0">
      <alignment vertical="center"/>
    </xf>
    <xf numFmtId="0" fontId="79" fillId="44" borderId="15" applyNumberFormat="0" applyAlignment="0" applyProtection="0">
      <alignment vertical="center"/>
    </xf>
    <xf numFmtId="0" fontId="79" fillId="44" borderId="15" applyNumberFormat="0" applyAlignment="0" applyProtection="0">
      <alignment vertical="center"/>
    </xf>
    <xf numFmtId="0" fontId="79" fillId="44" borderId="15" applyNumberFormat="0" applyAlignment="0" applyProtection="0">
      <alignment vertical="center"/>
    </xf>
    <xf numFmtId="0" fontId="79" fillId="44" borderId="15" applyNumberFormat="0" applyAlignment="0" applyProtection="0">
      <alignment vertical="center"/>
    </xf>
    <xf numFmtId="0" fontId="79" fillId="44" borderId="15" applyNumberFormat="0" applyAlignment="0" applyProtection="0">
      <alignment vertical="center"/>
    </xf>
    <xf numFmtId="0" fontId="79" fillId="44" borderId="15" applyNumberFormat="0" applyAlignment="0" applyProtection="0">
      <alignment vertical="center"/>
    </xf>
    <xf numFmtId="0" fontId="79" fillId="44" borderId="15" applyNumberFormat="0" applyAlignment="0" applyProtection="0">
      <alignment vertical="center"/>
    </xf>
    <xf numFmtId="0" fontId="79" fillId="44" borderId="15" applyNumberFormat="0" applyAlignment="0" applyProtection="0">
      <alignment vertical="center"/>
    </xf>
    <xf numFmtId="0" fontId="79" fillId="44" borderId="15" applyNumberFormat="0" applyAlignment="0" applyProtection="0">
      <alignment vertical="center"/>
    </xf>
    <xf numFmtId="0" fontId="79" fillId="44" borderId="15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7" fillId="43" borderId="1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7" fillId="43" borderId="19" applyNumberFormat="0" applyFont="0" applyAlignment="0" applyProtection="0">
      <alignment vertical="center"/>
    </xf>
    <xf numFmtId="0" fontId="67" fillId="43" borderId="19" applyNumberFormat="0" applyFon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98" fillId="0" borderId="34" applyNumberFormat="0" applyFill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4" fillId="4" borderId="1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4" fillId="4" borderId="1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4" fillId="4" borderId="1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4" fillId="4" borderId="1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99" fillId="0" borderId="31" applyNumberFormat="0" applyFill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0" fillId="0" borderId="17" applyNumberFormat="0" applyFill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1" fillId="0" borderId="32" applyNumberFormat="0" applyFill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1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102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103" fillId="44" borderId="33" applyNumberFormat="0" applyAlignment="0" applyProtection="0">
      <alignment vertical="center"/>
    </xf>
    <xf numFmtId="0" fontId="103" fillId="44" borderId="33" applyNumberFormat="0" applyAlignment="0" applyProtection="0">
      <alignment vertical="center"/>
    </xf>
    <xf numFmtId="0" fontId="103" fillId="44" borderId="33" applyNumberFormat="0" applyAlignment="0" applyProtection="0">
      <alignment vertical="center"/>
    </xf>
    <xf numFmtId="0" fontId="103" fillId="44" borderId="33" applyNumberFormat="0" applyAlignment="0" applyProtection="0">
      <alignment vertical="center"/>
    </xf>
    <xf numFmtId="0" fontId="103" fillId="44" borderId="33" applyNumberFormat="0" applyAlignment="0" applyProtection="0">
      <alignment vertical="center"/>
    </xf>
    <xf numFmtId="0" fontId="103" fillId="44" borderId="33" applyNumberFormat="0" applyAlignment="0" applyProtection="0">
      <alignment vertical="center"/>
    </xf>
    <xf numFmtId="0" fontId="103" fillId="44" borderId="33" applyNumberFormat="0" applyAlignment="0" applyProtection="0">
      <alignment vertical="center"/>
    </xf>
    <xf numFmtId="0" fontId="103" fillId="44" borderId="33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40" fillId="25" borderId="11" applyNumberFormat="0" applyAlignment="0" applyProtection="0">
      <alignment vertical="center"/>
    </xf>
    <xf numFmtId="0" fontId="103" fillId="44" borderId="33" applyNumberFormat="0" applyAlignment="0" applyProtection="0">
      <alignment vertical="center"/>
    </xf>
    <xf numFmtId="0" fontId="103" fillId="44" borderId="33" applyNumberFormat="0" applyAlignment="0" applyProtection="0">
      <alignment vertical="center"/>
    </xf>
    <xf numFmtId="0" fontId="103" fillId="44" borderId="33" applyNumberFormat="0" applyAlignment="0" applyProtection="0">
      <alignment vertical="center"/>
    </xf>
    <xf numFmtId="0" fontId="103" fillId="44" borderId="33" applyNumberFormat="0" applyAlignment="0" applyProtection="0">
      <alignment vertical="center"/>
    </xf>
    <xf numFmtId="0" fontId="103" fillId="44" borderId="33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" fillId="0" borderId="0">
      <alignment vertical="center"/>
    </xf>
    <xf numFmtId="0" fontId="15" fillId="25" borderId="11" applyNumberFormat="0" applyAlignment="0" applyProtection="0">
      <alignment vertical="center"/>
    </xf>
    <xf numFmtId="0" fontId="52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15" fillId="17" borderId="11" applyNumberFormat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32" fillId="17" borderId="1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77" fillId="23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41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14" fillId="4" borderId="1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77" fillId="4" borderId="0" applyNumberFormat="0" applyBorder="0" applyAlignment="0" applyProtection="0">
      <alignment vertical="center"/>
    </xf>
    <xf numFmtId="0" fontId="27" fillId="19" borderId="0" applyNumberFormat="0" applyBorder="0" applyAlignment="0" applyProtection="0">
      <alignment vertical="center"/>
    </xf>
    <xf numFmtId="0" fontId="77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77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>
      <alignment vertical="center"/>
    </xf>
    <xf numFmtId="0" fontId="77" fillId="15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40" fillId="17" borderId="11" applyNumberFormat="0" applyAlignment="0" applyProtection="0">
      <alignment vertical="center"/>
    </xf>
    <xf numFmtId="0" fontId="65" fillId="4" borderId="0" applyNumberFormat="0" applyBorder="0" applyAlignment="0" applyProtection="0">
      <alignment vertical="center"/>
    </xf>
    <xf numFmtId="0" fontId="65" fillId="4" borderId="0" applyNumberFormat="0" applyBorder="0" applyAlignment="0" applyProtection="0">
      <alignment vertical="center"/>
    </xf>
    <xf numFmtId="0" fontId="65" fillId="31" borderId="0" applyNumberFormat="0" applyBorder="0" applyAlignment="0" applyProtection="0">
      <alignment vertical="center"/>
    </xf>
    <xf numFmtId="0" fontId="65" fillId="31" borderId="0" applyNumberFormat="0" applyBorder="0" applyAlignment="0" applyProtection="0">
      <alignment vertical="center"/>
    </xf>
    <xf numFmtId="0" fontId="65" fillId="2" borderId="0" applyNumberFormat="0" applyBorder="0" applyAlignment="0" applyProtection="0">
      <alignment vertical="center"/>
    </xf>
    <xf numFmtId="0" fontId="65" fillId="2" borderId="0" applyNumberFormat="0" applyBorder="0" applyAlignment="0" applyProtection="0">
      <alignment vertical="center"/>
    </xf>
    <xf numFmtId="0" fontId="65" fillId="12" borderId="0" applyNumberFormat="0" applyBorder="0" applyAlignment="0" applyProtection="0">
      <alignment vertical="center"/>
    </xf>
    <xf numFmtId="0" fontId="65" fillId="12" borderId="0" applyNumberFormat="0" applyBorder="0" applyAlignment="0" applyProtection="0">
      <alignment vertical="center"/>
    </xf>
    <xf numFmtId="0" fontId="65" fillId="30" borderId="0" applyNumberFormat="0" applyBorder="0" applyAlignment="0" applyProtection="0">
      <alignment vertical="center"/>
    </xf>
    <xf numFmtId="0" fontId="65" fillId="30" borderId="0" applyNumberFormat="0" applyBorder="0" applyAlignment="0" applyProtection="0">
      <alignment vertical="center"/>
    </xf>
    <xf numFmtId="0" fontId="65" fillId="2" borderId="0" applyNumberFormat="0" applyBorder="0" applyAlignment="0" applyProtection="0">
      <alignment vertical="center"/>
    </xf>
    <xf numFmtId="0" fontId="65" fillId="2" borderId="0" applyNumberFormat="0" applyBorder="0" applyAlignment="0" applyProtection="0">
      <alignment vertical="center"/>
    </xf>
    <xf numFmtId="0" fontId="65" fillId="29" borderId="0" applyNumberFormat="0" applyBorder="0" applyAlignment="0" applyProtection="0">
      <alignment vertical="center"/>
    </xf>
    <xf numFmtId="0" fontId="65" fillId="29" borderId="0" applyNumberFormat="0" applyBorder="0" applyAlignment="0" applyProtection="0">
      <alignment vertical="center"/>
    </xf>
    <xf numFmtId="0" fontId="65" fillId="28" borderId="0" applyNumberFormat="0" applyBorder="0" applyAlignment="0" applyProtection="0">
      <alignment vertical="center"/>
    </xf>
    <xf numFmtId="0" fontId="65" fillId="28" borderId="0" applyNumberFormat="0" applyBorder="0" applyAlignment="0" applyProtection="0">
      <alignment vertical="center"/>
    </xf>
    <xf numFmtId="0" fontId="65" fillId="2" borderId="0" applyNumberFormat="0" applyBorder="0" applyAlignment="0" applyProtection="0">
      <alignment vertical="center"/>
    </xf>
    <xf numFmtId="0" fontId="65" fillId="2" borderId="0" applyNumberFormat="0" applyBorder="0" applyAlignment="0" applyProtection="0">
      <alignment vertical="center"/>
    </xf>
    <xf numFmtId="0" fontId="65" fillId="6" borderId="0" applyNumberFormat="0" applyBorder="0" applyAlignment="0" applyProtection="0">
      <alignment vertical="center"/>
    </xf>
    <xf numFmtId="0" fontId="65" fillId="6" borderId="0" applyNumberFormat="0" applyBorder="0" applyAlignment="0" applyProtection="0">
      <alignment vertical="center"/>
    </xf>
    <xf numFmtId="0" fontId="65" fillId="4" borderId="0" applyNumberFormat="0" applyBorder="0" applyAlignment="0" applyProtection="0">
      <alignment vertical="center"/>
    </xf>
    <xf numFmtId="0" fontId="65" fillId="4" borderId="0" applyNumberFormat="0" applyBorder="0" applyAlignment="0" applyProtection="0">
      <alignment vertical="center"/>
    </xf>
    <xf numFmtId="0" fontId="65" fillId="2" borderId="0" applyNumberFormat="0" applyBorder="0" applyAlignment="0" applyProtection="0">
      <alignment vertical="center"/>
    </xf>
    <xf numFmtId="0" fontId="65" fillId="2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4" fillId="0" borderId="0">
      <alignment vertical="center"/>
    </xf>
    <xf numFmtId="0" fontId="94" fillId="0" borderId="0"/>
    <xf numFmtId="0" fontId="24" fillId="0" borderId="0">
      <alignment vertical="center"/>
    </xf>
    <xf numFmtId="0" fontId="24" fillId="0" borderId="0">
      <alignment vertical="center"/>
    </xf>
    <xf numFmtId="0" fontId="24" fillId="0" borderId="0">
      <alignment vertical="center"/>
    </xf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94" fillId="0" borderId="0"/>
    <xf numFmtId="0" fontId="24" fillId="0" borderId="0">
      <alignment vertical="center"/>
    </xf>
    <xf numFmtId="0" fontId="94" fillId="0" borderId="0"/>
    <xf numFmtId="0" fontId="94" fillId="0" borderId="0"/>
    <xf numFmtId="0" fontId="24" fillId="0" borderId="0">
      <alignment vertical="center"/>
    </xf>
    <xf numFmtId="0" fontId="94" fillId="0" borderId="0"/>
    <xf numFmtId="0" fontId="94" fillId="0" borderId="0"/>
    <xf numFmtId="0" fontId="24" fillId="0" borderId="0">
      <alignment vertical="center"/>
    </xf>
    <xf numFmtId="0" fontId="94" fillId="0" borderId="0"/>
    <xf numFmtId="0" fontId="94" fillId="0" borderId="0"/>
    <xf numFmtId="0" fontId="24" fillId="0" borderId="0">
      <alignment vertical="center"/>
    </xf>
    <xf numFmtId="0" fontId="94" fillId="0" borderId="0"/>
    <xf numFmtId="0" fontId="94" fillId="0" borderId="0"/>
    <xf numFmtId="0" fontId="24" fillId="0" borderId="0">
      <alignment vertical="center"/>
    </xf>
    <xf numFmtId="0" fontId="24" fillId="0" borderId="0">
      <alignment vertical="center"/>
    </xf>
    <xf numFmtId="0" fontId="96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2">
    <xf numFmtId="0" fontId="0" fillId="0" borderId="0" xfId="0">
      <alignment vertical="center"/>
    </xf>
    <xf numFmtId="0" fontId="87" fillId="0" borderId="0" xfId="0" applyFont="1">
      <alignment vertical="center"/>
    </xf>
    <xf numFmtId="0" fontId="87" fillId="0" borderId="0" xfId="0" applyFont="1" applyAlignment="1">
      <alignment horizontal="center" vertical="center"/>
    </xf>
    <xf numFmtId="0" fontId="87" fillId="0" borderId="14" xfId="0" applyFont="1" applyBorder="1" applyAlignment="1">
      <alignment horizontal="center" vertical="center"/>
    </xf>
    <xf numFmtId="0" fontId="88" fillId="0" borderId="20" xfId="0" applyFont="1" applyBorder="1" applyAlignment="1">
      <alignment horizontal="center" vertical="center"/>
    </xf>
    <xf numFmtId="0" fontId="88" fillId="0" borderId="21" xfId="0" applyFont="1" applyBorder="1" applyAlignment="1">
      <alignment horizontal="center" vertical="center"/>
    </xf>
    <xf numFmtId="0" fontId="88" fillId="0" borderId="22" xfId="0" applyFont="1" applyBorder="1" applyAlignment="1">
      <alignment horizontal="center" vertical="center"/>
    </xf>
    <xf numFmtId="0" fontId="88" fillId="0" borderId="23" xfId="0" applyFont="1" applyBorder="1" applyAlignment="1">
      <alignment horizontal="center" vertical="center"/>
    </xf>
    <xf numFmtId="0" fontId="87" fillId="0" borderId="24" xfId="0" applyFont="1" applyBorder="1">
      <alignment vertical="center"/>
    </xf>
    <xf numFmtId="0" fontId="88" fillId="0" borderId="25" xfId="0" applyFont="1" applyBorder="1" applyAlignment="1">
      <alignment horizontal="center" vertical="center"/>
    </xf>
    <xf numFmtId="0" fontId="87" fillId="0" borderId="26" xfId="0" applyFont="1" applyBorder="1" applyAlignment="1">
      <alignment horizontal="center" vertical="center"/>
    </xf>
    <xf numFmtId="0" fontId="87" fillId="0" borderId="27" xfId="0" applyFont="1" applyBorder="1">
      <alignment vertical="center"/>
    </xf>
    <xf numFmtId="0" fontId="89" fillId="0" borderId="14" xfId="0" applyFont="1" applyBorder="1" applyAlignment="1">
      <alignment horizontal="center" vertical="center"/>
    </xf>
    <xf numFmtId="0" fontId="90" fillId="0" borderId="23" xfId="0" applyFont="1" applyBorder="1" applyAlignment="1">
      <alignment horizontal="center" vertical="center"/>
    </xf>
    <xf numFmtId="0" fontId="89" fillId="0" borderId="24" xfId="0" applyFont="1" applyBorder="1">
      <alignment vertical="center"/>
    </xf>
    <xf numFmtId="0" fontId="87" fillId="0" borderId="20" xfId="0" applyFont="1" applyBorder="1">
      <alignment vertical="center"/>
    </xf>
    <xf numFmtId="0" fontId="87" fillId="0" borderId="21" xfId="0" applyFont="1" applyBorder="1" applyAlignment="1">
      <alignment horizontal="center" vertical="center"/>
    </xf>
    <xf numFmtId="0" fontId="87" fillId="0" borderId="22" xfId="0" applyFont="1" applyBorder="1" applyAlignment="1">
      <alignment horizontal="center" vertical="center"/>
    </xf>
    <xf numFmtId="0" fontId="87" fillId="0" borderId="25" xfId="0" applyFont="1" applyBorder="1">
      <alignment vertical="center"/>
    </xf>
    <xf numFmtId="0" fontId="87" fillId="0" borderId="27" xfId="0" applyFont="1" applyBorder="1" applyAlignment="1">
      <alignment horizontal="center" vertical="center"/>
    </xf>
    <xf numFmtId="0" fontId="87" fillId="0" borderId="26" xfId="0" applyFont="1" applyBorder="1">
      <alignment vertical="center"/>
    </xf>
    <xf numFmtId="0" fontId="87" fillId="0" borderId="28" xfId="0" applyFont="1" applyBorder="1">
      <alignment vertical="center"/>
    </xf>
    <xf numFmtId="0" fontId="87" fillId="0" borderId="29" xfId="0" applyFont="1" applyBorder="1" applyAlignment="1">
      <alignment horizontal="center" vertical="center"/>
    </xf>
    <xf numFmtId="0" fontId="87" fillId="0" borderId="30" xfId="0" applyFont="1" applyBorder="1" applyAlignment="1">
      <alignment horizontal="center" vertical="center"/>
    </xf>
    <xf numFmtId="0" fontId="87" fillId="0" borderId="0" xfId="0" applyFont="1" applyAlignment="1">
      <alignment horizontal="left" vertical="center"/>
    </xf>
    <xf numFmtId="0" fontId="104" fillId="0" borderId="0" xfId="0" applyFont="1" applyAlignment="1">
      <alignment horizontal="center" vertical="center"/>
    </xf>
    <xf numFmtId="0" fontId="104" fillId="0" borderId="0" xfId="4475" applyFont="1" applyAlignment="1">
      <alignment horizontal="center" vertical="center"/>
    </xf>
    <xf numFmtId="0" fontId="105" fillId="0" borderId="0" xfId="4475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7" fillId="0" borderId="0" xfId="0" applyFont="1" applyAlignment="1">
      <alignment horizontal="center" vertical="center"/>
    </xf>
    <xf numFmtId="0" fontId="108" fillId="0" borderId="0" xfId="0" applyFont="1" applyAlignment="1">
      <alignment horizontal="center" vertical="center"/>
    </xf>
    <xf numFmtId="0" fontId="104" fillId="59" borderId="0" xfId="0" applyFont="1" applyFill="1" applyAlignment="1">
      <alignment horizontal="center" vertical="center"/>
    </xf>
  </cellXfs>
  <cellStyles count="7978">
    <cellStyle name="20% - Accent1" xfId="5932"/>
    <cellStyle name="20% - Accent1 2" xfId="1"/>
    <cellStyle name="20% - Accent1 2 2" xfId="2"/>
    <cellStyle name="20% - Accent1 3" xfId="3"/>
    <cellStyle name="20% - Accent1 4" xfId="4"/>
    <cellStyle name="20% - Accent1 5" xfId="5"/>
    <cellStyle name="20% - Accent1_Mix Item" xfId="7020"/>
    <cellStyle name="20% - Accent2" xfId="5930"/>
    <cellStyle name="20% - Accent2 2" xfId="6"/>
    <cellStyle name="20% - Accent2 2 2" xfId="7"/>
    <cellStyle name="20% - Accent2 3" xfId="8"/>
    <cellStyle name="20% - Accent2 4" xfId="9"/>
    <cellStyle name="20% - Accent2 5" xfId="10"/>
    <cellStyle name="20% - Accent2_Mix Item" xfId="7021"/>
    <cellStyle name="20% - Accent3" xfId="5929"/>
    <cellStyle name="20% - Accent3 2" xfId="11"/>
    <cellStyle name="20% - Accent3 2 2" xfId="12"/>
    <cellStyle name="20% - Accent3 3" xfId="13"/>
    <cellStyle name="20% - Accent3 4" xfId="14"/>
    <cellStyle name="20% - Accent3 5" xfId="15"/>
    <cellStyle name="20% - Accent3_Mix Item" xfId="7022"/>
    <cellStyle name="20% - Accent4" xfId="5928"/>
    <cellStyle name="20% - Accent4 2" xfId="16"/>
    <cellStyle name="20% - Accent4 2 2" xfId="17"/>
    <cellStyle name="20% - Accent4 3" xfId="18"/>
    <cellStyle name="20% - Accent4 4" xfId="19"/>
    <cellStyle name="20% - Accent4 5" xfId="20"/>
    <cellStyle name="20% - Accent4_Mix Item" xfId="7023"/>
    <cellStyle name="20% - Accent5" xfId="5927"/>
    <cellStyle name="20% - Accent5 2" xfId="21"/>
    <cellStyle name="20% - Accent5 2 2" xfId="22"/>
    <cellStyle name="20% - Accent5 3" xfId="23"/>
    <cellStyle name="20% - Accent5 4" xfId="24"/>
    <cellStyle name="20% - Accent5 5" xfId="25"/>
    <cellStyle name="20% - Accent5_Mix Item" xfId="7024"/>
    <cellStyle name="20% - Accent6" xfId="5925"/>
    <cellStyle name="20% - Accent6 2" xfId="26"/>
    <cellStyle name="20% - Accent6 2 2" xfId="27"/>
    <cellStyle name="20% - Accent6 3" xfId="28"/>
    <cellStyle name="20% - Accent6 4" xfId="29"/>
    <cellStyle name="20% - Accent6 5" xfId="30"/>
    <cellStyle name="20% - Accent6_Mix Item" xfId="7025"/>
    <cellStyle name="20% - アクセント 1" xfId="31"/>
    <cellStyle name="20% - アクセント 1 2" xfId="32"/>
    <cellStyle name="20% - アクセント 1 2 2" xfId="33"/>
    <cellStyle name="20% - アクセント 1 2 2 2" xfId="34"/>
    <cellStyle name="20% - アクセント 1 2 2 2 2" xfId="35"/>
    <cellStyle name="20% - アクセント 1 2 2 2 2 2" xfId="36"/>
    <cellStyle name="20% - アクセント 1 2 2 2_Table_KOR" xfId="37"/>
    <cellStyle name="20% - アクセント 1 2 2 3" xfId="38"/>
    <cellStyle name="20% - アクセント 1 2 2 3 2" xfId="39"/>
    <cellStyle name="20% - アクセント 1 2 2 3 2 2" xfId="40"/>
    <cellStyle name="20% - アクセント 1 2 2 3_Table_KOR" xfId="41"/>
    <cellStyle name="20% - アクセント 1 2 2 4" xfId="42"/>
    <cellStyle name="20% - アクセント 1 2 2 4 2" xfId="43"/>
    <cellStyle name="20% - アクセント 1 2 3" xfId="44"/>
    <cellStyle name="20% - アクセント 1 2 3 2" xfId="45"/>
    <cellStyle name="20% - アクセント 1 2 3 2 2" xfId="46"/>
    <cellStyle name="20% - アクセント 1 2 3_Table_KOR" xfId="47"/>
    <cellStyle name="20% - アクセント 1 2 4" xfId="48"/>
    <cellStyle name="20% - アクセント 1 2 4 2" xfId="49"/>
    <cellStyle name="20% - アクセント 1 2 4 2 2" xfId="50"/>
    <cellStyle name="20% - アクセント 1 2 4_Table_KOR" xfId="51"/>
    <cellStyle name="20% - アクセント 1 2 5" xfId="52"/>
    <cellStyle name="20% - アクセント 1 2 5 2" xfId="53"/>
    <cellStyle name="20% - アクセント 1 2_etc_data" xfId="54"/>
    <cellStyle name="20% - アクセント 1 3" xfId="55"/>
    <cellStyle name="20% - アクセント 1 3 2" xfId="56"/>
    <cellStyle name="20% - アクセント 1 3 2 2" xfId="57"/>
    <cellStyle name="20% - アクセント 1 3 2 2 2" xfId="58"/>
    <cellStyle name="20% - アクセント 1 3 2_Table_KOR" xfId="59"/>
    <cellStyle name="20% - アクセント 1 3 3" xfId="60"/>
    <cellStyle name="20% - アクセント 1 3 3 2" xfId="61"/>
    <cellStyle name="20% - アクセント 1 3 3 2 2" xfId="62"/>
    <cellStyle name="20% - アクセント 1 3 3_Table_KOR" xfId="63"/>
    <cellStyle name="20% - アクセント 1 3 4" xfId="64"/>
    <cellStyle name="20% - アクセント 1 3 4 2" xfId="65"/>
    <cellStyle name="20% - アクセント 1 4" xfId="66"/>
    <cellStyle name="20% - アクセント 1 4 2" xfId="67"/>
    <cellStyle name="20% - アクセント 1 4 2 2" xfId="68"/>
    <cellStyle name="20% - アクセント 1 4_Table_KOR" xfId="69"/>
    <cellStyle name="20% - アクセント 1 5" xfId="70"/>
    <cellStyle name="20% - アクセント 1 5 2" xfId="71"/>
    <cellStyle name="20% - アクセント 1 5 2 2" xfId="72"/>
    <cellStyle name="20% - アクセント 1 5_Table_KOR" xfId="73"/>
    <cellStyle name="20% - アクセント 1 6" xfId="74"/>
    <cellStyle name="20% - アクセント 1 6 2" xfId="75"/>
    <cellStyle name="20% - アクセント 1_01 YW" xfId="76"/>
    <cellStyle name="20% - アクセント 2" xfId="77"/>
    <cellStyle name="20% - アクセント 2 2" xfId="78"/>
    <cellStyle name="20% - アクセント 2 2 2" xfId="79"/>
    <cellStyle name="20% - アクセント 2 2 2 2" xfId="80"/>
    <cellStyle name="20% - アクセント 2 2 2 2 2" xfId="81"/>
    <cellStyle name="20% - アクセント 2 2 2 2 2 2" xfId="82"/>
    <cellStyle name="20% - アクセント 2 2 2 2_Table_KOR" xfId="83"/>
    <cellStyle name="20% - アクセント 2 2 2 3" xfId="84"/>
    <cellStyle name="20% - アクセント 2 2 2 3 2" xfId="85"/>
    <cellStyle name="20% - アクセント 2 2 2 3 2 2" xfId="86"/>
    <cellStyle name="20% - アクセント 2 2 2 3_Table_KOR" xfId="87"/>
    <cellStyle name="20% - アクセント 2 2 2 4" xfId="88"/>
    <cellStyle name="20% - アクセント 2 2 2 4 2" xfId="89"/>
    <cellStyle name="20% - アクセント 2 2 3" xfId="90"/>
    <cellStyle name="20% - アクセント 2 2 3 2" xfId="91"/>
    <cellStyle name="20% - アクセント 2 2 3 2 2" xfId="92"/>
    <cellStyle name="20% - アクセント 2 2 3_Table_KOR" xfId="93"/>
    <cellStyle name="20% - アクセント 2 2 4" xfId="94"/>
    <cellStyle name="20% - アクセント 2 2 4 2" xfId="95"/>
    <cellStyle name="20% - アクセント 2 2 4 2 2" xfId="96"/>
    <cellStyle name="20% - アクセント 2 2 4_Table_KOR" xfId="97"/>
    <cellStyle name="20% - アクセント 2 2 5" xfId="98"/>
    <cellStyle name="20% - アクセント 2 2 5 2" xfId="99"/>
    <cellStyle name="20% - アクセント 2 2_etc_data" xfId="100"/>
    <cellStyle name="20% - アクセント 2 3" xfId="101"/>
    <cellStyle name="20% - アクセント 2 3 2" xfId="102"/>
    <cellStyle name="20% - アクセント 2 3 2 2" xfId="103"/>
    <cellStyle name="20% - アクセント 2 3 2 2 2" xfId="104"/>
    <cellStyle name="20% - アクセント 2 3 2_Table_KOR" xfId="105"/>
    <cellStyle name="20% - アクセント 2 3 3" xfId="106"/>
    <cellStyle name="20% - アクセント 2 3 3 2" xfId="107"/>
    <cellStyle name="20% - アクセント 2 3 3 2 2" xfId="108"/>
    <cellStyle name="20% - アクセント 2 3 3_Table_KOR" xfId="109"/>
    <cellStyle name="20% - アクセント 2 3 4" xfId="110"/>
    <cellStyle name="20% - アクセント 2 3 4 2" xfId="111"/>
    <cellStyle name="20% - アクセント 2 4" xfId="112"/>
    <cellStyle name="20% - アクセント 2 4 2" xfId="113"/>
    <cellStyle name="20% - アクセント 2 4 2 2" xfId="114"/>
    <cellStyle name="20% - アクセント 2 4_Table_KOR" xfId="115"/>
    <cellStyle name="20% - アクセント 2 5" xfId="116"/>
    <cellStyle name="20% - アクセント 2 5 2" xfId="117"/>
    <cellStyle name="20% - アクセント 2 5 2 2" xfId="118"/>
    <cellStyle name="20% - アクセント 2 5_Table_KOR" xfId="119"/>
    <cellStyle name="20% - アクセント 2 6" xfId="120"/>
    <cellStyle name="20% - アクセント 2 6 2" xfId="121"/>
    <cellStyle name="20% - アクセント 2_01 YW" xfId="122"/>
    <cellStyle name="20% - アクセント 3" xfId="123"/>
    <cellStyle name="20% - アクセント 3 2" xfId="124"/>
    <cellStyle name="20% - アクセント 3 2 2" xfId="125"/>
    <cellStyle name="20% - アクセント 3 2 2 2" xfId="126"/>
    <cellStyle name="20% - アクセント 3 2 2 2 2" xfId="127"/>
    <cellStyle name="20% - アクセント 3 2 2 2 2 2" xfId="128"/>
    <cellStyle name="20% - アクセント 3 2 2 2_Table_KOR" xfId="129"/>
    <cellStyle name="20% - アクセント 3 2 2 3" xfId="130"/>
    <cellStyle name="20% - アクセント 3 2 2 3 2" xfId="131"/>
    <cellStyle name="20% - アクセント 3 2 2 3 2 2" xfId="132"/>
    <cellStyle name="20% - アクセント 3 2 2 3_Table_KOR" xfId="133"/>
    <cellStyle name="20% - アクセント 3 2 2 4" xfId="134"/>
    <cellStyle name="20% - アクセント 3 2 2 4 2" xfId="135"/>
    <cellStyle name="20% - アクセント 3 2 3" xfId="136"/>
    <cellStyle name="20% - アクセント 3 2 3 2" xfId="137"/>
    <cellStyle name="20% - アクセント 3 2 3 2 2" xfId="138"/>
    <cellStyle name="20% - アクセント 3 2 3_Table_KOR" xfId="139"/>
    <cellStyle name="20% - アクセント 3 2 4" xfId="140"/>
    <cellStyle name="20% - アクセント 3 2 4 2" xfId="141"/>
    <cellStyle name="20% - アクセント 3 2 4 2 2" xfId="142"/>
    <cellStyle name="20% - アクセント 3 2 4_Table_KOR" xfId="143"/>
    <cellStyle name="20% - アクセント 3 2 5" xfId="144"/>
    <cellStyle name="20% - アクセント 3 2 5 2" xfId="145"/>
    <cellStyle name="20% - アクセント 3 2_etc_data" xfId="146"/>
    <cellStyle name="20% - アクセント 3 3" xfId="147"/>
    <cellStyle name="20% - アクセント 3 3 2" xfId="148"/>
    <cellStyle name="20% - アクセント 3 3 2 2" xfId="149"/>
    <cellStyle name="20% - アクセント 3 3 2 2 2" xfId="150"/>
    <cellStyle name="20% - アクセント 3 3 2_Table_KOR" xfId="151"/>
    <cellStyle name="20% - アクセント 3 3 3" xfId="152"/>
    <cellStyle name="20% - アクセント 3 3 3 2" xfId="153"/>
    <cellStyle name="20% - アクセント 3 3 3 2 2" xfId="154"/>
    <cellStyle name="20% - アクセント 3 3 3_Table_KOR" xfId="155"/>
    <cellStyle name="20% - アクセント 3 3 4" xfId="156"/>
    <cellStyle name="20% - アクセント 3 3 4 2" xfId="157"/>
    <cellStyle name="20% - アクセント 3 4" xfId="158"/>
    <cellStyle name="20% - アクセント 3 4 2" xfId="159"/>
    <cellStyle name="20% - アクセント 3 4 2 2" xfId="160"/>
    <cellStyle name="20% - アクセント 3 4_Table_KOR" xfId="161"/>
    <cellStyle name="20% - アクセント 3 5" xfId="162"/>
    <cellStyle name="20% - アクセント 3 5 2" xfId="163"/>
    <cellStyle name="20% - アクセント 3 5 2 2" xfId="164"/>
    <cellStyle name="20% - アクセント 3 5_Table_KOR" xfId="165"/>
    <cellStyle name="20% - アクセント 3 6" xfId="166"/>
    <cellStyle name="20% - アクセント 3 6 2" xfId="167"/>
    <cellStyle name="20% - アクセント 3_01 YW" xfId="168"/>
    <cellStyle name="20% - アクセント 4" xfId="169"/>
    <cellStyle name="20% - アクセント 4 2" xfId="170"/>
    <cellStyle name="20% - アクセント 4 2 2" xfId="171"/>
    <cellStyle name="20% - アクセント 4 2 2 2" xfId="172"/>
    <cellStyle name="20% - アクセント 4 2 2 2 2" xfId="173"/>
    <cellStyle name="20% - アクセント 4 2 2 2 2 2" xfId="174"/>
    <cellStyle name="20% - アクセント 4 2 2 2_Table_KOR" xfId="175"/>
    <cellStyle name="20% - アクセント 4 2 2 3" xfId="176"/>
    <cellStyle name="20% - アクセント 4 2 2 3 2" xfId="177"/>
    <cellStyle name="20% - アクセント 4 2 2 3 2 2" xfId="178"/>
    <cellStyle name="20% - アクセント 4 2 2 3_Table_KOR" xfId="179"/>
    <cellStyle name="20% - アクセント 4 2 2 4" xfId="180"/>
    <cellStyle name="20% - アクセント 4 2 2 4 2" xfId="181"/>
    <cellStyle name="20% - アクセント 4 2 3" xfId="182"/>
    <cellStyle name="20% - アクセント 4 2 3 2" xfId="183"/>
    <cellStyle name="20% - アクセント 4 2 3 2 2" xfId="184"/>
    <cellStyle name="20% - アクセント 4 2 3_Table_KOR" xfId="185"/>
    <cellStyle name="20% - アクセント 4 2 4" xfId="186"/>
    <cellStyle name="20% - アクセント 4 2 4 2" xfId="187"/>
    <cellStyle name="20% - アクセント 4 2 4 2 2" xfId="188"/>
    <cellStyle name="20% - アクセント 4 2 4_Table_KOR" xfId="189"/>
    <cellStyle name="20% - アクセント 4 2 5" xfId="190"/>
    <cellStyle name="20% - アクセント 4 2 5 2" xfId="191"/>
    <cellStyle name="20% - アクセント 4 2_etc_data" xfId="192"/>
    <cellStyle name="20% - アクセント 4 3" xfId="193"/>
    <cellStyle name="20% - アクセント 4 3 2" xfId="194"/>
    <cellStyle name="20% - アクセント 4 3 2 2" xfId="195"/>
    <cellStyle name="20% - アクセント 4 3 2 2 2" xfId="196"/>
    <cellStyle name="20% - アクセント 4 3 2_Table_KOR" xfId="197"/>
    <cellStyle name="20% - アクセント 4 3 3" xfId="198"/>
    <cellStyle name="20% - アクセント 4 3 3 2" xfId="199"/>
    <cellStyle name="20% - アクセント 4 3 3 2 2" xfId="200"/>
    <cellStyle name="20% - アクセント 4 3 3_Table_KOR" xfId="201"/>
    <cellStyle name="20% - アクセント 4 3 4" xfId="202"/>
    <cellStyle name="20% - アクセント 4 3 4 2" xfId="203"/>
    <cellStyle name="20% - アクセント 4 4" xfId="204"/>
    <cellStyle name="20% - アクセント 4 4 2" xfId="205"/>
    <cellStyle name="20% - アクセント 4 4 2 2" xfId="206"/>
    <cellStyle name="20% - アクセント 4 4_Table_KOR" xfId="207"/>
    <cellStyle name="20% - アクセント 4 5" xfId="208"/>
    <cellStyle name="20% - アクセント 4 5 2" xfId="209"/>
    <cellStyle name="20% - アクセント 4 5 2 2" xfId="210"/>
    <cellStyle name="20% - アクセント 4 5_Table_KOR" xfId="211"/>
    <cellStyle name="20% - アクセント 4 6" xfId="212"/>
    <cellStyle name="20% - アクセント 4 6 2" xfId="213"/>
    <cellStyle name="20% - アクセント 4_01 YW" xfId="214"/>
    <cellStyle name="20% - アクセント 5" xfId="215"/>
    <cellStyle name="20% - アクセント 5 2" xfId="216"/>
    <cellStyle name="20% - アクセント 5 2 2" xfId="217"/>
    <cellStyle name="20% - アクセント 5 2 2 2" xfId="218"/>
    <cellStyle name="20% - アクセント 5 2 2 2 2" xfId="219"/>
    <cellStyle name="20% - アクセント 5 2 2 2 2 2" xfId="220"/>
    <cellStyle name="20% - アクセント 5 2 2 2_Table_KOR" xfId="221"/>
    <cellStyle name="20% - アクセント 5 2 2 3" xfId="222"/>
    <cellStyle name="20% - アクセント 5 2 2 3 2" xfId="223"/>
    <cellStyle name="20% - アクセント 5 2 2 3 2 2" xfId="224"/>
    <cellStyle name="20% - アクセント 5 2 2 3_Table_KOR" xfId="225"/>
    <cellStyle name="20% - アクセント 5 2 2 4" xfId="226"/>
    <cellStyle name="20% - アクセント 5 2 2 4 2" xfId="227"/>
    <cellStyle name="20% - アクセント 5 2 3" xfId="228"/>
    <cellStyle name="20% - アクセント 5 2 3 2" xfId="229"/>
    <cellStyle name="20% - アクセント 5 2 3 2 2" xfId="230"/>
    <cellStyle name="20% - アクセント 5 2 3_Table_KOR" xfId="231"/>
    <cellStyle name="20% - アクセント 5 2 4" xfId="232"/>
    <cellStyle name="20% - アクセント 5 2 4 2" xfId="233"/>
    <cellStyle name="20% - アクセント 5 2 4 2 2" xfId="234"/>
    <cellStyle name="20% - アクセント 5 2 4_Table_KOR" xfId="235"/>
    <cellStyle name="20% - アクセント 5 2 5" xfId="236"/>
    <cellStyle name="20% - アクセント 5 2 5 2" xfId="237"/>
    <cellStyle name="20% - アクセント 5 2_etc_data" xfId="238"/>
    <cellStyle name="20% - アクセント 5 3" xfId="239"/>
    <cellStyle name="20% - アクセント 5 3 2" xfId="240"/>
    <cellStyle name="20% - アクセント 5 3 2 2" xfId="241"/>
    <cellStyle name="20% - アクセント 5 3 2 2 2" xfId="242"/>
    <cellStyle name="20% - アクセント 5 3 2_Table_KOR" xfId="243"/>
    <cellStyle name="20% - アクセント 5 3 3" xfId="244"/>
    <cellStyle name="20% - アクセント 5 3 3 2" xfId="245"/>
    <cellStyle name="20% - アクセント 5 3 3 2 2" xfId="246"/>
    <cellStyle name="20% - アクセント 5 3 3_Table_KOR" xfId="247"/>
    <cellStyle name="20% - アクセント 5 3 4" xfId="248"/>
    <cellStyle name="20% - アクセント 5 3 4 2" xfId="249"/>
    <cellStyle name="20% - アクセント 5 4" xfId="250"/>
    <cellStyle name="20% - アクセント 5 4 2" xfId="251"/>
    <cellStyle name="20% - アクセント 5 4 2 2" xfId="252"/>
    <cellStyle name="20% - アクセント 5 4_Table_KOR" xfId="253"/>
    <cellStyle name="20% - アクセント 5 5" xfId="254"/>
    <cellStyle name="20% - アクセント 5 5 2" xfId="255"/>
    <cellStyle name="20% - アクセント 5 5 2 2" xfId="256"/>
    <cellStyle name="20% - アクセント 5 5_Table_KOR" xfId="257"/>
    <cellStyle name="20% - アクセント 5 6" xfId="258"/>
    <cellStyle name="20% - アクセント 5 6 2" xfId="259"/>
    <cellStyle name="20% - アクセント 5_01 YW" xfId="260"/>
    <cellStyle name="20% - アクセント 6" xfId="261"/>
    <cellStyle name="20% - アクセント 6 2" xfId="262"/>
    <cellStyle name="20% - アクセント 6 2 2" xfId="263"/>
    <cellStyle name="20% - アクセント 6 2 2 2" xfId="264"/>
    <cellStyle name="20% - アクセント 6 2 2 2 2" xfId="265"/>
    <cellStyle name="20% - アクセント 6 2 2 2 2 2" xfId="266"/>
    <cellStyle name="20% - アクセント 6 2 2 2_Table_KOR" xfId="267"/>
    <cellStyle name="20% - アクセント 6 2 2 3" xfId="268"/>
    <cellStyle name="20% - アクセント 6 2 2 3 2" xfId="269"/>
    <cellStyle name="20% - アクセント 6 2 2 3 2 2" xfId="270"/>
    <cellStyle name="20% - アクセント 6 2 2 3_Table_KOR" xfId="271"/>
    <cellStyle name="20% - アクセント 6 2 2 4" xfId="272"/>
    <cellStyle name="20% - アクセント 6 2 2 4 2" xfId="273"/>
    <cellStyle name="20% - アクセント 6 2 3" xfId="274"/>
    <cellStyle name="20% - アクセント 6 2 3 2" xfId="275"/>
    <cellStyle name="20% - アクセント 6 2 3 2 2" xfId="276"/>
    <cellStyle name="20% - アクセント 6 2 3_Table_KOR" xfId="277"/>
    <cellStyle name="20% - アクセント 6 2 4" xfId="278"/>
    <cellStyle name="20% - アクセント 6 2 4 2" xfId="279"/>
    <cellStyle name="20% - アクセント 6 2 4 2 2" xfId="280"/>
    <cellStyle name="20% - アクセント 6 2 4_Table_KOR" xfId="281"/>
    <cellStyle name="20% - アクセント 6 2 5" xfId="282"/>
    <cellStyle name="20% - アクセント 6 2 5 2" xfId="283"/>
    <cellStyle name="20% - アクセント 6 2_etc_data" xfId="284"/>
    <cellStyle name="20% - アクセント 6 3" xfId="285"/>
    <cellStyle name="20% - アクセント 6 3 2" xfId="286"/>
    <cellStyle name="20% - アクセント 6 3 2 2" xfId="287"/>
    <cellStyle name="20% - アクセント 6 3 2 2 2" xfId="288"/>
    <cellStyle name="20% - アクセント 6 3 2_Table_KOR" xfId="289"/>
    <cellStyle name="20% - アクセント 6 3 3" xfId="290"/>
    <cellStyle name="20% - アクセント 6 3 3 2" xfId="291"/>
    <cellStyle name="20% - アクセント 6 3 3 2 2" xfId="292"/>
    <cellStyle name="20% - アクセント 6 3 3_Table_KOR" xfId="293"/>
    <cellStyle name="20% - アクセント 6 3 4" xfId="294"/>
    <cellStyle name="20% - アクセント 6 3 4 2" xfId="295"/>
    <cellStyle name="20% - アクセント 6 4" xfId="296"/>
    <cellStyle name="20% - アクセント 6 4 2" xfId="297"/>
    <cellStyle name="20% - アクセント 6 4 2 2" xfId="298"/>
    <cellStyle name="20% - アクセント 6 4_Table_KOR" xfId="299"/>
    <cellStyle name="20% - アクセント 6 5" xfId="300"/>
    <cellStyle name="20% - アクセント 6 5 2" xfId="301"/>
    <cellStyle name="20% - アクセント 6 5 2 2" xfId="302"/>
    <cellStyle name="20% - アクセント 6 5_Table_KOR" xfId="303"/>
    <cellStyle name="20% - アクセント 6 6" xfId="304"/>
    <cellStyle name="20% - アクセント 6 6 2" xfId="305"/>
    <cellStyle name="20% - アクセント 6_01 YW" xfId="306"/>
    <cellStyle name="20% - 강조색1" xfId="307"/>
    <cellStyle name="20% - 강조색1 10" xfId="308"/>
    <cellStyle name="20% - 강조색1 10 2" xfId="7851"/>
    <cellStyle name="20% - 강조색1 10 3" xfId="7040"/>
    <cellStyle name="20% - 강조색1 11" xfId="5020"/>
    <cellStyle name="20% - 강조색1 12" xfId="5090"/>
    <cellStyle name="20% - 강조색1 2" xfId="309"/>
    <cellStyle name="20% - 강조색1 2 2" xfId="310"/>
    <cellStyle name="20% - 강조색1 2 2 2" xfId="311"/>
    <cellStyle name="20% - 강조색1 2 2 3" xfId="312"/>
    <cellStyle name="20% - 강조색1 2 3" xfId="313"/>
    <cellStyle name="20% - 강조색1 2 3 2" xfId="314"/>
    <cellStyle name="20% - 강조색1 2 3 3" xfId="315"/>
    <cellStyle name="20% - 강조색1 2 4" xfId="316"/>
    <cellStyle name="20% - 강조색1 2 5" xfId="317"/>
    <cellStyle name="20% - 강조색1 3" xfId="318"/>
    <cellStyle name="20% - 강조색1 3 2" xfId="319"/>
    <cellStyle name="20% - 강조색1 3 2 2" xfId="320"/>
    <cellStyle name="20% - 강조색1 3 2 3" xfId="321"/>
    <cellStyle name="20% - 강조색1 3 3" xfId="322"/>
    <cellStyle name="20% - 강조색1 3 3 2" xfId="323"/>
    <cellStyle name="20% - 강조색1 3 3 3" xfId="324"/>
    <cellStyle name="20% - 강조색1 3 4" xfId="325"/>
    <cellStyle name="20% - 강조색1 3 5" xfId="326"/>
    <cellStyle name="20% - 강조색1 4" xfId="327"/>
    <cellStyle name="20% - 강조색1 4 2" xfId="328"/>
    <cellStyle name="20% - 강조색1 4 3" xfId="329"/>
    <cellStyle name="20% - 강조색1 4 4" xfId="330"/>
    <cellStyle name="20% - 강조색1 4 5" xfId="331"/>
    <cellStyle name="20% - 강조색1 4_Mix Item" xfId="332"/>
    <cellStyle name="20% - 강조색1 5" xfId="333"/>
    <cellStyle name="20% - 강조색1 5 2" xfId="334"/>
    <cellStyle name="20% - 강조색1 5 3" xfId="335"/>
    <cellStyle name="20% - 강조색1 6" xfId="336"/>
    <cellStyle name="20% - 강조색1 7" xfId="337"/>
    <cellStyle name="20% - 강조색1 8" xfId="338"/>
    <cellStyle name="20% - 강조색1 9" xfId="339"/>
    <cellStyle name="20% - 강조색1 9 2" xfId="7850"/>
    <cellStyle name="20% - 강조색1 9 3" xfId="7041"/>
    <cellStyle name="20% - 강조색1_01 YW" xfId="340"/>
    <cellStyle name="20% - 강조색2" xfId="341"/>
    <cellStyle name="20% - 강조색2 10" xfId="342"/>
    <cellStyle name="20% - 강조색2 10 2" xfId="7849"/>
    <cellStyle name="20% - 강조색2 10 3" xfId="7042"/>
    <cellStyle name="20% - 강조색2 11" xfId="5021"/>
    <cellStyle name="20% - 강조색2 12" xfId="5091"/>
    <cellStyle name="20% - 강조색2 2" xfId="343"/>
    <cellStyle name="20% - 강조색2 2 2" xfId="344"/>
    <cellStyle name="20% - 강조색2 2 2 2" xfId="345"/>
    <cellStyle name="20% - 강조색2 2 2 3" xfId="346"/>
    <cellStyle name="20% - 강조색2 2 3" xfId="347"/>
    <cellStyle name="20% - 강조색2 2 3 2" xfId="348"/>
    <cellStyle name="20% - 강조색2 2 3 3" xfId="349"/>
    <cellStyle name="20% - 강조색2 2 4" xfId="350"/>
    <cellStyle name="20% - 강조색2 2 5" xfId="351"/>
    <cellStyle name="20% - 강조색2 3" xfId="352"/>
    <cellStyle name="20% - 강조색2 3 2" xfId="353"/>
    <cellStyle name="20% - 강조색2 3 2 2" xfId="354"/>
    <cellStyle name="20% - 강조색2 3 2 3" xfId="355"/>
    <cellStyle name="20% - 강조색2 3 3" xfId="356"/>
    <cellStyle name="20% - 강조색2 3 3 2" xfId="357"/>
    <cellStyle name="20% - 강조색2 3 3 3" xfId="358"/>
    <cellStyle name="20% - 강조색2 3 4" xfId="359"/>
    <cellStyle name="20% - 강조색2 3 5" xfId="360"/>
    <cellStyle name="20% - 강조색2 4" xfId="361"/>
    <cellStyle name="20% - 강조색2 4 2" xfId="362"/>
    <cellStyle name="20% - 강조색2 4 3" xfId="363"/>
    <cellStyle name="20% - 강조색2 4 4" xfId="364"/>
    <cellStyle name="20% - 강조색2 4 5" xfId="365"/>
    <cellStyle name="20% - 강조색2 4_Mix Item" xfId="366"/>
    <cellStyle name="20% - 강조색2 5" xfId="367"/>
    <cellStyle name="20% - 강조색2 5 2" xfId="368"/>
    <cellStyle name="20% - 강조색2 5 3" xfId="369"/>
    <cellStyle name="20% - 강조색2 6" xfId="370"/>
    <cellStyle name="20% - 강조색2 7" xfId="371"/>
    <cellStyle name="20% - 강조색2 8" xfId="372"/>
    <cellStyle name="20% - 강조색2 9" xfId="373"/>
    <cellStyle name="20% - 강조색2 9 2" xfId="7848"/>
    <cellStyle name="20% - 강조색2 9 3" xfId="7043"/>
    <cellStyle name="20% - 강조색2_01 YW" xfId="374"/>
    <cellStyle name="20% - 강조색3" xfId="375"/>
    <cellStyle name="20% - 강조색3 10" xfId="376"/>
    <cellStyle name="20% - 강조색3 10 2" xfId="7847"/>
    <cellStyle name="20% - 강조색3 10 3" xfId="7044"/>
    <cellStyle name="20% - 강조색3 11" xfId="5022"/>
    <cellStyle name="20% - 강조색3 12" xfId="5092"/>
    <cellStyle name="20% - 강조색3 2" xfId="377"/>
    <cellStyle name="20% - 강조색3 2 2" xfId="378"/>
    <cellStyle name="20% - 강조색3 2 2 2" xfId="379"/>
    <cellStyle name="20% - 강조색3 2 2 3" xfId="380"/>
    <cellStyle name="20% - 강조색3 2 3" xfId="381"/>
    <cellStyle name="20% - 강조색3 2 3 2" xfId="382"/>
    <cellStyle name="20% - 강조색3 2 3 3" xfId="383"/>
    <cellStyle name="20% - 강조색3 2 4" xfId="384"/>
    <cellStyle name="20% - 강조색3 2 5" xfId="385"/>
    <cellStyle name="20% - 강조색3 3" xfId="386"/>
    <cellStyle name="20% - 강조색3 3 2" xfId="387"/>
    <cellStyle name="20% - 강조색3 3 2 2" xfId="388"/>
    <cellStyle name="20% - 강조색3 3 2 3" xfId="389"/>
    <cellStyle name="20% - 강조색3 3 3" xfId="390"/>
    <cellStyle name="20% - 강조색3 3 3 2" xfId="391"/>
    <cellStyle name="20% - 강조색3 3 3 3" xfId="392"/>
    <cellStyle name="20% - 강조색3 3 4" xfId="393"/>
    <cellStyle name="20% - 강조색3 3 5" xfId="394"/>
    <cellStyle name="20% - 강조색3 4" xfId="395"/>
    <cellStyle name="20% - 강조색3 4 2" xfId="396"/>
    <cellStyle name="20% - 강조색3 4 3" xfId="397"/>
    <cellStyle name="20% - 강조색3 4 4" xfId="398"/>
    <cellStyle name="20% - 강조색3 4 5" xfId="399"/>
    <cellStyle name="20% - 강조색3 4_Mix Item" xfId="400"/>
    <cellStyle name="20% - 강조색3 5" xfId="401"/>
    <cellStyle name="20% - 강조색3 5 2" xfId="402"/>
    <cellStyle name="20% - 강조색3 5 3" xfId="403"/>
    <cellStyle name="20% - 강조색3 6" xfId="404"/>
    <cellStyle name="20% - 강조색3 7" xfId="405"/>
    <cellStyle name="20% - 강조색3 8" xfId="406"/>
    <cellStyle name="20% - 강조색3 9" xfId="407"/>
    <cellStyle name="20% - 강조색3 9 2" xfId="7846"/>
    <cellStyle name="20% - 강조색3 9 3" xfId="7045"/>
    <cellStyle name="20% - 강조색3_01 YW" xfId="408"/>
    <cellStyle name="20% - 강조색4" xfId="409"/>
    <cellStyle name="20% - 강조색4 10" xfId="410"/>
    <cellStyle name="20% - 강조색4 10 2" xfId="7845"/>
    <cellStyle name="20% - 강조색4 10 3" xfId="7046"/>
    <cellStyle name="20% - 강조색4 11" xfId="5023"/>
    <cellStyle name="20% - 강조색4 12" xfId="5093"/>
    <cellStyle name="20% - 강조색4 2" xfId="411"/>
    <cellStyle name="20% - 강조색4 2 2" xfId="412"/>
    <cellStyle name="20% - 강조색4 2 2 2" xfId="413"/>
    <cellStyle name="20% - 강조색4 2 2 3" xfId="414"/>
    <cellStyle name="20% - 강조색4 2 3" xfId="415"/>
    <cellStyle name="20% - 강조색4 2 3 2" xfId="416"/>
    <cellStyle name="20% - 강조색4 2 3 3" xfId="417"/>
    <cellStyle name="20% - 강조색4 2 4" xfId="418"/>
    <cellStyle name="20% - 강조색4 2 5" xfId="419"/>
    <cellStyle name="20% - 강조색4 3" xfId="420"/>
    <cellStyle name="20% - 강조색4 3 2" xfId="421"/>
    <cellStyle name="20% - 강조색4 3 2 2" xfId="422"/>
    <cellStyle name="20% - 강조색4 3 2 3" xfId="423"/>
    <cellStyle name="20% - 강조색4 3 3" xfId="424"/>
    <cellStyle name="20% - 강조색4 3 3 2" xfId="425"/>
    <cellStyle name="20% - 강조색4 3 3 3" xfId="426"/>
    <cellStyle name="20% - 강조색4 3 4" xfId="427"/>
    <cellStyle name="20% - 강조색4 3 5" xfId="428"/>
    <cellStyle name="20% - 강조색4 4" xfId="429"/>
    <cellStyle name="20% - 강조색4 4 2" xfId="430"/>
    <cellStyle name="20% - 강조색4 4 3" xfId="431"/>
    <cellStyle name="20% - 강조색4 4 4" xfId="432"/>
    <cellStyle name="20% - 강조색4 4 5" xfId="433"/>
    <cellStyle name="20% - 강조색4 4_Mix Item" xfId="434"/>
    <cellStyle name="20% - 강조색4 5" xfId="435"/>
    <cellStyle name="20% - 강조색4 5 2" xfId="436"/>
    <cellStyle name="20% - 강조색4 5 3" xfId="437"/>
    <cellStyle name="20% - 강조색4 6" xfId="438"/>
    <cellStyle name="20% - 강조색4 7" xfId="439"/>
    <cellStyle name="20% - 강조색4 8" xfId="440"/>
    <cellStyle name="20% - 강조색4 9" xfId="441"/>
    <cellStyle name="20% - 강조색4 9 2" xfId="7844"/>
    <cellStyle name="20% - 강조색4 9 3" xfId="7048"/>
    <cellStyle name="20% - 강조색4_01 YW" xfId="442"/>
    <cellStyle name="20% - 강조색5" xfId="443"/>
    <cellStyle name="20% - 강조색5 10" xfId="444"/>
    <cellStyle name="20% - 강조색5 10 2" xfId="7843"/>
    <cellStyle name="20% - 강조색5 10 3" xfId="7049"/>
    <cellStyle name="20% - 강조색5 11" xfId="5024"/>
    <cellStyle name="20% - 강조색5 12" xfId="5094"/>
    <cellStyle name="20% - 강조색5 2" xfId="445"/>
    <cellStyle name="20% - 강조색5 2 2" xfId="446"/>
    <cellStyle name="20% - 강조색5 2 2 2" xfId="447"/>
    <cellStyle name="20% - 강조색5 2 2 3" xfId="448"/>
    <cellStyle name="20% - 강조색5 2 3" xfId="449"/>
    <cellStyle name="20% - 강조색5 2 3 2" xfId="450"/>
    <cellStyle name="20% - 강조색5 2 3 3" xfId="451"/>
    <cellStyle name="20% - 강조색5 2 4" xfId="452"/>
    <cellStyle name="20% - 강조색5 2 5" xfId="453"/>
    <cellStyle name="20% - 강조색5 3" xfId="454"/>
    <cellStyle name="20% - 강조색5 3 2" xfId="455"/>
    <cellStyle name="20% - 강조색5 3 2 2" xfId="456"/>
    <cellStyle name="20% - 강조색5 3 2 3" xfId="457"/>
    <cellStyle name="20% - 강조색5 3 3" xfId="458"/>
    <cellStyle name="20% - 강조색5 3 3 2" xfId="459"/>
    <cellStyle name="20% - 강조색5 3 3 3" xfId="460"/>
    <cellStyle name="20% - 강조색5 3 4" xfId="461"/>
    <cellStyle name="20% - 강조색5 3 5" xfId="462"/>
    <cellStyle name="20% - 강조색5 4" xfId="463"/>
    <cellStyle name="20% - 강조색5 4 2" xfId="464"/>
    <cellStyle name="20% - 강조색5 4 3" xfId="465"/>
    <cellStyle name="20% - 강조색5 4 4" xfId="466"/>
    <cellStyle name="20% - 강조색5 4 5" xfId="467"/>
    <cellStyle name="20% - 강조색5 4_Mix Item" xfId="468"/>
    <cellStyle name="20% - 강조색5 5" xfId="469"/>
    <cellStyle name="20% - 강조색5 5 2" xfId="470"/>
    <cellStyle name="20% - 강조색5 5 3" xfId="471"/>
    <cellStyle name="20% - 강조색5 6" xfId="472"/>
    <cellStyle name="20% - 강조색5 7" xfId="473"/>
    <cellStyle name="20% - 강조색5 8" xfId="474"/>
    <cellStyle name="20% - 강조색5 9" xfId="475"/>
    <cellStyle name="20% - 강조색5 9 2" xfId="7842"/>
    <cellStyle name="20% - 강조색5 9 3" xfId="7052"/>
    <cellStyle name="20% - 강조색5_01 YW" xfId="476"/>
    <cellStyle name="20% - 강조색6" xfId="477"/>
    <cellStyle name="20% - 강조색6 10" xfId="478"/>
    <cellStyle name="20% - 강조색6 10 2" xfId="7841"/>
    <cellStyle name="20% - 강조색6 10 3" xfId="7053"/>
    <cellStyle name="20% - 강조색6 11" xfId="5025"/>
    <cellStyle name="20% - 강조색6 12" xfId="5095"/>
    <cellStyle name="20% - 강조색6 2" xfId="479"/>
    <cellStyle name="20% - 강조색6 2 2" xfId="480"/>
    <cellStyle name="20% - 강조색6 2 2 2" xfId="481"/>
    <cellStyle name="20% - 강조색6 2 2 3" xfId="482"/>
    <cellStyle name="20% - 강조색6 2 3" xfId="483"/>
    <cellStyle name="20% - 강조색6 2 3 2" xfId="484"/>
    <cellStyle name="20% - 강조색6 2 3 3" xfId="485"/>
    <cellStyle name="20% - 강조색6 2 4" xfId="486"/>
    <cellStyle name="20% - 강조색6 2 5" xfId="487"/>
    <cellStyle name="20% - 강조색6 3" xfId="488"/>
    <cellStyle name="20% - 강조색6 3 2" xfId="489"/>
    <cellStyle name="20% - 강조색6 3 2 2" xfId="490"/>
    <cellStyle name="20% - 강조색6 3 2 3" xfId="491"/>
    <cellStyle name="20% - 강조색6 3 3" xfId="492"/>
    <cellStyle name="20% - 강조색6 3 3 2" xfId="493"/>
    <cellStyle name="20% - 강조색6 3 3 3" xfId="494"/>
    <cellStyle name="20% - 강조색6 3 4" xfId="495"/>
    <cellStyle name="20% - 강조색6 3 5" xfId="496"/>
    <cellStyle name="20% - 강조색6 4" xfId="497"/>
    <cellStyle name="20% - 강조색6 4 2" xfId="498"/>
    <cellStyle name="20% - 강조색6 4 3" xfId="499"/>
    <cellStyle name="20% - 강조색6 4 4" xfId="500"/>
    <cellStyle name="20% - 강조색6 4 5" xfId="501"/>
    <cellStyle name="20% - 강조색6 4_Mix Item" xfId="502"/>
    <cellStyle name="20% - 강조색6 5" xfId="503"/>
    <cellStyle name="20% - 강조색6 5 2" xfId="504"/>
    <cellStyle name="20% - 강조색6 5 3" xfId="505"/>
    <cellStyle name="20% - 강조색6 6" xfId="506"/>
    <cellStyle name="20% - 강조색6 7" xfId="507"/>
    <cellStyle name="20% - 강조색6 8" xfId="508"/>
    <cellStyle name="20% - 강조색6 9" xfId="509"/>
    <cellStyle name="20% - 강조색6 9 2" xfId="7840"/>
    <cellStyle name="20% - 강조색6 9 3" xfId="7054"/>
    <cellStyle name="20% - 강조색6_01 YW" xfId="510"/>
    <cellStyle name="40% - Accent1" xfId="5879"/>
    <cellStyle name="40% - Accent1 2" xfId="511"/>
    <cellStyle name="40% - Accent1 2 2" xfId="512"/>
    <cellStyle name="40% - Accent1 3" xfId="513"/>
    <cellStyle name="40% - Accent1 4" xfId="514"/>
    <cellStyle name="40% - Accent1 5" xfId="515"/>
    <cellStyle name="40% - Accent1_Mix Item" xfId="7055"/>
    <cellStyle name="40% - Accent2" xfId="5878"/>
    <cellStyle name="40% - Accent2 2" xfId="516"/>
    <cellStyle name="40% - Accent2 2 2" xfId="517"/>
    <cellStyle name="40% - Accent2 3" xfId="518"/>
    <cellStyle name="40% - Accent2 4" xfId="519"/>
    <cellStyle name="40% - Accent2 5" xfId="520"/>
    <cellStyle name="40% - Accent2_Mix Item" xfId="7056"/>
    <cellStyle name="40% - Accent3" xfId="5877"/>
    <cellStyle name="40% - Accent3 2" xfId="521"/>
    <cellStyle name="40% - Accent3 2 2" xfId="522"/>
    <cellStyle name="40% - Accent3 3" xfId="523"/>
    <cellStyle name="40% - Accent3 4" xfId="524"/>
    <cellStyle name="40% - Accent3 5" xfId="525"/>
    <cellStyle name="40% - Accent3_Mix Item" xfId="7057"/>
    <cellStyle name="40% - Accent4" xfId="5876"/>
    <cellStyle name="40% - Accent4 2" xfId="526"/>
    <cellStyle name="40% - Accent4 2 2" xfId="527"/>
    <cellStyle name="40% - Accent4 3" xfId="528"/>
    <cellStyle name="40% - Accent4 4" xfId="529"/>
    <cellStyle name="40% - Accent4 5" xfId="530"/>
    <cellStyle name="40% - Accent4_Mix Item" xfId="7058"/>
    <cellStyle name="40% - Accent5" xfId="5875"/>
    <cellStyle name="40% - Accent5 2" xfId="531"/>
    <cellStyle name="40% - Accent5 2 2" xfId="532"/>
    <cellStyle name="40% - Accent5 3" xfId="533"/>
    <cellStyle name="40% - Accent5 4" xfId="534"/>
    <cellStyle name="40% - Accent5 5" xfId="535"/>
    <cellStyle name="40% - Accent5_Mix Item" xfId="7059"/>
    <cellStyle name="40% - Accent6" xfId="5874"/>
    <cellStyle name="40% - Accent6 2" xfId="536"/>
    <cellStyle name="40% - Accent6 2 2" xfId="537"/>
    <cellStyle name="40% - Accent6 3" xfId="538"/>
    <cellStyle name="40% - Accent6 4" xfId="539"/>
    <cellStyle name="40% - Accent6 5" xfId="540"/>
    <cellStyle name="40% - Accent6_Mix Item" xfId="7060"/>
    <cellStyle name="40% - アクセント 1" xfId="541"/>
    <cellStyle name="40% - アクセント 1 2" xfId="542"/>
    <cellStyle name="40% - アクセント 1 2 2" xfId="543"/>
    <cellStyle name="40% - アクセント 1 2 2 2" xfId="544"/>
    <cellStyle name="40% - アクセント 1 2 2 2 2" xfId="545"/>
    <cellStyle name="40% - アクセント 1 2 2 2 2 2" xfId="546"/>
    <cellStyle name="40% - アクセント 1 2 2 2_Table_KOR" xfId="547"/>
    <cellStyle name="40% - アクセント 1 2 2 3" xfId="548"/>
    <cellStyle name="40% - アクセント 1 2 2 3 2" xfId="549"/>
    <cellStyle name="40% - アクセント 1 2 2 3 2 2" xfId="550"/>
    <cellStyle name="40% - アクセント 1 2 2 3_Table_KOR" xfId="551"/>
    <cellStyle name="40% - アクセント 1 2 2 4" xfId="552"/>
    <cellStyle name="40% - アクセント 1 2 2 4 2" xfId="553"/>
    <cellStyle name="40% - アクセント 1 2 3" xfId="554"/>
    <cellStyle name="40% - アクセント 1 2 3 2" xfId="555"/>
    <cellStyle name="40% - アクセント 1 2 3 2 2" xfId="556"/>
    <cellStyle name="40% - アクセント 1 2 3_Table_KOR" xfId="557"/>
    <cellStyle name="40% - アクセント 1 2 4" xfId="558"/>
    <cellStyle name="40% - アクセント 1 2 4 2" xfId="559"/>
    <cellStyle name="40% - アクセント 1 2 4 2 2" xfId="560"/>
    <cellStyle name="40% - アクセント 1 2 4_Table_KOR" xfId="561"/>
    <cellStyle name="40% - アクセント 1 2 5" xfId="562"/>
    <cellStyle name="40% - アクセント 1 2 5 2" xfId="563"/>
    <cellStyle name="40% - アクセント 1 2_etc_data" xfId="564"/>
    <cellStyle name="40% - アクセント 1 3" xfId="565"/>
    <cellStyle name="40% - アクセント 1 3 2" xfId="566"/>
    <cellStyle name="40% - アクセント 1 3 2 2" xfId="567"/>
    <cellStyle name="40% - アクセント 1 3 2 2 2" xfId="568"/>
    <cellStyle name="40% - アクセント 1 3 2_Table_KOR" xfId="569"/>
    <cellStyle name="40% - アクセント 1 3 3" xfId="570"/>
    <cellStyle name="40% - アクセント 1 3 3 2" xfId="571"/>
    <cellStyle name="40% - アクセント 1 3 3 2 2" xfId="572"/>
    <cellStyle name="40% - アクセント 1 3 3_Table_KOR" xfId="573"/>
    <cellStyle name="40% - アクセント 1 3 4" xfId="574"/>
    <cellStyle name="40% - アクセント 1 3 4 2" xfId="575"/>
    <cellStyle name="40% - アクセント 1 4" xfId="576"/>
    <cellStyle name="40% - アクセント 1 4 2" xfId="577"/>
    <cellStyle name="40% - アクセント 1 4 2 2" xfId="578"/>
    <cellStyle name="40% - アクセント 1 4_Table_KOR" xfId="579"/>
    <cellStyle name="40% - アクセント 1 5" xfId="580"/>
    <cellStyle name="40% - アクセント 1 5 2" xfId="581"/>
    <cellStyle name="40% - アクセント 1 5 2 2" xfId="582"/>
    <cellStyle name="40% - アクセント 1 5_Table_KOR" xfId="583"/>
    <cellStyle name="40% - アクセント 1 6" xfId="584"/>
    <cellStyle name="40% - アクセント 1 6 2" xfId="585"/>
    <cellStyle name="40% - アクセント 1_01 YW" xfId="586"/>
    <cellStyle name="40% - アクセント 2" xfId="587"/>
    <cellStyle name="40% - アクセント 2 2" xfId="588"/>
    <cellStyle name="40% - アクセント 2 2 2" xfId="589"/>
    <cellStyle name="40% - アクセント 2 2 2 2" xfId="590"/>
    <cellStyle name="40% - アクセント 2 2 2 2 2" xfId="591"/>
    <cellStyle name="40% - アクセント 2 2 2 2 2 2" xfId="592"/>
    <cellStyle name="40% - アクセント 2 2 2 2_Table_KOR" xfId="593"/>
    <cellStyle name="40% - アクセント 2 2 2 3" xfId="594"/>
    <cellStyle name="40% - アクセント 2 2 2 3 2" xfId="595"/>
    <cellStyle name="40% - アクセント 2 2 2 3 2 2" xfId="596"/>
    <cellStyle name="40% - アクセント 2 2 2 3_Table_KOR" xfId="597"/>
    <cellStyle name="40% - アクセント 2 2 2 4" xfId="598"/>
    <cellStyle name="40% - アクセント 2 2 2 4 2" xfId="599"/>
    <cellStyle name="40% - アクセント 2 2 3" xfId="600"/>
    <cellStyle name="40% - アクセント 2 2 3 2" xfId="601"/>
    <cellStyle name="40% - アクセント 2 2 3 2 2" xfId="602"/>
    <cellStyle name="40% - アクセント 2 2 3_Table_KOR" xfId="603"/>
    <cellStyle name="40% - アクセント 2 2 4" xfId="604"/>
    <cellStyle name="40% - アクセント 2 2 4 2" xfId="605"/>
    <cellStyle name="40% - アクセント 2 2 4 2 2" xfId="606"/>
    <cellStyle name="40% - アクセント 2 2 4_Table_KOR" xfId="607"/>
    <cellStyle name="40% - アクセント 2 2 5" xfId="608"/>
    <cellStyle name="40% - アクセント 2 2 5 2" xfId="609"/>
    <cellStyle name="40% - アクセント 2 2_etc_data" xfId="610"/>
    <cellStyle name="40% - アクセント 2 3" xfId="611"/>
    <cellStyle name="40% - アクセント 2 3 2" xfId="612"/>
    <cellStyle name="40% - アクセント 2 3 2 2" xfId="613"/>
    <cellStyle name="40% - アクセント 2 3 2 2 2" xfId="614"/>
    <cellStyle name="40% - アクセント 2 3 2_Table_KOR" xfId="615"/>
    <cellStyle name="40% - アクセント 2 3 3" xfId="616"/>
    <cellStyle name="40% - アクセント 2 3 3 2" xfId="617"/>
    <cellStyle name="40% - アクセント 2 3 3 2 2" xfId="618"/>
    <cellStyle name="40% - アクセント 2 3 3_Table_KOR" xfId="619"/>
    <cellStyle name="40% - アクセント 2 3 4" xfId="620"/>
    <cellStyle name="40% - アクセント 2 3 4 2" xfId="621"/>
    <cellStyle name="40% - アクセント 2 4" xfId="622"/>
    <cellStyle name="40% - アクセント 2 4 2" xfId="623"/>
    <cellStyle name="40% - アクセント 2 4 2 2" xfId="624"/>
    <cellStyle name="40% - アクセント 2 4_Table_KOR" xfId="625"/>
    <cellStyle name="40% - アクセント 2 5" xfId="626"/>
    <cellStyle name="40% - アクセント 2 5 2" xfId="627"/>
    <cellStyle name="40% - アクセント 2 5 2 2" xfId="628"/>
    <cellStyle name="40% - アクセント 2 5_Table_KOR" xfId="629"/>
    <cellStyle name="40% - アクセント 2 6" xfId="630"/>
    <cellStyle name="40% - アクセント 2 6 2" xfId="631"/>
    <cellStyle name="40% - アクセント 2_01 YW" xfId="632"/>
    <cellStyle name="40% - アクセント 3" xfId="633"/>
    <cellStyle name="40% - アクセント 3 2" xfId="634"/>
    <cellStyle name="40% - アクセント 3 2 2" xfId="635"/>
    <cellStyle name="40% - アクセント 3 2 2 2" xfId="636"/>
    <cellStyle name="40% - アクセント 3 2 2 2 2" xfId="637"/>
    <cellStyle name="40% - アクセント 3 2 2 2 2 2" xfId="638"/>
    <cellStyle name="40% - アクセント 3 2 2 2_Table_KOR" xfId="639"/>
    <cellStyle name="40% - アクセント 3 2 2 3" xfId="640"/>
    <cellStyle name="40% - アクセント 3 2 2 3 2" xfId="641"/>
    <cellStyle name="40% - アクセント 3 2 2 3 2 2" xfId="642"/>
    <cellStyle name="40% - アクセント 3 2 2 3_Table_KOR" xfId="643"/>
    <cellStyle name="40% - アクセント 3 2 2 4" xfId="644"/>
    <cellStyle name="40% - アクセント 3 2 2 4 2" xfId="645"/>
    <cellStyle name="40% - アクセント 3 2 3" xfId="646"/>
    <cellStyle name="40% - アクセント 3 2 3 2" xfId="647"/>
    <cellStyle name="40% - アクセント 3 2 3 2 2" xfId="648"/>
    <cellStyle name="40% - アクセント 3 2 3_Table_KOR" xfId="649"/>
    <cellStyle name="40% - アクセント 3 2 4" xfId="650"/>
    <cellStyle name="40% - アクセント 3 2 4 2" xfId="651"/>
    <cellStyle name="40% - アクセント 3 2 4 2 2" xfId="652"/>
    <cellStyle name="40% - アクセント 3 2 4_Table_KOR" xfId="653"/>
    <cellStyle name="40% - アクセント 3 2 5" xfId="654"/>
    <cellStyle name="40% - アクセント 3 2 5 2" xfId="655"/>
    <cellStyle name="40% - アクセント 3 2_etc_data" xfId="656"/>
    <cellStyle name="40% - アクセント 3 3" xfId="657"/>
    <cellStyle name="40% - アクセント 3 3 2" xfId="658"/>
    <cellStyle name="40% - アクセント 3 3 2 2" xfId="659"/>
    <cellStyle name="40% - アクセント 3 3 2 2 2" xfId="660"/>
    <cellStyle name="40% - アクセント 3 3 2_Table_KOR" xfId="661"/>
    <cellStyle name="40% - アクセント 3 3 3" xfId="662"/>
    <cellStyle name="40% - アクセント 3 3 3 2" xfId="663"/>
    <cellStyle name="40% - アクセント 3 3 3 2 2" xfId="664"/>
    <cellStyle name="40% - アクセント 3 3 3_Table_KOR" xfId="665"/>
    <cellStyle name="40% - アクセント 3 3 4" xfId="666"/>
    <cellStyle name="40% - アクセント 3 3 4 2" xfId="667"/>
    <cellStyle name="40% - アクセント 3 4" xfId="668"/>
    <cellStyle name="40% - アクセント 3 4 2" xfId="669"/>
    <cellStyle name="40% - アクセント 3 4 2 2" xfId="670"/>
    <cellStyle name="40% - アクセント 3 4_Table_KOR" xfId="671"/>
    <cellStyle name="40% - アクセント 3 5" xfId="672"/>
    <cellStyle name="40% - アクセント 3 5 2" xfId="673"/>
    <cellStyle name="40% - アクセント 3 5 2 2" xfId="674"/>
    <cellStyle name="40% - アクセント 3 5_Table_KOR" xfId="675"/>
    <cellStyle name="40% - アクセント 3 6" xfId="676"/>
    <cellStyle name="40% - アクセント 3 6 2" xfId="677"/>
    <cellStyle name="40% - アクセント 3_01 YW" xfId="678"/>
    <cellStyle name="40% - アクセント 4" xfId="679"/>
    <cellStyle name="40% - アクセント 4 2" xfId="680"/>
    <cellStyle name="40% - アクセント 4 2 2" xfId="681"/>
    <cellStyle name="40% - アクセント 4 2 2 2" xfId="682"/>
    <cellStyle name="40% - アクセント 4 2 2 2 2" xfId="683"/>
    <cellStyle name="40% - アクセント 4 2 2 2 2 2" xfId="684"/>
    <cellStyle name="40% - アクセント 4 2 2 2_Table_KOR" xfId="685"/>
    <cellStyle name="40% - アクセント 4 2 2 3" xfId="686"/>
    <cellStyle name="40% - アクセント 4 2 2 3 2" xfId="687"/>
    <cellStyle name="40% - アクセント 4 2 2 3 2 2" xfId="688"/>
    <cellStyle name="40% - アクセント 4 2 2 3_Table_KOR" xfId="689"/>
    <cellStyle name="40% - アクセント 4 2 2 4" xfId="690"/>
    <cellStyle name="40% - アクセント 4 2 2 4 2" xfId="691"/>
    <cellStyle name="40% - アクセント 4 2 3" xfId="692"/>
    <cellStyle name="40% - アクセント 4 2 3 2" xfId="693"/>
    <cellStyle name="40% - アクセント 4 2 3 2 2" xfId="694"/>
    <cellStyle name="40% - アクセント 4 2 3_Table_KOR" xfId="695"/>
    <cellStyle name="40% - アクセント 4 2 4" xfId="696"/>
    <cellStyle name="40% - アクセント 4 2 4 2" xfId="697"/>
    <cellStyle name="40% - アクセント 4 2 4 2 2" xfId="698"/>
    <cellStyle name="40% - アクセント 4 2 4_Table_KOR" xfId="699"/>
    <cellStyle name="40% - アクセント 4 2 5" xfId="700"/>
    <cellStyle name="40% - アクセント 4 2 5 2" xfId="701"/>
    <cellStyle name="40% - アクセント 4 2_etc_data" xfId="702"/>
    <cellStyle name="40% - アクセント 4 3" xfId="703"/>
    <cellStyle name="40% - アクセント 4 3 2" xfId="704"/>
    <cellStyle name="40% - アクセント 4 3 2 2" xfId="705"/>
    <cellStyle name="40% - アクセント 4 3 2 2 2" xfId="706"/>
    <cellStyle name="40% - アクセント 4 3 2_Table_KOR" xfId="707"/>
    <cellStyle name="40% - アクセント 4 3 3" xfId="708"/>
    <cellStyle name="40% - アクセント 4 3 3 2" xfId="709"/>
    <cellStyle name="40% - アクセント 4 3 3 2 2" xfId="710"/>
    <cellStyle name="40% - アクセント 4 3 3_Table_KOR" xfId="711"/>
    <cellStyle name="40% - アクセント 4 3 4" xfId="712"/>
    <cellStyle name="40% - アクセント 4 3 4 2" xfId="713"/>
    <cellStyle name="40% - アクセント 4 4" xfId="714"/>
    <cellStyle name="40% - アクセント 4 4 2" xfId="715"/>
    <cellStyle name="40% - アクセント 4 4 2 2" xfId="716"/>
    <cellStyle name="40% - アクセント 4 4_Table_KOR" xfId="717"/>
    <cellStyle name="40% - アクセント 4 5" xfId="718"/>
    <cellStyle name="40% - アクセント 4 5 2" xfId="719"/>
    <cellStyle name="40% - アクセント 4 5 2 2" xfId="720"/>
    <cellStyle name="40% - アクセント 4 5_Table_KOR" xfId="721"/>
    <cellStyle name="40% - アクセント 4 6" xfId="722"/>
    <cellStyle name="40% - アクセント 4 6 2" xfId="723"/>
    <cellStyle name="40% - アクセント 4_01 YW" xfId="724"/>
    <cellStyle name="40% - アクセント 5" xfId="725"/>
    <cellStyle name="40% - アクセント 5 2" xfId="726"/>
    <cellStyle name="40% - アクセント 5 2 2" xfId="727"/>
    <cellStyle name="40% - アクセント 5 2 2 2" xfId="728"/>
    <cellStyle name="40% - アクセント 5 2 2 2 2" xfId="729"/>
    <cellStyle name="40% - アクセント 5 2 2 2 2 2" xfId="730"/>
    <cellStyle name="40% - アクセント 5 2 2 2_Table_KOR" xfId="731"/>
    <cellStyle name="40% - アクセント 5 2 2 3" xfId="732"/>
    <cellStyle name="40% - アクセント 5 2 2 3 2" xfId="733"/>
    <cellStyle name="40% - アクセント 5 2 2 3 2 2" xfId="734"/>
    <cellStyle name="40% - アクセント 5 2 2 3_Table_KOR" xfId="735"/>
    <cellStyle name="40% - アクセント 5 2 2 4" xfId="736"/>
    <cellStyle name="40% - アクセント 5 2 2 4 2" xfId="737"/>
    <cellStyle name="40% - アクセント 5 2 3" xfId="738"/>
    <cellStyle name="40% - アクセント 5 2 3 2" xfId="739"/>
    <cellStyle name="40% - アクセント 5 2 3 2 2" xfId="740"/>
    <cellStyle name="40% - アクセント 5 2 3_Table_KOR" xfId="741"/>
    <cellStyle name="40% - アクセント 5 2 4" xfId="742"/>
    <cellStyle name="40% - アクセント 5 2 4 2" xfId="743"/>
    <cellStyle name="40% - アクセント 5 2 4 2 2" xfId="744"/>
    <cellStyle name="40% - アクセント 5 2 4_Table_KOR" xfId="745"/>
    <cellStyle name="40% - アクセント 5 2 5" xfId="746"/>
    <cellStyle name="40% - アクセント 5 2 5 2" xfId="747"/>
    <cellStyle name="40% - アクセント 5 2_etc_data" xfId="748"/>
    <cellStyle name="40% - アクセント 5 3" xfId="749"/>
    <cellStyle name="40% - アクセント 5 3 2" xfId="750"/>
    <cellStyle name="40% - アクセント 5 3 2 2" xfId="751"/>
    <cellStyle name="40% - アクセント 5 3 2 2 2" xfId="752"/>
    <cellStyle name="40% - アクセント 5 3 2_Table_KOR" xfId="753"/>
    <cellStyle name="40% - アクセント 5 3 3" xfId="754"/>
    <cellStyle name="40% - アクセント 5 3 3 2" xfId="755"/>
    <cellStyle name="40% - アクセント 5 3 3 2 2" xfId="756"/>
    <cellStyle name="40% - アクセント 5 3 3_Table_KOR" xfId="757"/>
    <cellStyle name="40% - アクセント 5 3 4" xfId="758"/>
    <cellStyle name="40% - アクセント 5 3 4 2" xfId="759"/>
    <cellStyle name="40% - アクセント 5 4" xfId="760"/>
    <cellStyle name="40% - アクセント 5 4 2" xfId="761"/>
    <cellStyle name="40% - アクセント 5 4 2 2" xfId="762"/>
    <cellStyle name="40% - アクセント 5 4_Table_KOR" xfId="763"/>
    <cellStyle name="40% - アクセント 5 5" xfId="764"/>
    <cellStyle name="40% - アクセント 5 5 2" xfId="765"/>
    <cellStyle name="40% - アクセント 5 5 2 2" xfId="766"/>
    <cellStyle name="40% - アクセント 5 5_Table_KOR" xfId="767"/>
    <cellStyle name="40% - アクセント 5 6" xfId="768"/>
    <cellStyle name="40% - アクセント 5 6 2" xfId="769"/>
    <cellStyle name="40% - アクセント 5_01 YW" xfId="770"/>
    <cellStyle name="40% - アクセント 6" xfId="771"/>
    <cellStyle name="40% - アクセント 6 2" xfId="772"/>
    <cellStyle name="40% - アクセント 6 2 2" xfId="773"/>
    <cellStyle name="40% - アクセント 6 2 2 2" xfId="774"/>
    <cellStyle name="40% - アクセント 6 2 2 2 2" xfId="775"/>
    <cellStyle name="40% - アクセント 6 2 2 2 2 2" xfId="776"/>
    <cellStyle name="40% - アクセント 6 2 2 2_Table_KOR" xfId="777"/>
    <cellStyle name="40% - アクセント 6 2 2 3" xfId="778"/>
    <cellStyle name="40% - アクセント 6 2 2 3 2" xfId="779"/>
    <cellStyle name="40% - アクセント 6 2 2 3_Table_KOR" xfId="780"/>
    <cellStyle name="40% - アクセント 6 2 3" xfId="781"/>
    <cellStyle name="40% - アクセント 6 2 3 2" xfId="782"/>
    <cellStyle name="40% - アクセント 6 2 3_Table_KOR" xfId="783"/>
    <cellStyle name="40% - アクセント 6 2 4" xfId="784"/>
    <cellStyle name="40% - アクセント 6 2 4 2" xfId="785"/>
    <cellStyle name="40% - アクセント 6 2 4_Table_KOR" xfId="786"/>
    <cellStyle name="40% - アクセント 6 2_etc_data" xfId="787"/>
    <cellStyle name="40% - アクセント 6 3" xfId="788"/>
    <cellStyle name="40% - アクセント 6 3 2" xfId="789"/>
    <cellStyle name="40% - アクセント 6 3 2 2" xfId="790"/>
    <cellStyle name="40% - アクセント 6 3 2_Table_KOR" xfId="791"/>
    <cellStyle name="40% - アクセント 6 3 3" xfId="792"/>
    <cellStyle name="40% - アクセント 6 3 3 2" xfId="793"/>
    <cellStyle name="40% - アクセント 6 3 3_Table_KOR" xfId="794"/>
    <cellStyle name="40% - アクセント 6 4" xfId="795"/>
    <cellStyle name="40% - アクセント 6 4 2" xfId="796"/>
    <cellStyle name="40% - アクセント 6 4_Table_KOR" xfId="797"/>
    <cellStyle name="40% - アクセント 6 5" xfId="798"/>
    <cellStyle name="40% - アクセント 6 5 2" xfId="799"/>
    <cellStyle name="40% - アクセント 6 5_Table_KOR" xfId="800"/>
    <cellStyle name="40% - アクセント 6 6" xfId="801"/>
    <cellStyle name="40% - アクセント 6_01 YW" xfId="802"/>
    <cellStyle name="40% - 강조색1" xfId="803"/>
    <cellStyle name="40% - 강조색1 10" xfId="804"/>
    <cellStyle name="40% - 강조색1 10 2" xfId="7839"/>
    <cellStyle name="40% - 강조색1 10 3" xfId="7068"/>
    <cellStyle name="40% - 강조색1 11" xfId="5026"/>
    <cellStyle name="40% - 강조색1 12" xfId="5096"/>
    <cellStyle name="40% - 강조색1 2" xfId="805"/>
    <cellStyle name="40% - 강조색1 2 2" xfId="806"/>
    <cellStyle name="40% - 강조색1 2 2 2" xfId="807"/>
    <cellStyle name="40% - 강조색1 2 2 3" xfId="808"/>
    <cellStyle name="40% - 강조색1 2 3" xfId="809"/>
    <cellStyle name="40% - 강조색1 2 3 2" xfId="810"/>
    <cellStyle name="40% - 강조색1 2 3 3" xfId="811"/>
    <cellStyle name="40% - 강조색1 2 4" xfId="812"/>
    <cellStyle name="40% - 강조색1 2 5" xfId="813"/>
    <cellStyle name="40% - 강조색1 3" xfId="814"/>
    <cellStyle name="40% - 강조색1 3 2" xfId="815"/>
    <cellStyle name="40% - 강조색1 3 2 2" xfId="816"/>
    <cellStyle name="40% - 강조색1 3 2 3" xfId="817"/>
    <cellStyle name="40% - 강조색1 3 3" xfId="818"/>
    <cellStyle name="40% - 강조색1 3 3 2" xfId="819"/>
    <cellStyle name="40% - 강조색1 3 3 3" xfId="820"/>
    <cellStyle name="40% - 강조색1 3 4" xfId="821"/>
    <cellStyle name="40% - 강조색1 3 5" xfId="822"/>
    <cellStyle name="40% - 강조색1 4" xfId="823"/>
    <cellStyle name="40% - 강조색1 4 2" xfId="824"/>
    <cellStyle name="40% - 강조색1 4 3" xfId="825"/>
    <cellStyle name="40% - 강조색1 4 4" xfId="826"/>
    <cellStyle name="40% - 강조색1 4 5" xfId="827"/>
    <cellStyle name="40% - 강조색1 4_Mix Item" xfId="828"/>
    <cellStyle name="40% - 강조색1 5" xfId="829"/>
    <cellStyle name="40% - 강조색1 5 2" xfId="830"/>
    <cellStyle name="40% - 강조색1 5 3" xfId="831"/>
    <cellStyle name="40% - 강조색1 6" xfId="832"/>
    <cellStyle name="40% - 강조색1 7" xfId="833"/>
    <cellStyle name="40% - 강조색1 8" xfId="834"/>
    <cellStyle name="40% - 강조색1 9" xfId="835"/>
    <cellStyle name="40% - 강조색1 9 2" xfId="7838"/>
    <cellStyle name="40% - 강조색1 9 3" xfId="7069"/>
    <cellStyle name="40% - 강조색1_01 YW" xfId="836"/>
    <cellStyle name="40% - 강조색2" xfId="837"/>
    <cellStyle name="40% - 강조색2 10" xfId="838"/>
    <cellStyle name="40% - 강조색2 10 2" xfId="7837"/>
    <cellStyle name="40% - 강조색2 10 3" xfId="7070"/>
    <cellStyle name="40% - 강조색2 11" xfId="5027"/>
    <cellStyle name="40% - 강조색2 12" xfId="5097"/>
    <cellStyle name="40% - 강조색2 2" xfId="839"/>
    <cellStyle name="40% - 강조색2 2 2" xfId="840"/>
    <cellStyle name="40% - 강조색2 2 2 2" xfId="841"/>
    <cellStyle name="40% - 강조색2 2 2 3" xfId="842"/>
    <cellStyle name="40% - 강조색2 2 3" xfId="843"/>
    <cellStyle name="40% - 강조색2 2 3 2" xfId="844"/>
    <cellStyle name="40% - 강조색2 2 3 3" xfId="845"/>
    <cellStyle name="40% - 강조색2 2 4" xfId="846"/>
    <cellStyle name="40% - 강조색2 2 5" xfId="847"/>
    <cellStyle name="40% - 강조색2 3" xfId="848"/>
    <cellStyle name="40% - 강조색2 3 2" xfId="849"/>
    <cellStyle name="40% - 강조색2 3 2 2" xfId="850"/>
    <cellStyle name="40% - 강조색2 3 2 3" xfId="851"/>
    <cellStyle name="40% - 강조색2 3 3" xfId="852"/>
    <cellStyle name="40% - 강조색2 3 3 2" xfId="853"/>
    <cellStyle name="40% - 강조색2 3 3 3" xfId="854"/>
    <cellStyle name="40% - 강조색2 3 4" xfId="855"/>
    <cellStyle name="40% - 강조색2 3 5" xfId="856"/>
    <cellStyle name="40% - 강조색2 4" xfId="857"/>
    <cellStyle name="40% - 강조색2 4 2" xfId="858"/>
    <cellStyle name="40% - 강조색2 4 3" xfId="859"/>
    <cellStyle name="40% - 강조색2 4 4" xfId="860"/>
    <cellStyle name="40% - 강조색2 4 5" xfId="861"/>
    <cellStyle name="40% - 강조색2 4_Mix Item" xfId="862"/>
    <cellStyle name="40% - 강조색2 5" xfId="863"/>
    <cellStyle name="40% - 강조색2 5 2" xfId="864"/>
    <cellStyle name="40% - 강조색2 5 3" xfId="865"/>
    <cellStyle name="40% - 강조색2 6" xfId="866"/>
    <cellStyle name="40% - 강조색2 7" xfId="867"/>
    <cellStyle name="40% - 강조색2 8" xfId="868"/>
    <cellStyle name="40% - 강조색2 9" xfId="869"/>
    <cellStyle name="40% - 강조색2 9 2" xfId="7836"/>
    <cellStyle name="40% - 강조색2 9 3" xfId="7071"/>
    <cellStyle name="40% - 강조색2_01 YW" xfId="870"/>
    <cellStyle name="40% - 강조색3" xfId="871"/>
    <cellStyle name="40% - 강조색3 10" xfId="872"/>
    <cellStyle name="40% - 강조색3 10 2" xfId="7835"/>
    <cellStyle name="40% - 강조색3 10 3" xfId="7072"/>
    <cellStyle name="40% - 강조색3 11" xfId="5028"/>
    <cellStyle name="40% - 강조색3 12" xfId="5098"/>
    <cellStyle name="40% - 강조색3 2" xfId="873"/>
    <cellStyle name="40% - 강조색3 2 2" xfId="874"/>
    <cellStyle name="40% - 강조색3 2 2 2" xfId="875"/>
    <cellStyle name="40% - 강조색3 2 2 3" xfId="876"/>
    <cellStyle name="40% - 강조색3 2 3" xfId="877"/>
    <cellStyle name="40% - 강조색3 2 3 2" xfId="878"/>
    <cellStyle name="40% - 강조색3 2 3 3" xfId="879"/>
    <cellStyle name="40% - 강조색3 2 4" xfId="880"/>
    <cellStyle name="40% - 강조색3 2 5" xfId="881"/>
    <cellStyle name="40% - 강조색3 3" xfId="882"/>
    <cellStyle name="40% - 강조색3 3 2" xfId="883"/>
    <cellStyle name="40% - 강조색3 3 2 2" xfId="884"/>
    <cellStyle name="40% - 강조색3 3 2 3" xfId="885"/>
    <cellStyle name="40% - 강조색3 3 3" xfId="886"/>
    <cellStyle name="40% - 강조색3 3 3 2" xfId="887"/>
    <cellStyle name="40% - 강조색3 3 3 3" xfId="888"/>
    <cellStyle name="40% - 강조색3 3 4" xfId="889"/>
    <cellStyle name="40% - 강조색3 3 5" xfId="890"/>
    <cellStyle name="40% - 강조색3 4" xfId="891"/>
    <cellStyle name="40% - 강조색3 4 2" xfId="892"/>
    <cellStyle name="40% - 강조색3 4 3" xfId="893"/>
    <cellStyle name="40% - 강조색3 4 4" xfId="894"/>
    <cellStyle name="40% - 강조색3 4 5" xfId="895"/>
    <cellStyle name="40% - 강조색3 4_Mix Item" xfId="896"/>
    <cellStyle name="40% - 강조색3 5" xfId="897"/>
    <cellStyle name="40% - 강조색3 5 2" xfId="898"/>
    <cellStyle name="40% - 강조색3 5 3" xfId="899"/>
    <cellStyle name="40% - 강조색3 6" xfId="900"/>
    <cellStyle name="40% - 강조색3 7" xfId="901"/>
    <cellStyle name="40% - 강조색3 8" xfId="902"/>
    <cellStyle name="40% - 강조색3 9" xfId="903"/>
    <cellStyle name="40% - 강조색3 9 2" xfId="7834"/>
    <cellStyle name="40% - 강조색3 9 3" xfId="7073"/>
    <cellStyle name="40% - 강조색3_01 YW" xfId="904"/>
    <cellStyle name="40% - 강조색4" xfId="905"/>
    <cellStyle name="40% - 강조색4 10" xfId="906"/>
    <cellStyle name="40% - 강조색4 10 2" xfId="7833"/>
    <cellStyle name="40% - 강조색4 10 3" xfId="7074"/>
    <cellStyle name="40% - 강조색4 11" xfId="5029"/>
    <cellStyle name="40% - 강조색4 12" xfId="5099"/>
    <cellStyle name="40% - 강조색4 2" xfId="907"/>
    <cellStyle name="40% - 강조색4 2 2" xfId="908"/>
    <cellStyle name="40% - 강조색4 2 2 2" xfId="909"/>
    <cellStyle name="40% - 강조색4 2 2 3" xfId="910"/>
    <cellStyle name="40% - 강조색4 2 3" xfId="911"/>
    <cellStyle name="40% - 강조색4 2 3 2" xfId="912"/>
    <cellStyle name="40% - 강조색4 2 3 3" xfId="913"/>
    <cellStyle name="40% - 강조색4 2 4" xfId="914"/>
    <cellStyle name="40% - 강조색4 2 5" xfId="915"/>
    <cellStyle name="40% - 강조색4 3" xfId="916"/>
    <cellStyle name="40% - 강조색4 3 2" xfId="917"/>
    <cellStyle name="40% - 강조색4 3 2 2" xfId="918"/>
    <cellStyle name="40% - 강조색4 3 2 3" xfId="919"/>
    <cellStyle name="40% - 강조색4 3 3" xfId="920"/>
    <cellStyle name="40% - 강조색4 3 3 2" xfId="921"/>
    <cellStyle name="40% - 강조색4 3 3 3" xfId="922"/>
    <cellStyle name="40% - 강조색4 3 4" xfId="923"/>
    <cellStyle name="40% - 강조색4 3 5" xfId="924"/>
    <cellStyle name="40% - 강조색4 4" xfId="925"/>
    <cellStyle name="40% - 강조색4 4 2" xfId="926"/>
    <cellStyle name="40% - 강조색4 4 3" xfId="927"/>
    <cellStyle name="40% - 강조색4 4 4" xfId="928"/>
    <cellStyle name="40% - 강조색4 4 5" xfId="929"/>
    <cellStyle name="40% - 강조색4 4_Mix Item" xfId="930"/>
    <cellStyle name="40% - 강조색4 5" xfId="931"/>
    <cellStyle name="40% - 강조색4 5 2" xfId="932"/>
    <cellStyle name="40% - 강조색4 5 3" xfId="933"/>
    <cellStyle name="40% - 강조색4 6" xfId="934"/>
    <cellStyle name="40% - 강조색4 7" xfId="935"/>
    <cellStyle name="40% - 강조색4 8" xfId="936"/>
    <cellStyle name="40% - 강조색4 9" xfId="937"/>
    <cellStyle name="40% - 강조색4 9 2" xfId="7832"/>
    <cellStyle name="40% - 강조색4 9 3" xfId="7075"/>
    <cellStyle name="40% - 강조색4_01 YW" xfId="938"/>
    <cellStyle name="40% - 강조색5" xfId="939"/>
    <cellStyle name="40% - 강조색5 10" xfId="940"/>
    <cellStyle name="40% - 강조색5 10 2" xfId="7831"/>
    <cellStyle name="40% - 강조색5 10 3" xfId="7076"/>
    <cellStyle name="40% - 강조색5 11" xfId="5030"/>
    <cellStyle name="40% - 강조색5 12" xfId="5100"/>
    <cellStyle name="40% - 강조색5 2" xfId="941"/>
    <cellStyle name="40% - 강조색5 2 2" xfId="942"/>
    <cellStyle name="40% - 강조색5 2 2 2" xfId="943"/>
    <cellStyle name="40% - 강조색5 2 2 3" xfId="944"/>
    <cellStyle name="40% - 강조색5 2 3" xfId="945"/>
    <cellStyle name="40% - 강조색5 2 3 2" xfId="946"/>
    <cellStyle name="40% - 강조색5 2 3 3" xfId="947"/>
    <cellStyle name="40% - 강조색5 2 4" xfId="948"/>
    <cellStyle name="40% - 강조색5 2 5" xfId="949"/>
    <cellStyle name="40% - 강조색5 3" xfId="950"/>
    <cellStyle name="40% - 강조색5 3 2" xfId="951"/>
    <cellStyle name="40% - 강조색5 3 2 2" xfId="952"/>
    <cellStyle name="40% - 강조색5 3 2 3" xfId="953"/>
    <cellStyle name="40% - 강조색5 3 3" xfId="954"/>
    <cellStyle name="40% - 강조색5 3 3 2" xfId="955"/>
    <cellStyle name="40% - 강조색5 3 3 3" xfId="956"/>
    <cellStyle name="40% - 강조색5 3 4" xfId="957"/>
    <cellStyle name="40% - 강조색5 3 5" xfId="958"/>
    <cellStyle name="40% - 강조색5 4" xfId="959"/>
    <cellStyle name="40% - 강조색5 4 2" xfId="960"/>
    <cellStyle name="40% - 강조색5 4 3" xfId="961"/>
    <cellStyle name="40% - 강조색5 4 4" xfId="962"/>
    <cellStyle name="40% - 강조색5 4 5" xfId="963"/>
    <cellStyle name="40% - 강조색5 4_Mix Item" xfId="964"/>
    <cellStyle name="40% - 강조색5 5" xfId="965"/>
    <cellStyle name="40% - 강조색5 5 2" xfId="966"/>
    <cellStyle name="40% - 강조색5 5 3" xfId="967"/>
    <cellStyle name="40% - 강조색5 6" xfId="968"/>
    <cellStyle name="40% - 강조색5 7" xfId="969"/>
    <cellStyle name="40% - 강조색5 8" xfId="970"/>
    <cellStyle name="40% - 강조색5 9" xfId="971"/>
    <cellStyle name="40% - 강조색5 9 2" xfId="7830"/>
    <cellStyle name="40% - 강조색5 9 3" xfId="7077"/>
    <cellStyle name="40% - 강조색5_01 YW" xfId="972"/>
    <cellStyle name="40% - 강조색6" xfId="973"/>
    <cellStyle name="40% - 강조색6 10" xfId="974"/>
    <cellStyle name="40% - 강조색6 10 2" xfId="7829"/>
    <cellStyle name="40% - 강조색6 10 3" xfId="7078"/>
    <cellStyle name="40% - 강조색6 11" xfId="5031"/>
    <cellStyle name="40% - 강조색6 12" xfId="5101"/>
    <cellStyle name="40% - 강조색6 2" xfId="975"/>
    <cellStyle name="40% - 강조색6 2 2" xfId="976"/>
    <cellStyle name="40% - 강조색6 2 2 2" xfId="977"/>
    <cellStyle name="40% - 강조색6 2 2 3" xfId="978"/>
    <cellStyle name="40% - 강조색6 2 3" xfId="979"/>
    <cellStyle name="40% - 강조색6 2 3 2" xfId="980"/>
    <cellStyle name="40% - 강조색6 2 3 3" xfId="981"/>
    <cellStyle name="40% - 강조색6 2 4" xfId="982"/>
    <cellStyle name="40% - 강조색6 2 5" xfId="983"/>
    <cellStyle name="40% - 강조색6 3" xfId="984"/>
    <cellStyle name="40% - 강조색6 3 2" xfId="985"/>
    <cellStyle name="40% - 강조색6 3 2 2" xfId="986"/>
    <cellStyle name="40% - 강조색6 3 2 3" xfId="987"/>
    <cellStyle name="40% - 강조색6 3 3" xfId="988"/>
    <cellStyle name="40% - 강조색6 3 3 2" xfId="989"/>
    <cellStyle name="40% - 강조색6 3 3 3" xfId="990"/>
    <cellStyle name="40% - 강조색6 3 4" xfId="991"/>
    <cellStyle name="40% - 강조색6 3 5" xfId="992"/>
    <cellStyle name="40% - 강조색6 4" xfId="993"/>
    <cellStyle name="40% - 강조색6 4 2" xfId="994"/>
    <cellStyle name="40% - 강조색6 4 3" xfId="995"/>
    <cellStyle name="40% - 강조색6 4 4" xfId="996"/>
    <cellStyle name="40% - 강조색6 4 5" xfId="997"/>
    <cellStyle name="40% - 강조색6 4_Mix Item" xfId="998"/>
    <cellStyle name="40% - 강조색6 5" xfId="999"/>
    <cellStyle name="40% - 강조색6 5 2" xfId="1000"/>
    <cellStyle name="40% - 강조색6 5 3" xfId="1001"/>
    <cellStyle name="40% - 강조색6 6" xfId="1002"/>
    <cellStyle name="40% - 강조색6 7" xfId="1003"/>
    <cellStyle name="40% - 강조색6 8" xfId="1004"/>
    <cellStyle name="40% - 강조색6 9" xfId="1005"/>
    <cellStyle name="40% - 강조색6 9 2" xfId="7828"/>
    <cellStyle name="40% - 강조색6 9 3" xfId="7080"/>
    <cellStyle name="40% - 강조색6_01 YW" xfId="1006"/>
    <cellStyle name="60% - Accent1" xfId="5707"/>
    <cellStyle name="60% - Accent1 2" xfId="1007"/>
    <cellStyle name="60% - Accent1 2 2" xfId="1008"/>
    <cellStyle name="60% - Accent1 3" xfId="1009"/>
    <cellStyle name="60% - Accent1 4" xfId="1010"/>
    <cellStyle name="60% - Accent1 5" xfId="1011"/>
    <cellStyle name="60% - Accent1_Mix Item" xfId="7081"/>
    <cellStyle name="60% - Accent2" xfId="5706"/>
    <cellStyle name="60% - Accent2 2" xfId="1012"/>
    <cellStyle name="60% - Accent2 3" xfId="1013"/>
    <cellStyle name="60% - Accent2_Table_KOR" xfId="7082"/>
    <cellStyle name="60% - Accent3" xfId="5705"/>
    <cellStyle name="60% - Accent3 2" xfId="1014"/>
    <cellStyle name="60% - Accent3 2 2" xfId="1015"/>
    <cellStyle name="60% - Accent3 3" xfId="1016"/>
    <cellStyle name="60% - Accent3 4" xfId="1017"/>
    <cellStyle name="60% - Accent3 5" xfId="1018"/>
    <cellStyle name="60% - Accent3_Mix Item" xfId="7083"/>
    <cellStyle name="60% - Accent4" xfId="5704"/>
    <cellStyle name="60% - Accent4 2" xfId="1019"/>
    <cellStyle name="60% - Accent4 2 2" xfId="1020"/>
    <cellStyle name="60% - Accent4 3" xfId="1021"/>
    <cellStyle name="60% - Accent4 4" xfId="1022"/>
    <cellStyle name="60% - Accent4 5" xfId="1023"/>
    <cellStyle name="60% - Accent4_Mix Item" xfId="7084"/>
    <cellStyle name="60% - Accent5" xfId="5703"/>
    <cellStyle name="60% - Accent5 2" xfId="1024"/>
    <cellStyle name="60% - Accent5 3" xfId="1025"/>
    <cellStyle name="60% - Accent5_Table_KOR" xfId="7085"/>
    <cellStyle name="60% - Accent6" xfId="5702"/>
    <cellStyle name="60% - Accent6 2" xfId="1026"/>
    <cellStyle name="60% - Accent6 2 2" xfId="1027"/>
    <cellStyle name="60% - Accent6 3" xfId="1028"/>
    <cellStyle name="60% - Accent6 4" xfId="1029"/>
    <cellStyle name="60% - Accent6 5" xfId="1030"/>
    <cellStyle name="60% - Accent6_Mix Item" xfId="7086"/>
    <cellStyle name="60% - アクセント 1" xfId="1031"/>
    <cellStyle name="60% - アクセント 1 2" xfId="1032"/>
    <cellStyle name="60% - アクセント 1 2 2" xfId="1033"/>
    <cellStyle name="60% - アクセント 1 2 2 2" xfId="1034"/>
    <cellStyle name="60% - アクセント 1 2 2 2 2" xfId="1035"/>
    <cellStyle name="60% - アクセント 1 2 2 2_Table_KOR" xfId="1036"/>
    <cellStyle name="60% - アクセント 1 2 2 3" xfId="1037"/>
    <cellStyle name="60% - アクセント 1 2 2 3 2" xfId="1038"/>
    <cellStyle name="60% - アクセント 1 2 2 3_Table_KOR" xfId="1039"/>
    <cellStyle name="60% - アクセント 1 2 3" xfId="1040"/>
    <cellStyle name="60% - アクセント 1 2 3 2" xfId="1041"/>
    <cellStyle name="60% - アクセント 1 2 3_Table_KOR" xfId="1042"/>
    <cellStyle name="60% - アクセント 1 2 4" xfId="1043"/>
    <cellStyle name="60% - アクセント 1 2 4 2" xfId="1044"/>
    <cellStyle name="60% - アクセント 1 2 4_Table_KOR" xfId="1045"/>
    <cellStyle name="60% - アクセント 1 2_etc_data" xfId="1046"/>
    <cellStyle name="60% - アクセント 1 3" xfId="1047"/>
    <cellStyle name="60% - アクセント 1 3 2" xfId="1048"/>
    <cellStyle name="60% - アクセント 1 3 2 2" xfId="1049"/>
    <cellStyle name="60% - アクセント 1 3 2_Table_KOR" xfId="1050"/>
    <cellStyle name="60% - アクセント 1 3 3" xfId="1051"/>
    <cellStyle name="60% - アクセント 1 3 3 2" xfId="1052"/>
    <cellStyle name="60% - アクセント 1 3 3_Table_KOR" xfId="1053"/>
    <cellStyle name="60% - アクセント 1 4" xfId="1054"/>
    <cellStyle name="60% - アクセント 1 4 2" xfId="1055"/>
    <cellStyle name="60% - アクセント 1 4_Table_KOR" xfId="1056"/>
    <cellStyle name="60% - アクセント 1 5" xfId="1057"/>
    <cellStyle name="60% - アクセント 1 5 2" xfId="1058"/>
    <cellStyle name="60% - アクセント 1 5_Table_KOR" xfId="1059"/>
    <cellStyle name="60% - アクセント 1 6" xfId="1060"/>
    <cellStyle name="60% - アクセント 1_01 YW" xfId="1061"/>
    <cellStyle name="60% - アクセント 2" xfId="1062"/>
    <cellStyle name="60% - アクセント 2 2" xfId="1063"/>
    <cellStyle name="60% - アクセント 2 2 2" xfId="1064"/>
    <cellStyle name="60% - アクセント 2 2_Table_KOR" xfId="1065"/>
    <cellStyle name="60% - アクセント 2 3" xfId="1066"/>
    <cellStyle name="60% - アクセント 2 3 2" xfId="1067"/>
    <cellStyle name="60% - アクセント 2 3_Table_KOR" xfId="1068"/>
    <cellStyle name="60% - アクセント 3" xfId="1069"/>
    <cellStyle name="60% - アクセント 3 2" xfId="1070"/>
    <cellStyle name="60% - アクセント 3 2 2" xfId="1071"/>
    <cellStyle name="60% - アクセント 3 2 2 2" xfId="1072"/>
    <cellStyle name="60% - アクセント 3 2 2 2 2" xfId="1073"/>
    <cellStyle name="60% - アクセント 3 2 2 2_Table_KOR" xfId="1074"/>
    <cellStyle name="60% - アクセント 3 2 2 3" xfId="1075"/>
    <cellStyle name="60% - アクセント 3 2 2 3 2" xfId="1076"/>
    <cellStyle name="60% - アクセント 3 2 2 3_Table_KOR" xfId="1077"/>
    <cellStyle name="60% - アクセント 3 2 3" xfId="1078"/>
    <cellStyle name="60% - アクセント 3 2 3 2" xfId="1079"/>
    <cellStyle name="60% - アクセント 3 2 3_Table_KOR" xfId="1080"/>
    <cellStyle name="60% - アクセント 3 2 4" xfId="1081"/>
    <cellStyle name="60% - アクセント 3 2 4 2" xfId="1082"/>
    <cellStyle name="60% - アクセント 3 2 4_Table_KOR" xfId="1083"/>
    <cellStyle name="60% - アクセント 3 2_etc_data" xfId="1084"/>
    <cellStyle name="60% - アクセント 3 3" xfId="1085"/>
    <cellStyle name="60% - アクセント 3 3 2" xfId="1086"/>
    <cellStyle name="60% - アクセント 3 3 2 2" xfId="1087"/>
    <cellStyle name="60% - アクセント 3 3 2_Table_KOR" xfId="1088"/>
    <cellStyle name="60% - アクセント 3 3 3" xfId="1089"/>
    <cellStyle name="60% - アクセント 3 3 3 2" xfId="1090"/>
    <cellStyle name="60% - アクセント 3 3 3_Table_KOR" xfId="1091"/>
    <cellStyle name="60% - アクセント 3 4" xfId="1092"/>
    <cellStyle name="60% - アクセント 3 4 2" xfId="1093"/>
    <cellStyle name="60% - アクセント 3 4_Table_KOR" xfId="1094"/>
    <cellStyle name="60% - アクセント 3 5" xfId="1095"/>
    <cellStyle name="60% - アクセント 3 5 2" xfId="1096"/>
    <cellStyle name="60% - アクセント 3 5_Table_KOR" xfId="1097"/>
    <cellStyle name="60% - アクセント 3 6" xfId="1098"/>
    <cellStyle name="60% - アクセント 3_01 YW" xfId="1099"/>
    <cellStyle name="60% - アクセント 4" xfId="1100"/>
    <cellStyle name="60% - アクセント 4 2" xfId="1101"/>
    <cellStyle name="60% - アクセント 4 2 2" xfId="1102"/>
    <cellStyle name="60% - アクセント 4 2 2 2" xfId="1103"/>
    <cellStyle name="60% - アクセント 4 2 2 2 2" xfId="1104"/>
    <cellStyle name="60% - アクセント 4 2 2 2_Table_KOR" xfId="1105"/>
    <cellStyle name="60% - アクセント 4 2 2 3" xfId="1106"/>
    <cellStyle name="60% - アクセント 4 2 2 3 2" xfId="1107"/>
    <cellStyle name="60% - アクセント 4 2 2 3_Table_KOR" xfId="1108"/>
    <cellStyle name="60% - アクセント 4 2 3" xfId="1109"/>
    <cellStyle name="60% - アクセント 4 2 3 2" xfId="1110"/>
    <cellStyle name="60% - アクセント 4 2 3_Table_KOR" xfId="1111"/>
    <cellStyle name="60% - アクセント 4 2 4" xfId="1112"/>
    <cellStyle name="60% - アクセント 4 2 4 2" xfId="1113"/>
    <cellStyle name="60% - アクセント 4 2 4_Table_KOR" xfId="1114"/>
    <cellStyle name="60% - アクセント 4 2_etc_data" xfId="1115"/>
    <cellStyle name="60% - アクセント 4 3" xfId="1116"/>
    <cellStyle name="60% - アクセント 4 3 2" xfId="1117"/>
    <cellStyle name="60% - アクセント 4 3 2 2" xfId="1118"/>
    <cellStyle name="60% - アクセント 4 3 2_Table_KOR" xfId="1119"/>
    <cellStyle name="60% - アクセント 4 3 3" xfId="1120"/>
    <cellStyle name="60% - アクセント 4 3 3 2" xfId="1121"/>
    <cellStyle name="60% - アクセント 4 3 3_Table_KOR" xfId="1122"/>
    <cellStyle name="60% - アクセント 4 4" xfId="1123"/>
    <cellStyle name="60% - アクセント 4 4 2" xfId="1124"/>
    <cellStyle name="60% - アクセント 4 4_Table_KOR" xfId="1125"/>
    <cellStyle name="60% - アクセント 4 5" xfId="1126"/>
    <cellStyle name="60% - アクセント 4 5 2" xfId="1127"/>
    <cellStyle name="60% - アクセント 4 5_Table_KOR" xfId="1128"/>
    <cellStyle name="60% - アクセント 4 6" xfId="1129"/>
    <cellStyle name="60% - アクセント 4_01 YW" xfId="1130"/>
    <cellStyle name="60% - アクセント 5" xfId="1131"/>
    <cellStyle name="60% - アクセント 5 2" xfId="1132"/>
    <cellStyle name="60% - アクセント 5 2 2" xfId="1133"/>
    <cellStyle name="60% - アクセント 5 2_Table_KOR" xfId="1134"/>
    <cellStyle name="60% - アクセント 5 3" xfId="1135"/>
    <cellStyle name="60% - アクセント 5 3 2" xfId="1136"/>
    <cellStyle name="60% - アクセント 5 3_Table_KOR" xfId="1137"/>
    <cellStyle name="60% - アクセント 6" xfId="1138"/>
    <cellStyle name="60% - アクセント 6 2" xfId="1139"/>
    <cellStyle name="60% - アクセント 6 2 2" xfId="1140"/>
    <cellStyle name="60% - アクセント 6 2 2 2" xfId="1141"/>
    <cellStyle name="60% - アクセント 6 2 2 2 2" xfId="1142"/>
    <cellStyle name="60% - アクセント 6 2 2 2_Table_KOR" xfId="1143"/>
    <cellStyle name="60% - アクセント 6 2 2 3" xfId="1144"/>
    <cellStyle name="60% - アクセント 6 2 2 3 2" xfId="1145"/>
    <cellStyle name="60% - アクセント 6 2 2 3_Table_KOR" xfId="1146"/>
    <cellStyle name="60% - アクセント 6 2 3" xfId="1147"/>
    <cellStyle name="60% - アクセント 6 2 3 2" xfId="1148"/>
    <cellStyle name="60% - アクセント 6 2 3_Table_KOR" xfId="1149"/>
    <cellStyle name="60% - アクセント 6 2 4" xfId="1150"/>
    <cellStyle name="60% - アクセント 6 2 4 2" xfId="1151"/>
    <cellStyle name="60% - アクセント 6 2 4_Table_KOR" xfId="1152"/>
    <cellStyle name="60% - アクセント 6 2_etc_data" xfId="1153"/>
    <cellStyle name="60% - アクセント 6 3" xfId="1154"/>
    <cellStyle name="60% - アクセント 6 3 2" xfId="1155"/>
    <cellStyle name="60% - アクセント 6 3 2 2" xfId="1156"/>
    <cellStyle name="60% - アクセント 6 3 2_Table_KOR" xfId="1157"/>
    <cellStyle name="60% - アクセント 6 3 3" xfId="1158"/>
    <cellStyle name="60% - アクセント 6 3 3 2" xfId="1159"/>
    <cellStyle name="60% - アクセント 6 3 3_Table_KOR" xfId="1160"/>
    <cellStyle name="60% - アクセント 6 4" xfId="1161"/>
    <cellStyle name="60% - アクセント 6 4 2" xfId="1162"/>
    <cellStyle name="60% - アクセント 6 4_Table_KOR" xfId="1163"/>
    <cellStyle name="60% - アクセント 6 5" xfId="1164"/>
    <cellStyle name="60% - アクセント 6 5 2" xfId="1165"/>
    <cellStyle name="60% - アクセント 6 5_Table_KOR" xfId="1166"/>
    <cellStyle name="60% - アクセント 6 6" xfId="1167"/>
    <cellStyle name="60% - アクセント 6_01 YW" xfId="1168"/>
    <cellStyle name="60% - 강조색1" xfId="1169"/>
    <cellStyle name="60% - 강조색1 10" xfId="5102"/>
    <cellStyle name="60% - 강조색1 2" xfId="1170"/>
    <cellStyle name="60% - 강조색1 2 2" xfId="1171"/>
    <cellStyle name="60% - 강조색1 2 3" xfId="1172"/>
    <cellStyle name="60% - 강조색1 3" xfId="1173"/>
    <cellStyle name="60% - 강조색1 3 2" xfId="1174"/>
    <cellStyle name="60% - 강조색1 3 3" xfId="1175"/>
    <cellStyle name="60% - 강조색1 4" xfId="1176"/>
    <cellStyle name="60% - 강조색1 4 2" xfId="1177"/>
    <cellStyle name="60% - 강조색1 4 3" xfId="1178"/>
    <cellStyle name="60% - 강조색1 4 4" xfId="1179"/>
    <cellStyle name="60% - 강조색1 4 5" xfId="5692"/>
    <cellStyle name="60% - 강조색1 4 6" xfId="7826"/>
    <cellStyle name="60% - 강조색1 5" xfId="1180"/>
    <cellStyle name="60% - 강조색1 6" xfId="1181"/>
    <cellStyle name="60% - 강조색1 7" xfId="1182"/>
    <cellStyle name="60% - 강조색1 8" xfId="1183"/>
    <cellStyle name="60% - 강조색1 8 2" xfId="7825"/>
    <cellStyle name="60% - 강조색1 8 3" xfId="7092"/>
    <cellStyle name="60% - 강조색1 9" xfId="5032"/>
    <cellStyle name="60% - 강조색1_01 YW" xfId="1184"/>
    <cellStyle name="60% - 강조색2" xfId="1185"/>
    <cellStyle name="60% - 강조색2 2" xfId="1186"/>
    <cellStyle name="60% - 강조색2 2 2" xfId="1187"/>
    <cellStyle name="60% - 강조색2 2 3" xfId="1188"/>
    <cellStyle name="60% - 강조색2 3" xfId="1189"/>
    <cellStyle name="60% - 강조색2 3 2" xfId="1190"/>
    <cellStyle name="60% - 강조색2 3 3" xfId="1191"/>
    <cellStyle name="60% - 강조색2 4" xfId="1192"/>
    <cellStyle name="60% - 강조색2 4 2" xfId="1193"/>
    <cellStyle name="60% - 강조색2 4 3" xfId="1194"/>
    <cellStyle name="60% - 강조색2 4 4" xfId="5693"/>
    <cellStyle name="60% - 강조색2 5" xfId="1195"/>
    <cellStyle name="60% - 강조색2 6" xfId="1196"/>
    <cellStyle name="60% - 강조색2 7" xfId="5033"/>
    <cellStyle name="60% - 강조색2 8" xfId="5103"/>
    <cellStyle name="60% - 강조색2_1차 NETPY 아이템 리스트" xfId="1197"/>
    <cellStyle name="60% - 강조색3" xfId="1198"/>
    <cellStyle name="60% - 강조색3 10" xfId="5104"/>
    <cellStyle name="60% - 강조색3 2" xfId="1199"/>
    <cellStyle name="60% - 강조색3 2 2" xfId="1200"/>
    <cellStyle name="60% - 강조색3 2 3" xfId="1201"/>
    <cellStyle name="60% - 강조색3 3" xfId="1202"/>
    <cellStyle name="60% - 강조색3 3 2" xfId="1203"/>
    <cellStyle name="60% - 강조색3 3 3" xfId="1204"/>
    <cellStyle name="60% - 강조색3 4" xfId="1205"/>
    <cellStyle name="60% - 강조색3 4 2" xfId="1206"/>
    <cellStyle name="60% - 강조색3 4 3" xfId="1207"/>
    <cellStyle name="60% - 강조색3 4 4" xfId="1208"/>
    <cellStyle name="60% - 강조색3 4 5" xfId="5694"/>
    <cellStyle name="60% - 강조색3 4 6" xfId="7824"/>
    <cellStyle name="60% - 강조색3 5" xfId="1209"/>
    <cellStyle name="60% - 강조색3 6" xfId="1210"/>
    <cellStyle name="60% - 강조색3 7" xfId="1211"/>
    <cellStyle name="60% - 강조색3 8" xfId="1212"/>
    <cellStyle name="60% - 강조색3 8 2" xfId="7823"/>
    <cellStyle name="60% - 강조색3 8 3" xfId="7095"/>
    <cellStyle name="60% - 강조색3 9" xfId="5034"/>
    <cellStyle name="60% - 강조색3_01 YW" xfId="1213"/>
    <cellStyle name="60% - 강조색4" xfId="1214"/>
    <cellStyle name="60% - 강조색4 10" xfId="5105"/>
    <cellStyle name="60% - 강조색4 2" xfId="1215"/>
    <cellStyle name="60% - 강조색4 2 2" xfId="1216"/>
    <cellStyle name="60% - 강조색4 2 3" xfId="1217"/>
    <cellStyle name="60% - 강조색4 3" xfId="1218"/>
    <cellStyle name="60% - 강조색4 3 2" xfId="1219"/>
    <cellStyle name="60% - 강조색4 3 3" xfId="1220"/>
    <cellStyle name="60% - 강조색4 4" xfId="1221"/>
    <cellStyle name="60% - 강조색4 4 2" xfId="1222"/>
    <cellStyle name="60% - 강조색4 4 3" xfId="1223"/>
    <cellStyle name="60% - 강조색4 4 4" xfId="1224"/>
    <cellStyle name="60% - 강조색4 4 5" xfId="5695"/>
    <cellStyle name="60% - 강조색4 4 6" xfId="7822"/>
    <cellStyle name="60% - 강조색4 5" xfId="1225"/>
    <cellStyle name="60% - 강조색4 6" xfId="1226"/>
    <cellStyle name="60% - 강조색4 7" xfId="1227"/>
    <cellStyle name="60% - 강조색4 8" xfId="1228"/>
    <cellStyle name="60% - 강조색4 8 2" xfId="7821"/>
    <cellStyle name="60% - 강조색4 8 3" xfId="7097"/>
    <cellStyle name="60% - 강조색4 9" xfId="5035"/>
    <cellStyle name="60% - 강조색4_01 YW" xfId="1229"/>
    <cellStyle name="60% - 강조색5" xfId="1230"/>
    <cellStyle name="60% - 강조색5 2" xfId="1231"/>
    <cellStyle name="60% - 강조색5 2 2" xfId="1232"/>
    <cellStyle name="60% - 강조색5 2 3" xfId="1233"/>
    <cellStyle name="60% - 강조색5 3" xfId="1234"/>
    <cellStyle name="60% - 강조색5 3 2" xfId="1235"/>
    <cellStyle name="60% - 강조색5 3 3" xfId="1236"/>
    <cellStyle name="60% - 강조색5 4" xfId="1237"/>
    <cellStyle name="60% - 강조색5 4 2" xfId="1238"/>
    <cellStyle name="60% - 강조색5 4 3" xfId="1239"/>
    <cellStyle name="60% - 강조색5 4 4" xfId="5696"/>
    <cellStyle name="60% - 강조색5 5" xfId="1240"/>
    <cellStyle name="60% - 강조색5 6" xfId="1241"/>
    <cellStyle name="60% - 강조색5 7" xfId="5036"/>
    <cellStyle name="60% - 강조색5 8" xfId="5106"/>
    <cellStyle name="60% - 강조색5_1차 NETPY 아이템 리스트" xfId="1242"/>
    <cellStyle name="60% - 강조색6" xfId="1243"/>
    <cellStyle name="60% - 강조색6 10" xfId="5107"/>
    <cellStyle name="60% - 강조색6 2" xfId="1244"/>
    <cellStyle name="60% - 강조색6 2 2" xfId="1245"/>
    <cellStyle name="60% - 강조색6 2 3" xfId="1246"/>
    <cellStyle name="60% - 강조색6 3" xfId="1247"/>
    <cellStyle name="60% - 강조색6 3 2" xfId="1248"/>
    <cellStyle name="60% - 강조색6 3 3" xfId="1249"/>
    <cellStyle name="60% - 강조색6 4" xfId="1250"/>
    <cellStyle name="60% - 강조색6 4 2" xfId="1251"/>
    <cellStyle name="60% - 강조색6 4 3" xfId="1252"/>
    <cellStyle name="60% - 강조색6 4 4" xfId="1253"/>
    <cellStyle name="60% - 강조색6 4 5" xfId="5697"/>
    <cellStyle name="60% - 강조색6 4 6" xfId="7820"/>
    <cellStyle name="60% - 강조색6 5" xfId="1254"/>
    <cellStyle name="60% - 강조색6 6" xfId="1255"/>
    <cellStyle name="60% - 강조색6 7" xfId="1256"/>
    <cellStyle name="60% - 강조색6 8" xfId="1257"/>
    <cellStyle name="60% - 강조색6 8 2" xfId="7819"/>
    <cellStyle name="60% - 강조색6 8 3" xfId="7098"/>
    <cellStyle name="60% - 강조색6 9" xfId="5037"/>
    <cellStyle name="60% - 강조색6_01 YW" xfId="1258"/>
    <cellStyle name="Accent1" xfId="5828"/>
    <cellStyle name="Accent1 2" xfId="1259"/>
    <cellStyle name="Accent1 2 2" xfId="1260"/>
    <cellStyle name="Accent1 3" xfId="1261"/>
    <cellStyle name="Accent1 4" xfId="1262"/>
    <cellStyle name="Accent1 5" xfId="1263"/>
    <cellStyle name="Accent1_Mix Item" xfId="7099"/>
    <cellStyle name="Accent2" xfId="5827"/>
    <cellStyle name="Accent2 2" xfId="1264"/>
    <cellStyle name="Accent2 3" xfId="1265"/>
    <cellStyle name="Accent2_Table_KOR" xfId="7101"/>
    <cellStyle name="Accent3" xfId="5826"/>
    <cellStyle name="Accent3 2" xfId="1266"/>
    <cellStyle name="Accent3 3" xfId="1267"/>
    <cellStyle name="Accent3_Table_KOR" xfId="7102"/>
    <cellStyle name="Accent4" xfId="5825"/>
    <cellStyle name="Accent4 2" xfId="1268"/>
    <cellStyle name="Accent4 2 2" xfId="1269"/>
    <cellStyle name="Accent4 3" xfId="1270"/>
    <cellStyle name="Accent4 4" xfId="1271"/>
    <cellStyle name="Accent4 5" xfId="1272"/>
    <cellStyle name="Accent4_Mix Item" xfId="7103"/>
    <cellStyle name="Accent5" xfId="5824"/>
    <cellStyle name="Accent5 2" xfId="1273"/>
    <cellStyle name="Accent5 3" xfId="1274"/>
    <cellStyle name="Accent5_Table_KOR" xfId="7104"/>
    <cellStyle name="Accent6" xfId="5823"/>
    <cellStyle name="Accent6 2" xfId="1275"/>
    <cellStyle name="Accent6 3" xfId="1276"/>
    <cellStyle name="Accent6_Table_KOR" xfId="7106"/>
    <cellStyle name="Bad" xfId="5822"/>
    <cellStyle name="Bad 2" xfId="1277"/>
    <cellStyle name="Bad 3" xfId="1278"/>
    <cellStyle name="Bad_Table_KOR" xfId="7107"/>
    <cellStyle name="Calculation" xfId="5821"/>
    <cellStyle name="Calculation 2" xfId="1279"/>
    <cellStyle name="Calculation 2 2" xfId="1280"/>
    <cellStyle name="Calculation 3" xfId="1281"/>
    <cellStyle name="Calculation 4" xfId="1282"/>
    <cellStyle name="Calculation 5" xfId="1283"/>
    <cellStyle name="Calculation_Mix Item" xfId="7108"/>
    <cellStyle name="Check Cell" xfId="5820"/>
    <cellStyle name="Check Cell 2" xfId="1284"/>
    <cellStyle name="Check Cell 3" xfId="1285"/>
    <cellStyle name="Check Cell_Table_KOR" xfId="7109"/>
    <cellStyle name="Euro" xfId="1286"/>
    <cellStyle name="Explanatory Text" xfId="5819"/>
    <cellStyle name="Explanatory Text 2" xfId="1287"/>
    <cellStyle name="Explanatory Text 3" xfId="1288"/>
    <cellStyle name="Explanatory Text_Table_KOR" xfId="7110"/>
    <cellStyle name="Good" xfId="5643"/>
    <cellStyle name="Good 2" xfId="1289"/>
    <cellStyle name="Good 3" xfId="1290"/>
    <cellStyle name="Good_Table_KOR" xfId="7111"/>
    <cellStyle name="Heading 1" xfId="5666"/>
    <cellStyle name="Heading 1 2" xfId="1291"/>
    <cellStyle name="Heading 1 2 2" xfId="1292"/>
    <cellStyle name="Heading 1 3" xfId="1293"/>
    <cellStyle name="Heading 1 4" xfId="1294"/>
    <cellStyle name="Heading 1 5" xfId="1295"/>
    <cellStyle name="Heading 1_Mix Item" xfId="7112"/>
    <cellStyle name="Heading 2" xfId="5665"/>
    <cellStyle name="Heading 2 2" xfId="1296"/>
    <cellStyle name="Heading 2 3" xfId="1297"/>
    <cellStyle name="Heading 2 4" xfId="1298"/>
    <cellStyle name="Heading 2 5" xfId="1299"/>
    <cellStyle name="Heading 2_Mix Item" xfId="7113"/>
    <cellStyle name="Heading 3" xfId="5663"/>
    <cellStyle name="Heading 3 2" xfId="1300"/>
    <cellStyle name="Heading 3 3" xfId="1301"/>
    <cellStyle name="Heading 3 4" xfId="1302"/>
    <cellStyle name="Heading 3 5" xfId="1303"/>
    <cellStyle name="Heading 3_Mix Item" xfId="7114"/>
    <cellStyle name="Heading 4" xfId="5662"/>
    <cellStyle name="Heading 4 2" xfId="1304"/>
    <cellStyle name="Heading 4 2 2" xfId="1305"/>
    <cellStyle name="Heading 4 3" xfId="1306"/>
    <cellStyle name="Heading 4 4" xfId="1307"/>
    <cellStyle name="Heading 4 5" xfId="1308"/>
    <cellStyle name="Heading 4_Mix Item" xfId="7115"/>
    <cellStyle name="Input" xfId="5661"/>
    <cellStyle name="Input 2" xfId="1309"/>
    <cellStyle name="Input 3" xfId="1310"/>
    <cellStyle name="Input_Table_KOR" xfId="7117"/>
    <cellStyle name="Linked Cell" xfId="5660"/>
    <cellStyle name="Linked Cell 2" xfId="1311"/>
    <cellStyle name="Linked Cell 3" xfId="1312"/>
    <cellStyle name="Linked Cell_Table_KOR" xfId="7118"/>
    <cellStyle name="Neutral" xfId="5659"/>
    <cellStyle name="Neutral 2" xfId="1313"/>
    <cellStyle name="Neutral 3" xfId="1314"/>
    <cellStyle name="Neutral_Table_KOR" xfId="7119"/>
    <cellStyle name="Normal 10" xfId="1315"/>
    <cellStyle name="Normal 10 2" xfId="1316"/>
    <cellStyle name="Normal 10_Sheet2" xfId="1317"/>
    <cellStyle name="Normal 11" xfId="1318"/>
    <cellStyle name="Normal 11 2" xfId="1319"/>
    <cellStyle name="Normal 11 3" xfId="1320"/>
    <cellStyle name="Normal 11 4" xfId="5698"/>
    <cellStyle name="Normal 11_Table_KOR" xfId="1321"/>
    <cellStyle name="Normal 12" xfId="1322"/>
    <cellStyle name="Normal 12 2" xfId="1323"/>
    <cellStyle name="Normal 12_Table_KOR" xfId="1324"/>
    <cellStyle name="Normal 13" xfId="1325"/>
    <cellStyle name="Normal 13 2" xfId="1326"/>
    <cellStyle name="Normal 13_Table_KOR" xfId="1327"/>
    <cellStyle name="Normal 14" xfId="1328"/>
    <cellStyle name="Normal 14 2" xfId="1329"/>
    <cellStyle name="Normal 14 3" xfId="1330"/>
    <cellStyle name="Normal 14 4" xfId="5818"/>
    <cellStyle name="Normal 14_Table_KOR" xfId="1331"/>
    <cellStyle name="Normal 15" xfId="1332"/>
    <cellStyle name="Normal 16" xfId="1333"/>
    <cellStyle name="Normal 17" xfId="1334"/>
    <cellStyle name="Normal 18" xfId="1335"/>
    <cellStyle name="Normal 19" xfId="1336"/>
    <cellStyle name="Normal 2" xfId="1337"/>
    <cellStyle name="Normal 2 2" xfId="1338"/>
    <cellStyle name="Normal 2 3" xfId="1339"/>
    <cellStyle name="Normal 2 4" xfId="1340"/>
    <cellStyle name="Normal 2 5" xfId="5699"/>
    <cellStyle name="Normal 2_Mix Item" xfId="1341"/>
    <cellStyle name="Normal 20" xfId="1342"/>
    <cellStyle name="Normal 21" xfId="1343"/>
    <cellStyle name="Normal 22" xfId="1344"/>
    <cellStyle name="Normal 23" xfId="1345"/>
    <cellStyle name="Normal 23 2" xfId="1346"/>
    <cellStyle name="Normal 24" xfId="1347"/>
    <cellStyle name="Normal 24 2" xfId="1348"/>
    <cellStyle name="Normal 25" xfId="1349"/>
    <cellStyle name="Normal 25 2" xfId="1350"/>
    <cellStyle name="Normal 26" xfId="1351"/>
    <cellStyle name="Normal 26 2" xfId="1352"/>
    <cellStyle name="Normal 27" xfId="1353"/>
    <cellStyle name="Normal 27 2" xfId="1354"/>
    <cellStyle name="Normal 28" xfId="1355"/>
    <cellStyle name="Normal 28 2" xfId="1356"/>
    <cellStyle name="Normal 29" xfId="1357"/>
    <cellStyle name="Normal 29 2" xfId="1358"/>
    <cellStyle name="Normal 3" xfId="1359"/>
    <cellStyle name="Normal 3 2" xfId="1360"/>
    <cellStyle name="Normal 3 3" xfId="1361"/>
    <cellStyle name="Normal 3 4" xfId="5700"/>
    <cellStyle name="Normal 3_Sheet2" xfId="1362"/>
    <cellStyle name="Normal 30" xfId="1363"/>
    <cellStyle name="Normal 30 2" xfId="1364"/>
    <cellStyle name="Normal 4" xfId="1365"/>
    <cellStyle name="Normal 4 10" xfId="1366"/>
    <cellStyle name="Normal 4 10 2" xfId="1367"/>
    <cellStyle name="Normal 4 10_Table_KOR" xfId="1368"/>
    <cellStyle name="Normal 4 2" xfId="1369"/>
    <cellStyle name="Normal 4 2 2" xfId="1370"/>
    <cellStyle name="Normal 4 2 2 2" xfId="1371"/>
    <cellStyle name="Normal 4 2 2_Table_Data_KOR_Renew" xfId="1372"/>
    <cellStyle name="Normal 4 2 3" xfId="1373"/>
    <cellStyle name="Normal 4 2 3 2" xfId="1374"/>
    <cellStyle name="Normal 4 2 3_Table_KOR" xfId="1375"/>
    <cellStyle name="Normal 4 2 4" xfId="1376"/>
    <cellStyle name="Normal 4 2 4 2" xfId="1377"/>
    <cellStyle name="Normal 4 2 4_Table_KOR" xfId="1378"/>
    <cellStyle name="Normal 4 2 5" xfId="1379"/>
    <cellStyle name="Normal 4 2 5 2" xfId="1380"/>
    <cellStyle name="Normal 4 2 5_Table_KOR" xfId="1381"/>
    <cellStyle name="Normal 4 2 6" xfId="1382"/>
    <cellStyle name="Normal 4 2 6 2" xfId="1383"/>
    <cellStyle name="Normal 4 2 6_Table_KOR" xfId="1384"/>
    <cellStyle name="Normal 4 3" xfId="1385"/>
    <cellStyle name="Normal 4 3 2" xfId="1386"/>
    <cellStyle name="Normal 4 3 2 2" xfId="1387"/>
    <cellStyle name="Normal 4 3 2_Table_Data_KOR_Renew" xfId="1388"/>
    <cellStyle name="Normal 4 3 3" xfId="1389"/>
    <cellStyle name="Normal 4 3 3 2" xfId="1390"/>
    <cellStyle name="Normal 4 3 3_Table_KOR" xfId="1391"/>
    <cellStyle name="Normal 4 3 4" xfId="1392"/>
    <cellStyle name="Normal 4 3 4 2" xfId="1393"/>
    <cellStyle name="Normal 4 3 4_Table_KOR" xfId="1394"/>
    <cellStyle name="Normal 4 3 5" xfId="1395"/>
    <cellStyle name="Normal 4 3 5 2" xfId="1396"/>
    <cellStyle name="Normal 4 3 5_Table_KOR" xfId="1397"/>
    <cellStyle name="Normal 4 3 6" xfId="1398"/>
    <cellStyle name="Normal 4 3 6 2" xfId="1399"/>
    <cellStyle name="Normal 4 3 6_Table_KOR" xfId="1400"/>
    <cellStyle name="Normal 4 3_Sheet2" xfId="1401"/>
    <cellStyle name="Normal 4 4" xfId="1402"/>
    <cellStyle name="Normal 4 4 2" xfId="1403"/>
    <cellStyle name="Normal 4 4 2 2" xfId="1404"/>
    <cellStyle name="Normal 4 4 2_Table_Data_KOR_Renew" xfId="1405"/>
    <cellStyle name="Normal 4 4 3" xfId="1406"/>
    <cellStyle name="Normal 4 4 3 2" xfId="1407"/>
    <cellStyle name="Normal 4 4 3_Table_KOR" xfId="1408"/>
    <cellStyle name="Normal 4 4 4" xfId="1409"/>
    <cellStyle name="Normal 4 4 4 2" xfId="1410"/>
    <cellStyle name="Normal 4 4 4_Table_KOR" xfId="1411"/>
    <cellStyle name="Normal 4 4 5" xfId="1412"/>
    <cellStyle name="Normal 4 4 5 2" xfId="1413"/>
    <cellStyle name="Normal 4 4 5_Table_KOR" xfId="1414"/>
    <cellStyle name="Normal 4 4 6" xfId="1415"/>
    <cellStyle name="Normal 4 4 6 2" xfId="1416"/>
    <cellStyle name="Normal 4 4 6_Table_KOR" xfId="1417"/>
    <cellStyle name="Normal 4 4_Sheet2" xfId="1418"/>
    <cellStyle name="Normal 4 5" xfId="1419"/>
    <cellStyle name="Normal 4 5 2" xfId="1420"/>
    <cellStyle name="Normal 4 6" xfId="1421"/>
    <cellStyle name="Normal 4 6 2" xfId="1422"/>
    <cellStyle name="Normal 4 6_Table_Data_KOR_Renew" xfId="1423"/>
    <cellStyle name="Normal 4 7" xfId="1424"/>
    <cellStyle name="Normal 4 7 2" xfId="1425"/>
    <cellStyle name="Normal 4 7_Table_KOR" xfId="1426"/>
    <cellStyle name="Normal 4 8" xfId="1427"/>
    <cellStyle name="Normal 4 8 2" xfId="1428"/>
    <cellStyle name="Normal 4 8_Table_KOR" xfId="1429"/>
    <cellStyle name="Normal 4 9" xfId="1430"/>
    <cellStyle name="Normal 4 9 2" xfId="1431"/>
    <cellStyle name="Normal 4 9_Table_KOR" xfId="1432"/>
    <cellStyle name="Normal 4_Mix Item" xfId="1433"/>
    <cellStyle name="Normal 5" xfId="1434"/>
    <cellStyle name="Normal 5 2" xfId="1435"/>
    <cellStyle name="Normal 5 3" xfId="1436"/>
    <cellStyle name="Normal 5 3 2" xfId="1437"/>
    <cellStyle name="Normal 5 3_Table_KOR" xfId="1438"/>
    <cellStyle name="Normal 5_Mix Item" xfId="1439"/>
    <cellStyle name="Normal 6" xfId="1440"/>
    <cellStyle name="Normal 6 2" xfId="1441"/>
    <cellStyle name="Normal 7" xfId="1442"/>
    <cellStyle name="Normal 7 2" xfId="1443"/>
    <cellStyle name="Normal 7 2 2" xfId="1444"/>
    <cellStyle name="Normal 7 2_Table_Data_KOR_Renew" xfId="1445"/>
    <cellStyle name="Normal 7 3" xfId="1446"/>
    <cellStyle name="Normal 7 3 2" xfId="1447"/>
    <cellStyle name="Normal 7 3_Table_KOR" xfId="1448"/>
    <cellStyle name="Normal 7 4" xfId="1449"/>
    <cellStyle name="Normal 7 4 2" xfId="1450"/>
    <cellStyle name="Normal 7 4_Table_KOR" xfId="1451"/>
    <cellStyle name="Normal 7 5" xfId="1452"/>
    <cellStyle name="Normal 7 5 2" xfId="1453"/>
    <cellStyle name="Normal 7 5_Table_KOR" xfId="1454"/>
    <cellStyle name="Normal 7 6" xfId="1455"/>
    <cellStyle name="Normal 7 6 2" xfId="1456"/>
    <cellStyle name="Normal 7 6_Table_KOR" xfId="1457"/>
    <cellStyle name="Normal 8" xfId="1458"/>
    <cellStyle name="Normal 8 2" xfId="1459"/>
    <cellStyle name="Normal 8 2 2" xfId="1460"/>
    <cellStyle name="Normal 8 2_Table_Data_KOR_Renew" xfId="1461"/>
    <cellStyle name="Normal 8 3" xfId="1462"/>
    <cellStyle name="Normal 8 3 2" xfId="1463"/>
    <cellStyle name="Normal 8 3_Table_KOR" xfId="1464"/>
    <cellStyle name="Normal 8 4" xfId="1465"/>
    <cellStyle name="Normal 8 4 2" xfId="1466"/>
    <cellStyle name="Normal 8 4_Table_KOR" xfId="1467"/>
    <cellStyle name="Normal 8 5" xfId="1468"/>
    <cellStyle name="Normal 8 5 2" xfId="1469"/>
    <cellStyle name="Normal 8 5_Table_KOR" xfId="1470"/>
    <cellStyle name="Normal 8 6" xfId="1471"/>
    <cellStyle name="Normal 8 6 2" xfId="1472"/>
    <cellStyle name="Normal 8 6_Table_KOR" xfId="1473"/>
    <cellStyle name="Normal 8_Sheet2" xfId="1474"/>
    <cellStyle name="Normal 9" xfId="1475"/>
    <cellStyle name="Normal 9 2" xfId="1476"/>
    <cellStyle name="Normal 9 2 2" xfId="1477"/>
    <cellStyle name="Normal 9 2_Table_Data_KOR_Renew" xfId="1478"/>
    <cellStyle name="Normal 9 3" xfId="1479"/>
    <cellStyle name="Normal 9 3 2" xfId="1480"/>
    <cellStyle name="Normal 9 3_Table_KOR" xfId="1481"/>
    <cellStyle name="Normal 9 4" xfId="1482"/>
    <cellStyle name="Normal 9 4 2" xfId="1483"/>
    <cellStyle name="Normal 9 4_Table_KOR" xfId="1484"/>
    <cellStyle name="Normal 9 5" xfId="1485"/>
    <cellStyle name="Normal 9 5 2" xfId="1486"/>
    <cellStyle name="Normal 9 5_Table_KOR" xfId="1487"/>
    <cellStyle name="Normal 9 6" xfId="1488"/>
    <cellStyle name="Normal 9 6 2" xfId="1489"/>
    <cellStyle name="Normal 9 6_Table_KOR" xfId="1490"/>
    <cellStyle name="Normal 9_Sheet2" xfId="1491"/>
    <cellStyle name="Normal_Sheet3" xfId="1492"/>
    <cellStyle name="Note" xfId="5671"/>
    <cellStyle name="Note 2" xfId="1493"/>
    <cellStyle name="Note 3" xfId="1494"/>
    <cellStyle name="Output" xfId="5670"/>
    <cellStyle name="Output 2" xfId="1495"/>
    <cellStyle name="Output 2 2" xfId="1496"/>
    <cellStyle name="Output 3" xfId="1497"/>
    <cellStyle name="Output 4" xfId="1498"/>
    <cellStyle name="Output 5" xfId="1499"/>
    <cellStyle name="Output_Mix Item" xfId="7135"/>
    <cellStyle name="Percent 2" xfId="1500"/>
    <cellStyle name="Percent 3" xfId="1501"/>
    <cellStyle name="Title" xfId="5669"/>
    <cellStyle name="Title 2" xfId="1502"/>
    <cellStyle name="Title 2 2" xfId="1503"/>
    <cellStyle name="Title 3" xfId="1504"/>
    <cellStyle name="Title 4" xfId="1505"/>
    <cellStyle name="Title 5" xfId="1506"/>
    <cellStyle name="Title_Mix Item" xfId="7137"/>
    <cellStyle name="Total" xfId="5668"/>
    <cellStyle name="Total 2" xfId="1507"/>
    <cellStyle name="Total 2 2" xfId="1508"/>
    <cellStyle name="Total 3" xfId="1509"/>
    <cellStyle name="Total 4" xfId="1510"/>
    <cellStyle name="Total 5" xfId="1511"/>
    <cellStyle name="Total_Mix Item" xfId="7138"/>
    <cellStyle name="Warning Text" xfId="5667"/>
    <cellStyle name="Warning Text 2" xfId="1512"/>
    <cellStyle name="Warning Text 3" xfId="1513"/>
    <cellStyle name="Warning Text_Table_KOR" xfId="7139"/>
    <cellStyle name="アクセント 1" xfId="1514"/>
    <cellStyle name="アクセント 1 2" xfId="1515"/>
    <cellStyle name="アクセント 1 2 2" xfId="1516"/>
    <cellStyle name="アクセント 1 2 2 2" xfId="1517"/>
    <cellStyle name="アクセント 1 2 2 2 2" xfId="1518"/>
    <cellStyle name="アクセント 1 2 2 2_Table_KOR" xfId="1519"/>
    <cellStyle name="アクセント 1 2 2 3" xfId="1520"/>
    <cellStyle name="アクセント 1 2 2 3 2" xfId="1521"/>
    <cellStyle name="アクセント 1 2 2 3_Table_KOR" xfId="1522"/>
    <cellStyle name="アクセント 1 2 3" xfId="1523"/>
    <cellStyle name="アクセント 1 2 3 2" xfId="1524"/>
    <cellStyle name="アクセント 1 2 3_Table_KOR" xfId="1525"/>
    <cellStyle name="アクセント 1 2 4" xfId="1526"/>
    <cellStyle name="アクセント 1 2 4 2" xfId="1527"/>
    <cellStyle name="アクセント 1 2 4_Table_KOR" xfId="1528"/>
    <cellStyle name="アクセント 1 2_etc_data" xfId="1529"/>
    <cellStyle name="アクセント 1 3" xfId="1530"/>
    <cellStyle name="アクセント 1 3 2" xfId="1531"/>
    <cellStyle name="アクセント 1 3 2 2" xfId="1532"/>
    <cellStyle name="アクセント 1 3 2_Table_KOR" xfId="1533"/>
    <cellStyle name="アクセント 1 3 3" xfId="1534"/>
    <cellStyle name="アクセント 1 3 3 2" xfId="1535"/>
    <cellStyle name="アクセント 1 3 3_Table_KOR" xfId="1536"/>
    <cellStyle name="アクセント 1 4" xfId="1537"/>
    <cellStyle name="アクセント 1 4 2" xfId="1538"/>
    <cellStyle name="アクセント 1 4_Table_KOR" xfId="1539"/>
    <cellStyle name="アクセント 1 5" xfId="1540"/>
    <cellStyle name="アクセント 1 5 2" xfId="1541"/>
    <cellStyle name="アクセント 1 5_Table_KOR" xfId="1542"/>
    <cellStyle name="アクセント 1 6" xfId="1543"/>
    <cellStyle name="アクセント 1_01 YW" xfId="1544"/>
    <cellStyle name="アクセント 2" xfId="1545"/>
    <cellStyle name="アクセント 2 2" xfId="1546"/>
    <cellStyle name="アクセント 2 2 2" xfId="1547"/>
    <cellStyle name="アクセント 2 2_Table_KOR" xfId="1548"/>
    <cellStyle name="アクセント 2 3" xfId="1549"/>
    <cellStyle name="アクセント 2 3 2" xfId="1550"/>
    <cellStyle name="アクセント 2 3_Table_KOR" xfId="1551"/>
    <cellStyle name="アクセント 3" xfId="1552"/>
    <cellStyle name="アクセント 3 2" xfId="1553"/>
    <cellStyle name="アクセント 3 2 2" xfId="1554"/>
    <cellStyle name="アクセント 3 2_Table_KOR" xfId="1555"/>
    <cellStyle name="アクセント 3 3" xfId="1556"/>
    <cellStyle name="アクセント 3 3 2" xfId="1557"/>
    <cellStyle name="アクセント 3 3_Table_KOR" xfId="1558"/>
    <cellStyle name="アクセント 4" xfId="1559"/>
    <cellStyle name="アクセント 4 2" xfId="1560"/>
    <cellStyle name="アクセント 4 2 2" xfId="1561"/>
    <cellStyle name="アクセント 4 2 2 2" xfId="1562"/>
    <cellStyle name="アクセント 4 2 2 2 2" xfId="1563"/>
    <cellStyle name="アクセント 4 2 2 2_Table_KOR" xfId="1564"/>
    <cellStyle name="アクセント 4 2 2 3" xfId="1565"/>
    <cellStyle name="アクセント 4 2 2 3 2" xfId="1566"/>
    <cellStyle name="アクセント 4 2 2 3_Table_KOR" xfId="1567"/>
    <cellStyle name="アクセント 4 2 3" xfId="1568"/>
    <cellStyle name="アクセント 4 2 3 2" xfId="1569"/>
    <cellStyle name="アクセント 4 2 3_Table_KOR" xfId="1570"/>
    <cellStyle name="アクセント 4 2 4" xfId="1571"/>
    <cellStyle name="アクセント 4 2 4 2" xfId="1572"/>
    <cellStyle name="アクセント 4 2 4_Table_KOR" xfId="1573"/>
    <cellStyle name="アクセント 4 2_etc_data" xfId="1574"/>
    <cellStyle name="アクセント 4 3" xfId="1575"/>
    <cellStyle name="アクセント 4 3 2" xfId="1576"/>
    <cellStyle name="アクセント 4 3 2 2" xfId="1577"/>
    <cellStyle name="アクセント 4 3 2_Table_KOR" xfId="1578"/>
    <cellStyle name="アクセント 4 3 3" xfId="1579"/>
    <cellStyle name="アクセント 4 3 3 2" xfId="1580"/>
    <cellStyle name="アクセント 4 3 3_Table_KOR" xfId="1581"/>
    <cellStyle name="アクセント 4 4" xfId="1582"/>
    <cellStyle name="アクセント 4 4 2" xfId="1583"/>
    <cellStyle name="アクセント 4 4_Table_KOR" xfId="1584"/>
    <cellStyle name="アクセント 4 5" xfId="1585"/>
    <cellStyle name="アクセント 4 5 2" xfId="1586"/>
    <cellStyle name="アクセント 4 5_Table_KOR" xfId="1587"/>
    <cellStyle name="アクセント 4 6" xfId="1588"/>
    <cellStyle name="アクセント 4_01 YW" xfId="1589"/>
    <cellStyle name="アクセント 5" xfId="1590"/>
    <cellStyle name="アクセント 5 2" xfId="1591"/>
    <cellStyle name="アクセント 5 2 2" xfId="1592"/>
    <cellStyle name="アクセント 5 2_Table_KOR" xfId="1593"/>
    <cellStyle name="アクセント 5 3" xfId="1594"/>
    <cellStyle name="アクセント 5 3 2" xfId="1595"/>
    <cellStyle name="アクセント 5 3_Table_KOR" xfId="1596"/>
    <cellStyle name="アクセント 6" xfId="1597"/>
    <cellStyle name="アクセント 6 2" xfId="1598"/>
    <cellStyle name="アクセント 6 2 2" xfId="1599"/>
    <cellStyle name="アクセント 6 2_Table_KOR" xfId="1600"/>
    <cellStyle name="アクセント 6 3" xfId="1601"/>
    <cellStyle name="アクセント 6 3 2" xfId="1602"/>
    <cellStyle name="アクセント 6 3_Table_KOR" xfId="1603"/>
    <cellStyle name="タイトル" xfId="1604"/>
    <cellStyle name="タイトル 2" xfId="1605"/>
    <cellStyle name="タイトル 2 2" xfId="1606"/>
    <cellStyle name="タイトル 2 2 2" xfId="1607"/>
    <cellStyle name="タイトル 2 2 2 2" xfId="1608"/>
    <cellStyle name="タイトル 2 2 2_Table_KOR" xfId="1609"/>
    <cellStyle name="タイトル 2 2 3" xfId="1610"/>
    <cellStyle name="タイトル 2 2 3 2" xfId="1611"/>
    <cellStyle name="タイトル 2 2 3_Table_KOR" xfId="1612"/>
    <cellStyle name="タイトル 2 3" xfId="1613"/>
    <cellStyle name="タイトル 2 3 2" xfId="1614"/>
    <cellStyle name="タイトル 2 3_Table_KOR" xfId="1615"/>
    <cellStyle name="タイトル 2 4" xfId="1616"/>
    <cellStyle name="タイトル 2 4 2" xfId="1617"/>
    <cellStyle name="タイトル 2 4_Table_KOR" xfId="1618"/>
    <cellStyle name="タイトル 2_etc_data" xfId="1619"/>
    <cellStyle name="タイトル 3" xfId="1620"/>
    <cellStyle name="タイトル 3 2" xfId="1621"/>
    <cellStyle name="タイトル 3 2 2" xfId="1622"/>
    <cellStyle name="タイトル 3 2_Table_KOR" xfId="1623"/>
    <cellStyle name="タイトル 3 3" xfId="1624"/>
    <cellStyle name="タイトル 3 3 2" xfId="1625"/>
    <cellStyle name="タイトル 3 3_Table_KOR" xfId="1626"/>
    <cellStyle name="タイトル 4" xfId="1627"/>
    <cellStyle name="タイトル 4 2" xfId="1628"/>
    <cellStyle name="タイトル 4_Table_KOR" xfId="1629"/>
    <cellStyle name="タイトル 5" xfId="1630"/>
    <cellStyle name="タイトル 5 2" xfId="1631"/>
    <cellStyle name="タイトル 5_Table_KOR" xfId="1632"/>
    <cellStyle name="タイトル 6" xfId="1633"/>
    <cellStyle name="タイトル_01 YW" xfId="1634"/>
    <cellStyle name="チェック セル" xfId="1635"/>
    <cellStyle name="チェック セル 2" xfId="1636"/>
    <cellStyle name="チェック セル 2 2" xfId="1637"/>
    <cellStyle name="チェック セル 2_Table_KOR" xfId="1638"/>
    <cellStyle name="チェック セル 3" xfId="1639"/>
    <cellStyle name="チェック セル 3 2" xfId="1640"/>
    <cellStyle name="チェック セル 3_Table_KOR" xfId="1641"/>
    <cellStyle name="どちらでもない" xfId="1642"/>
    <cellStyle name="どちらでもない 2" xfId="1643"/>
    <cellStyle name="どちらでもない 2 2" xfId="1644"/>
    <cellStyle name="どちらでもない 2_Table_KOR" xfId="1645"/>
    <cellStyle name="どちらでもない 3" xfId="1646"/>
    <cellStyle name="どちらでもない 3 2" xfId="1647"/>
    <cellStyle name="どちらでもない 3_Table_KOR" xfId="1648"/>
    <cellStyle name="メモ" xfId="1649"/>
    <cellStyle name="メモ 2" xfId="1650"/>
    <cellStyle name="メモ 2 2" xfId="1651"/>
    <cellStyle name="メモ 2 2 2" xfId="1652"/>
    <cellStyle name="メモ 2 2 3" xfId="1653"/>
    <cellStyle name="メモ 2 2 4" xfId="1654"/>
    <cellStyle name="メモ 2 3" xfId="1655"/>
    <cellStyle name="メモ 2 3 2" xfId="1656"/>
    <cellStyle name="メモ 2 3 2 2" xfId="1657"/>
    <cellStyle name="メモ 2 4" xfId="1658"/>
    <cellStyle name="メモ 2 4 2" xfId="1659"/>
    <cellStyle name="メモ 2 4 2 2" xfId="1660"/>
    <cellStyle name="メモ 2 5" xfId="1661"/>
    <cellStyle name="メモ 2 5 2" xfId="1662"/>
    <cellStyle name="メモ 2 5 2 2" xfId="1663"/>
    <cellStyle name="メモ 2 6" xfId="1664"/>
    <cellStyle name="メモ 2 6 2" xfId="1665"/>
    <cellStyle name="メモ 2_Sheet1" xfId="1666"/>
    <cellStyle name="メモ 3" xfId="1667"/>
    <cellStyle name="メモ 3 2" xfId="1668"/>
    <cellStyle name="メモ 3 2 2" xfId="1669"/>
    <cellStyle name="メモ 3 2 2 2" xfId="1670"/>
    <cellStyle name="メモ 3 3" xfId="1671"/>
    <cellStyle name="メモ 3 3 2" xfId="1672"/>
    <cellStyle name="メモ 3 3 2 2" xfId="1673"/>
    <cellStyle name="メモ 3 4" xfId="1674"/>
    <cellStyle name="メモ 3 4 2" xfId="1675"/>
    <cellStyle name="メモ 3 4 2 2" xfId="1676"/>
    <cellStyle name="メモ 3 5" xfId="1677"/>
    <cellStyle name="メモ 3 5 2" xfId="1678"/>
    <cellStyle name="メモ 4" xfId="1679"/>
    <cellStyle name="メモ 5" xfId="1680"/>
    <cellStyle name="メモ 6" xfId="1681"/>
    <cellStyle name="メモ 7" xfId="1682"/>
    <cellStyle name="メモ_ITEM" xfId="1683"/>
    <cellStyle name="リンク セル" xfId="1684"/>
    <cellStyle name="リンク セル 2" xfId="1685"/>
    <cellStyle name="リンク セル 2 2" xfId="1686"/>
    <cellStyle name="リンク セル 2_Table_KOR" xfId="1687"/>
    <cellStyle name="リンク セル 3" xfId="1688"/>
    <cellStyle name="リンク セル 3 2" xfId="1689"/>
    <cellStyle name="リンク セル 3_Table_KOR" xfId="1690"/>
    <cellStyle name="강조색1" xfId="1691"/>
    <cellStyle name="강조색1 10" xfId="5108"/>
    <cellStyle name="강조색1 2" xfId="1692"/>
    <cellStyle name="강조색1 2 2" xfId="1693"/>
    <cellStyle name="강조색1 2 3" xfId="1694"/>
    <cellStyle name="강조색1 3" xfId="1695"/>
    <cellStyle name="강조색1 3 2" xfId="1696"/>
    <cellStyle name="강조색1 3 3" xfId="1697"/>
    <cellStyle name="강조색1 4" xfId="1698"/>
    <cellStyle name="강조색1 4 2" xfId="1699"/>
    <cellStyle name="강조색1 4 3" xfId="1700"/>
    <cellStyle name="강조색1 4 4" xfId="1701"/>
    <cellStyle name="강조색1 4 5" xfId="5644"/>
    <cellStyle name="강조색1 4 6" xfId="7808"/>
    <cellStyle name="강조색1 5" xfId="1702"/>
    <cellStyle name="강조색1 6" xfId="1703"/>
    <cellStyle name="강조색1 7" xfId="1704"/>
    <cellStyle name="강조색1 8" xfId="1705"/>
    <cellStyle name="강조색1 8 2" xfId="7807"/>
    <cellStyle name="강조색1 8 3" xfId="7141"/>
    <cellStyle name="강조색1 9" xfId="5038"/>
    <cellStyle name="강조색1_01 YW" xfId="1706"/>
    <cellStyle name="강조색2" xfId="1707"/>
    <cellStyle name="강조색2 2" xfId="1708"/>
    <cellStyle name="강조색2 2 2" xfId="1709"/>
    <cellStyle name="강조색2 2 3" xfId="1710"/>
    <cellStyle name="강조색2 3" xfId="1711"/>
    <cellStyle name="강조색2 3 2" xfId="1712"/>
    <cellStyle name="강조색2 3 3" xfId="1713"/>
    <cellStyle name="강조색2 4" xfId="1714"/>
    <cellStyle name="강조색2 4 2" xfId="1715"/>
    <cellStyle name="강조색2 4 3" xfId="1716"/>
    <cellStyle name="강조색2 4 4" xfId="5645"/>
    <cellStyle name="강조색2 5" xfId="1717"/>
    <cellStyle name="강조색2 6" xfId="1718"/>
    <cellStyle name="강조색2 7" xfId="5039"/>
    <cellStyle name="강조색2 8" xfId="5109"/>
    <cellStyle name="강조색2_1차 NETPY 아이템 리스트" xfId="1719"/>
    <cellStyle name="강조색3" xfId="1720"/>
    <cellStyle name="강조색3 2" xfId="1721"/>
    <cellStyle name="강조색3 2 2" xfId="1722"/>
    <cellStyle name="강조색3 2 3" xfId="1723"/>
    <cellStyle name="강조색3 3" xfId="1724"/>
    <cellStyle name="강조색3 3 2" xfId="1725"/>
    <cellStyle name="강조색3 3 3" xfId="1726"/>
    <cellStyle name="강조색3 4" xfId="1727"/>
    <cellStyle name="강조색3 4 2" xfId="1728"/>
    <cellStyle name="강조색3 4 3" xfId="1729"/>
    <cellStyle name="강조색3 4 4" xfId="5646"/>
    <cellStyle name="강조색3 5" xfId="1730"/>
    <cellStyle name="강조색3 6" xfId="1731"/>
    <cellStyle name="강조색3 7" xfId="5040"/>
    <cellStyle name="강조색3 8" xfId="5110"/>
    <cellStyle name="강조색3_1차 NETPY 아이템 리스트" xfId="1732"/>
    <cellStyle name="강조색4" xfId="1733"/>
    <cellStyle name="강조색4 10" xfId="5111"/>
    <cellStyle name="강조색4 2" xfId="1734"/>
    <cellStyle name="강조색4 2 2" xfId="1735"/>
    <cellStyle name="강조색4 2 3" xfId="1736"/>
    <cellStyle name="강조색4 3" xfId="1737"/>
    <cellStyle name="강조색4 3 2" xfId="1738"/>
    <cellStyle name="강조색4 3 3" xfId="1739"/>
    <cellStyle name="강조색4 4" xfId="1740"/>
    <cellStyle name="강조색4 4 2" xfId="1741"/>
    <cellStyle name="강조색4 4 3" xfId="1742"/>
    <cellStyle name="강조색4 4 4" xfId="1743"/>
    <cellStyle name="강조색4 4 5" xfId="5647"/>
    <cellStyle name="강조색4 4 6" xfId="7806"/>
    <cellStyle name="강조색4 5" xfId="1744"/>
    <cellStyle name="강조색4 6" xfId="1745"/>
    <cellStyle name="강조색4 7" xfId="1746"/>
    <cellStyle name="강조색4 8" xfId="1747"/>
    <cellStyle name="강조색4 8 2" xfId="7805"/>
    <cellStyle name="강조색4 8 3" xfId="7142"/>
    <cellStyle name="강조색4 9" xfId="5041"/>
    <cellStyle name="강조색4_01 YW" xfId="1748"/>
    <cellStyle name="강조색5" xfId="1749"/>
    <cellStyle name="강조색5 2" xfId="1750"/>
    <cellStyle name="강조색5 2 2" xfId="1751"/>
    <cellStyle name="강조색5 2 3" xfId="1752"/>
    <cellStyle name="강조색5 3" xfId="1753"/>
    <cellStyle name="강조색5 3 2" xfId="1754"/>
    <cellStyle name="강조색5 3 3" xfId="1755"/>
    <cellStyle name="강조색5 4" xfId="1756"/>
    <cellStyle name="강조색5 4 2" xfId="1757"/>
    <cellStyle name="강조색5 4 3" xfId="1758"/>
    <cellStyle name="강조색5 4 4" xfId="5656"/>
    <cellStyle name="강조색5 5" xfId="1759"/>
    <cellStyle name="강조색5 6" xfId="1760"/>
    <cellStyle name="강조색5 7" xfId="5042"/>
    <cellStyle name="강조색5 8" xfId="5112"/>
    <cellStyle name="강조색5_1차 NETPY 아이템 리스트" xfId="1761"/>
    <cellStyle name="강조색6" xfId="1762"/>
    <cellStyle name="강조색6 2" xfId="1763"/>
    <cellStyle name="강조색6 2 2" xfId="1764"/>
    <cellStyle name="강조색6 2 3" xfId="1765"/>
    <cellStyle name="강조색6 3" xfId="1766"/>
    <cellStyle name="강조색6 3 2" xfId="1767"/>
    <cellStyle name="강조색6 3 3" xfId="1768"/>
    <cellStyle name="강조색6 4" xfId="1769"/>
    <cellStyle name="강조색6 4 2" xfId="1770"/>
    <cellStyle name="강조색6 4 3" xfId="1771"/>
    <cellStyle name="강조색6 4 4" xfId="5657"/>
    <cellStyle name="강조색6 5" xfId="1772"/>
    <cellStyle name="강조색6 6" xfId="1773"/>
    <cellStyle name="강조색6 7" xfId="5043"/>
    <cellStyle name="강조색6 8" xfId="5113"/>
    <cellStyle name="강조색6_1차 NETPY 아이템 리스트" xfId="1774"/>
    <cellStyle name="見出し 1" xfId="1775"/>
    <cellStyle name="見出し 1 2" xfId="1776"/>
    <cellStyle name="見出し 1 2 2" xfId="1777"/>
    <cellStyle name="見出し 1 2 2 2" xfId="1778"/>
    <cellStyle name="見出し 1 2 2 2 2" xfId="1779"/>
    <cellStyle name="見出し 1 2 2 2_Table_KOR" xfId="1780"/>
    <cellStyle name="見出し 1 2 2 3" xfId="1781"/>
    <cellStyle name="見出し 1 2 2 3 2" xfId="1782"/>
    <cellStyle name="見出し 1 2 2 3_Table_KOR" xfId="1783"/>
    <cellStyle name="見出し 1 2 2_Mix Item" xfId="1784"/>
    <cellStyle name="見出し 1 2 3" xfId="1785"/>
    <cellStyle name="見出し 1 2 3 2" xfId="1786"/>
    <cellStyle name="見出し 1 2 3_Table_KOR" xfId="1787"/>
    <cellStyle name="見出し 1 2 4" xfId="1788"/>
    <cellStyle name="見出し 1 2 4 2" xfId="1789"/>
    <cellStyle name="見出し 1 2 4_Table_KOR" xfId="1790"/>
    <cellStyle name="見出し 1 2_etc_data" xfId="1791"/>
    <cellStyle name="見出し 1 3" xfId="1792"/>
    <cellStyle name="見出し 1 3 2" xfId="1793"/>
    <cellStyle name="見出し 1 3 2 2" xfId="1794"/>
    <cellStyle name="見出し 1 3 2_Table_KOR" xfId="1795"/>
    <cellStyle name="見出し 1 3 3" xfId="1796"/>
    <cellStyle name="見出し 1 3 3 2" xfId="1797"/>
    <cellStyle name="見出し 1 3 3_Table_KOR" xfId="1798"/>
    <cellStyle name="見出し 1 4" xfId="1799"/>
    <cellStyle name="見出し 1 4 2" xfId="1800"/>
    <cellStyle name="見出し 1 4_Table_KOR" xfId="1801"/>
    <cellStyle name="見出し 1 5" xfId="1802"/>
    <cellStyle name="見出し 1 5 2" xfId="1803"/>
    <cellStyle name="見出し 1 5_Table_KOR" xfId="1804"/>
    <cellStyle name="見出し 1 6" xfId="1805"/>
    <cellStyle name="見出し 1_01 YW" xfId="1806"/>
    <cellStyle name="見出し 2" xfId="1807"/>
    <cellStyle name="見出し 2 2" xfId="1808"/>
    <cellStyle name="見出し 2 2 2" xfId="1809"/>
    <cellStyle name="見出し 2 2 2 2" xfId="1810"/>
    <cellStyle name="見出し 2 2 2 2 2" xfId="1811"/>
    <cellStyle name="見出し 2 2 2 2_Table_KOR" xfId="1812"/>
    <cellStyle name="見出し 2 2 2 3" xfId="1813"/>
    <cellStyle name="見出し 2 2 2 3 2" xfId="1814"/>
    <cellStyle name="見出し 2 2 2 3_Table_KOR" xfId="1815"/>
    <cellStyle name="見出し 2 2 3" xfId="1816"/>
    <cellStyle name="見出し 2 2 3 2" xfId="1817"/>
    <cellStyle name="見出し 2 2 3_Table_KOR" xfId="1818"/>
    <cellStyle name="見出し 2 2 4" xfId="1819"/>
    <cellStyle name="見出し 2 2 4 2" xfId="1820"/>
    <cellStyle name="見出し 2 2 4_Table_KOR" xfId="1821"/>
    <cellStyle name="見出し 2 2_etc_data" xfId="1822"/>
    <cellStyle name="見出し 2 3" xfId="1823"/>
    <cellStyle name="見出し 2 3 2" xfId="1824"/>
    <cellStyle name="見出し 2 3 2 2" xfId="1825"/>
    <cellStyle name="見出し 2 3 2_Table_KOR" xfId="1826"/>
    <cellStyle name="見出し 2 3 3" xfId="1827"/>
    <cellStyle name="見出し 2 3 3 2" xfId="1828"/>
    <cellStyle name="見出し 2 3 3_Table_KOR" xfId="1829"/>
    <cellStyle name="見出し 2 4" xfId="1830"/>
    <cellStyle name="見出し 2 4 2" xfId="1831"/>
    <cellStyle name="見出し 2 4_Table_KOR" xfId="1832"/>
    <cellStyle name="見出し 2 5" xfId="1833"/>
    <cellStyle name="見出し 2 5 2" xfId="1834"/>
    <cellStyle name="見出し 2 5_Table_KOR" xfId="1835"/>
    <cellStyle name="見出し 2 6" xfId="1836"/>
    <cellStyle name="見出し 2_01 YW" xfId="1837"/>
    <cellStyle name="見出し 3" xfId="1838"/>
    <cellStyle name="見出し 3 2" xfId="1839"/>
    <cellStyle name="見出し 3 2 2" xfId="1840"/>
    <cellStyle name="見出し 3 2 2 2" xfId="1841"/>
    <cellStyle name="見出し 3 2 2 2 2" xfId="1842"/>
    <cellStyle name="見出し 3 2 2 2_Table_KOR" xfId="1843"/>
    <cellStyle name="見出し 3 2 2 3" xfId="1844"/>
    <cellStyle name="見出し 3 2 2 3 2" xfId="1845"/>
    <cellStyle name="見出し 3 2 2 3_Table_KOR" xfId="1846"/>
    <cellStyle name="見出し 3 2 2_Mix Item" xfId="1847"/>
    <cellStyle name="見出し 3 2 3" xfId="1848"/>
    <cellStyle name="見出し 3 2 3 2" xfId="1849"/>
    <cellStyle name="見出し 3 2 3_Table_KOR" xfId="1850"/>
    <cellStyle name="見出し 3 2 4" xfId="1851"/>
    <cellStyle name="見出し 3 2 4 2" xfId="1852"/>
    <cellStyle name="見出し 3 2 4_Table_KOR" xfId="1853"/>
    <cellStyle name="見出し 3 2_etc_data" xfId="1854"/>
    <cellStyle name="見出し 3 3" xfId="1855"/>
    <cellStyle name="見出し 3 3 2" xfId="1856"/>
    <cellStyle name="見出し 3 3 2 2" xfId="1857"/>
    <cellStyle name="見出し 3 3 2_Table_KOR" xfId="1858"/>
    <cellStyle name="見出し 3 3 3" xfId="1859"/>
    <cellStyle name="見出し 3 3 3 2" xfId="1860"/>
    <cellStyle name="見出し 3 3 3_Table_KOR" xfId="1861"/>
    <cellStyle name="見出し 3 4" xfId="1862"/>
    <cellStyle name="見出し 3 4 2" xfId="1863"/>
    <cellStyle name="見出し 3 4_Table_KOR" xfId="1864"/>
    <cellStyle name="見出し 3 5" xfId="1865"/>
    <cellStyle name="見出し 3 5 2" xfId="1866"/>
    <cellStyle name="見出し 3 5_Table_KOR" xfId="1867"/>
    <cellStyle name="見出し 3 6" xfId="1868"/>
    <cellStyle name="見出し 3_01 YW" xfId="1869"/>
    <cellStyle name="見出し 4" xfId="1870"/>
    <cellStyle name="見出し 4 2" xfId="1871"/>
    <cellStyle name="見出し 4 2 2" xfId="1872"/>
    <cellStyle name="見出し 4 2 2 2" xfId="1873"/>
    <cellStyle name="見出し 4 2 2 2 2" xfId="1874"/>
    <cellStyle name="見出し 4 2 2 2_Table_KOR" xfId="1875"/>
    <cellStyle name="見出し 4 2 2 3" xfId="1876"/>
    <cellStyle name="見出し 4 2 2 3 2" xfId="1877"/>
    <cellStyle name="見出し 4 2 2 3_Table_KOR" xfId="1878"/>
    <cellStyle name="見出し 4 2 3" xfId="1879"/>
    <cellStyle name="見出し 4 2 3 2" xfId="1880"/>
    <cellStyle name="見出し 4 2 3_Table_KOR" xfId="1881"/>
    <cellStyle name="見出し 4 2 4" xfId="1882"/>
    <cellStyle name="見出し 4 2 4 2" xfId="1883"/>
    <cellStyle name="見出し 4 2 4_Table_KOR" xfId="1884"/>
    <cellStyle name="見出し 4 2_etc_data" xfId="1885"/>
    <cellStyle name="見出し 4 3" xfId="1886"/>
    <cellStyle name="見出し 4 3 2" xfId="1887"/>
    <cellStyle name="見出し 4 3 2 2" xfId="1888"/>
    <cellStyle name="見出し 4 3 2_Table_KOR" xfId="1889"/>
    <cellStyle name="見出し 4 3 3" xfId="1890"/>
    <cellStyle name="見出し 4 3 3 2" xfId="1891"/>
    <cellStyle name="見出し 4 3 3_Table_KOR" xfId="1892"/>
    <cellStyle name="見出し 4 4" xfId="1893"/>
    <cellStyle name="見出し 4 4 2" xfId="1894"/>
    <cellStyle name="見出し 4 4_Table_KOR" xfId="1895"/>
    <cellStyle name="見出し 4 5" xfId="1896"/>
    <cellStyle name="見出し 4 5 2" xfId="1897"/>
    <cellStyle name="見出し 4 5_Table_KOR" xfId="1898"/>
    <cellStyle name="見出し 4 6" xfId="1899"/>
    <cellStyle name="見出し 4_01 YW" xfId="1900"/>
    <cellStyle name="경고문" xfId="1901"/>
    <cellStyle name="警告文" xfId="1902"/>
    <cellStyle name="경고문 10" xfId="1903"/>
    <cellStyle name="경고문 10 2" xfId="1904"/>
    <cellStyle name="경고문 10 3" xfId="1905"/>
    <cellStyle name="경고문 11" xfId="1906"/>
    <cellStyle name="경고문 11 2" xfId="1907"/>
    <cellStyle name="경고문 11 3" xfId="1908"/>
    <cellStyle name="경고문 12" xfId="1909"/>
    <cellStyle name="경고문 12 2" xfId="1910"/>
    <cellStyle name="경고문 12 3" xfId="1911"/>
    <cellStyle name="경고문 13" xfId="1912"/>
    <cellStyle name="경고문 13 2" xfId="1913"/>
    <cellStyle name="경고문 13 3" xfId="1914"/>
    <cellStyle name="경고문 14" xfId="1915"/>
    <cellStyle name="경고문 14 2" xfId="1916"/>
    <cellStyle name="경고문 14 3" xfId="1917"/>
    <cellStyle name="경고문 15" xfId="1918"/>
    <cellStyle name="경고문 15 2" xfId="1919"/>
    <cellStyle name="경고문 15 3" xfId="1920"/>
    <cellStyle name="경고문 16" xfId="1921"/>
    <cellStyle name="경고문 16 2" xfId="1922"/>
    <cellStyle name="경고문 16 3" xfId="1923"/>
    <cellStyle name="경고문 17" xfId="1924"/>
    <cellStyle name="경고문 17 2" xfId="1925"/>
    <cellStyle name="경고문 17 3" xfId="1926"/>
    <cellStyle name="경고문 18" xfId="1927"/>
    <cellStyle name="경고문 18 2" xfId="1928"/>
    <cellStyle name="경고문 18 3" xfId="1929"/>
    <cellStyle name="경고문 19" xfId="1930"/>
    <cellStyle name="경고문 19 2" xfId="1931"/>
    <cellStyle name="경고문 19 3" xfId="1932"/>
    <cellStyle name="경고문 2" xfId="1933"/>
    <cellStyle name="警告文 2" xfId="1934"/>
    <cellStyle name="警告文 2 10" xfId="1935"/>
    <cellStyle name="警告文 2 11" xfId="7143"/>
    <cellStyle name="경고문 2 2" xfId="1936"/>
    <cellStyle name="警告文 2 2" xfId="1937"/>
    <cellStyle name="경고문 2 3" xfId="1938"/>
    <cellStyle name="警告文 2 3" xfId="1939"/>
    <cellStyle name="警告文 2 4" xfId="1940"/>
    <cellStyle name="警告文 2 5" xfId="1941"/>
    <cellStyle name="警告文 2 6" xfId="1942"/>
    <cellStyle name="警告文 2 7" xfId="1943"/>
    <cellStyle name="警告文 2 8" xfId="1944"/>
    <cellStyle name="警告文 2 9" xfId="1945"/>
    <cellStyle name="警告文 2_Table_KOR" xfId="1946"/>
    <cellStyle name="경고문 20" xfId="1947"/>
    <cellStyle name="경고문 20 2" xfId="1948"/>
    <cellStyle name="경고문 20 3" xfId="1949"/>
    <cellStyle name="경고문 21" xfId="1950"/>
    <cellStyle name="경고문 21 2" xfId="1951"/>
    <cellStyle name="경고문 21 3" xfId="1952"/>
    <cellStyle name="경고문 22" xfId="1953"/>
    <cellStyle name="경고문 22 2" xfId="1954"/>
    <cellStyle name="경고문 22 3" xfId="1955"/>
    <cellStyle name="경고문 23" xfId="1956"/>
    <cellStyle name="경고문 23 2" xfId="1957"/>
    <cellStyle name="경고문 23 3" xfId="1958"/>
    <cellStyle name="경고문 24" xfId="1959"/>
    <cellStyle name="경고문 24 2" xfId="1960"/>
    <cellStyle name="경고문 24 3" xfId="1961"/>
    <cellStyle name="경고문 25" xfId="1962"/>
    <cellStyle name="경고문 25 2" xfId="1963"/>
    <cellStyle name="경고문 25 3" xfId="1964"/>
    <cellStyle name="경고문 26" xfId="1965"/>
    <cellStyle name="경고문 26 2" xfId="1966"/>
    <cellStyle name="경고문 26 3" xfId="1967"/>
    <cellStyle name="경고문 27" xfId="1968"/>
    <cellStyle name="경고문 27 2" xfId="1969"/>
    <cellStyle name="경고문 27 3" xfId="1970"/>
    <cellStyle name="경고문 28" xfId="1971"/>
    <cellStyle name="경고문 28 2" xfId="1972"/>
    <cellStyle name="경고문 28 3" xfId="1973"/>
    <cellStyle name="경고문 29" xfId="1974"/>
    <cellStyle name="경고문 29 2" xfId="1975"/>
    <cellStyle name="경고문 29 3" xfId="1976"/>
    <cellStyle name="경고문 3" xfId="1977"/>
    <cellStyle name="警告文 3" xfId="1978"/>
    <cellStyle name="警告文 3 10" xfId="1979"/>
    <cellStyle name="警告文 3 11" xfId="7144"/>
    <cellStyle name="경고문 3 2" xfId="1980"/>
    <cellStyle name="警告文 3 2" xfId="1981"/>
    <cellStyle name="경고문 3 3" xfId="1982"/>
    <cellStyle name="警告文 3 3" xfId="1983"/>
    <cellStyle name="警告文 3 4" xfId="1984"/>
    <cellStyle name="警告文 3 5" xfId="1985"/>
    <cellStyle name="警告文 3 6" xfId="1986"/>
    <cellStyle name="警告文 3 7" xfId="1987"/>
    <cellStyle name="警告文 3 8" xfId="1988"/>
    <cellStyle name="警告文 3 9" xfId="1989"/>
    <cellStyle name="警告文 3_Table_KOR" xfId="1990"/>
    <cellStyle name="경고문 30" xfId="1991"/>
    <cellStyle name="경고문 30 2" xfId="1992"/>
    <cellStyle name="경고문 30 3" xfId="1993"/>
    <cellStyle name="경고문 31" xfId="1994"/>
    <cellStyle name="경고문 31 2" xfId="1995"/>
    <cellStyle name="경고문 31 3" xfId="1996"/>
    <cellStyle name="경고문 32" xfId="1997"/>
    <cellStyle name="경고문 32 2" xfId="1998"/>
    <cellStyle name="경고문 32 3" xfId="1999"/>
    <cellStyle name="경고문 33" xfId="2000"/>
    <cellStyle name="경고문 33 2" xfId="2001"/>
    <cellStyle name="경고문 34" xfId="2002"/>
    <cellStyle name="경고문 34 2" xfId="2003"/>
    <cellStyle name="경고문 35" xfId="2004"/>
    <cellStyle name="경고문 35 2" xfId="2005"/>
    <cellStyle name="경고문 36" xfId="2006"/>
    <cellStyle name="경고문 36 2" xfId="2007"/>
    <cellStyle name="경고문 37" xfId="2008"/>
    <cellStyle name="경고문 37 2" xfId="2009"/>
    <cellStyle name="경고문 38" xfId="2010"/>
    <cellStyle name="경고문 38 2" xfId="2011"/>
    <cellStyle name="경고문 39" xfId="2012"/>
    <cellStyle name="경고문 39 2" xfId="2013"/>
    <cellStyle name="경고문 4" xfId="2014"/>
    <cellStyle name="警告文 4" xfId="2015"/>
    <cellStyle name="경고문 4 10" xfId="2016"/>
    <cellStyle name="경고문 4 11" xfId="6378"/>
    <cellStyle name="경고문 4 12" xfId="5759"/>
    <cellStyle name="경고문 4 13" xfId="6927"/>
    <cellStyle name="경고문 4 14" xfId="5185"/>
    <cellStyle name="경고문 4 15" xfId="5916"/>
    <cellStyle name="경고문 4 16" xfId="7803"/>
    <cellStyle name="경고문 4 17" xfId="6945"/>
    <cellStyle name="경고문 4 2" xfId="2017"/>
    <cellStyle name="警告文 4 2" xfId="2018"/>
    <cellStyle name="경고문 4 3" xfId="2019"/>
    <cellStyle name="警告文 4 3" xfId="7787"/>
    <cellStyle name="경고문 4 4" xfId="2020"/>
    <cellStyle name="警告文 4 4" xfId="7802"/>
    <cellStyle name="경고문 4 5" xfId="2021"/>
    <cellStyle name="경고문 4 6" xfId="2022"/>
    <cellStyle name="경고문 4 7" xfId="2023"/>
    <cellStyle name="경고문 4 8" xfId="2024"/>
    <cellStyle name="경고문 4 9" xfId="2025"/>
    <cellStyle name="警告文 4_Table_KOR" xfId="2026"/>
    <cellStyle name="경고문 40" xfId="2027"/>
    <cellStyle name="경고문 40 2" xfId="2028"/>
    <cellStyle name="경고문 41" xfId="2029"/>
    <cellStyle name="경고문 41 2" xfId="2030"/>
    <cellStyle name="경고문 42" xfId="2031"/>
    <cellStyle name="경고문 43" xfId="2032"/>
    <cellStyle name="경고문 44" xfId="2033"/>
    <cellStyle name="경고문 45" xfId="2034"/>
    <cellStyle name="경고문 46" xfId="2035"/>
    <cellStyle name="경고문 47" xfId="2036"/>
    <cellStyle name="경고문 48" xfId="2037"/>
    <cellStyle name="경고문 49" xfId="2038"/>
    <cellStyle name="경고문 5" xfId="2039"/>
    <cellStyle name="警告文 5" xfId="2040"/>
    <cellStyle name="경고문 5 2" xfId="2041"/>
    <cellStyle name="警告文 5 2" xfId="2042"/>
    <cellStyle name="경고문 5 3" xfId="2043"/>
    <cellStyle name="警告文 5 3" xfId="7789"/>
    <cellStyle name="경고문 5 4" xfId="2044"/>
    <cellStyle name="警告文 5 4" xfId="7801"/>
    <cellStyle name="警告文 5_Table_KOR" xfId="2045"/>
    <cellStyle name="경고문 50" xfId="2046"/>
    <cellStyle name="경고문 51" xfId="2047"/>
    <cellStyle name="경고문 52" xfId="2048"/>
    <cellStyle name="경고문 53" xfId="2049"/>
    <cellStyle name="경고문 54" xfId="2050"/>
    <cellStyle name="경고문 55" xfId="2051"/>
    <cellStyle name="경고문 56" xfId="2052"/>
    <cellStyle name="경고문 57" xfId="2053"/>
    <cellStyle name="경고문 58" xfId="2054"/>
    <cellStyle name="경고문 59" xfId="2055"/>
    <cellStyle name="경고문 6" xfId="2056"/>
    <cellStyle name="警告文 6" xfId="2057"/>
    <cellStyle name="경고문 6 2" xfId="2058"/>
    <cellStyle name="警告文 6 2" xfId="2059"/>
    <cellStyle name="경고문 6 3" xfId="2060"/>
    <cellStyle name="警告文 6 3" xfId="7790"/>
    <cellStyle name="경고문 6 4" xfId="2061"/>
    <cellStyle name="警告文 6 4" xfId="7800"/>
    <cellStyle name="警告文 6_Table_KOR" xfId="2062"/>
    <cellStyle name="경고문 60" xfId="2063"/>
    <cellStyle name="경고문 61" xfId="2064"/>
    <cellStyle name="경고문 62" xfId="2065"/>
    <cellStyle name="경고문 63" xfId="2066"/>
    <cellStyle name="경고문 64" xfId="2067"/>
    <cellStyle name="경고문 65" xfId="2068"/>
    <cellStyle name="경고문 66" xfId="2069"/>
    <cellStyle name="경고문 67" xfId="2070"/>
    <cellStyle name="경고문 68" xfId="2071"/>
    <cellStyle name="경고문 69" xfId="2072"/>
    <cellStyle name="경고문 7" xfId="2073"/>
    <cellStyle name="警告文 7" xfId="2074"/>
    <cellStyle name="경고문 7 2" xfId="2075"/>
    <cellStyle name="警告文 7 2" xfId="2076"/>
    <cellStyle name="경고문 7 3" xfId="2077"/>
    <cellStyle name="警告文 7 3" xfId="7791"/>
    <cellStyle name="경고문 7 4" xfId="2078"/>
    <cellStyle name="警告文 7 4" xfId="7799"/>
    <cellStyle name="警告文 7_Table_KOR" xfId="2079"/>
    <cellStyle name="경고문 70" xfId="2080"/>
    <cellStyle name="경고문 70 2" xfId="7798"/>
    <cellStyle name="경고문 70 3" xfId="7786"/>
    <cellStyle name="경고문 71" xfId="2081"/>
    <cellStyle name="경고문 72" xfId="2082"/>
    <cellStyle name="경고문 73" xfId="5044"/>
    <cellStyle name="경고문 74" xfId="5081"/>
    <cellStyle name="경고문 75" xfId="5114"/>
    <cellStyle name="경고문 76" xfId="5144"/>
    <cellStyle name="경고문 77" xfId="5173"/>
    <cellStyle name="경고문 78" xfId="5145"/>
    <cellStyle name="경고문 79" xfId="5172"/>
    <cellStyle name="경고문 8" xfId="2083"/>
    <cellStyle name="警告文 8" xfId="2084"/>
    <cellStyle name="경고문 8 2" xfId="2085"/>
    <cellStyle name="警告文 8 2" xfId="2086"/>
    <cellStyle name="경고문 8 3" xfId="2087"/>
    <cellStyle name="警告文 8 3" xfId="7792"/>
    <cellStyle name="警告文 8 4" xfId="7797"/>
    <cellStyle name="경고문 80" xfId="5146"/>
    <cellStyle name="경고문 81" xfId="5171"/>
    <cellStyle name="경고문 82" xfId="5147"/>
    <cellStyle name="경고문 83" xfId="5169"/>
    <cellStyle name="경고문 84" xfId="5149"/>
    <cellStyle name="경고문 85" xfId="5167"/>
    <cellStyle name="경고문 86" xfId="6827"/>
    <cellStyle name="경고문 87" xfId="6829"/>
    <cellStyle name="경고문 88" xfId="6875"/>
    <cellStyle name="경고문 89" xfId="6830"/>
    <cellStyle name="경고문 9" xfId="2088"/>
    <cellStyle name="警告文 9" xfId="2089"/>
    <cellStyle name="경고문 9 2" xfId="2090"/>
    <cellStyle name="警告文 9 2" xfId="2091"/>
    <cellStyle name="경고문 9 3" xfId="2092"/>
    <cellStyle name="警告文 9 3" xfId="7793"/>
    <cellStyle name="警告文 9 4" xfId="7796"/>
    <cellStyle name="경고문 90" xfId="6879"/>
    <cellStyle name="경고문 91" xfId="7804"/>
    <cellStyle name="경고문_1차 NETPY 아이템 리스트" xfId="2093"/>
    <cellStyle name="警告文_etc_data" xfId="2094"/>
    <cellStyle name="계산" xfId="2095"/>
    <cellStyle name="計算" xfId="2096"/>
    <cellStyle name="계산 10" xfId="2097"/>
    <cellStyle name="計算 10" xfId="2098"/>
    <cellStyle name="計算 10 10" xfId="2099"/>
    <cellStyle name="計算 10 11" xfId="5711"/>
    <cellStyle name="계산 10 2" xfId="2100"/>
    <cellStyle name="計算 10 2" xfId="2101"/>
    <cellStyle name="계산 10 3" xfId="2102"/>
    <cellStyle name="計算 10 3" xfId="2103"/>
    <cellStyle name="계산 10 4" xfId="2104"/>
    <cellStyle name="計算 10 4" xfId="2105"/>
    <cellStyle name="計算 10 5" xfId="2106"/>
    <cellStyle name="計算 10 6" xfId="2107"/>
    <cellStyle name="計算 10 7" xfId="2108"/>
    <cellStyle name="計算 10 8" xfId="2109"/>
    <cellStyle name="計算 10 9" xfId="2110"/>
    <cellStyle name="計算 10_Table_KOR" xfId="2111"/>
    <cellStyle name="계산 11" xfId="2112"/>
    <cellStyle name="計算 11" xfId="2113"/>
    <cellStyle name="計算 11 10" xfId="2114"/>
    <cellStyle name="計算 11 11" xfId="5715"/>
    <cellStyle name="계산 11 2" xfId="2115"/>
    <cellStyle name="計算 11 2" xfId="2116"/>
    <cellStyle name="계산 11 3" xfId="2117"/>
    <cellStyle name="計算 11 3" xfId="2118"/>
    <cellStyle name="계산 11 4" xfId="2119"/>
    <cellStyle name="計算 11 4" xfId="2120"/>
    <cellStyle name="計算 11 5" xfId="2121"/>
    <cellStyle name="計算 11 6" xfId="2122"/>
    <cellStyle name="計算 11 7" xfId="2123"/>
    <cellStyle name="計算 11 8" xfId="2124"/>
    <cellStyle name="計算 11 9" xfId="2125"/>
    <cellStyle name="計算 11_Table_KOR" xfId="2126"/>
    <cellStyle name="계산 12" xfId="2127"/>
    <cellStyle name="計算 12" xfId="2128"/>
    <cellStyle name="계산 12 2" xfId="2129"/>
    <cellStyle name="計算 12 2" xfId="2130"/>
    <cellStyle name="계산 12 3" xfId="2131"/>
    <cellStyle name="計算 12 3" xfId="2132"/>
    <cellStyle name="계산 12 4" xfId="2133"/>
    <cellStyle name="計算 12 4" xfId="2134"/>
    <cellStyle name="計算 12 5" xfId="2135"/>
    <cellStyle name="計算 12 6" xfId="2136"/>
    <cellStyle name="計算 12 7" xfId="2137"/>
    <cellStyle name="計算 12 8" xfId="2138"/>
    <cellStyle name="計算 12 9" xfId="2139"/>
    <cellStyle name="계산 13" xfId="2140"/>
    <cellStyle name="計算 13" xfId="2141"/>
    <cellStyle name="계산 13 2" xfId="2142"/>
    <cellStyle name="計算 13 2" xfId="2143"/>
    <cellStyle name="계산 13 3" xfId="2144"/>
    <cellStyle name="계산 13 4" xfId="2145"/>
    <cellStyle name="계산 14" xfId="2146"/>
    <cellStyle name="計算 14" xfId="2147"/>
    <cellStyle name="계산 14 2" xfId="2148"/>
    <cellStyle name="計算 14 2" xfId="2149"/>
    <cellStyle name="계산 14 2 2" xfId="2150"/>
    <cellStyle name="계산 14 3" xfId="2151"/>
    <cellStyle name="계산 14 4" xfId="2152"/>
    <cellStyle name="계산 15" xfId="2153"/>
    <cellStyle name="計算 15" xfId="2154"/>
    <cellStyle name="계산 15 2" xfId="2155"/>
    <cellStyle name="計算 15 2" xfId="2156"/>
    <cellStyle name="계산 15 2 2" xfId="2157"/>
    <cellStyle name="계산 15 3" xfId="2158"/>
    <cellStyle name="계산 15 4" xfId="2159"/>
    <cellStyle name="계산 16" xfId="2160"/>
    <cellStyle name="計算 16" xfId="2161"/>
    <cellStyle name="계산 16 2" xfId="2162"/>
    <cellStyle name="계산 16 3" xfId="2163"/>
    <cellStyle name="계산 16 4" xfId="2164"/>
    <cellStyle name="계산 17" xfId="2165"/>
    <cellStyle name="計算 17" xfId="2166"/>
    <cellStyle name="계산 17 2" xfId="2167"/>
    <cellStyle name="계산 17 3" xfId="2168"/>
    <cellStyle name="계산 17 4" xfId="2169"/>
    <cellStyle name="계산 18" xfId="2170"/>
    <cellStyle name="計算 18" xfId="2171"/>
    <cellStyle name="계산 18 2" xfId="2172"/>
    <cellStyle name="계산 18 3" xfId="2173"/>
    <cellStyle name="계산 18 4" xfId="2174"/>
    <cellStyle name="계산 19" xfId="2175"/>
    <cellStyle name="計算 19" xfId="2176"/>
    <cellStyle name="계산 19 2" xfId="2177"/>
    <cellStyle name="계산 19 3" xfId="2178"/>
    <cellStyle name="계산 19 4" xfId="2179"/>
    <cellStyle name="계산 2" xfId="2180"/>
    <cellStyle name="計算 2" xfId="2181"/>
    <cellStyle name="計算 2 10" xfId="2182"/>
    <cellStyle name="計算 2 10 2" xfId="2183"/>
    <cellStyle name="計算 2 10 3" xfId="2184"/>
    <cellStyle name="計算 2 10 4" xfId="5728"/>
    <cellStyle name="計算 2 10_Table_KOR" xfId="2185"/>
    <cellStyle name="계산 2 2" xfId="2186"/>
    <cellStyle name="計算 2 2" xfId="2187"/>
    <cellStyle name="計算 2 2 10" xfId="2188"/>
    <cellStyle name="계산 2 2 2" xfId="2189"/>
    <cellStyle name="計算 2 2 2" xfId="2190"/>
    <cellStyle name="計算 2 2 2 2" xfId="2191"/>
    <cellStyle name="計算 2 2 2 2 2" xfId="2192"/>
    <cellStyle name="計算 2 2 2 2 3" xfId="2193"/>
    <cellStyle name="計算 2 2 2 2 4" xfId="5729"/>
    <cellStyle name="計算 2 2 2 2_Table_KOR" xfId="2194"/>
    <cellStyle name="계산 2 2 3" xfId="2195"/>
    <cellStyle name="計算 2 2 3" xfId="2196"/>
    <cellStyle name="計算 2 2 3 2" xfId="2197"/>
    <cellStyle name="계산 2 2 4" xfId="2198"/>
    <cellStyle name="計算 2 2 4" xfId="2199"/>
    <cellStyle name="計算 2 2 4 2" xfId="2200"/>
    <cellStyle name="계산 2 2 5" xfId="2201"/>
    <cellStyle name="計算 2 2 5" xfId="2202"/>
    <cellStyle name="計算 2 2 5 2" xfId="2203"/>
    <cellStyle name="計算 2 2 6" xfId="2204"/>
    <cellStyle name="計算 2 2 6 2" xfId="2205"/>
    <cellStyle name="計算 2 2 6 3" xfId="2206"/>
    <cellStyle name="計算 2 2 6 4" xfId="5734"/>
    <cellStyle name="計算 2 2 6_Table_KOR" xfId="2207"/>
    <cellStyle name="計算 2 2 7" xfId="2208"/>
    <cellStyle name="計算 2 2 7 2" xfId="2209"/>
    <cellStyle name="計算 2 2 7 3" xfId="2210"/>
    <cellStyle name="計算 2 2 7 4" xfId="5736"/>
    <cellStyle name="計算 2 2 7_Table_KOR" xfId="2211"/>
    <cellStyle name="計算 2 2 8" xfId="2212"/>
    <cellStyle name="計算 2 2 8 2" xfId="2213"/>
    <cellStyle name="計算 2 2 8 3" xfId="2214"/>
    <cellStyle name="計算 2 2 8 4" xfId="5737"/>
    <cellStyle name="計算 2 2 8_Table_KOR" xfId="2215"/>
    <cellStyle name="計算 2 2 9" xfId="2216"/>
    <cellStyle name="計算 2 2 9 2" xfId="2217"/>
    <cellStyle name="計算 2 2 9 3" xfId="2218"/>
    <cellStyle name="計算 2 2 9 4" xfId="5739"/>
    <cellStyle name="計算 2 2 9_Table_KOR" xfId="2219"/>
    <cellStyle name="계산 2 2_Sheet1" xfId="2220"/>
    <cellStyle name="計算 2 2_Sheet1" xfId="2221"/>
    <cellStyle name="계산 2 3" xfId="2222"/>
    <cellStyle name="計算 2 3" xfId="2223"/>
    <cellStyle name="계산 2 3 2" xfId="2224"/>
    <cellStyle name="計算 2 3 2" xfId="2225"/>
    <cellStyle name="計算 2 3 2 2" xfId="2226"/>
    <cellStyle name="計算 2 3 2 3" xfId="2227"/>
    <cellStyle name="計算 2 3 2 4" xfId="5742"/>
    <cellStyle name="計算 2 3 2_Table_KOR" xfId="2228"/>
    <cellStyle name="계산 2 3 3" xfId="2229"/>
    <cellStyle name="計算 2 3 3" xfId="2230"/>
    <cellStyle name="計算 2 3 3 2" xfId="2231"/>
    <cellStyle name="計算 2 3 3 3" xfId="2232"/>
    <cellStyle name="計算 2 3 3 4" xfId="5745"/>
    <cellStyle name="計算 2 3 3_Table_KOR" xfId="2233"/>
    <cellStyle name="계산 2 3 4" xfId="2234"/>
    <cellStyle name="計算 2 3 4" xfId="2235"/>
    <cellStyle name="計算 2 3 4 2" xfId="2236"/>
    <cellStyle name="計算 2 3 4 3" xfId="2237"/>
    <cellStyle name="計算 2 3 4 4" xfId="5748"/>
    <cellStyle name="計算 2 3 4_Table_KOR" xfId="2238"/>
    <cellStyle name="계산 2 3 5" xfId="2239"/>
    <cellStyle name="計算 2 3 5" xfId="2240"/>
    <cellStyle name="計算 2 3 5 2" xfId="2241"/>
    <cellStyle name="計算 2 3 5 3" xfId="2242"/>
    <cellStyle name="計算 2 3 5 4" xfId="5750"/>
    <cellStyle name="計算 2 3 5_Table_KOR" xfId="2243"/>
    <cellStyle name="計算 2 3 6" xfId="2244"/>
    <cellStyle name="計算 2 3 7" xfId="2245"/>
    <cellStyle name="計算 2 3 8" xfId="2246"/>
    <cellStyle name="計算 2 3 9" xfId="2247"/>
    <cellStyle name="계산 2 4" xfId="2248"/>
    <cellStyle name="計算 2 4" xfId="2249"/>
    <cellStyle name="計算 2 4 2" xfId="2250"/>
    <cellStyle name="計算 2 4 2 2" xfId="2251"/>
    <cellStyle name="計算 2 4 2 3" xfId="2252"/>
    <cellStyle name="計算 2 4 2 4" xfId="5751"/>
    <cellStyle name="計算 2 4 2_Table_KOR" xfId="2253"/>
    <cellStyle name="계산 2 5" xfId="2254"/>
    <cellStyle name="計算 2 5" xfId="2255"/>
    <cellStyle name="計算 2 5 2" xfId="2256"/>
    <cellStyle name="계산 2 6" xfId="2257"/>
    <cellStyle name="計算 2 6" xfId="2258"/>
    <cellStyle name="計算 2 6 2" xfId="2259"/>
    <cellStyle name="계산 2 7" xfId="2260"/>
    <cellStyle name="計算 2 7" xfId="2261"/>
    <cellStyle name="計算 2 7 2" xfId="2262"/>
    <cellStyle name="計算 2 7 3" xfId="2263"/>
    <cellStyle name="計算 2 7 4" xfId="5753"/>
    <cellStyle name="計算 2 7_Table_KOR" xfId="2264"/>
    <cellStyle name="計算 2 8" xfId="2265"/>
    <cellStyle name="計算 2 8 2" xfId="2266"/>
    <cellStyle name="計算 2 8 3" xfId="2267"/>
    <cellStyle name="計算 2 8 4" xfId="5755"/>
    <cellStyle name="計算 2 8_Table_KOR" xfId="2268"/>
    <cellStyle name="計算 2 9" xfId="2269"/>
    <cellStyle name="計算 2 9 2" xfId="2270"/>
    <cellStyle name="計算 2 9 3" xfId="2271"/>
    <cellStyle name="計算 2 9 4" xfId="5795"/>
    <cellStyle name="計算 2 9_Table_KOR" xfId="2272"/>
    <cellStyle name="計算 2_DBTable" xfId="2273"/>
    <cellStyle name="계산 2_ITEM" xfId="2274"/>
    <cellStyle name="計算 2_ITEM" xfId="2275"/>
    <cellStyle name="계산 2_ITEM_1" xfId="2276"/>
    <cellStyle name="計算 2_ITEM_1" xfId="2277"/>
    <cellStyle name="계산 2_ITEM_1_CS_Text" xfId="2278"/>
    <cellStyle name="計算 2_ITEM_1_CS_Text" xfId="2279"/>
    <cellStyle name="계산 2_ITEM_2" xfId="2280"/>
    <cellStyle name="計算 2_ITEM_2" xfId="2281"/>
    <cellStyle name="계산 2_ITEM_CS_Text" xfId="2282"/>
    <cellStyle name="計算 2_ITEM_CS_Text" xfId="2283"/>
    <cellStyle name="계산 2_Sheet1" xfId="2284"/>
    <cellStyle name="計算 2_Sheet1" xfId="2285"/>
    <cellStyle name="계산 2_SKILL" xfId="2286"/>
    <cellStyle name="計算 2_SKILL" xfId="2287"/>
    <cellStyle name="계산 2_SKILL_CS_Text" xfId="2288"/>
    <cellStyle name="計算 2_SKILL_CS_Text" xfId="2289"/>
    <cellStyle name="계산 20" xfId="2290"/>
    <cellStyle name="計算 20" xfId="2291"/>
    <cellStyle name="계산 20 2" xfId="2292"/>
    <cellStyle name="계산 20 3" xfId="2293"/>
    <cellStyle name="계산 20 4" xfId="2294"/>
    <cellStyle name="계산 21" xfId="2295"/>
    <cellStyle name="計算 21" xfId="2296"/>
    <cellStyle name="계산 21 2" xfId="2297"/>
    <cellStyle name="계산 21 3" xfId="2298"/>
    <cellStyle name="계산 21 4" xfId="2299"/>
    <cellStyle name="계산 22" xfId="2300"/>
    <cellStyle name="計算 22" xfId="2301"/>
    <cellStyle name="계산 22 2" xfId="2302"/>
    <cellStyle name="계산 22 3" xfId="2303"/>
    <cellStyle name="계산 22 4" xfId="2304"/>
    <cellStyle name="계산 23" xfId="2305"/>
    <cellStyle name="計算 23" xfId="2306"/>
    <cellStyle name="계산 23 2" xfId="2307"/>
    <cellStyle name="계산 23 3" xfId="2308"/>
    <cellStyle name="계산 23 4" xfId="2309"/>
    <cellStyle name="계산 24" xfId="2310"/>
    <cellStyle name="計算 24" xfId="2311"/>
    <cellStyle name="계산 24 2" xfId="2312"/>
    <cellStyle name="계산 24 3" xfId="2313"/>
    <cellStyle name="계산 24 4" xfId="2314"/>
    <cellStyle name="계산 25" xfId="2315"/>
    <cellStyle name="計算 25" xfId="2316"/>
    <cellStyle name="계산 25 2" xfId="2317"/>
    <cellStyle name="계산 25 3" xfId="2318"/>
    <cellStyle name="계산 25 4" xfId="2319"/>
    <cellStyle name="계산 26" xfId="2320"/>
    <cellStyle name="計算 26" xfId="2321"/>
    <cellStyle name="계산 26 2" xfId="2322"/>
    <cellStyle name="계산 26 3" xfId="2323"/>
    <cellStyle name="계산 26 4" xfId="2324"/>
    <cellStyle name="계산 27" xfId="2325"/>
    <cellStyle name="計算 27" xfId="2326"/>
    <cellStyle name="계산 27 2" xfId="2327"/>
    <cellStyle name="계산 27 3" xfId="2328"/>
    <cellStyle name="계산 27 4" xfId="2329"/>
    <cellStyle name="계산 28" xfId="2330"/>
    <cellStyle name="計算 28" xfId="2331"/>
    <cellStyle name="계산 28 2" xfId="2332"/>
    <cellStyle name="계산 28 3" xfId="2333"/>
    <cellStyle name="계산 28 4" xfId="2334"/>
    <cellStyle name="계산 29" xfId="2335"/>
    <cellStyle name="計算 29" xfId="2336"/>
    <cellStyle name="계산 29 2" xfId="2337"/>
    <cellStyle name="계산 29 3" xfId="2338"/>
    <cellStyle name="계산 29 4" xfId="2339"/>
    <cellStyle name="계산 3" xfId="2340"/>
    <cellStyle name="計算 3" xfId="2341"/>
    <cellStyle name="計算 3 10" xfId="2342"/>
    <cellStyle name="계산 3 2" xfId="2343"/>
    <cellStyle name="計算 3 2" xfId="2344"/>
    <cellStyle name="계산 3 2 2" xfId="2345"/>
    <cellStyle name="計算 3 2 2" xfId="2346"/>
    <cellStyle name="計算 3 2 2 2" xfId="2347"/>
    <cellStyle name="計算 3 2 2 3" xfId="2348"/>
    <cellStyle name="計算 3 2 2 4" xfId="5807"/>
    <cellStyle name="計算 3 2 2_Table_KOR" xfId="2349"/>
    <cellStyle name="계산 3 2 3" xfId="2350"/>
    <cellStyle name="計算 3 2 3" xfId="2351"/>
    <cellStyle name="計算 3 2 3 2" xfId="2352"/>
    <cellStyle name="計算 3 2 3 3" xfId="2353"/>
    <cellStyle name="計算 3 2 3 4" xfId="5808"/>
    <cellStyle name="計算 3 2 3_Table_KOR" xfId="2354"/>
    <cellStyle name="계산 3 2 4" xfId="2355"/>
    <cellStyle name="計算 3 2 4" xfId="2356"/>
    <cellStyle name="計算 3 2 4 2" xfId="2357"/>
    <cellStyle name="計算 3 2 4 3" xfId="2358"/>
    <cellStyle name="計算 3 2 4 4" xfId="5809"/>
    <cellStyle name="計算 3 2 4_Table_KOR" xfId="2359"/>
    <cellStyle name="계산 3 2 5" xfId="2360"/>
    <cellStyle name="計算 3 2 5" xfId="2361"/>
    <cellStyle name="計算 3 2 5 2" xfId="2362"/>
    <cellStyle name="計算 3 2 5 3" xfId="2363"/>
    <cellStyle name="計算 3 2 5 4" xfId="5810"/>
    <cellStyle name="計算 3 2 5_Table_KOR" xfId="2364"/>
    <cellStyle name="計算 3 2 6" xfId="2365"/>
    <cellStyle name="計算 3 2 7" xfId="2366"/>
    <cellStyle name="計算 3 2 8" xfId="2367"/>
    <cellStyle name="計算 3 2 9" xfId="2368"/>
    <cellStyle name="계산 3 3" xfId="2369"/>
    <cellStyle name="計算 3 3" xfId="2370"/>
    <cellStyle name="계산 3 3 2" xfId="2371"/>
    <cellStyle name="計算 3 3 2" xfId="2372"/>
    <cellStyle name="計算 3 3 2 2" xfId="2373"/>
    <cellStyle name="計算 3 3 2 3" xfId="2374"/>
    <cellStyle name="計算 3 3 2 4" xfId="5812"/>
    <cellStyle name="計算 3 3 2_Table_KOR" xfId="2375"/>
    <cellStyle name="계산 3 3 3" xfId="2376"/>
    <cellStyle name="計算 3 3 3" xfId="2377"/>
    <cellStyle name="計算 3 3 3 2" xfId="2378"/>
    <cellStyle name="計算 3 3 3 3" xfId="2379"/>
    <cellStyle name="計算 3 3 3 4" xfId="5813"/>
    <cellStyle name="計算 3 3 3_Table_KOR" xfId="2380"/>
    <cellStyle name="계산 3 3 4" xfId="2381"/>
    <cellStyle name="計算 3 3 4" xfId="2382"/>
    <cellStyle name="計算 3 3 4 2" xfId="2383"/>
    <cellStyle name="計算 3 3 4 3" xfId="2384"/>
    <cellStyle name="計算 3 3 4 4" xfId="5814"/>
    <cellStyle name="計算 3 3 4_Table_KOR" xfId="2385"/>
    <cellStyle name="계산 3 3 5" xfId="2386"/>
    <cellStyle name="計算 3 3 5" xfId="2387"/>
    <cellStyle name="計算 3 3 5 2" xfId="2388"/>
    <cellStyle name="計算 3 3 5 3" xfId="2389"/>
    <cellStyle name="計算 3 3 5 4" xfId="5815"/>
    <cellStyle name="計算 3 3 5_Table_KOR" xfId="2390"/>
    <cellStyle name="計算 3 3 6" xfId="2391"/>
    <cellStyle name="計算 3 3 7" xfId="2392"/>
    <cellStyle name="計算 3 3 8" xfId="2393"/>
    <cellStyle name="計算 3 3 9" xfId="2394"/>
    <cellStyle name="계산 3 4" xfId="2395"/>
    <cellStyle name="計算 3 4" xfId="2396"/>
    <cellStyle name="計算 3 4 2" xfId="2397"/>
    <cellStyle name="계산 3 5" xfId="2398"/>
    <cellStyle name="計算 3 5" xfId="2399"/>
    <cellStyle name="計算 3 5 2" xfId="2400"/>
    <cellStyle name="계산 3 6" xfId="2401"/>
    <cellStyle name="計算 3 6" xfId="2402"/>
    <cellStyle name="計算 3 6 2" xfId="2403"/>
    <cellStyle name="計算 3 6 3" xfId="2404"/>
    <cellStyle name="計算 3 6 4" xfId="5761"/>
    <cellStyle name="計算 3 6_Table_KOR" xfId="2405"/>
    <cellStyle name="계산 3 7" xfId="2406"/>
    <cellStyle name="計算 3 7" xfId="2407"/>
    <cellStyle name="計算 3 7 2" xfId="2408"/>
    <cellStyle name="計算 3 7 3" xfId="2409"/>
    <cellStyle name="計算 3 7 4" xfId="5762"/>
    <cellStyle name="計算 3 7_Table_KOR" xfId="2410"/>
    <cellStyle name="計算 3 8" xfId="2411"/>
    <cellStyle name="計算 3 8 2" xfId="2412"/>
    <cellStyle name="計算 3 8 3" xfId="2413"/>
    <cellStyle name="計算 3 8 4" xfId="5763"/>
    <cellStyle name="計算 3 8_Table_KOR" xfId="2414"/>
    <cellStyle name="計算 3 9" xfId="2415"/>
    <cellStyle name="計算 3 9 2" xfId="2416"/>
    <cellStyle name="計算 3 9 3" xfId="2417"/>
    <cellStyle name="計算 3 9 4" xfId="5765"/>
    <cellStyle name="計算 3 9_Table_KOR" xfId="2418"/>
    <cellStyle name="計算 3_etc_data" xfId="2419"/>
    <cellStyle name="계산 3_ITEM" xfId="2420"/>
    <cellStyle name="計算 3_ITEM" xfId="2421"/>
    <cellStyle name="계산 3_ITEM_1" xfId="2422"/>
    <cellStyle name="計算 3_ITEM_1" xfId="2423"/>
    <cellStyle name="계산 3_ITEM_1_CS_Text" xfId="2424"/>
    <cellStyle name="計算 3_ITEM_1_CS_Text" xfId="2425"/>
    <cellStyle name="계산 3_ITEM_2" xfId="2426"/>
    <cellStyle name="計算 3_ITEM_2" xfId="2427"/>
    <cellStyle name="계산 3_ITEM_CS_Text" xfId="2428"/>
    <cellStyle name="計算 3_ITEM_CS_Text" xfId="2429"/>
    <cellStyle name="계산 3_Sheet1" xfId="2430"/>
    <cellStyle name="計算 3_Sheet1" xfId="2431"/>
    <cellStyle name="계산 3_SKILL" xfId="2432"/>
    <cellStyle name="計算 3_SKILL" xfId="2433"/>
    <cellStyle name="계산 3_SKILL_CS_Text" xfId="2434"/>
    <cellStyle name="計算 3_SKILL_CS_Text" xfId="2435"/>
    <cellStyle name="계산 30" xfId="2436"/>
    <cellStyle name="計算 30" xfId="2437"/>
    <cellStyle name="계산 30 2" xfId="2438"/>
    <cellStyle name="계산 30 3" xfId="2439"/>
    <cellStyle name="계산 30 4" xfId="2440"/>
    <cellStyle name="계산 31" xfId="2441"/>
    <cellStyle name="計算 31" xfId="2442"/>
    <cellStyle name="계산 31 2" xfId="2443"/>
    <cellStyle name="계산 31 3" xfId="2444"/>
    <cellStyle name="계산 31 4" xfId="2445"/>
    <cellStyle name="계산 32" xfId="2446"/>
    <cellStyle name="計算 32" xfId="2447"/>
    <cellStyle name="계산 32 2" xfId="2448"/>
    <cellStyle name="계산 32 3" xfId="2449"/>
    <cellStyle name="계산 32 4" xfId="2450"/>
    <cellStyle name="계산 33" xfId="2451"/>
    <cellStyle name="計算 33" xfId="2452"/>
    <cellStyle name="계산 33 2" xfId="2453"/>
    <cellStyle name="계산 33 3" xfId="2454"/>
    <cellStyle name="계산 33 4" xfId="2455"/>
    <cellStyle name="계산 33 5" xfId="2456"/>
    <cellStyle name="계산 33 6" xfId="2457"/>
    <cellStyle name="계산 33 7" xfId="2458"/>
    <cellStyle name="계산 33 8" xfId="2459"/>
    <cellStyle name="계산 34" xfId="2460"/>
    <cellStyle name="計算 34" xfId="2461"/>
    <cellStyle name="계산 34 2" xfId="2462"/>
    <cellStyle name="계산 34 3" xfId="2463"/>
    <cellStyle name="계산 34 4" xfId="2464"/>
    <cellStyle name="계산 34 5" xfId="2465"/>
    <cellStyle name="계산 34 6" xfId="2466"/>
    <cellStyle name="계산 34 7" xfId="2467"/>
    <cellStyle name="계산 34 8" xfId="2468"/>
    <cellStyle name="계산 35" xfId="2469"/>
    <cellStyle name="計算 35" xfId="2470"/>
    <cellStyle name="계산 35 2" xfId="2471"/>
    <cellStyle name="계산 35 3" xfId="2472"/>
    <cellStyle name="계산 35 4" xfId="2473"/>
    <cellStyle name="계산 35 5" xfId="2474"/>
    <cellStyle name="계산 35 6" xfId="2475"/>
    <cellStyle name="계산 35 7" xfId="2476"/>
    <cellStyle name="계산 35 8" xfId="2477"/>
    <cellStyle name="계산 36" xfId="2478"/>
    <cellStyle name="計算 36" xfId="2479"/>
    <cellStyle name="계산 36 2" xfId="2480"/>
    <cellStyle name="계산 36 3" xfId="2481"/>
    <cellStyle name="계산 36 4" xfId="2482"/>
    <cellStyle name="계산 36 5" xfId="2483"/>
    <cellStyle name="계산 36 6" xfId="2484"/>
    <cellStyle name="계산 36 7" xfId="2485"/>
    <cellStyle name="계산 36 8" xfId="2486"/>
    <cellStyle name="계산 37" xfId="2487"/>
    <cellStyle name="計算 37" xfId="2488"/>
    <cellStyle name="계산 37 2" xfId="2489"/>
    <cellStyle name="계산 38" xfId="2490"/>
    <cellStyle name="計算 38" xfId="2491"/>
    <cellStyle name="계산 38 2" xfId="2492"/>
    <cellStyle name="계산 39" xfId="2493"/>
    <cellStyle name="계산 39 2" xfId="2494"/>
    <cellStyle name="계산 39 3" xfId="2495"/>
    <cellStyle name="계산 4" xfId="2496"/>
    <cellStyle name="計算 4" xfId="2497"/>
    <cellStyle name="계산 4 10" xfId="2498"/>
    <cellStyle name="계산 4 11" xfId="2499"/>
    <cellStyle name="계산 4 12" xfId="2500"/>
    <cellStyle name="계산 4 13" xfId="2501"/>
    <cellStyle name="계산 4 14" xfId="2502"/>
    <cellStyle name="계산 4 15" xfId="2503"/>
    <cellStyle name="계산 4 16" xfId="2504"/>
    <cellStyle name="계산 4 17" xfId="2505"/>
    <cellStyle name="계산 4 18" xfId="2506"/>
    <cellStyle name="계산 4 19" xfId="2507"/>
    <cellStyle name="계산 4 2" xfId="2508"/>
    <cellStyle name="計算 4 2" xfId="2509"/>
    <cellStyle name="계산 4 2 10" xfId="2510"/>
    <cellStyle name="計算 4 2 10" xfId="5797"/>
    <cellStyle name="計算 4 2 11" xfId="5648"/>
    <cellStyle name="計算 4 2 12" xfId="5664"/>
    <cellStyle name="計算 4 2 13" xfId="6816"/>
    <cellStyle name="計算 4 2 14" xfId="6887"/>
    <cellStyle name="計算 4 2 15" xfId="6925"/>
    <cellStyle name="計算 4 2 16" xfId="5229"/>
    <cellStyle name="計算 4 2 17" xfId="5907"/>
    <cellStyle name="계산 4 2 2" xfId="2511"/>
    <cellStyle name="計算 4 2 2" xfId="2512"/>
    <cellStyle name="계산 4 2 3" xfId="2513"/>
    <cellStyle name="計算 4 2 3" xfId="2514"/>
    <cellStyle name="계산 4 2 4" xfId="2515"/>
    <cellStyle name="計算 4 2 4" xfId="6380"/>
    <cellStyle name="계산 4 2 5" xfId="2516"/>
    <cellStyle name="計算 4 2 5" xfId="5786"/>
    <cellStyle name="계산 4 2 6" xfId="2517"/>
    <cellStyle name="計算 4 2 6" xfId="5870"/>
    <cellStyle name="계산 4 2 7" xfId="2518"/>
    <cellStyle name="計算 4 2 7" xfId="5757"/>
    <cellStyle name="계산 4 2 8" xfId="2519"/>
    <cellStyle name="計算 4 2 8" xfId="5914"/>
    <cellStyle name="계산 4 2 9" xfId="2520"/>
    <cellStyle name="計算 4 2 9" xfId="5675"/>
    <cellStyle name="計算 4 2_Table_KOR" xfId="2521"/>
    <cellStyle name="계산 4 20" xfId="2522"/>
    <cellStyle name="계산 4 21" xfId="2523"/>
    <cellStyle name="계산 4 22" xfId="2524"/>
    <cellStyle name="계산 4 23" xfId="2525"/>
    <cellStyle name="계산 4 24" xfId="2526"/>
    <cellStyle name="계산 4 25" xfId="2527"/>
    <cellStyle name="계산 4 26" xfId="2528"/>
    <cellStyle name="계산 4 27" xfId="2529"/>
    <cellStyle name="계산 4 28" xfId="2530"/>
    <cellStyle name="계산 4 29" xfId="2531"/>
    <cellStyle name="계산 4 3" xfId="2532"/>
    <cellStyle name="계산 4 3 2" xfId="2533"/>
    <cellStyle name="계산 4 30" xfId="2534"/>
    <cellStyle name="계산 4 31" xfId="2535"/>
    <cellStyle name="계산 4 32" xfId="2536"/>
    <cellStyle name="계산 4 33" xfId="2537"/>
    <cellStyle name="계산 4 34" xfId="2538"/>
    <cellStyle name="계산 4 35" xfId="2539"/>
    <cellStyle name="계산 4 36" xfId="2540"/>
    <cellStyle name="계산 4 37" xfId="2541"/>
    <cellStyle name="계산 4 38" xfId="2542"/>
    <cellStyle name="계산 4 39" xfId="2543"/>
    <cellStyle name="계산 4 4" xfId="2544"/>
    <cellStyle name="계산 4 40" xfId="2545"/>
    <cellStyle name="계산 4 41" xfId="2546"/>
    <cellStyle name="계산 4 42" xfId="2547"/>
    <cellStyle name="계산 4 43" xfId="2548"/>
    <cellStyle name="계산 4 44" xfId="2549"/>
    <cellStyle name="계산 4 45" xfId="6379"/>
    <cellStyle name="계산 4 46" xfId="5782"/>
    <cellStyle name="계산 4 47" xfId="6926"/>
    <cellStyle name="계산 4 48" xfId="5228"/>
    <cellStyle name="계산 4 49" xfId="5232"/>
    <cellStyle name="계산 4 5" xfId="2550"/>
    <cellStyle name="계산 4 50" xfId="7788"/>
    <cellStyle name="계산 4 51" xfId="6946"/>
    <cellStyle name="계산 4 6" xfId="2551"/>
    <cellStyle name="계산 4 7" xfId="2552"/>
    <cellStyle name="계산 4 8" xfId="2553"/>
    <cellStyle name="계산 4 9" xfId="2554"/>
    <cellStyle name="계산 40" xfId="2555"/>
    <cellStyle name="계산 40 2" xfId="2556"/>
    <cellStyle name="계산 41" xfId="2557"/>
    <cellStyle name="계산 41 2" xfId="2558"/>
    <cellStyle name="계산 42" xfId="2559"/>
    <cellStyle name="계산 43" xfId="2560"/>
    <cellStyle name="계산 44" xfId="2561"/>
    <cellStyle name="계산 45" xfId="2562"/>
    <cellStyle name="계산 46" xfId="2563"/>
    <cellStyle name="계산 47" xfId="2564"/>
    <cellStyle name="계산 48" xfId="2565"/>
    <cellStyle name="계산 49" xfId="2566"/>
    <cellStyle name="계산 5" xfId="2567"/>
    <cellStyle name="計算 5" xfId="2568"/>
    <cellStyle name="계산 5 10" xfId="2569"/>
    <cellStyle name="계산 5 11" xfId="2570"/>
    <cellStyle name="계산 5 12" xfId="2571"/>
    <cellStyle name="계산 5 13" xfId="2572"/>
    <cellStyle name="계산 5 14" xfId="2573"/>
    <cellStyle name="계산 5 15" xfId="2574"/>
    <cellStyle name="계산 5 16" xfId="2575"/>
    <cellStyle name="계산 5 17" xfId="2576"/>
    <cellStyle name="계산 5 18" xfId="2577"/>
    <cellStyle name="계산 5 19" xfId="2578"/>
    <cellStyle name="계산 5 2" xfId="2579"/>
    <cellStyle name="計算 5 2" xfId="2580"/>
    <cellStyle name="計算 5 2 10" xfId="5796"/>
    <cellStyle name="計算 5 2 11" xfId="5231"/>
    <cellStyle name="계산 5 2 2" xfId="2581"/>
    <cellStyle name="計算 5 2 2" xfId="2582"/>
    <cellStyle name="계산 5 2 3" xfId="2583"/>
    <cellStyle name="計算 5 2 3" xfId="2584"/>
    <cellStyle name="계산 5 2 4" xfId="2585"/>
    <cellStyle name="計算 5 2 4" xfId="6381"/>
    <cellStyle name="계산 5 2 5" xfId="2586"/>
    <cellStyle name="計算 5 2 5" xfId="5794"/>
    <cellStyle name="계산 5 2 6" xfId="2587"/>
    <cellStyle name="計算 5 2 6" xfId="5701"/>
    <cellStyle name="계산 5 2 7" xfId="2588"/>
    <cellStyle name="計算 5 2 7" xfId="5758"/>
    <cellStyle name="계산 5 2 8" xfId="2589"/>
    <cellStyle name="計算 5 2 8" xfId="5913"/>
    <cellStyle name="計算 5 2 9" xfId="5676"/>
    <cellStyle name="計算 5 2_Table_KOR" xfId="2590"/>
    <cellStyle name="계산 5 20" xfId="2591"/>
    <cellStyle name="계산 5 21" xfId="2592"/>
    <cellStyle name="계산 5 22" xfId="2593"/>
    <cellStyle name="계산 5 23" xfId="2594"/>
    <cellStyle name="계산 5 24" xfId="2595"/>
    <cellStyle name="계산 5 25" xfId="2596"/>
    <cellStyle name="계산 5 26" xfId="2597"/>
    <cellStyle name="계산 5 27" xfId="2598"/>
    <cellStyle name="계산 5 28" xfId="2599"/>
    <cellStyle name="계산 5 29" xfId="2600"/>
    <cellStyle name="계산 5 3" xfId="2601"/>
    <cellStyle name="계산 5 30" xfId="2602"/>
    <cellStyle name="계산 5 31" xfId="2603"/>
    <cellStyle name="계산 5 32" xfId="2604"/>
    <cellStyle name="계산 5 33" xfId="2605"/>
    <cellStyle name="계산 5 34" xfId="2606"/>
    <cellStyle name="계산 5 4" xfId="2607"/>
    <cellStyle name="계산 5 5" xfId="2608"/>
    <cellStyle name="계산 5 6" xfId="2609"/>
    <cellStyle name="계산 5 7" xfId="2610"/>
    <cellStyle name="계산 5 8" xfId="2611"/>
    <cellStyle name="계산 5 9" xfId="2612"/>
    <cellStyle name="계산 50" xfId="2613"/>
    <cellStyle name="계산 51" xfId="2614"/>
    <cellStyle name="계산 52" xfId="2615"/>
    <cellStyle name="계산 53" xfId="2616"/>
    <cellStyle name="계산 54" xfId="2617"/>
    <cellStyle name="계산 55" xfId="2618"/>
    <cellStyle name="계산 56" xfId="2619"/>
    <cellStyle name="계산 57" xfId="2620"/>
    <cellStyle name="계산 58" xfId="2621"/>
    <cellStyle name="계산 59" xfId="2622"/>
    <cellStyle name="계산 6" xfId="2623"/>
    <cellStyle name="計算 6" xfId="2624"/>
    <cellStyle name="계산 6 10" xfId="2625"/>
    <cellStyle name="계산 6 11" xfId="2626"/>
    <cellStyle name="계산 6 12" xfId="2627"/>
    <cellStyle name="계산 6 13" xfId="2628"/>
    <cellStyle name="계산 6 14" xfId="2629"/>
    <cellStyle name="계산 6 15" xfId="2630"/>
    <cellStyle name="계산 6 16" xfId="2631"/>
    <cellStyle name="계산 6 17" xfId="2632"/>
    <cellStyle name="계산 6 18" xfId="2633"/>
    <cellStyle name="계산 6 19" xfId="2634"/>
    <cellStyle name="계산 6 2" xfId="2635"/>
    <cellStyle name="計算 6 2" xfId="2636"/>
    <cellStyle name="계산 6 2 2" xfId="2637"/>
    <cellStyle name="계산 6 20" xfId="2638"/>
    <cellStyle name="계산 6 21" xfId="2639"/>
    <cellStyle name="계산 6 22" xfId="2640"/>
    <cellStyle name="계산 6 23" xfId="2641"/>
    <cellStyle name="계산 6 24" xfId="2642"/>
    <cellStyle name="계산 6 25" xfId="2643"/>
    <cellStyle name="계산 6 26" xfId="2644"/>
    <cellStyle name="계산 6 27" xfId="2645"/>
    <cellStyle name="계산 6 28" xfId="2646"/>
    <cellStyle name="계산 6 29" xfId="2647"/>
    <cellStyle name="계산 6 3" xfId="2648"/>
    <cellStyle name="계산 6 30" xfId="2649"/>
    <cellStyle name="계산 6 31" xfId="2650"/>
    <cellStyle name="계산 6 32" xfId="2651"/>
    <cellStyle name="계산 6 33" xfId="2652"/>
    <cellStyle name="계산 6 4" xfId="2653"/>
    <cellStyle name="계산 6 5" xfId="2654"/>
    <cellStyle name="계산 6 6" xfId="2655"/>
    <cellStyle name="계산 6 7" xfId="2656"/>
    <cellStyle name="계산 6 8" xfId="2657"/>
    <cellStyle name="계산 6 9" xfId="2658"/>
    <cellStyle name="계산 60" xfId="2659"/>
    <cellStyle name="계산 61" xfId="2660"/>
    <cellStyle name="계산 62" xfId="2661"/>
    <cellStyle name="계산 62 2" xfId="7026"/>
    <cellStyle name="계산 62 3" xfId="7145"/>
    <cellStyle name="계산 63" xfId="2662"/>
    <cellStyle name="계산 63 2" xfId="7027"/>
    <cellStyle name="계산 63 3" xfId="7146"/>
    <cellStyle name="계산 64" xfId="2663"/>
    <cellStyle name="계산 64 2" xfId="7028"/>
    <cellStyle name="계산 64 3" xfId="7147"/>
    <cellStyle name="계산 65" xfId="2664"/>
    <cellStyle name="계산 65 2" xfId="7029"/>
    <cellStyle name="계산 65 3" xfId="7148"/>
    <cellStyle name="계산 66" xfId="2665"/>
    <cellStyle name="계산 66 2" xfId="7030"/>
    <cellStyle name="계산 66 3" xfId="7149"/>
    <cellStyle name="계산 67" xfId="2666"/>
    <cellStyle name="계산 67 2" xfId="7031"/>
    <cellStyle name="계산 67 3" xfId="7150"/>
    <cellStyle name="계산 68" xfId="2667"/>
    <cellStyle name="계산 68 2" xfId="7032"/>
    <cellStyle name="계산 68 3" xfId="7151"/>
    <cellStyle name="계산 69" xfId="2668"/>
    <cellStyle name="계산 69 2" xfId="7033"/>
    <cellStyle name="계산 69 3" xfId="7152"/>
    <cellStyle name="계산 7" xfId="2669"/>
    <cellStyle name="計算 7" xfId="2670"/>
    <cellStyle name="계산 7 10" xfId="2671"/>
    <cellStyle name="계산 7 11" xfId="2672"/>
    <cellStyle name="계산 7 12" xfId="2673"/>
    <cellStyle name="계산 7 13" xfId="2674"/>
    <cellStyle name="계산 7 14" xfId="2675"/>
    <cellStyle name="계산 7 15" xfId="2676"/>
    <cellStyle name="계산 7 16" xfId="2677"/>
    <cellStyle name="계산 7 17" xfId="2678"/>
    <cellStyle name="계산 7 18" xfId="2679"/>
    <cellStyle name="계산 7 19" xfId="2680"/>
    <cellStyle name="계산 7 2" xfId="2681"/>
    <cellStyle name="計算 7 2" xfId="2682"/>
    <cellStyle name="계산 7 2 2" xfId="2683"/>
    <cellStyle name="계산 7 20" xfId="2684"/>
    <cellStyle name="계산 7 21" xfId="2685"/>
    <cellStyle name="계산 7 22" xfId="2686"/>
    <cellStyle name="계산 7 23" xfId="2687"/>
    <cellStyle name="계산 7 24" xfId="2688"/>
    <cellStyle name="계산 7 25" xfId="2689"/>
    <cellStyle name="계산 7 26" xfId="2690"/>
    <cellStyle name="계산 7 27" xfId="2691"/>
    <cellStyle name="계산 7 28" xfId="2692"/>
    <cellStyle name="계산 7 29" xfId="2693"/>
    <cellStyle name="계산 7 3" xfId="2694"/>
    <cellStyle name="계산 7 30" xfId="2695"/>
    <cellStyle name="계산 7 31" xfId="2696"/>
    <cellStyle name="계산 7 32" xfId="2697"/>
    <cellStyle name="계산 7 4" xfId="2698"/>
    <cellStyle name="계산 7 5" xfId="2699"/>
    <cellStyle name="계산 7 6" xfId="2700"/>
    <cellStyle name="계산 7 7" xfId="2701"/>
    <cellStyle name="계산 7 8" xfId="2702"/>
    <cellStyle name="계산 7 9" xfId="2703"/>
    <cellStyle name="계산 70" xfId="2704"/>
    <cellStyle name="계산 70 2" xfId="7034"/>
    <cellStyle name="계산 70 3" xfId="7153"/>
    <cellStyle name="계산 71" xfId="2705"/>
    <cellStyle name="계산 71 2" xfId="7035"/>
    <cellStyle name="계산 71 3" xfId="7154"/>
    <cellStyle name="계산 72" xfId="2706"/>
    <cellStyle name="계산 72 2" xfId="7036"/>
    <cellStyle name="계산 72 3" xfId="7155"/>
    <cellStyle name="계산 73" xfId="2707"/>
    <cellStyle name="계산 73 2" xfId="7037"/>
    <cellStyle name="계산 73 3" xfId="7156"/>
    <cellStyle name="계산 74" xfId="2708"/>
    <cellStyle name="계산 74 2" xfId="7038"/>
    <cellStyle name="계산 74 3" xfId="7157"/>
    <cellStyle name="계산 75" xfId="2709"/>
    <cellStyle name="계산 76" xfId="2710"/>
    <cellStyle name="계산 76 2" xfId="7039"/>
    <cellStyle name="계산 76 3" xfId="7794"/>
    <cellStyle name="계산 77" xfId="2711"/>
    <cellStyle name="계산 78" xfId="2712"/>
    <cellStyle name="계산 79" xfId="5045"/>
    <cellStyle name="계산 8" xfId="2713"/>
    <cellStyle name="計算 8" xfId="2714"/>
    <cellStyle name="計算 8 10" xfId="2715"/>
    <cellStyle name="計算 8 11" xfId="5871"/>
    <cellStyle name="계산 8 2" xfId="2716"/>
    <cellStyle name="計算 8 2" xfId="2717"/>
    <cellStyle name="계산 8 3" xfId="2718"/>
    <cellStyle name="計算 8 3" xfId="2719"/>
    <cellStyle name="계산 8 4" xfId="2720"/>
    <cellStyle name="計算 8 4" xfId="2721"/>
    <cellStyle name="計算 8 5" xfId="2722"/>
    <cellStyle name="計算 8 6" xfId="2723"/>
    <cellStyle name="計算 8 7" xfId="2724"/>
    <cellStyle name="計算 8 8" xfId="2725"/>
    <cellStyle name="計算 8 9" xfId="2726"/>
    <cellStyle name="計算 8_Table_KOR" xfId="2727"/>
    <cellStyle name="계산 80" xfId="5082"/>
    <cellStyle name="계산 81" xfId="5115"/>
    <cellStyle name="계산 82" xfId="5154"/>
    <cellStyle name="계산 83" xfId="5163"/>
    <cellStyle name="계산 84" xfId="5155"/>
    <cellStyle name="계산 85" xfId="5162"/>
    <cellStyle name="계산 86" xfId="5156"/>
    <cellStyle name="계산 87" xfId="5161"/>
    <cellStyle name="계산 88" xfId="5157"/>
    <cellStyle name="계산 89" xfId="5160"/>
    <cellStyle name="계산 9" xfId="2728"/>
    <cellStyle name="計算 9" xfId="2729"/>
    <cellStyle name="計算 9 10" xfId="2730"/>
    <cellStyle name="計算 9 11" xfId="5872"/>
    <cellStyle name="계산 9 2" xfId="2731"/>
    <cellStyle name="計算 9 2" xfId="2732"/>
    <cellStyle name="계산 9 3" xfId="2733"/>
    <cellStyle name="計算 9 3" xfId="2734"/>
    <cellStyle name="계산 9 4" xfId="2735"/>
    <cellStyle name="計算 9 4" xfId="2736"/>
    <cellStyle name="計算 9 5" xfId="2737"/>
    <cellStyle name="計算 9 6" xfId="2738"/>
    <cellStyle name="計算 9 7" xfId="2739"/>
    <cellStyle name="計算 9 8" xfId="2740"/>
    <cellStyle name="計算 9 9" xfId="2741"/>
    <cellStyle name="計算 9_Table_KOR" xfId="2742"/>
    <cellStyle name="계산 90" xfId="5158"/>
    <cellStyle name="계산 91" xfId="5159"/>
    <cellStyle name="계산 92" xfId="6826"/>
    <cellStyle name="계산 93" xfId="6831"/>
    <cellStyle name="계산 94" xfId="6878"/>
    <cellStyle name="계산 95" xfId="6838"/>
    <cellStyle name="계산 96" xfId="6800"/>
    <cellStyle name="계산 97" xfId="7795"/>
    <cellStyle name="계산_01 YW" xfId="2743"/>
    <cellStyle name="計算_01 YW" xfId="2744"/>
    <cellStyle name="계산_02 PN" xfId="2745"/>
    <cellStyle name="計算_02 PN" xfId="2746"/>
    <cellStyle name="계산_03 FN" xfId="2747"/>
    <cellStyle name="計算_03 FN" xfId="2748"/>
    <cellStyle name="계산_04 KF" xfId="2749"/>
    <cellStyle name="計算_04 KF" xfId="2750"/>
    <cellStyle name="계산_05 WL" xfId="2751"/>
    <cellStyle name="計算_05 WL" xfId="2752"/>
    <cellStyle name="계산_06 YE" xfId="2753"/>
    <cellStyle name="計算_06 YE" xfId="2754"/>
    <cellStyle name="계산_07 MN" xfId="2755"/>
    <cellStyle name="計算_07 MN" xfId="2756"/>
    <cellStyle name="계산_090728 수정 MOB" xfId="2757"/>
    <cellStyle name="計算_090728 수정 MOB" xfId="2758"/>
    <cellStyle name="계산_1차 NETPY 아이템 리스트" xfId="2759"/>
    <cellStyle name="計算_34 CC" xfId="2760"/>
    <cellStyle name="계산_Animation" xfId="2761"/>
    <cellStyle name="計算_CAR" xfId="2762"/>
    <cellStyle name="계산_ChapChap_water" xfId="2763"/>
    <cellStyle name="計算_Contents &amp; Quest Ballance" xfId="2764"/>
    <cellStyle name="계산_Costume Item" xfId="2765"/>
    <cellStyle name="計算_DB Reward Table" xfId="2766"/>
    <cellStyle name="계산_DB_Reward" xfId="2767"/>
    <cellStyle name="計算_DB_Reward" xfId="2768"/>
    <cellStyle name="계산_DBO_Tip" xfId="2769"/>
    <cellStyle name="計算_GMT" xfId="2770"/>
    <cellStyle name="계산_I.Vehicle" xfId="2771"/>
    <cellStyle name="計算_I.Vehicle" xfId="2772"/>
    <cellStyle name="계산_II. UI" xfId="2773"/>
    <cellStyle name="計算_Item" xfId="2774"/>
    <cellStyle name="계산_Item_name" xfId="2775"/>
    <cellStyle name="計算_Item_Recipe" xfId="2776"/>
    <cellStyle name="계산_Landmark_Table(기획)" xfId="2777"/>
    <cellStyle name="計算_Landmark_Table(기획)" xfId="2778"/>
    <cellStyle name="계산_Map" xfId="2779"/>
    <cellStyle name="計算_Map" xfId="2780"/>
    <cellStyle name="계산_MAP Object Common" xfId="2781"/>
    <cellStyle name="計算_MAP_Object_Trigger_List" xfId="2782"/>
    <cellStyle name="계산_MAP_Spawn_DragonCave" xfId="2783"/>
    <cellStyle name="計算_MAP_Spawn_DragonCave" xfId="2784"/>
    <cellStyle name="계산_Merchant" xfId="2785"/>
    <cellStyle name="計算_Mob" xfId="2786"/>
    <cellStyle name="계산_MOB " xfId="2787"/>
    <cellStyle name="計算_MOB " xfId="2788"/>
    <cellStyle name="계산_MOB &amp; NPC" xfId="2789"/>
    <cellStyle name="計算_mob 리스트" xfId="2790"/>
    <cellStyle name="계산_Mob_1" xfId="2791"/>
    <cellStyle name="計算_MOB_1" xfId="2792"/>
    <cellStyle name="계산_MOB_Contents &amp; Quest Ballance" xfId="2793"/>
    <cellStyle name="計算_MOB_List" xfId="2794"/>
    <cellStyle name="계산_Mob_MOB_List" xfId="2795"/>
    <cellStyle name="計算_MOB_Skill_Data" xfId="2796"/>
    <cellStyle name="계산_MOB_Table_Data_KOR" xfId="2797"/>
    <cellStyle name="計算_MSV" xfId="2798"/>
    <cellStyle name="계산_name" xfId="2799"/>
    <cellStyle name="計算_name" xfId="2800"/>
    <cellStyle name="계산_NetCapsuleKit" xfId="2801"/>
    <cellStyle name="計算_New" xfId="2802"/>
    <cellStyle name="계산_NPC" xfId="2803"/>
    <cellStyle name="計算_NPC" xfId="2804"/>
    <cellStyle name="계산_NPC_1" xfId="2805"/>
    <cellStyle name="計算_NPC_Dialog_Text" xfId="2806"/>
    <cellStyle name="계산_NPC_Landmark_Table(기획)" xfId="2807"/>
    <cellStyle name="計算_NPC_List" xfId="2808"/>
    <cellStyle name="계산_NPC_Map" xfId="2809"/>
    <cellStyle name="計算_Object" xfId="2810"/>
    <cellStyle name="계산_Object " xfId="2811"/>
    <cellStyle name="計算_Object " xfId="2812"/>
    <cellStyle name="계산_Object_Spawn_Data" xfId="2813"/>
    <cellStyle name="計算_Only Table" xfId="2814"/>
    <cellStyle name="계산_Package" xfId="2815"/>
    <cellStyle name="計算_PC" xfId="2816"/>
    <cellStyle name="계산_PC_Standard_Value" xfId="2817"/>
    <cellStyle name="計算_PC_Standard_Value" xfId="2818"/>
    <cellStyle name="계산_PSV" xfId="2819"/>
    <cellStyle name="計算_PSV" xfId="2820"/>
    <cellStyle name="계산_Quest" xfId="2821"/>
    <cellStyle name="計算_Quest" xfId="2822"/>
    <cellStyle name="계산_Quest Item" xfId="2823"/>
    <cellStyle name="計算_Quest Item" xfId="2824"/>
    <cellStyle name="계산_Quest Trigger Item" xfId="2825"/>
    <cellStyle name="計算_QuestReward" xfId="2826"/>
    <cellStyle name="계산_Reward" xfId="2827"/>
    <cellStyle name="計算_Reward" xfId="2828"/>
    <cellStyle name="계산_RV Capsule" xfId="2829"/>
    <cellStyle name="計算_Sheet1" xfId="2830"/>
    <cellStyle name="계산_Sheet1 (2)" xfId="2831"/>
    <cellStyle name="計算_Sheet1 (2)" xfId="2832"/>
    <cellStyle name="계산_Sheet1 (8)" xfId="2833"/>
    <cellStyle name="計算_Sheet1_01 YW" xfId="2834"/>
    <cellStyle name="계산_Sheet1_02 PN" xfId="2835"/>
    <cellStyle name="計算_Sheet1_02 PN" xfId="2836"/>
    <cellStyle name="계산_Sheet1_03 FN" xfId="2837"/>
    <cellStyle name="計算_Sheet1_03 FN" xfId="2838"/>
    <cellStyle name="계산_Sheet1_04 KF" xfId="2839"/>
    <cellStyle name="計算_Sheet1_04 KF" xfId="2840"/>
    <cellStyle name="계산_Sheet1_05 WL" xfId="2841"/>
    <cellStyle name="計算_Sheet1_05 WL" xfId="2842"/>
    <cellStyle name="계산_Sheet1_06 YE" xfId="2843"/>
    <cellStyle name="計算_Sheet1_06 YE" xfId="2844"/>
    <cellStyle name="계산_Sheet1_07 MN" xfId="2845"/>
    <cellStyle name="計算_Sheet1_07 MN" xfId="2846"/>
    <cellStyle name="계산_Sheet1_1" xfId="2847"/>
    <cellStyle name="計算_Sheet1_1" xfId="2848"/>
    <cellStyle name="계산_Sheet1_34 CC" xfId="2849"/>
    <cellStyle name="計算_Sheet1_34 CC" xfId="2850"/>
    <cellStyle name="계산_Sheet1_armor item" xfId="2851"/>
    <cellStyle name="計算_Sheet1_MilePost" xfId="2852"/>
    <cellStyle name="계산_Sheet1_MOB_List" xfId="2853"/>
    <cellStyle name="計算_Sheet1_M-R" xfId="2854"/>
    <cellStyle name="계산_Sheet1_NPC" xfId="2855"/>
    <cellStyle name="計算_Sheet1_NPC_List" xfId="2856"/>
    <cellStyle name="계산_Sheet1_Quest_Item" xfId="2857"/>
    <cellStyle name="計算_Sheet1_Quest_Item" xfId="2858"/>
    <cellStyle name="계산_Sheet1_Reward" xfId="2859"/>
    <cellStyle name="計算_Sheet1_Reward" xfId="2860"/>
    <cellStyle name="계산_Sheet1_Sheet1 (2)" xfId="2861"/>
    <cellStyle name="計算_Sheet1_Sheet1 (2)" xfId="2862"/>
    <cellStyle name="계산_Sheet1_Sheet2" xfId="2863"/>
    <cellStyle name="計算_Sheet1_Sheet2" xfId="2864"/>
    <cellStyle name="계산_Sheet1_Sheet4" xfId="2865"/>
    <cellStyle name="計算_Sheet1_Sheet4" xfId="2866"/>
    <cellStyle name="계산_Sheet1_Sheet5 (3)" xfId="2867"/>
    <cellStyle name="計算_Sheet1_table" xfId="2868"/>
    <cellStyle name="계산_Sheet1_Table_Data_KOR" xfId="2869"/>
    <cellStyle name="計算_Sheet1_Table_Data_KOR" xfId="2870"/>
    <cellStyle name="계산_Sheet1_Table_Data_KOR_1" xfId="2871"/>
    <cellStyle name="計算_Sheet1_Test" xfId="2872"/>
    <cellStyle name="계산_Sheet1_textall" xfId="2873"/>
    <cellStyle name="計算_Sheet1_W-L" xfId="2874"/>
    <cellStyle name="계산_Sheet1_몬스터" xfId="2875"/>
    <cellStyle name="計算_Sheet1_주요 좌표" xfId="2876"/>
    <cellStyle name="계산_Sheet2" xfId="2877"/>
    <cellStyle name="計算_Sheet2" xfId="2878"/>
    <cellStyle name="계산_Sheet2_1" xfId="2879"/>
    <cellStyle name="計算_Sheet3" xfId="2880"/>
    <cellStyle name="계산_Sheet4" xfId="2881"/>
    <cellStyle name="計算_Sheet4" xfId="2882"/>
    <cellStyle name="계산_Sheet4_1" xfId="2883"/>
    <cellStyle name="計算_Sheet4_1" xfId="2884"/>
    <cellStyle name="계산_Sheet5" xfId="2885"/>
    <cellStyle name="計算_Sheet5" xfId="2886"/>
    <cellStyle name="계산_Sheet5 (3)" xfId="2887"/>
    <cellStyle name="計算_Sheet5 (3)" xfId="2888"/>
    <cellStyle name="계산_Sheet7" xfId="2889"/>
    <cellStyle name="計算_Sheet7" xfId="2890"/>
    <cellStyle name="계산_Sheet9" xfId="2891"/>
    <cellStyle name="計算_Sheet9" xfId="2892"/>
    <cellStyle name="계산_Skill" xfId="2893"/>
    <cellStyle name="計算_Skill" xfId="2894"/>
    <cellStyle name="계산_SkillEffect" xfId="2895"/>
    <cellStyle name="計算_SkillEffect" xfId="2896"/>
    <cellStyle name="계산_sound table" xfId="2897"/>
    <cellStyle name="計算_sound table" xfId="2898"/>
    <cellStyle name="계산_Table" xfId="2899"/>
    <cellStyle name="計算_table" xfId="2900"/>
    <cellStyle name="계산_Table_Data_KOR" xfId="2901"/>
    <cellStyle name="計算_Table_Data_KOR" xfId="2902"/>
    <cellStyle name="계산_Table_Data_KOR_1" xfId="2903"/>
    <cellStyle name="計算_Table_Data_KOR_1" xfId="2904"/>
    <cellStyle name="계산_Table_Data_KOR_1_1st Item List" xfId="2905"/>
    <cellStyle name="計算_Table_Item_Option_data" xfId="2906"/>
    <cellStyle name="계산_Table_MOB_Data" xfId="2907"/>
    <cellStyle name="計算_Table_MOB_Data" xfId="2908"/>
    <cellStyle name="계산_Table_World_Data" xfId="2909"/>
    <cellStyle name="計算_Table_World_Data" xfId="2910"/>
    <cellStyle name="계산_TblidxRule" xfId="2911"/>
    <cellStyle name="計算_TFT List" xfId="2912"/>
    <cellStyle name="계산_Use_Item" xfId="2913"/>
    <cellStyle name="計算_Vehicle" xfId="2914"/>
    <cellStyle name="계산_Vehicle&amp;Fuel" xfId="2915"/>
    <cellStyle name="計算_Vehicle&amp;Fuel" xfId="2916"/>
    <cellStyle name="계산_Vehicle&amp;Fuel_CJI" xfId="2917"/>
    <cellStyle name="計算_Vehicle&amp;Fuel_CJI" xfId="2918"/>
    <cellStyle name="계산_Vehicle&amp;Fuel_CJI_1" xfId="2919"/>
    <cellStyle name="나쁨" xfId="2920"/>
    <cellStyle name="나쁨 2" xfId="2921"/>
    <cellStyle name="나쁨 2 2" xfId="2922"/>
    <cellStyle name="나쁨 2 3" xfId="2923"/>
    <cellStyle name="나쁨 3" xfId="2924"/>
    <cellStyle name="나쁨 3 2" xfId="2925"/>
    <cellStyle name="나쁨 3 3" xfId="2926"/>
    <cellStyle name="나쁨 4" xfId="2927"/>
    <cellStyle name="나쁨 4 2" xfId="2928"/>
    <cellStyle name="나쁨 4 3" xfId="2929"/>
    <cellStyle name="나쁨 4 4" xfId="5873"/>
    <cellStyle name="나쁨 5" xfId="2930"/>
    <cellStyle name="나쁨 6" xfId="2931"/>
    <cellStyle name="나쁨 7" xfId="5046"/>
    <cellStyle name="나쁨 8" xfId="5116"/>
    <cellStyle name="나쁨_1차 NETPY 아이템 리스트" xfId="2932"/>
    <cellStyle name="良い" xfId="2933"/>
    <cellStyle name="良い 2" xfId="2934"/>
    <cellStyle name="良い 2 2" xfId="2935"/>
    <cellStyle name="良い 2_Table_KOR" xfId="2936"/>
    <cellStyle name="良い 3" xfId="2937"/>
    <cellStyle name="良い 3 2" xfId="2938"/>
    <cellStyle name="良い 3_Table_KOR" xfId="2939"/>
    <cellStyle name="메모" xfId="2940"/>
    <cellStyle name="메모 10" xfId="2941"/>
    <cellStyle name="메모 10 2" xfId="5048"/>
    <cellStyle name="메모 10 3" xfId="7047"/>
    <cellStyle name="메모 10 4" xfId="7175"/>
    <cellStyle name="메모 11" xfId="5047"/>
    <cellStyle name="메모 12" xfId="5117"/>
    <cellStyle name="메모 2" xfId="2942"/>
    <cellStyle name="메모 2 2" xfId="2943"/>
    <cellStyle name="메모 2 2 2" xfId="2944"/>
    <cellStyle name="메모 2 2 3" xfId="2945"/>
    <cellStyle name="메모 2 2 4" xfId="2946"/>
    <cellStyle name="메모 2 3" xfId="2947"/>
    <cellStyle name="메모 2 3 2" xfId="2948"/>
    <cellStyle name="메모 2 3 3" xfId="2949"/>
    <cellStyle name="메모 2 3 4" xfId="2950"/>
    <cellStyle name="메모 2 4" xfId="2951"/>
    <cellStyle name="메모 2 5" xfId="2952"/>
    <cellStyle name="메모 2 6" xfId="2953"/>
    <cellStyle name="메모 2_ITEM" xfId="2954"/>
    <cellStyle name="메모 3" xfId="2955"/>
    <cellStyle name="메모 3 2" xfId="2956"/>
    <cellStyle name="메모 3 2 2" xfId="2957"/>
    <cellStyle name="메모 3 2 3" xfId="2958"/>
    <cellStyle name="메모 3 2 4" xfId="2959"/>
    <cellStyle name="메모 3 3" xfId="2960"/>
    <cellStyle name="메모 3 3 2" xfId="2961"/>
    <cellStyle name="메모 3 3 3" xfId="2962"/>
    <cellStyle name="메모 3 3 4" xfId="2963"/>
    <cellStyle name="메모 3 4" xfId="2964"/>
    <cellStyle name="메모 3 5" xfId="2965"/>
    <cellStyle name="메모 3 6" xfId="2966"/>
    <cellStyle name="메모 3_ITEM" xfId="2967"/>
    <cellStyle name="메모 4" xfId="2968"/>
    <cellStyle name="메모 5" xfId="2969"/>
    <cellStyle name="메모 6" xfId="2970"/>
    <cellStyle name="메모 7" xfId="2971"/>
    <cellStyle name="메모 8" xfId="2972"/>
    <cellStyle name="메모 8 2" xfId="5049"/>
    <cellStyle name="메모 8 3" xfId="7050"/>
    <cellStyle name="메모 8 4" xfId="7205"/>
    <cellStyle name="메모 9" xfId="2973"/>
    <cellStyle name="메모 9 2" xfId="5050"/>
    <cellStyle name="메모 9 3" xfId="7051"/>
    <cellStyle name="메모 9 4" xfId="7206"/>
    <cellStyle name="백분율 2" xfId="2974"/>
    <cellStyle name="백분율 2 2" xfId="2975"/>
    <cellStyle name="백분율 2 2 2" xfId="2976"/>
    <cellStyle name="백분율 2 3" xfId="2977"/>
    <cellStyle name="백분율 2 4" xfId="2978"/>
    <cellStyle name="백분율 3" xfId="2979"/>
    <cellStyle name="백분율 4" xfId="2980"/>
    <cellStyle name="백분율 5" xfId="2981"/>
    <cellStyle name="백분율 6" xfId="6944"/>
    <cellStyle name="백분율 7" xfId="6792"/>
    <cellStyle name="보통" xfId="2982"/>
    <cellStyle name="보통 2" xfId="2983"/>
    <cellStyle name="보통 2 2" xfId="2984"/>
    <cellStyle name="보통 2 3" xfId="2985"/>
    <cellStyle name="보통 3" xfId="2986"/>
    <cellStyle name="보통 3 2" xfId="2987"/>
    <cellStyle name="보통 3 3" xfId="2988"/>
    <cellStyle name="보통 4" xfId="2989"/>
    <cellStyle name="보통 4 2" xfId="2990"/>
    <cellStyle name="보통 4 3" xfId="2991"/>
    <cellStyle name="보통 4 4" xfId="5881"/>
    <cellStyle name="보통 5" xfId="2992"/>
    <cellStyle name="보통 6" xfId="2993"/>
    <cellStyle name="보통 7" xfId="5051"/>
    <cellStyle name="보통 8" xfId="5118"/>
    <cellStyle name="보통_1차 NETPY 아이템 리스트" xfId="2994"/>
    <cellStyle name="설명 텍스트" xfId="2995"/>
    <cellStyle name="설명 텍스트 2" xfId="2996"/>
    <cellStyle name="설명 텍스트 2 2" xfId="2997"/>
    <cellStyle name="설명 텍스트 2 3" xfId="2998"/>
    <cellStyle name="설명 텍스트 3" xfId="2999"/>
    <cellStyle name="설명 텍스트 3 2" xfId="3000"/>
    <cellStyle name="설명 텍스트 3 3" xfId="3001"/>
    <cellStyle name="설명 텍스트 4" xfId="3002"/>
    <cellStyle name="설명 텍스트 4 2" xfId="3003"/>
    <cellStyle name="설명 텍스트 4 3" xfId="3004"/>
    <cellStyle name="설명 텍스트 4 4" xfId="5882"/>
    <cellStyle name="설명 텍스트 5" xfId="3005"/>
    <cellStyle name="설명 텍스트 6" xfId="3006"/>
    <cellStyle name="설명 텍스트 7" xfId="5052"/>
    <cellStyle name="설명 텍스트 8" xfId="5119"/>
    <cellStyle name="설명 텍스트_1차 NETPY 아이템 리스트" xfId="3007"/>
    <cellStyle name="説明文" xfId="3008"/>
    <cellStyle name="説明文 2" xfId="3009"/>
    <cellStyle name="説明文 2 2" xfId="3010"/>
    <cellStyle name="説明文 2_Table_KOR" xfId="3011"/>
    <cellStyle name="説明文 3" xfId="3012"/>
    <cellStyle name="説明文 3 2" xfId="3013"/>
    <cellStyle name="説明文 3_Table_KOR" xfId="3014"/>
    <cellStyle name="셀 확인" xfId="3015"/>
    <cellStyle name="셀 확인 10" xfId="3016"/>
    <cellStyle name="셀 확인 11" xfId="3017"/>
    <cellStyle name="셀 확인 12" xfId="5053"/>
    <cellStyle name="셀 확인 13" xfId="5120"/>
    <cellStyle name="셀 확인 2" xfId="3018"/>
    <cellStyle name="셀 확인 2 2" xfId="3019"/>
    <cellStyle name="셀 확인 2 3" xfId="3020"/>
    <cellStyle name="셀 확인 2_ITEM" xfId="3021"/>
    <cellStyle name="셀 확인 3" xfId="3022"/>
    <cellStyle name="셀 확인 3 2" xfId="3023"/>
    <cellStyle name="셀 확인 3 3" xfId="3024"/>
    <cellStyle name="셀 확인 3_ITEM" xfId="3025"/>
    <cellStyle name="셀 확인 4" xfId="3026"/>
    <cellStyle name="셀 확인 4 2" xfId="3027"/>
    <cellStyle name="셀 확인 4 3" xfId="3028"/>
    <cellStyle name="셀 확인 4 4" xfId="5883"/>
    <cellStyle name="셀 확인 5" xfId="3029"/>
    <cellStyle name="셀 확인 6" xfId="3030"/>
    <cellStyle name="셀 확인 7" xfId="3031"/>
    <cellStyle name="셀 확인 8" xfId="3032"/>
    <cellStyle name="셀 확인 9" xfId="3033"/>
    <cellStyle name="셀 확인_1차 NETPY 아이템 리스트" xfId="3034"/>
    <cellStyle name="쉼표 [0] 2" xfId="3035"/>
    <cellStyle name="悪い" xfId="3036"/>
    <cellStyle name="悪い 2" xfId="3037"/>
    <cellStyle name="悪い 2 2" xfId="3038"/>
    <cellStyle name="悪い 2_Table_KOR" xfId="3039"/>
    <cellStyle name="悪い 3" xfId="3040"/>
    <cellStyle name="悪い 3 2" xfId="3041"/>
    <cellStyle name="悪い 3_Table_KOR" xfId="3042"/>
    <cellStyle name="연결된 셀" xfId="3043"/>
    <cellStyle name="연결된 셀 10" xfId="3044"/>
    <cellStyle name="연결된 셀 11" xfId="3045"/>
    <cellStyle name="연결된 셀 12" xfId="5054"/>
    <cellStyle name="연결된 셀 13" xfId="5121"/>
    <cellStyle name="연결된 셀 2" xfId="3046"/>
    <cellStyle name="연결된 셀 2 2" xfId="3047"/>
    <cellStyle name="연결된 셀 2 3" xfId="3048"/>
    <cellStyle name="연결된 셀 2_ITEM" xfId="3049"/>
    <cellStyle name="연결된 셀 3" xfId="3050"/>
    <cellStyle name="연결된 셀 3 2" xfId="3051"/>
    <cellStyle name="연결된 셀 3 3" xfId="3052"/>
    <cellStyle name="연결된 셀 3_ITEM" xfId="3053"/>
    <cellStyle name="연결된 셀 4" xfId="3054"/>
    <cellStyle name="연결된 셀 4 2" xfId="3055"/>
    <cellStyle name="연결된 셀 4 3" xfId="3056"/>
    <cellStyle name="연결된 셀 4 4" xfId="5884"/>
    <cellStyle name="연결된 셀 5" xfId="3057"/>
    <cellStyle name="연결된 셀 6" xfId="3058"/>
    <cellStyle name="연결된 셀 7" xfId="3059"/>
    <cellStyle name="연결된 셀 8" xfId="3060"/>
    <cellStyle name="연결된 셀 9" xfId="3061"/>
    <cellStyle name="연결된 셀_1차 NETPY 아이템 리스트" xfId="3062"/>
    <cellStyle name="요약" xfId="3063"/>
    <cellStyle name="요약 10" xfId="3064"/>
    <cellStyle name="요약 11" xfId="3065"/>
    <cellStyle name="요약 12" xfId="3066"/>
    <cellStyle name="요약 13" xfId="3067"/>
    <cellStyle name="요약 13 2" xfId="7061"/>
    <cellStyle name="요약 13 3" xfId="7250"/>
    <cellStyle name="요약 14" xfId="5055"/>
    <cellStyle name="요약 15" xfId="5122"/>
    <cellStyle name="요약 2" xfId="3068"/>
    <cellStyle name="요약 2 2" xfId="3069"/>
    <cellStyle name="요약 2 2 2" xfId="3070"/>
    <cellStyle name="요약 2 2 3" xfId="3071"/>
    <cellStyle name="요약 2 2 4" xfId="3072"/>
    <cellStyle name="요약 2 3" xfId="3073"/>
    <cellStyle name="요약 2 3 2" xfId="3074"/>
    <cellStyle name="요약 2 3 3" xfId="3075"/>
    <cellStyle name="요약 2 3 4" xfId="3076"/>
    <cellStyle name="요약 2 4" xfId="3077"/>
    <cellStyle name="요약 2 5" xfId="3078"/>
    <cellStyle name="요약 2 6" xfId="3079"/>
    <cellStyle name="요약 2_ITEM" xfId="3080"/>
    <cellStyle name="요약 3" xfId="3081"/>
    <cellStyle name="요약 3 2" xfId="3082"/>
    <cellStyle name="요약 3 2 2" xfId="3083"/>
    <cellStyle name="요약 3 2 3" xfId="3084"/>
    <cellStyle name="요약 3 2 4" xfId="3085"/>
    <cellStyle name="요약 3 3" xfId="3086"/>
    <cellStyle name="요약 3 3 2" xfId="3087"/>
    <cellStyle name="요약 3 3 3" xfId="3088"/>
    <cellStyle name="요약 3 3 4" xfId="3089"/>
    <cellStyle name="요약 3 4" xfId="3090"/>
    <cellStyle name="요약 3 5" xfId="3091"/>
    <cellStyle name="요약 3 6" xfId="3092"/>
    <cellStyle name="요약 3_ITEM" xfId="3093"/>
    <cellStyle name="요약 4" xfId="3094"/>
    <cellStyle name="요약 4 2" xfId="3095"/>
    <cellStyle name="요약 4 3" xfId="3096"/>
    <cellStyle name="요약 4 4" xfId="3097"/>
    <cellStyle name="요약 4 5" xfId="5885"/>
    <cellStyle name="요약 4 6" xfId="7062"/>
    <cellStyle name="요약 5" xfId="3098"/>
    <cellStyle name="요약 5 2" xfId="3099"/>
    <cellStyle name="요약 5 3" xfId="3100"/>
    <cellStyle name="요약 6" xfId="3101"/>
    <cellStyle name="요약 6 2" xfId="3102"/>
    <cellStyle name="요약 6 3" xfId="3103"/>
    <cellStyle name="요약 7" xfId="3104"/>
    <cellStyle name="요약 7 2" xfId="3105"/>
    <cellStyle name="요약 7 3" xfId="3106"/>
    <cellStyle name="요약 8" xfId="3107"/>
    <cellStyle name="요약 9" xfId="3108"/>
    <cellStyle name="요약_01 YW" xfId="3109"/>
    <cellStyle name="입력" xfId="3110"/>
    <cellStyle name="入力" xfId="3111"/>
    <cellStyle name="입력 10" xfId="3112"/>
    <cellStyle name="入力 10" xfId="3113"/>
    <cellStyle name="입력 10 2" xfId="3114"/>
    <cellStyle name="入力 10 2" xfId="3115"/>
    <cellStyle name="입력 10 3" xfId="3116"/>
    <cellStyle name="入力 10 3" xfId="7810"/>
    <cellStyle name="入力 10 4" xfId="7064"/>
    <cellStyle name="입력 11" xfId="3117"/>
    <cellStyle name="入力 11" xfId="3118"/>
    <cellStyle name="입력 11 2" xfId="3119"/>
    <cellStyle name="入力 11 2" xfId="3120"/>
    <cellStyle name="입력 11 3" xfId="3121"/>
    <cellStyle name="入力 11 3" xfId="7811"/>
    <cellStyle name="入力 11 4" xfId="7065"/>
    <cellStyle name="입력 12" xfId="3122"/>
    <cellStyle name="入力 12" xfId="3123"/>
    <cellStyle name="입력 12 2" xfId="3124"/>
    <cellStyle name="入力 12 2" xfId="3125"/>
    <cellStyle name="입력 12 3" xfId="3126"/>
    <cellStyle name="入力 12 3" xfId="7812"/>
    <cellStyle name="入力 12 4" xfId="7066"/>
    <cellStyle name="입력 13" xfId="3127"/>
    <cellStyle name="入力 13" xfId="3128"/>
    <cellStyle name="입력 13 2" xfId="3129"/>
    <cellStyle name="入力 13 2" xfId="3130"/>
    <cellStyle name="입력 13 3" xfId="3131"/>
    <cellStyle name="入力 13 3" xfId="7813"/>
    <cellStyle name="入力 13 4" xfId="7067"/>
    <cellStyle name="입력 14" xfId="3132"/>
    <cellStyle name="입력 14 2" xfId="3133"/>
    <cellStyle name="입력 14 3" xfId="3134"/>
    <cellStyle name="입력 15" xfId="3135"/>
    <cellStyle name="입력 15 2" xfId="3136"/>
    <cellStyle name="입력 15 3" xfId="3137"/>
    <cellStyle name="입력 16" xfId="3138"/>
    <cellStyle name="입력 16 2" xfId="3139"/>
    <cellStyle name="입력 16 3" xfId="3140"/>
    <cellStyle name="입력 17" xfId="3141"/>
    <cellStyle name="입력 17 2" xfId="3142"/>
    <cellStyle name="입력 17 3" xfId="3143"/>
    <cellStyle name="입력 18" xfId="3144"/>
    <cellStyle name="입력 18 2" xfId="3145"/>
    <cellStyle name="입력 18 3" xfId="3146"/>
    <cellStyle name="입력 19" xfId="3147"/>
    <cellStyle name="입력 19 2" xfId="3148"/>
    <cellStyle name="입력 19 3" xfId="3149"/>
    <cellStyle name="입력 2" xfId="3150"/>
    <cellStyle name="入力 2" xfId="3151"/>
    <cellStyle name="입력 2 2" xfId="3152"/>
    <cellStyle name="入力 2 2" xfId="3153"/>
    <cellStyle name="入力 2 2 10" xfId="3154"/>
    <cellStyle name="入力 2 2 11" xfId="7297"/>
    <cellStyle name="입력 2 2 2" xfId="3155"/>
    <cellStyle name="入力 2 2 2" xfId="3156"/>
    <cellStyle name="입력 2 2 3" xfId="3157"/>
    <cellStyle name="入力 2 2 3" xfId="3158"/>
    <cellStyle name="입력 2 2 4" xfId="3159"/>
    <cellStyle name="入力 2 2 4" xfId="3160"/>
    <cellStyle name="入力 2 2 5" xfId="3161"/>
    <cellStyle name="入力 2 2 6" xfId="3162"/>
    <cellStyle name="入力 2 2 7" xfId="3163"/>
    <cellStyle name="入力 2 2 8" xfId="3164"/>
    <cellStyle name="入力 2 2 9" xfId="3165"/>
    <cellStyle name="入力 2 2_Table_KOR" xfId="3166"/>
    <cellStyle name="입력 2 3" xfId="3167"/>
    <cellStyle name="入力 2 3" xfId="3168"/>
    <cellStyle name="入力 2 3 10" xfId="3169"/>
    <cellStyle name="入力 2 3 11" xfId="7303"/>
    <cellStyle name="입력 2 3 2" xfId="3170"/>
    <cellStyle name="入力 2 3 2" xfId="3171"/>
    <cellStyle name="입력 2 3 3" xfId="3172"/>
    <cellStyle name="入力 2 3 3" xfId="3173"/>
    <cellStyle name="입력 2 3 4" xfId="3174"/>
    <cellStyle name="入力 2 3 4" xfId="3175"/>
    <cellStyle name="入力 2 3 5" xfId="3176"/>
    <cellStyle name="入力 2 3 6" xfId="3177"/>
    <cellStyle name="入力 2 3 7" xfId="3178"/>
    <cellStyle name="入力 2 3 8" xfId="3179"/>
    <cellStyle name="入力 2 3 9" xfId="3180"/>
    <cellStyle name="入力 2 3_Table_KOR" xfId="3181"/>
    <cellStyle name="입력 2 4" xfId="3182"/>
    <cellStyle name="入力 2 4" xfId="3183"/>
    <cellStyle name="入力 2 4 2" xfId="3184"/>
    <cellStyle name="入力 2 4_Table_KOR" xfId="3185"/>
    <cellStyle name="입력 2 5" xfId="3186"/>
    <cellStyle name="入力 2 5" xfId="3187"/>
    <cellStyle name="入力 2 5 2" xfId="3188"/>
    <cellStyle name="入力 2 5_Table_KOR" xfId="3189"/>
    <cellStyle name="입력 2 6" xfId="3190"/>
    <cellStyle name="入力 2 6" xfId="3191"/>
    <cellStyle name="入力 2 6 2" xfId="3192"/>
    <cellStyle name="입력 2 7" xfId="3193"/>
    <cellStyle name="入力 2 7" xfId="3194"/>
    <cellStyle name="入力 2 7 2" xfId="3195"/>
    <cellStyle name="入力 2 8" xfId="3196"/>
    <cellStyle name="入力 2 8 2" xfId="3197"/>
    <cellStyle name="入力 2 9" xfId="3198"/>
    <cellStyle name="入力 2 9 2" xfId="3199"/>
    <cellStyle name="입력 2_ITEM" xfId="3200"/>
    <cellStyle name="입력 20" xfId="3201"/>
    <cellStyle name="입력 20 2" xfId="3202"/>
    <cellStyle name="입력 20 3" xfId="3203"/>
    <cellStyle name="입력 21" xfId="3204"/>
    <cellStyle name="입력 21 2" xfId="3205"/>
    <cellStyle name="입력 21 3" xfId="3206"/>
    <cellStyle name="입력 22" xfId="3207"/>
    <cellStyle name="입력 22 2" xfId="3208"/>
    <cellStyle name="입력 22 3" xfId="3209"/>
    <cellStyle name="입력 23" xfId="3210"/>
    <cellStyle name="입력 23 2" xfId="3211"/>
    <cellStyle name="입력 23 3" xfId="3212"/>
    <cellStyle name="입력 24" xfId="3213"/>
    <cellStyle name="입력 24 2" xfId="3214"/>
    <cellStyle name="입력 24 3" xfId="3215"/>
    <cellStyle name="입력 25" xfId="3216"/>
    <cellStyle name="입력 25 2" xfId="3217"/>
    <cellStyle name="입력 25 3" xfId="3218"/>
    <cellStyle name="입력 26" xfId="3219"/>
    <cellStyle name="입력 26 2" xfId="3220"/>
    <cellStyle name="입력 26 3" xfId="3221"/>
    <cellStyle name="입력 27" xfId="3222"/>
    <cellStyle name="입력 27 2" xfId="3223"/>
    <cellStyle name="입력 27 3" xfId="3224"/>
    <cellStyle name="입력 28" xfId="3225"/>
    <cellStyle name="입력 28 2" xfId="3226"/>
    <cellStyle name="입력 28 3" xfId="3227"/>
    <cellStyle name="입력 29" xfId="3228"/>
    <cellStyle name="입력 29 2" xfId="3229"/>
    <cellStyle name="입력 29 3" xfId="3230"/>
    <cellStyle name="입력 3" xfId="3231"/>
    <cellStyle name="入力 3" xfId="3232"/>
    <cellStyle name="입력 3 2" xfId="3233"/>
    <cellStyle name="入力 3 2" xfId="3234"/>
    <cellStyle name="入力 3 2 10" xfId="3235"/>
    <cellStyle name="入力 3 2 11" xfId="7337"/>
    <cellStyle name="입력 3 2 2" xfId="3236"/>
    <cellStyle name="入力 3 2 2" xfId="3237"/>
    <cellStyle name="입력 3 2 3" xfId="3238"/>
    <cellStyle name="入力 3 2 3" xfId="3239"/>
    <cellStyle name="입력 3 2 4" xfId="3240"/>
    <cellStyle name="入力 3 2 4" xfId="3241"/>
    <cellStyle name="入力 3 2 5" xfId="3242"/>
    <cellStyle name="入力 3 2 6" xfId="3243"/>
    <cellStyle name="入力 3 2 7" xfId="3244"/>
    <cellStyle name="入力 3 2 8" xfId="3245"/>
    <cellStyle name="入力 3 2 9" xfId="3246"/>
    <cellStyle name="入力 3 2_Table_KOR" xfId="3247"/>
    <cellStyle name="입력 3 3" xfId="3248"/>
    <cellStyle name="入力 3 3" xfId="3249"/>
    <cellStyle name="入力 3 3 10" xfId="3250"/>
    <cellStyle name="入力 3 3 11" xfId="7343"/>
    <cellStyle name="입력 3 3 2" xfId="3251"/>
    <cellStyle name="入力 3 3 2" xfId="3252"/>
    <cellStyle name="입력 3 3 3" xfId="3253"/>
    <cellStyle name="入力 3 3 3" xfId="3254"/>
    <cellStyle name="입력 3 3 4" xfId="3255"/>
    <cellStyle name="入力 3 3 4" xfId="3256"/>
    <cellStyle name="入力 3 3 5" xfId="3257"/>
    <cellStyle name="入力 3 3 6" xfId="3258"/>
    <cellStyle name="入力 3 3 7" xfId="3259"/>
    <cellStyle name="入力 3 3 8" xfId="3260"/>
    <cellStyle name="入力 3 3 9" xfId="3261"/>
    <cellStyle name="入力 3 3_Table_KOR" xfId="3262"/>
    <cellStyle name="입력 3 4" xfId="3263"/>
    <cellStyle name="入力 3 4" xfId="3264"/>
    <cellStyle name="入力 3 4 2" xfId="3265"/>
    <cellStyle name="入力 3 4_Table_KOR" xfId="3266"/>
    <cellStyle name="입력 3 5" xfId="3267"/>
    <cellStyle name="入力 3 5" xfId="3268"/>
    <cellStyle name="入力 3 5 2" xfId="3269"/>
    <cellStyle name="入力 3 5_Table_KOR" xfId="3270"/>
    <cellStyle name="입력 3 6" xfId="3271"/>
    <cellStyle name="入力 3 6" xfId="3272"/>
    <cellStyle name="入力 3 6 2" xfId="3273"/>
    <cellStyle name="입력 3 7" xfId="3274"/>
    <cellStyle name="入力 3 7" xfId="3275"/>
    <cellStyle name="入力 3 7 2" xfId="3276"/>
    <cellStyle name="入力 3 8" xfId="3277"/>
    <cellStyle name="入力 3 8 2" xfId="3278"/>
    <cellStyle name="入力 3 9" xfId="3279"/>
    <cellStyle name="入力 3 9 2" xfId="3280"/>
    <cellStyle name="입력 3_ITEM" xfId="3281"/>
    <cellStyle name="입력 30" xfId="3282"/>
    <cellStyle name="입력 30 2" xfId="3283"/>
    <cellStyle name="입력 30 3" xfId="3284"/>
    <cellStyle name="입력 31" xfId="3285"/>
    <cellStyle name="입력 31 2" xfId="3286"/>
    <cellStyle name="입력 31 3" xfId="3287"/>
    <cellStyle name="입력 32" xfId="3288"/>
    <cellStyle name="입력 32 2" xfId="3289"/>
    <cellStyle name="입력 32 3" xfId="3290"/>
    <cellStyle name="입력 33" xfId="3291"/>
    <cellStyle name="입력 33 2" xfId="3292"/>
    <cellStyle name="입력 34" xfId="3293"/>
    <cellStyle name="입력 34 2" xfId="3294"/>
    <cellStyle name="입력 35" xfId="3295"/>
    <cellStyle name="입력 35 2" xfId="3296"/>
    <cellStyle name="입력 36" xfId="3297"/>
    <cellStyle name="입력 36 2" xfId="3298"/>
    <cellStyle name="입력 37" xfId="3299"/>
    <cellStyle name="입력 37 2" xfId="3300"/>
    <cellStyle name="입력 38" xfId="3301"/>
    <cellStyle name="입력 38 2" xfId="3302"/>
    <cellStyle name="입력 39" xfId="3303"/>
    <cellStyle name="입력 39 2" xfId="3304"/>
    <cellStyle name="입력 4" xfId="3305"/>
    <cellStyle name="入力 4" xfId="3306"/>
    <cellStyle name="입력 4 10" xfId="3307"/>
    <cellStyle name="입력 4 11" xfId="6382"/>
    <cellStyle name="입력 4 12" xfId="5915"/>
    <cellStyle name="입력 4 13" xfId="6915"/>
    <cellStyle name="입력 4 14" xfId="5233"/>
    <cellStyle name="입력 4 15" xfId="5880"/>
    <cellStyle name="입력 4 16" xfId="7079"/>
    <cellStyle name="입력 4 17" xfId="6947"/>
    <cellStyle name="입력 4 2" xfId="3308"/>
    <cellStyle name="入力 4 2" xfId="3309"/>
    <cellStyle name="入力 4 2 2" xfId="3310"/>
    <cellStyle name="입력 4 3" xfId="3311"/>
    <cellStyle name="입력 4 4" xfId="3312"/>
    <cellStyle name="입력 4 5" xfId="3313"/>
    <cellStyle name="입력 4 6" xfId="3314"/>
    <cellStyle name="입력 4 7" xfId="3315"/>
    <cellStyle name="입력 4 8" xfId="3316"/>
    <cellStyle name="입력 4 9" xfId="3317"/>
    <cellStyle name="입력 40" xfId="3318"/>
    <cellStyle name="입력 40 2" xfId="3319"/>
    <cellStyle name="입력 41" xfId="3320"/>
    <cellStyle name="입력 41 2" xfId="3321"/>
    <cellStyle name="입력 42" xfId="3322"/>
    <cellStyle name="입력 43" xfId="3323"/>
    <cellStyle name="입력 44" xfId="3324"/>
    <cellStyle name="입력 45" xfId="3325"/>
    <cellStyle name="입력 46" xfId="3326"/>
    <cellStyle name="입력 47" xfId="3327"/>
    <cellStyle name="입력 48" xfId="3328"/>
    <cellStyle name="입력 49" xfId="3329"/>
    <cellStyle name="입력 5" xfId="3330"/>
    <cellStyle name="入力 5" xfId="3331"/>
    <cellStyle name="입력 5 2" xfId="3332"/>
    <cellStyle name="入力 5 2" xfId="3333"/>
    <cellStyle name="入力 5 2 2" xfId="3334"/>
    <cellStyle name="입력 5 3" xfId="3335"/>
    <cellStyle name="입력 5 4" xfId="3336"/>
    <cellStyle name="입력 50" xfId="3337"/>
    <cellStyle name="입력 51" xfId="3338"/>
    <cellStyle name="입력 52" xfId="3339"/>
    <cellStyle name="입력 53" xfId="3340"/>
    <cellStyle name="입력 54" xfId="3341"/>
    <cellStyle name="입력 55" xfId="3342"/>
    <cellStyle name="입력 56" xfId="3343"/>
    <cellStyle name="입력 57" xfId="3344"/>
    <cellStyle name="입력 58" xfId="3345"/>
    <cellStyle name="입력 59" xfId="3346"/>
    <cellStyle name="입력 6" xfId="3347"/>
    <cellStyle name="入力 6" xfId="3348"/>
    <cellStyle name="입력 6 2" xfId="3349"/>
    <cellStyle name="入力 6 2" xfId="3350"/>
    <cellStyle name="입력 6 3" xfId="3351"/>
    <cellStyle name="入力 6 3" xfId="7814"/>
    <cellStyle name="입력 6 4" xfId="3352"/>
    <cellStyle name="入力 6 4" xfId="7087"/>
    <cellStyle name="入力 6_Table_KOR" xfId="3353"/>
    <cellStyle name="입력 60" xfId="3354"/>
    <cellStyle name="입력 61" xfId="3355"/>
    <cellStyle name="입력 62" xfId="3356"/>
    <cellStyle name="입력 63" xfId="3357"/>
    <cellStyle name="입력 64" xfId="3358"/>
    <cellStyle name="입력 65" xfId="3359"/>
    <cellStyle name="입력 66" xfId="3360"/>
    <cellStyle name="입력 67" xfId="3361"/>
    <cellStyle name="입력 68" xfId="3362"/>
    <cellStyle name="입력 69" xfId="3363"/>
    <cellStyle name="입력 7" xfId="3364"/>
    <cellStyle name="入力 7" xfId="3365"/>
    <cellStyle name="입력 7 2" xfId="3366"/>
    <cellStyle name="入力 7 2" xfId="3367"/>
    <cellStyle name="입력 7 3" xfId="3368"/>
    <cellStyle name="入力 7 3" xfId="7815"/>
    <cellStyle name="입력 7 4" xfId="3369"/>
    <cellStyle name="入力 7 4" xfId="7088"/>
    <cellStyle name="入力 7_Table_KOR" xfId="3370"/>
    <cellStyle name="입력 70" xfId="3371"/>
    <cellStyle name="입력 71" xfId="3372"/>
    <cellStyle name="입력 72" xfId="3373"/>
    <cellStyle name="입력 73" xfId="3374"/>
    <cellStyle name="입력 74" xfId="3375"/>
    <cellStyle name="입력 74 2" xfId="7089"/>
    <cellStyle name="입력 74 3" xfId="7809"/>
    <cellStyle name="입력 75" xfId="3376"/>
    <cellStyle name="입력 76" xfId="3377"/>
    <cellStyle name="입력 77" xfId="5056"/>
    <cellStyle name="입력 78" xfId="5083"/>
    <cellStyle name="입력 79" xfId="5123"/>
    <cellStyle name="입력 8" xfId="3378"/>
    <cellStyle name="入力 8" xfId="3379"/>
    <cellStyle name="입력 8 2" xfId="3380"/>
    <cellStyle name="入力 8 2" xfId="3381"/>
    <cellStyle name="입력 8 3" xfId="3382"/>
    <cellStyle name="入力 8 3" xfId="7816"/>
    <cellStyle name="입력 8 4" xfId="3383"/>
    <cellStyle name="入力 8 4" xfId="7090"/>
    <cellStyle name="入力 8_Table_KOR" xfId="3384"/>
    <cellStyle name="입력 80" xfId="5170"/>
    <cellStyle name="입력 81" xfId="5148"/>
    <cellStyle name="입력 82" xfId="5168"/>
    <cellStyle name="입력 83" xfId="5150"/>
    <cellStyle name="입력 84" xfId="5166"/>
    <cellStyle name="입력 85" xfId="5151"/>
    <cellStyle name="입력 86" xfId="5165"/>
    <cellStyle name="입력 87" xfId="5152"/>
    <cellStyle name="입력 88" xfId="5164"/>
    <cellStyle name="입력 89" xfId="5153"/>
    <cellStyle name="입력 9" xfId="3385"/>
    <cellStyle name="入力 9" xfId="3386"/>
    <cellStyle name="입력 9 2" xfId="3387"/>
    <cellStyle name="入力 9 2" xfId="3388"/>
    <cellStyle name="입력 9 3" xfId="3389"/>
    <cellStyle name="入力 9 3" xfId="7817"/>
    <cellStyle name="입력 9 4" xfId="3390"/>
    <cellStyle name="入力 9 4" xfId="7091"/>
    <cellStyle name="入力 9_Table_KOR" xfId="3391"/>
    <cellStyle name="입력 90" xfId="6823"/>
    <cellStyle name="입력 91" xfId="6873"/>
    <cellStyle name="입력 92" xfId="6828"/>
    <cellStyle name="입력 93" xfId="6872"/>
    <cellStyle name="입력 94" xfId="6833"/>
    <cellStyle name="입력 95" xfId="7063"/>
    <cellStyle name="입력_1차 NETPY 아이템 리스트" xfId="3392"/>
    <cellStyle name="入力_etc_data" xfId="3393"/>
    <cellStyle name="제목" xfId="3394"/>
    <cellStyle name="제목 1" xfId="3395"/>
    <cellStyle name="제목 1 10" xfId="3396"/>
    <cellStyle name="제목 1 11" xfId="3397"/>
    <cellStyle name="제목 1 12" xfId="3398"/>
    <cellStyle name="제목 1 13" xfId="3399"/>
    <cellStyle name="제목 1 13 2" xfId="7094"/>
    <cellStyle name="제목 1 13 3" xfId="7402"/>
    <cellStyle name="제목 1 14" xfId="5058"/>
    <cellStyle name="제목 1 15" xfId="5125"/>
    <cellStyle name="제목 1 2" xfId="3400"/>
    <cellStyle name="제목 1 2 2" xfId="3401"/>
    <cellStyle name="제목 1 2 3" xfId="3402"/>
    <cellStyle name="제목 1 2_ITEM" xfId="3403"/>
    <cellStyle name="제목 1 3" xfId="3404"/>
    <cellStyle name="제목 1 3 2" xfId="3405"/>
    <cellStyle name="제목 1 3 3" xfId="3406"/>
    <cellStyle name="제목 1 3_ITEM" xfId="3407"/>
    <cellStyle name="제목 1 4" xfId="3408"/>
    <cellStyle name="제목 1 4 2" xfId="3409"/>
    <cellStyle name="제목 1 4 3" xfId="7096"/>
    <cellStyle name="제목 1 5" xfId="3410"/>
    <cellStyle name="제목 1 6" xfId="3411"/>
    <cellStyle name="제목 1 7" xfId="3412"/>
    <cellStyle name="제목 1 8" xfId="3413"/>
    <cellStyle name="제목 1 9" xfId="3414"/>
    <cellStyle name="제목 1_01 YW" xfId="3415"/>
    <cellStyle name="제목 10" xfId="3416"/>
    <cellStyle name="제목 10 2" xfId="3417"/>
    <cellStyle name="제목 10 3" xfId="3418"/>
    <cellStyle name="제목 11" xfId="3419"/>
    <cellStyle name="제목 12" xfId="3420"/>
    <cellStyle name="제목 13" xfId="3421"/>
    <cellStyle name="제목 14" xfId="3422"/>
    <cellStyle name="제목 15" xfId="3423"/>
    <cellStyle name="제목 16" xfId="3424"/>
    <cellStyle name="제목 17" xfId="3425"/>
    <cellStyle name="제목 17 2" xfId="3426"/>
    <cellStyle name="제목 18" xfId="3427"/>
    <cellStyle name="제목 18 2" xfId="3428"/>
    <cellStyle name="제목 19" xfId="3429"/>
    <cellStyle name="제목 2" xfId="3430"/>
    <cellStyle name="제목 2 10" xfId="3431"/>
    <cellStyle name="제목 2 11" xfId="3432"/>
    <cellStyle name="제목 2 12" xfId="3433"/>
    <cellStyle name="제목 2 13" xfId="3434"/>
    <cellStyle name="제목 2 13 2" xfId="7100"/>
    <cellStyle name="제목 2 13 3" xfId="7413"/>
    <cellStyle name="제목 2 14" xfId="5059"/>
    <cellStyle name="제목 2 15" xfId="5126"/>
    <cellStyle name="제목 2 2" xfId="3435"/>
    <cellStyle name="제목 2 2 2" xfId="3436"/>
    <cellStyle name="제목 2 2 3" xfId="3437"/>
    <cellStyle name="제목 2 2_ITEM" xfId="3438"/>
    <cellStyle name="제목 2 3" xfId="3439"/>
    <cellStyle name="제목 2 3 2" xfId="3440"/>
    <cellStyle name="제목 2 3 3" xfId="3441"/>
    <cellStyle name="제목 2 3_ITEM" xfId="3442"/>
    <cellStyle name="제목 2 4" xfId="3443"/>
    <cellStyle name="제목 2 4 2" xfId="3444"/>
    <cellStyle name="제목 2 4 3" xfId="7105"/>
    <cellStyle name="제목 2 5" xfId="3445"/>
    <cellStyle name="제목 2 6" xfId="3446"/>
    <cellStyle name="제목 2 7" xfId="3447"/>
    <cellStyle name="제목 2 8" xfId="3448"/>
    <cellStyle name="제목 2 9" xfId="3449"/>
    <cellStyle name="제목 2_01 YW" xfId="3450"/>
    <cellStyle name="제목 20" xfId="3451"/>
    <cellStyle name="제목 21" xfId="3452"/>
    <cellStyle name="제목 22" xfId="3453"/>
    <cellStyle name="제목 23" xfId="3454"/>
    <cellStyle name="제목 24" xfId="3455"/>
    <cellStyle name="제목 25" xfId="3456"/>
    <cellStyle name="제목 26" xfId="3457"/>
    <cellStyle name="제목 27" xfId="3458"/>
    <cellStyle name="제목 28" xfId="3459"/>
    <cellStyle name="제목 29" xfId="3460"/>
    <cellStyle name="제목 3" xfId="3461"/>
    <cellStyle name="제목 3 10" xfId="3462"/>
    <cellStyle name="제목 3 11" xfId="3463"/>
    <cellStyle name="제목 3 12" xfId="3464"/>
    <cellStyle name="제목 3 13" xfId="3465"/>
    <cellStyle name="제목 3 13 2" xfId="7116"/>
    <cellStyle name="제목 3 13 3" xfId="7424"/>
    <cellStyle name="제목 3 14" xfId="5060"/>
    <cellStyle name="제목 3 15" xfId="5127"/>
    <cellStyle name="제목 3 2" xfId="3466"/>
    <cellStyle name="제목 3 2 2" xfId="3467"/>
    <cellStyle name="제목 3 2 3" xfId="3468"/>
    <cellStyle name="제목 3 2_ITEM" xfId="3469"/>
    <cellStyle name="제목 3 3" xfId="3470"/>
    <cellStyle name="제목 3 3 2" xfId="3471"/>
    <cellStyle name="제목 3 3 3" xfId="3472"/>
    <cellStyle name="제목 3 3_ITEM" xfId="3473"/>
    <cellStyle name="제목 3 4" xfId="3474"/>
    <cellStyle name="제목 3 4 2" xfId="3475"/>
    <cellStyle name="제목 3 4 3" xfId="3476"/>
    <cellStyle name="제목 3 4 4" xfId="3477"/>
    <cellStyle name="제목 3 4 5" xfId="3478"/>
    <cellStyle name="제목 3 5" xfId="3479"/>
    <cellStyle name="제목 3 5 2" xfId="3480"/>
    <cellStyle name="제목 3 5 3" xfId="3481"/>
    <cellStyle name="제목 3 6" xfId="3482"/>
    <cellStyle name="제목 3 6 2" xfId="3483"/>
    <cellStyle name="제목 3 7" xfId="3484"/>
    <cellStyle name="제목 3 8" xfId="3485"/>
    <cellStyle name="제목 3 9" xfId="3486"/>
    <cellStyle name="제목 3_01 YW" xfId="3487"/>
    <cellStyle name="제목 30" xfId="3488"/>
    <cellStyle name="제목 31" xfId="3489"/>
    <cellStyle name="제목 32" xfId="3490"/>
    <cellStyle name="제목 33" xfId="3491"/>
    <cellStyle name="제목 34" xfId="3492"/>
    <cellStyle name="제목 35" xfId="3493"/>
    <cellStyle name="제목 36" xfId="3494"/>
    <cellStyle name="제목 37" xfId="3495"/>
    <cellStyle name="제목 38" xfId="3496"/>
    <cellStyle name="제목 39" xfId="3497"/>
    <cellStyle name="제목 4" xfId="3498"/>
    <cellStyle name="제목 4 10" xfId="5128"/>
    <cellStyle name="제목 4 2" xfId="3499"/>
    <cellStyle name="제목 4 2 2" xfId="3500"/>
    <cellStyle name="제목 4 2 3" xfId="3501"/>
    <cellStyle name="제목 4 3" xfId="3502"/>
    <cellStyle name="제목 4 3 2" xfId="3503"/>
    <cellStyle name="제목 4 3 3" xfId="3504"/>
    <cellStyle name="제목 4 4" xfId="3505"/>
    <cellStyle name="제목 4 4 2" xfId="3506"/>
    <cellStyle name="제목 4 4 3" xfId="7120"/>
    <cellStyle name="제목 4 5" xfId="3507"/>
    <cellStyle name="제목 4 6" xfId="3508"/>
    <cellStyle name="제목 4 7" xfId="3509"/>
    <cellStyle name="제목 4 8" xfId="3510"/>
    <cellStyle name="제목 4 8 2" xfId="7121"/>
    <cellStyle name="제목 4 8 3" xfId="7440"/>
    <cellStyle name="제목 4 9" xfId="5061"/>
    <cellStyle name="제목 4_01 YW" xfId="3511"/>
    <cellStyle name="제목 40" xfId="3512"/>
    <cellStyle name="제목 41" xfId="3513"/>
    <cellStyle name="제목 42" xfId="3514"/>
    <cellStyle name="제목 42 2" xfId="3515"/>
    <cellStyle name="제목 43" xfId="3516"/>
    <cellStyle name="제목 44" xfId="3517"/>
    <cellStyle name="제목 45" xfId="3518"/>
    <cellStyle name="제목 46" xfId="3519"/>
    <cellStyle name="제목 47" xfId="3520"/>
    <cellStyle name="제목 48" xfId="3521"/>
    <cellStyle name="제목 49" xfId="3522"/>
    <cellStyle name="제목 5" xfId="3523"/>
    <cellStyle name="제목 5 2" xfId="3524"/>
    <cellStyle name="제목 5 3" xfId="3525"/>
    <cellStyle name="제목 50" xfId="3526"/>
    <cellStyle name="제목 51" xfId="3527"/>
    <cellStyle name="제목 52" xfId="3528"/>
    <cellStyle name="제목 53" xfId="3529"/>
    <cellStyle name="제목 54" xfId="3530"/>
    <cellStyle name="제목 55" xfId="3531"/>
    <cellStyle name="제목 56" xfId="3532"/>
    <cellStyle name="제목 56 2" xfId="5062"/>
    <cellStyle name="제목 56 3" xfId="7122"/>
    <cellStyle name="제목 56 4" xfId="7444"/>
    <cellStyle name="제목 57" xfId="3533"/>
    <cellStyle name="제목 57 2" xfId="5063"/>
    <cellStyle name="제목 57 3" xfId="7123"/>
    <cellStyle name="제목 57 4" xfId="7445"/>
    <cellStyle name="제목 58" xfId="3534"/>
    <cellStyle name="제목 58 2" xfId="5064"/>
    <cellStyle name="제목 58 3" xfId="7124"/>
    <cellStyle name="제목 58 4" xfId="7446"/>
    <cellStyle name="제목 59" xfId="3535"/>
    <cellStyle name="제목 59 2" xfId="5065"/>
    <cellStyle name="제목 59 3" xfId="7125"/>
    <cellStyle name="제목 59 4" xfId="7447"/>
    <cellStyle name="제목 6" xfId="3536"/>
    <cellStyle name="제목 6 2" xfId="3537"/>
    <cellStyle name="제목 6 3" xfId="3538"/>
    <cellStyle name="제목 60" xfId="3539"/>
    <cellStyle name="제목 60 2" xfId="5066"/>
    <cellStyle name="제목 60 3" xfId="7126"/>
    <cellStyle name="제목 60 4" xfId="7450"/>
    <cellStyle name="제목 61" xfId="3540"/>
    <cellStyle name="제목 61 2" xfId="5067"/>
    <cellStyle name="제목 61 3" xfId="7127"/>
    <cellStyle name="제목 61 4" xfId="7451"/>
    <cellStyle name="제목 62" xfId="3541"/>
    <cellStyle name="제목 62 2" xfId="5068"/>
    <cellStyle name="제목 62 3" xfId="7128"/>
    <cellStyle name="제목 62 4" xfId="7452"/>
    <cellStyle name="제목 63" xfId="3542"/>
    <cellStyle name="제목 63 2" xfId="5069"/>
    <cellStyle name="제목 63 3" xfId="7129"/>
    <cellStyle name="제목 63 4" xfId="7453"/>
    <cellStyle name="제목 64" xfId="3543"/>
    <cellStyle name="제목 64 2" xfId="5070"/>
    <cellStyle name="제목 64 3" xfId="7130"/>
    <cellStyle name="제목 64 4" xfId="7454"/>
    <cellStyle name="제목 65" xfId="3544"/>
    <cellStyle name="제목 65 2" xfId="5071"/>
    <cellStyle name="제목 65 3" xfId="7131"/>
    <cellStyle name="제목 65 4" xfId="7455"/>
    <cellStyle name="제목 66" xfId="3545"/>
    <cellStyle name="제목 66 2" xfId="5072"/>
    <cellStyle name="제목 66 3" xfId="7132"/>
    <cellStyle name="제목 66 4" xfId="7456"/>
    <cellStyle name="제목 67" xfId="3546"/>
    <cellStyle name="제목 67 2" xfId="5073"/>
    <cellStyle name="제목 67 3" xfId="7133"/>
    <cellStyle name="제목 67 4" xfId="7457"/>
    <cellStyle name="제목 68" xfId="3547"/>
    <cellStyle name="제목 68 2" xfId="5074"/>
    <cellStyle name="제목 68 3" xfId="7134"/>
    <cellStyle name="제목 68 4" xfId="7458"/>
    <cellStyle name="제목 69" xfId="3548"/>
    <cellStyle name="제목 7" xfId="3549"/>
    <cellStyle name="제목 7 2" xfId="3550"/>
    <cellStyle name="제목 7 2 2" xfId="3551"/>
    <cellStyle name="제목 7 3" xfId="3552"/>
    <cellStyle name="제목 7 4" xfId="3553"/>
    <cellStyle name="제목 7 5" xfId="3554"/>
    <cellStyle name="제목 70" xfId="3555"/>
    <cellStyle name="제목 70 2" xfId="5075"/>
    <cellStyle name="제목 70 3" xfId="7136"/>
    <cellStyle name="제목 70 4" xfId="7818"/>
    <cellStyle name="제목 71" xfId="3556"/>
    <cellStyle name="제목 71 2" xfId="5076"/>
    <cellStyle name="제목 72" xfId="3557"/>
    <cellStyle name="제목 72 2" xfId="5077"/>
    <cellStyle name="제목 73" xfId="5057"/>
    <cellStyle name="제목 74" xfId="5084"/>
    <cellStyle name="제목 75" xfId="5124"/>
    <cellStyle name="제목 76" xfId="5178"/>
    <cellStyle name="제목 77" xfId="5139"/>
    <cellStyle name="제목 78" xfId="5177"/>
    <cellStyle name="제목 79" xfId="5140"/>
    <cellStyle name="제목 8" xfId="3558"/>
    <cellStyle name="제목 8 2" xfId="3559"/>
    <cellStyle name="제목 8 2 2" xfId="3560"/>
    <cellStyle name="제목 8 3" xfId="3561"/>
    <cellStyle name="제목 8 4" xfId="3562"/>
    <cellStyle name="제목 8 5" xfId="3563"/>
    <cellStyle name="제목 80" xfId="5176"/>
    <cellStyle name="제목 81" xfId="5141"/>
    <cellStyle name="제목 82" xfId="5175"/>
    <cellStyle name="제목 83" xfId="5142"/>
    <cellStyle name="제목 84" xfId="5174"/>
    <cellStyle name="제목 85" xfId="5143"/>
    <cellStyle name="제목 86" xfId="6822"/>
    <cellStyle name="제목 87" xfId="6811"/>
    <cellStyle name="제목 88" xfId="6834"/>
    <cellStyle name="제목 89" xfId="6810"/>
    <cellStyle name="제목 9" xfId="3564"/>
    <cellStyle name="제목 9 2" xfId="3565"/>
    <cellStyle name="제목 9 2 2" xfId="3566"/>
    <cellStyle name="제목 9 3" xfId="3567"/>
    <cellStyle name="제목 9 4" xfId="3568"/>
    <cellStyle name="제목 9 5" xfId="3569"/>
    <cellStyle name="제목 90" xfId="6832"/>
    <cellStyle name="제목 91" xfId="7093"/>
    <cellStyle name="제목_01 YW" xfId="3570"/>
    <cellStyle name="좋음" xfId="3571"/>
    <cellStyle name="좋음 2" xfId="3572"/>
    <cellStyle name="좋음 2 2" xfId="3573"/>
    <cellStyle name="좋음 2 3" xfId="3574"/>
    <cellStyle name="좋음 3" xfId="3575"/>
    <cellStyle name="좋음 3 2" xfId="3576"/>
    <cellStyle name="좋음 3 3" xfId="3577"/>
    <cellStyle name="좋음 4" xfId="3578"/>
    <cellStyle name="좋음 4 2" xfId="3579"/>
    <cellStyle name="좋음 4 3" xfId="3580"/>
    <cellStyle name="좋음 4 4" xfId="5918"/>
    <cellStyle name="좋음 5" xfId="3581"/>
    <cellStyle name="좋음 6" xfId="3582"/>
    <cellStyle name="좋음 7" xfId="5078"/>
    <cellStyle name="좋음 8" xfId="5129"/>
    <cellStyle name="좋음_1차 NETPY 아이템 리스트" xfId="3583"/>
    <cellStyle name="集計" xfId="3584"/>
    <cellStyle name="集計 2" xfId="3585"/>
    <cellStyle name="集計 2 2" xfId="3586"/>
    <cellStyle name="集計 2 2 2" xfId="3587"/>
    <cellStyle name="集計 2 2 2 2" xfId="3588"/>
    <cellStyle name="集計 2 2 2 2 2" xfId="3589"/>
    <cellStyle name="集計 2 2 2 2 3" xfId="3590"/>
    <cellStyle name="集計 2 2 2 2 4" xfId="5920"/>
    <cellStyle name="集計 2 2 2 2_Table_KOR" xfId="3591"/>
    <cellStyle name="集計 2 2 3" xfId="3592"/>
    <cellStyle name="集計 2 2 3 2" xfId="3593"/>
    <cellStyle name="集計 2 2 4" xfId="3594"/>
    <cellStyle name="集計 2 2 4 2" xfId="3595"/>
    <cellStyle name="集計 2 2 5" xfId="3596"/>
    <cellStyle name="集計 2 2 5 2" xfId="3597"/>
    <cellStyle name="集計 2 2 5 3" xfId="3598"/>
    <cellStyle name="集計 2 2 5 4" xfId="5921"/>
    <cellStyle name="集計 2 2 5_Table_KOR" xfId="3599"/>
    <cellStyle name="集計 2 2_Mix Item" xfId="3600"/>
    <cellStyle name="集計 2 3" xfId="3601"/>
    <cellStyle name="集計 2 3 2" xfId="3602"/>
    <cellStyle name="集計 2 3 2 2" xfId="3603"/>
    <cellStyle name="集計 2 3 2_Table_KOR" xfId="3604"/>
    <cellStyle name="集計 2 4" xfId="3605"/>
    <cellStyle name="集計 2 4 2" xfId="3606"/>
    <cellStyle name="集計 2 4 2 2" xfId="3607"/>
    <cellStyle name="集計 2 5" xfId="3608"/>
    <cellStyle name="集計 2 5 2" xfId="3609"/>
    <cellStyle name="集計 2 5 2 2" xfId="3610"/>
    <cellStyle name="集計 2 6" xfId="3611"/>
    <cellStyle name="集計 2 6 2" xfId="3612"/>
    <cellStyle name="集計 2 6_Table_KOR" xfId="3613"/>
    <cellStyle name="集計 2_etc_data" xfId="3614"/>
    <cellStyle name="集計 3" xfId="3615"/>
    <cellStyle name="集計 3 2" xfId="3616"/>
    <cellStyle name="集計 3 2 2" xfId="3617"/>
    <cellStyle name="集計 3 2 2 2" xfId="3618"/>
    <cellStyle name="集計 3 2 2_Table_KOR" xfId="3619"/>
    <cellStyle name="集計 3 3" xfId="3620"/>
    <cellStyle name="集計 3 3 2" xfId="3621"/>
    <cellStyle name="集計 3 3 2 2" xfId="3622"/>
    <cellStyle name="集計 3 4" xfId="3623"/>
    <cellStyle name="集計 3 4 2" xfId="3624"/>
    <cellStyle name="集計 3 4 2 2" xfId="3625"/>
    <cellStyle name="集計 3 5" xfId="3626"/>
    <cellStyle name="集計 3 5 2" xfId="3627"/>
    <cellStyle name="集計 3 5_Table_KOR" xfId="3628"/>
    <cellStyle name="集計 4" xfId="3629"/>
    <cellStyle name="集計 4 2" xfId="3630"/>
    <cellStyle name="集計 4 2 2" xfId="3631"/>
    <cellStyle name="集計 4 2 3" xfId="3632"/>
    <cellStyle name="集計 4 2 4" xfId="5922"/>
    <cellStyle name="集計 4 2_Table_KOR" xfId="3633"/>
    <cellStyle name="集計 5" xfId="3634"/>
    <cellStyle name="集計 5 2" xfId="3635"/>
    <cellStyle name="集計 6" xfId="3636"/>
    <cellStyle name="集計 6 2" xfId="3637"/>
    <cellStyle name="集計 7" xfId="3638"/>
    <cellStyle name="集計 7 2" xfId="3639"/>
    <cellStyle name="集計 7 3" xfId="3640"/>
    <cellStyle name="集計 7 4" xfId="5923"/>
    <cellStyle name="集計 7_Table_KOR" xfId="3641"/>
    <cellStyle name="集計 8" xfId="3642"/>
    <cellStyle name="集計_01 YW" xfId="3643"/>
    <cellStyle name="출력" xfId="3644"/>
    <cellStyle name="出力" xfId="3645"/>
    <cellStyle name="출력 10" xfId="3646"/>
    <cellStyle name="出力 10" xfId="3647"/>
    <cellStyle name="出力 10 10" xfId="3648"/>
    <cellStyle name="出力 10 11" xfId="5924"/>
    <cellStyle name="출력 10 2" xfId="3649"/>
    <cellStyle name="出力 10 2" xfId="3650"/>
    <cellStyle name="출력 10 3" xfId="3651"/>
    <cellStyle name="出力 10 3" xfId="3652"/>
    <cellStyle name="출력 10 4" xfId="3653"/>
    <cellStyle name="出力 10 4" xfId="3654"/>
    <cellStyle name="出力 10 5" xfId="3655"/>
    <cellStyle name="出力 10 6" xfId="3656"/>
    <cellStyle name="出力 10 7" xfId="3657"/>
    <cellStyle name="出力 10 8" xfId="3658"/>
    <cellStyle name="出力 10 9" xfId="3659"/>
    <cellStyle name="出力 10_Table_KOR" xfId="3660"/>
    <cellStyle name="출력 11" xfId="3661"/>
    <cellStyle name="出力 11" xfId="3662"/>
    <cellStyle name="出力 11 10" xfId="3663"/>
    <cellStyle name="出力 11 11" xfId="5926"/>
    <cellStyle name="출력 11 2" xfId="3664"/>
    <cellStyle name="出力 11 2" xfId="3665"/>
    <cellStyle name="출력 11 3" xfId="3666"/>
    <cellStyle name="出力 11 3" xfId="3667"/>
    <cellStyle name="출력 11 4" xfId="3668"/>
    <cellStyle name="出力 11 4" xfId="3669"/>
    <cellStyle name="出力 11 5" xfId="3670"/>
    <cellStyle name="出力 11 6" xfId="3671"/>
    <cellStyle name="出力 11 7" xfId="3672"/>
    <cellStyle name="出力 11 8" xfId="3673"/>
    <cellStyle name="出力 11 9" xfId="3674"/>
    <cellStyle name="出力 11_Table_KOR" xfId="3675"/>
    <cellStyle name="출력 12" xfId="3676"/>
    <cellStyle name="出力 12" xfId="3677"/>
    <cellStyle name="출력 12 2" xfId="3678"/>
    <cellStyle name="出力 12 2" xfId="3679"/>
    <cellStyle name="출력 12 3" xfId="3680"/>
    <cellStyle name="出力 12 3" xfId="3681"/>
    <cellStyle name="출력 12 4" xfId="3682"/>
    <cellStyle name="出力 12 4" xfId="3683"/>
    <cellStyle name="出力 12 5" xfId="3684"/>
    <cellStyle name="出力 12 6" xfId="3685"/>
    <cellStyle name="出力 12 7" xfId="3686"/>
    <cellStyle name="出力 12 8" xfId="3687"/>
    <cellStyle name="出力 12 9" xfId="3688"/>
    <cellStyle name="출력 13" xfId="3689"/>
    <cellStyle name="出力 13" xfId="3690"/>
    <cellStyle name="출력 13 2" xfId="3691"/>
    <cellStyle name="出力 13 2" xfId="3692"/>
    <cellStyle name="출력 13 3" xfId="3693"/>
    <cellStyle name="출력 13 4" xfId="3694"/>
    <cellStyle name="출력 14" xfId="3695"/>
    <cellStyle name="出力 14" xfId="3696"/>
    <cellStyle name="출력 14 2" xfId="3697"/>
    <cellStyle name="出力 14 2" xfId="3698"/>
    <cellStyle name="출력 14 2 2" xfId="3699"/>
    <cellStyle name="출력 14 3" xfId="3700"/>
    <cellStyle name="출력 14 4" xfId="3701"/>
    <cellStyle name="출력 15" xfId="3702"/>
    <cellStyle name="出力 15" xfId="3703"/>
    <cellStyle name="출력 15 2" xfId="3704"/>
    <cellStyle name="出力 15 2" xfId="3705"/>
    <cellStyle name="출력 15 2 2" xfId="3706"/>
    <cellStyle name="출력 15 3" xfId="3707"/>
    <cellStyle name="출력 15 4" xfId="3708"/>
    <cellStyle name="출력 16" xfId="3709"/>
    <cellStyle name="出力 16" xfId="3710"/>
    <cellStyle name="출력 16 2" xfId="3711"/>
    <cellStyle name="출력 16 3" xfId="3712"/>
    <cellStyle name="출력 16 4" xfId="3713"/>
    <cellStyle name="출력 17" xfId="3714"/>
    <cellStyle name="出力 17" xfId="3715"/>
    <cellStyle name="출력 17 2" xfId="3716"/>
    <cellStyle name="출력 17 3" xfId="3717"/>
    <cellStyle name="출력 17 4" xfId="3718"/>
    <cellStyle name="출력 18" xfId="3719"/>
    <cellStyle name="出力 18" xfId="3720"/>
    <cellStyle name="출력 18 2" xfId="3721"/>
    <cellStyle name="출력 18 3" xfId="3722"/>
    <cellStyle name="출력 18 4" xfId="3723"/>
    <cellStyle name="출력 19" xfId="3724"/>
    <cellStyle name="出力 19" xfId="3725"/>
    <cellStyle name="출력 19 2" xfId="3726"/>
    <cellStyle name="출력 19 3" xfId="3727"/>
    <cellStyle name="출력 19 4" xfId="3728"/>
    <cellStyle name="출력 2" xfId="3729"/>
    <cellStyle name="出力 2" xfId="3730"/>
    <cellStyle name="出力 2 10" xfId="3731"/>
    <cellStyle name="出力 2 10 2" xfId="3732"/>
    <cellStyle name="出力 2 10 3" xfId="3733"/>
    <cellStyle name="出力 2 10 4" xfId="5931"/>
    <cellStyle name="出力 2 10_Table_KOR" xfId="3734"/>
    <cellStyle name="출력 2 2" xfId="3735"/>
    <cellStyle name="出力 2 2" xfId="3736"/>
    <cellStyle name="出力 2 2 10" xfId="3737"/>
    <cellStyle name="출력 2 2 2" xfId="3738"/>
    <cellStyle name="出力 2 2 2" xfId="3739"/>
    <cellStyle name="出力 2 2 2 2" xfId="3740"/>
    <cellStyle name="出力 2 2 2 2 2" xfId="3741"/>
    <cellStyle name="出力 2 2 2 2 3" xfId="3742"/>
    <cellStyle name="出力 2 2 2 2 4" xfId="5933"/>
    <cellStyle name="出力 2 2 2 2_Table_KOR" xfId="3743"/>
    <cellStyle name="출력 2 2 3" xfId="3744"/>
    <cellStyle name="出力 2 2 3" xfId="3745"/>
    <cellStyle name="出力 2 2 3 2" xfId="3746"/>
    <cellStyle name="출력 2 2 4" xfId="3747"/>
    <cellStyle name="出力 2 2 4" xfId="3748"/>
    <cellStyle name="出力 2 2 4 2" xfId="3749"/>
    <cellStyle name="출력 2 2 5" xfId="3750"/>
    <cellStyle name="出力 2 2 5" xfId="3751"/>
    <cellStyle name="出力 2 2 5 2" xfId="3752"/>
    <cellStyle name="出力 2 2 6" xfId="3753"/>
    <cellStyle name="出力 2 2 6 2" xfId="3754"/>
    <cellStyle name="出力 2 2 6 3" xfId="3755"/>
    <cellStyle name="出力 2 2 6 4" xfId="5934"/>
    <cellStyle name="出力 2 2 6_Table_KOR" xfId="3756"/>
    <cellStyle name="出力 2 2 7" xfId="3757"/>
    <cellStyle name="出力 2 2 7 2" xfId="3758"/>
    <cellStyle name="出力 2 2 7 3" xfId="3759"/>
    <cellStyle name="出力 2 2 7 4" xfId="5935"/>
    <cellStyle name="出力 2 2 7_Table_KOR" xfId="3760"/>
    <cellStyle name="出力 2 2 8" xfId="3761"/>
    <cellStyle name="出力 2 2 8 2" xfId="3762"/>
    <cellStyle name="出力 2 2 8 3" xfId="3763"/>
    <cellStyle name="出力 2 2 8 4" xfId="5936"/>
    <cellStyle name="出力 2 2 8_Table_KOR" xfId="3764"/>
    <cellStyle name="出力 2 2 9" xfId="3765"/>
    <cellStyle name="出力 2 2 9 2" xfId="3766"/>
    <cellStyle name="出力 2 2 9 3" xfId="3767"/>
    <cellStyle name="出力 2 2 9 4" xfId="5937"/>
    <cellStyle name="出力 2 2 9_Table_KOR" xfId="3768"/>
    <cellStyle name="출력 2 2_Sheet1" xfId="3769"/>
    <cellStyle name="出力 2 2_Sheet1" xfId="3770"/>
    <cellStyle name="출력 2 3" xfId="3771"/>
    <cellStyle name="出力 2 3" xfId="3772"/>
    <cellStyle name="출력 2 3 2" xfId="3773"/>
    <cellStyle name="出力 2 3 2" xfId="3774"/>
    <cellStyle name="出力 2 3 2 2" xfId="3775"/>
    <cellStyle name="出力 2 3 2 3" xfId="3776"/>
    <cellStyle name="出力 2 3 2 4" xfId="5938"/>
    <cellStyle name="出力 2 3 2_Table_KOR" xfId="3777"/>
    <cellStyle name="출력 2 3 3" xfId="3778"/>
    <cellStyle name="出力 2 3 3" xfId="3779"/>
    <cellStyle name="出力 2 3 3 2" xfId="3780"/>
    <cellStyle name="出力 2 3 3 3" xfId="3781"/>
    <cellStyle name="出力 2 3 3 4" xfId="5939"/>
    <cellStyle name="出力 2 3 3_Table_KOR" xfId="3782"/>
    <cellStyle name="출력 2 3 4" xfId="3783"/>
    <cellStyle name="出力 2 3 4" xfId="3784"/>
    <cellStyle name="出力 2 3 4 2" xfId="3785"/>
    <cellStyle name="出力 2 3 4 3" xfId="3786"/>
    <cellStyle name="出力 2 3 4 4" xfId="5940"/>
    <cellStyle name="出力 2 3 4_Table_KOR" xfId="3787"/>
    <cellStyle name="출력 2 3 5" xfId="3788"/>
    <cellStyle name="出力 2 3 5" xfId="3789"/>
    <cellStyle name="出力 2 3 5 2" xfId="3790"/>
    <cellStyle name="出力 2 3 5 3" xfId="3791"/>
    <cellStyle name="出力 2 3 5 4" xfId="5941"/>
    <cellStyle name="出力 2 3 5_Table_KOR" xfId="3792"/>
    <cellStyle name="出力 2 3 6" xfId="3793"/>
    <cellStyle name="出力 2 3 7" xfId="3794"/>
    <cellStyle name="出力 2 3 8" xfId="3795"/>
    <cellStyle name="出力 2 3 9" xfId="3796"/>
    <cellStyle name="출력 2 4" xfId="3797"/>
    <cellStyle name="出力 2 4" xfId="3798"/>
    <cellStyle name="出力 2 4 2" xfId="3799"/>
    <cellStyle name="出力 2 4 2 2" xfId="3800"/>
    <cellStyle name="出力 2 4 2 3" xfId="3801"/>
    <cellStyle name="出力 2 4 2 4" xfId="5942"/>
    <cellStyle name="出力 2 4 2_Table_KOR" xfId="3802"/>
    <cellStyle name="출력 2 5" xfId="3803"/>
    <cellStyle name="出力 2 5" xfId="3804"/>
    <cellStyle name="出力 2 5 2" xfId="3805"/>
    <cellStyle name="출력 2 6" xfId="3806"/>
    <cellStyle name="出力 2 6" xfId="3807"/>
    <cellStyle name="出力 2 6 2" xfId="3808"/>
    <cellStyle name="출력 2 7" xfId="3809"/>
    <cellStyle name="出力 2 7" xfId="3810"/>
    <cellStyle name="出力 2 7 2" xfId="3811"/>
    <cellStyle name="出力 2 7 3" xfId="3812"/>
    <cellStyle name="出力 2 7 4" xfId="5943"/>
    <cellStyle name="出力 2 7_Table_KOR" xfId="3813"/>
    <cellStyle name="出力 2 8" xfId="3814"/>
    <cellStyle name="出力 2 8 2" xfId="3815"/>
    <cellStyle name="出力 2 8 3" xfId="3816"/>
    <cellStyle name="出力 2 8 4" xfId="5944"/>
    <cellStyle name="出力 2 8_Table_KOR" xfId="3817"/>
    <cellStyle name="出力 2 9" xfId="3818"/>
    <cellStyle name="出力 2 9 2" xfId="3819"/>
    <cellStyle name="出力 2 9 3" xfId="3820"/>
    <cellStyle name="出力 2 9 4" xfId="5945"/>
    <cellStyle name="出力 2 9_Table_KOR" xfId="3821"/>
    <cellStyle name="出力 2_DBTable" xfId="3822"/>
    <cellStyle name="출력 2_ITEM" xfId="3823"/>
    <cellStyle name="出力 2_ITEM" xfId="3824"/>
    <cellStyle name="출력 2_ITEM_1" xfId="3825"/>
    <cellStyle name="出力 2_ITEM_1" xfId="3826"/>
    <cellStyle name="출력 2_ITEM_1_CS_Text" xfId="3827"/>
    <cellStyle name="出力 2_ITEM_1_CS_Text" xfId="3828"/>
    <cellStyle name="출력 2_ITEM_2" xfId="3829"/>
    <cellStyle name="出力 2_ITEM_2" xfId="3830"/>
    <cellStyle name="출력 2_ITEM_CS_Text" xfId="3831"/>
    <cellStyle name="出力 2_ITEM_CS_Text" xfId="3832"/>
    <cellStyle name="출력 2_Sheet1" xfId="3833"/>
    <cellStyle name="出力 2_Sheet1" xfId="3834"/>
    <cellStyle name="출력 2_SKILL" xfId="3835"/>
    <cellStyle name="出力 2_SKILL" xfId="3836"/>
    <cellStyle name="출력 2_SKILL_CS_Text" xfId="3837"/>
    <cellStyle name="出力 2_SKILL_CS_Text" xfId="3838"/>
    <cellStyle name="출력 20" xfId="3839"/>
    <cellStyle name="出力 20" xfId="3840"/>
    <cellStyle name="출력 20 2" xfId="3841"/>
    <cellStyle name="출력 20 3" xfId="3842"/>
    <cellStyle name="출력 20 4" xfId="3843"/>
    <cellStyle name="출력 21" xfId="3844"/>
    <cellStyle name="出力 21" xfId="3845"/>
    <cellStyle name="출력 21 2" xfId="3846"/>
    <cellStyle name="출력 21 3" xfId="3847"/>
    <cellStyle name="출력 21 4" xfId="3848"/>
    <cellStyle name="출력 22" xfId="3849"/>
    <cellStyle name="出力 22" xfId="3850"/>
    <cellStyle name="출력 22 2" xfId="3851"/>
    <cellStyle name="출력 22 3" xfId="3852"/>
    <cellStyle name="출력 22 4" xfId="3853"/>
    <cellStyle name="출력 23" xfId="3854"/>
    <cellStyle name="出力 23" xfId="3855"/>
    <cellStyle name="출력 23 2" xfId="3856"/>
    <cellStyle name="출력 23 3" xfId="3857"/>
    <cellStyle name="출력 23 4" xfId="3858"/>
    <cellStyle name="출력 24" xfId="3859"/>
    <cellStyle name="出力 24" xfId="3860"/>
    <cellStyle name="출력 24 2" xfId="3861"/>
    <cellStyle name="출력 24 3" xfId="3862"/>
    <cellStyle name="출력 24 4" xfId="3863"/>
    <cellStyle name="출력 25" xfId="3864"/>
    <cellStyle name="出力 25" xfId="3865"/>
    <cellStyle name="출력 25 2" xfId="3866"/>
    <cellStyle name="출력 25 3" xfId="3867"/>
    <cellStyle name="출력 25 4" xfId="3868"/>
    <cellStyle name="출력 26" xfId="3869"/>
    <cellStyle name="出力 26" xfId="3870"/>
    <cellStyle name="출력 26 2" xfId="3871"/>
    <cellStyle name="출력 26 3" xfId="3872"/>
    <cellStyle name="출력 26 4" xfId="3873"/>
    <cellStyle name="출력 27" xfId="3874"/>
    <cellStyle name="出力 27" xfId="3875"/>
    <cellStyle name="출력 27 2" xfId="3876"/>
    <cellStyle name="출력 27 3" xfId="3877"/>
    <cellStyle name="출력 27 4" xfId="3878"/>
    <cellStyle name="출력 28" xfId="3879"/>
    <cellStyle name="出力 28" xfId="3880"/>
    <cellStyle name="출력 28 2" xfId="3881"/>
    <cellStyle name="출력 28 3" xfId="3882"/>
    <cellStyle name="출력 28 4" xfId="3883"/>
    <cellStyle name="출력 29" xfId="3884"/>
    <cellStyle name="出力 29" xfId="3885"/>
    <cellStyle name="출력 29 2" xfId="3886"/>
    <cellStyle name="출력 29 3" xfId="3887"/>
    <cellStyle name="출력 29 4" xfId="3888"/>
    <cellStyle name="출력 3" xfId="3889"/>
    <cellStyle name="出力 3" xfId="3890"/>
    <cellStyle name="出力 3 10" xfId="3891"/>
    <cellStyle name="출력 3 2" xfId="3892"/>
    <cellStyle name="出力 3 2" xfId="3893"/>
    <cellStyle name="출력 3 2 2" xfId="3894"/>
    <cellStyle name="出力 3 2 2" xfId="3895"/>
    <cellStyle name="出力 3 2 2 2" xfId="3896"/>
    <cellStyle name="出力 3 2 2 3" xfId="3897"/>
    <cellStyle name="出力 3 2 2 4" xfId="5946"/>
    <cellStyle name="出力 3 2 2_Table_KOR" xfId="3898"/>
    <cellStyle name="출력 3 2 3" xfId="3899"/>
    <cellStyle name="出力 3 2 3" xfId="3900"/>
    <cellStyle name="出力 3 2 3 2" xfId="3901"/>
    <cellStyle name="出力 3 2 3 3" xfId="3902"/>
    <cellStyle name="出力 3 2 3 4" xfId="5947"/>
    <cellStyle name="出力 3 2 3_Table_KOR" xfId="3903"/>
    <cellStyle name="출력 3 2 4" xfId="3904"/>
    <cellStyle name="出力 3 2 4" xfId="3905"/>
    <cellStyle name="出力 3 2 4 2" xfId="3906"/>
    <cellStyle name="出力 3 2 4 3" xfId="3907"/>
    <cellStyle name="出力 3 2 4 4" xfId="5948"/>
    <cellStyle name="出力 3 2 4_Table_KOR" xfId="3908"/>
    <cellStyle name="출력 3 2 5" xfId="3909"/>
    <cellStyle name="出力 3 2 5" xfId="3910"/>
    <cellStyle name="出力 3 2 5 2" xfId="3911"/>
    <cellStyle name="出力 3 2 5 3" xfId="3912"/>
    <cellStyle name="出力 3 2 5 4" xfId="5949"/>
    <cellStyle name="出力 3 2 5_Table_KOR" xfId="3913"/>
    <cellStyle name="出力 3 2 6" xfId="3914"/>
    <cellStyle name="出力 3 2 7" xfId="3915"/>
    <cellStyle name="出力 3 2 8" xfId="3916"/>
    <cellStyle name="出力 3 2 9" xfId="3917"/>
    <cellStyle name="출력 3 3" xfId="3918"/>
    <cellStyle name="出力 3 3" xfId="3919"/>
    <cellStyle name="출력 3 3 2" xfId="3920"/>
    <cellStyle name="出力 3 3 2" xfId="3921"/>
    <cellStyle name="出力 3 3 2 2" xfId="3922"/>
    <cellStyle name="出力 3 3 2 3" xfId="3923"/>
    <cellStyle name="出力 3 3 2 4" xfId="5950"/>
    <cellStyle name="出力 3 3 2_Table_KOR" xfId="3924"/>
    <cellStyle name="출력 3 3 3" xfId="3925"/>
    <cellStyle name="出力 3 3 3" xfId="3926"/>
    <cellStyle name="出力 3 3 3 2" xfId="3927"/>
    <cellStyle name="出力 3 3 3 3" xfId="3928"/>
    <cellStyle name="出力 3 3 3 4" xfId="5951"/>
    <cellStyle name="出力 3 3 3_Table_KOR" xfId="3929"/>
    <cellStyle name="출력 3 3 4" xfId="3930"/>
    <cellStyle name="出力 3 3 4" xfId="3931"/>
    <cellStyle name="出力 3 3 4 2" xfId="3932"/>
    <cellStyle name="出力 3 3 4 3" xfId="3933"/>
    <cellStyle name="出力 3 3 4 4" xfId="5952"/>
    <cellStyle name="出力 3 3 4_Table_KOR" xfId="3934"/>
    <cellStyle name="출력 3 3 5" xfId="3935"/>
    <cellStyle name="出力 3 3 5" xfId="3936"/>
    <cellStyle name="出力 3 3 5 2" xfId="3937"/>
    <cellStyle name="出力 3 3 5 3" xfId="3938"/>
    <cellStyle name="出力 3 3 5 4" xfId="5954"/>
    <cellStyle name="出力 3 3 5_Table_KOR" xfId="3939"/>
    <cellStyle name="出力 3 3 6" xfId="3940"/>
    <cellStyle name="出力 3 3 7" xfId="3941"/>
    <cellStyle name="出力 3 3 8" xfId="3942"/>
    <cellStyle name="出力 3 3 9" xfId="3943"/>
    <cellStyle name="출력 3 4" xfId="3944"/>
    <cellStyle name="出力 3 4" xfId="3945"/>
    <cellStyle name="出力 3 4 2" xfId="3946"/>
    <cellStyle name="출력 3 5" xfId="3947"/>
    <cellStyle name="出力 3 5" xfId="3948"/>
    <cellStyle name="出力 3 5 2" xfId="3949"/>
    <cellStyle name="출력 3 6" xfId="3950"/>
    <cellStyle name="出力 3 6" xfId="3951"/>
    <cellStyle name="出力 3 6 2" xfId="3952"/>
    <cellStyle name="出力 3 6 3" xfId="3953"/>
    <cellStyle name="出力 3 6 4" xfId="5955"/>
    <cellStyle name="出力 3 6_Table_KOR" xfId="3954"/>
    <cellStyle name="출력 3 7" xfId="3955"/>
    <cellStyle name="出力 3 7" xfId="3956"/>
    <cellStyle name="出力 3 7 2" xfId="3957"/>
    <cellStyle name="出力 3 7 3" xfId="3958"/>
    <cellStyle name="出力 3 7 4" xfId="5957"/>
    <cellStyle name="出力 3 7_Table_KOR" xfId="3959"/>
    <cellStyle name="出力 3 8" xfId="3960"/>
    <cellStyle name="出力 3 8 2" xfId="3961"/>
    <cellStyle name="出力 3 8 3" xfId="3962"/>
    <cellStyle name="出力 3 8 4" xfId="5959"/>
    <cellStyle name="出力 3 8_Table_KOR" xfId="3963"/>
    <cellStyle name="出力 3 9" xfId="3964"/>
    <cellStyle name="出力 3 9 2" xfId="3965"/>
    <cellStyle name="出力 3 9 3" xfId="3966"/>
    <cellStyle name="出力 3 9 4" xfId="5960"/>
    <cellStyle name="出力 3 9_Table_KOR" xfId="3967"/>
    <cellStyle name="出力 3_etc_data" xfId="3968"/>
    <cellStyle name="출력 3_ITEM" xfId="3969"/>
    <cellStyle name="出力 3_ITEM" xfId="3970"/>
    <cellStyle name="출력 3_ITEM_1" xfId="3971"/>
    <cellStyle name="出力 3_ITEM_1" xfId="3972"/>
    <cellStyle name="출력 3_ITEM_1_CS_Text" xfId="3973"/>
    <cellStyle name="出力 3_ITEM_1_CS_Text" xfId="3974"/>
    <cellStyle name="출력 3_ITEM_2" xfId="3975"/>
    <cellStyle name="出力 3_ITEM_2" xfId="3976"/>
    <cellStyle name="출력 3_ITEM_CS_Text" xfId="3977"/>
    <cellStyle name="出力 3_ITEM_CS_Text" xfId="3978"/>
    <cellStyle name="출력 3_Sheet1" xfId="3979"/>
    <cellStyle name="出力 3_Sheet1" xfId="3980"/>
    <cellStyle name="출력 3_SKILL" xfId="3981"/>
    <cellStyle name="出力 3_SKILL" xfId="3982"/>
    <cellStyle name="출력 3_SKILL_CS_Text" xfId="3983"/>
    <cellStyle name="出力 3_SKILL_CS_Text" xfId="3984"/>
    <cellStyle name="출력 30" xfId="3985"/>
    <cellStyle name="出力 30" xfId="3986"/>
    <cellStyle name="출력 30 2" xfId="3987"/>
    <cellStyle name="출력 30 3" xfId="3988"/>
    <cellStyle name="출력 30 4" xfId="3989"/>
    <cellStyle name="출력 31" xfId="3990"/>
    <cellStyle name="出力 31" xfId="3991"/>
    <cellStyle name="출력 31 10" xfId="7158"/>
    <cellStyle name="출력 31 11" xfId="6948"/>
    <cellStyle name="출력 31 2" xfId="3992"/>
    <cellStyle name="出力 31 2" xfId="7159"/>
    <cellStyle name="출력 31 2 2" xfId="7160"/>
    <cellStyle name="출력 31 2 3" xfId="7471"/>
    <cellStyle name="출력 31 3" xfId="3993"/>
    <cellStyle name="出力 31 3" xfId="7470"/>
    <cellStyle name="출력 31 3 2" xfId="7161"/>
    <cellStyle name="출력 31 3 3" xfId="7472"/>
    <cellStyle name="출력 31 4" xfId="3994"/>
    <cellStyle name="출력 31 4 2" xfId="7162"/>
    <cellStyle name="출력 31 4 3" xfId="7473"/>
    <cellStyle name="출력 31 5" xfId="6383"/>
    <cellStyle name="출력 31 6" xfId="5964"/>
    <cellStyle name="출력 31 7" xfId="6892"/>
    <cellStyle name="출력 31 8" xfId="5234"/>
    <cellStyle name="출력 31 9" xfId="5793"/>
    <cellStyle name="출력 32" xfId="3995"/>
    <cellStyle name="出力 32" xfId="3996"/>
    <cellStyle name="출력 32 10" xfId="7163"/>
    <cellStyle name="출력 32 11" xfId="6949"/>
    <cellStyle name="출력 32 2" xfId="3997"/>
    <cellStyle name="出力 32 2" xfId="7164"/>
    <cellStyle name="출력 32 2 2" xfId="7165"/>
    <cellStyle name="출력 32 2 3" xfId="7475"/>
    <cellStyle name="출력 32 3" xfId="3998"/>
    <cellStyle name="出力 32 3" xfId="7474"/>
    <cellStyle name="출력 32 3 2" xfId="7166"/>
    <cellStyle name="출력 32 3 3" xfId="7476"/>
    <cellStyle name="출력 32 4" xfId="3999"/>
    <cellStyle name="출력 32 4 2" xfId="7167"/>
    <cellStyle name="출력 32 4 3" xfId="7477"/>
    <cellStyle name="출력 32 5" xfId="6384"/>
    <cellStyle name="출력 32 6" xfId="5965"/>
    <cellStyle name="출력 32 7" xfId="6913"/>
    <cellStyle name="출력 32 8" xfId="5235"/>
    <cellStyle name="출력 32 9" xfId="5792"/>
    <cellStyle name="출력 33" xfId="4000"/>
    <cellStyle name="出力 33" xfId="4001"/>
    <cellStyle name="출력 33 10" xfId="5966"/>
    <cellStyle name="출력 33 11" xfId="6912"/>
    <cellStyle name="출력 33 12" xfId="5236"/>
    <cellStyle name="출력 33 13" xfId="5791"/>
    <cellStyle name="출력 33 14" xfId="7168"/>
    <cellStyle name="출력 33 15" xfId="6950"/>
    <cellStyle name="출력 33 2" xfId="4002"/>
    <cellStyle name="出力 33 2" xfId="7169"/>
    <cellStyle name="출력 33 2 2" xfId="7170"/>
    <cellStyle name="출력 33 2 3" xfId="7479"/>
    <cellStyle name="출력 33 3" xfId="4003"/>
    <cellStyle name="出力 33 3" xfId="7478"/>
    <cellStyle name="출력 33 3 2" xfId="7171"/>
    <cellStyle name="출력 33 3 3" xfId="7480"/>
    <cellStyle name="출력 33 4" xfId="4004"/>
    <cellStyle name="출력 33 4 2" xfId="7172"/>
    <cellStyle name="출력 33 4 3" xfId="7481"/>
    <cellStyle name="출력 33 5" xfId="4005"/>
    <cellStyle name="출력 33 5 2" xfId="7173"/>
    <cellStyle name="출력 33 5 3" xfId="7482"/>
    <cellStyle name="출력 33 6" xfId="4006"/>
    <cellStyle name="출력 33 6 2" xfId="7174"/>
    <cellStyle name="출력 33 6 3" xfId="7483"/>
    <cellStyle name="출력 33 7" xfId="4007"/>
    <cellStyle name="출력 33 7 2" xfId="7176"/>
    <cellStyle name="출력 33 7 3" xfId="7484"/>
    <cellStyle name="출력 33 8" xfId="4008"/>
    <cellStyle name="출력 33 8 2" xfId="7177"/>
    <cellStyle name="출력 33 8 3" xfId="7485"/>
    <cellStyle name="출력 33 9" xfId="6385"/>
    <cellStyle name="출력 34" xfId="4009"/>
    <cellStyle name="出力 34" xfId="4010"/>
    <cellStyle name="출력 34 10" xfId="5967"/>
    <cellStyle name="출력 34 11" xfId="6911"/>
    <cellStyle name="출력 34 12" xfId="5237"/>
    <cellStyle name="출력 34 13" xfId="5790"/>
    <cellStyle name="출력 34 14" xfId="7178"/>
    <cellStyle name="출력 34 15" xfId="6951"/>
    <cellStyle name="출력 34 2" xfId="4011"/>
    <cellStyle name="出力 34 2" xfId="7179"/>
    <cellStyle name="출력 34 2 2" xfId="7180"/>
    <cellStyle name="출력 34 2 3" xfId="7487"/>
    <cellStyle name="출력 34 3" xfId="4012"/>
    <cellStyle name="出力 34 3" xfId="7486"/>
    <cellStyle name="출력 34 3 2" xfId="7181"/>
    <cellStyle name="출력 34 3 3" xfId="7488"/>
    <cellStyle name="출력 34 4" xfId="4013"/>
    <cellStyle name="출력 34 4 2" xfId="7182"/>
    <cellStyle name="출력 34 4 3" xfId="7489"/>
    <cellStyle name="출력 34 5" xfId="4014"/>
    <cellStyle name="출력 34 5 2" xfId="7183"/>
    <cellStyle name="출력 34 5 3" xfId="7490"/>
    <cellStyle name="출력 34 6" xfId="4015"/>
    <cellStyle name="출력 34 6 2" xfId="7184"/>
    <cellStyle name="출력 34 6 3" xfId="7491"/>
    <cellStyle name="출력 34 7" xfId="4016"/>
    <cellStyle name="출력 34 7 2" xfId="7185"/>
    <cellStyle name="출력 34 7 3" xfId="7492"/>
    <cellStyle name="출력 34 8" xfId="4017"/>
    <cellStyle name="출력 34 8 2" xfId="7186"/>
    <cellStyle name="출력 34 8 3" xfId="7493"/>
    <cellStyle name="출력 34 9" xfId="6386"/>
    <cellStyle name="출력 35" xfId="4018"/>
    <cellStyle name="出力 35" xfId="4019"/>
    <cellStyle name="출력 35 10" xfId="5968"/>
    <cellStyle name="출력 35 11" xfId="6891"/>
    <cellStyle name="출력 35 12" xfId="5238"/>
    <cellStyle name="출력 35 13" xfId="5789"/>
    <cellStyle name="출력 35 14" xfId="7187"/>
    <cellStyle name="출력 35 15" xfId="6952"/>
    <cellStyle name="출력 35 2" xfId="4020"/>
    <cellStyle name="出力 35 2" xfId="7188"/>
    <cellStyle name="출력 35 2 2" xfId="7189"/>
    <cellStyle name="출력 35 2 3" xfId="7495"/>
    <cellStyle name="출력 35 3" xfId="4021"/>
    <cellStyle name="出力 35 3" xfId="7494"/>
    <cellStyle name="출력 35 3 2" xfId="7190"/>
    <cellStyle name="출력 35 3 3" xfId="7496"/>
    <cellStyle name="출력 35 4" xfId="4022"/>
    <cellStyle name="출력 35 4 2" xfId="7191"/>
    <cellStyle name="출력 35 4 3" xfId="7497"/>
    <cellStyle name="출력 35 5" xfId="4023"/>
    <cellStyle name="출력 35 5 2" xfId="7192"/>
    <cellStyle name="출력 35 5 3" xfId="7498"/>
    <cellStyle name="출력 35 6" xfId="4024"/>
    <cellStyle name="출력 35 6 2" xfId="7193"/>
    <cellStyle name="출력 35 6 3" xfId="7499"/>
    <cellStyle name="출력 35 7" xfId="4025"/>
    <cellStyle name="출력 35 7 2" xfId="7194"/>
    <cellStyle name="출력 35 7 3" xfId="7500"/>
    <cellStyle name="출력 35 8" xfId="4026"/>
    <cellStyle name="출력 35 8 2" xfId="7195"/>
    <cellStyle name="출력 35 8 3" xfId="7501"/>
    <cellStyle name="출력 35 9" xfId="6387"/>
    <cellStyle name="출력 36" xfId="4027"/>
    <cellStyle name="出力 36" xfId="4028"/>
    <cellStyle name="출력 36 10" xfId="5969"/>
    <cellStyle name="출력 36 11" xfId="6890"/>
    <cellStyle name="출력 36 12" xfId="5239"/>
    <cellStyle name="출력 36 13" xfId="5230"/>
    <cellStyle name="출력 36 14" xfId="7196"/>
    <cellStyle name="출력 36 15" xfId="6953"/>
    <cellStyle name="출력 36 2" xfId="4029"/>
    <cellStyle name="出力 36 2" xfId="7197"/>
    <cellStyle name="출력 36 2 2" xfId="7198"/>
    <cellStyle name="출력 36 2 3" xfId="7503"/>
    <cellStyle name="출력 36 3" xfId="4030"/>
    <cellStyle name="出力 36 3" xfId="7502"/>
    <cellStyle name="출력 36 3 2" xfId="7199"/>
    <cellStyle name="출력 36 3 3" xfId="7504"/>
    <cellStyle name="출력 36 4" xfId="4031"/>
    <cellStyle name="출력 36 4 2" xfId="7200"/>
    <cellStyle name="출력 36 4 3" xfId="7505"/>
    <cellStyle name="출력 36 5" xfId="4032"/>
    <cellStyle name="출력 36 5 2" xfId="7201"/>
    <cellStyle name="출력 36 5 3" xfId="7506"/>
    <cellStyle name="출력 36 6" xfId="4033"/>
    <cellStyle name="출력 36 6 2" xfId="7202"/>
    <cellStyle name="출력 36 6 3" xfId="7507"/>
    <cellStyle name="출력 36 7" xfId="4034"/>
    <cellStyle name="출력 36 7 2" xfId="7203"/>
    <cellStyle name="출력 36 7 3" xfId="7508"/>
    <cellStyle name="출력 36 8" xfId="4035"/>
    <cellStyle name="출력 36 8 2" xfId="7204"/>
    <cellStyle name="출력 36 8 3" xfId="7509"/>
    <cellStyle name="출력 36 9" xfId="6388"/>
    <cellStyle name="출력 37" xfId="4036"/>
    <cellStyle name="出力 37" xfId="4037"/>
    <cellStyle name="출력 37 2" xfId="4038"/>
    <cellStyle name="出力 37 2" xfId="7208"/>
    <cellStyle name="출력 37 2 2" xfId="7209"/>
    <cellStyle name="출력 37 2 3" xfId="7511"/>
    <cellStyle name="출력 37 3" xfId="6389"/>
    <cellStyle name="出力 37 3" xfId="7510"/>
    <cellStyle name="출력 37 4" xfId="5970"/>
    <cellStyle name="출력 37 5" xfId="6889"/>
    <cellStyle name="출력 37 6" xfId="5240"/>
    <cellStyle name="출력 37 7" xfId="5788"/>
    <cellStyle name="출력 37 8" xfId="7207"/>
    <cellStyle name="출력 37 9" xfId="6954"/>
    <cellStyle name="출력 38" xfId="4039"/>
    <cellStyle name="出力 38" xfId="4040"/>
    <cellStyle name="출력 38 2" xfId="4041"/>
    <cellStyle name="出力 38 2" xfId="7211"/>
    <cellStyle name="출력 38 2 2" xfId="7212"/>
    <cellStyle name="출력 38 2 3" xfId="7513"/>
    <cellStyle name="출력 38 3" xfId="6390"/>
    <cellStyle name="出力 38 3" xfId="7512"/>
    <cellStyle name="출력 38 4" xfId="5971"/>
    <cellStyle name="출력 38 5" xfId="6910"/>
    <cellStyle name="출력 38 6" xfId="5241"/>
    <cellStyle name="출력 38 7" xfId="5787"/>
    <cellStyle name="출력 38 8" xfId="7210"/>
    <cellStyle name="출력 38 9" xfId="6955"/>
    <cellStyle name="출력 39" xfId="4042"/>
    <cellStyle name="출력 39 2" xfId="4043"/>
    <cellStyle name="출력 39 2 2" xfId="7214"/>
    <cellStyle name="출력 39 2 3" xfId="7514"/>
    <cellStyle name="출력 39 3" xfId="4044"/>
    <cellStyle name="출력 39 3 2" xfId="7215"/>
    <cellStyle name="출력 39 3 3" xfId="7515"/>
    <cellStyle name="출력 39 4" xfId="6391"/>
    <cellStyle name="출력 39 5" xfId="5972"/>
    <cellStyle name="출력 39 6" xfId="5242"/>
    <cellStyle name="출력 39 7" xfId="7213"/>
    <cellStyle name="출력 4" xfId="4045"/>
    <cellStyle name="出力 4" xfId="4046"/>
    <cellStyle name="출력 4 10" xfId="4047"/>
    <cellStyle name="출력 4 10 2" xfId="7218"/>
    <cellStyle name="출력 4 10 3" xfId="7516"/>
    <cellStyle name="출력 4 11" xfId="4048"/>
    <cellStyle name="출력 4 11 2" xfId="7219"/>
    <cellStyle name="출력 4 11 3" xfId="7517"/>
    <cellStyle name="출력 4 12" xfId="4049"/>
    <cellStyle name="출력 4 12 2" xfId="7220"/>
    <cellStyle name="출력 4 12 3" xfId="7518"/>
    <cellStyle name="출력 4 13" xfId="4050"/>
    <cellStyle name="출력 4 13 2" xfId="7221"/>
    <cellStyle name="출력 4 13 3" xfId="7519"/>
    <cellStyle name="출력 4 14" xfId="4051"/>
    <cellStyle name="출력 4 14 2" xfId="7222"/>
    <cellStyle name="출력 4 14 3" xfId="7520"/>
    <cellStyle name="출력 4 15" xfId="4052"/>
    <cellStyle name="출력 4 15 2" xfId="7223"/>
    <cellStyle name="출력 4 15 3" xfId="7521"/>
    <cellStyle name="출력 4 16" xfId="4053"/>
    <cellStyle name="출력 4 16 2" xfId="7224"/>
    <cellStyle name="출력 4 16 3" xfId="7522"/>
    <cellStyle name="출력 4 17" xfId="4054"/>
    <cellStyle name="출력 4 17 2" xfId="7225"/>
    <cellStyle name="출력 4 17 3" xfId="7523"/>
    <cellStyle name="출력 4 18" xfId="4055"/>
    <cellStyle name="출력 4 18 2" xfId="7226"/>
    <cellStyle name="출력 4 18 3" xfId="7524"/>
    <cellStyle name="출력 4 19" xfId="4056"/>
    <cellStyle name="출력 4 19 2" xfId="7227"/>
    <cellStyle name="출력 4 19 3" xfId="7525"/>
    <cellStyle name="출력 4 2" xfId="4057"/>
    <cellStyle name="出力 4 2" xfId="4058"/>
    <cellStyle name="출력 4 2 10" xfId="4059"/>
    <cellStyle name="出力 4 2 10" xfId="5860"/>
    <cellStyle name="출력 4 2 10 2" xfId="7230"/>
    <cellStyle name="출력 4 2 10 3" xfId="7527"/>
    <cellStyle name="출력 4 2 11" xfId="7228"/>
    <cellStyle name="出力 4 2 11" xfId="5889"/>
    <cellStyle name="출력 4 2 12" xfId="7526"/>
    <cellStyle name="出力 4 2 12" xfId="5850"/>
    <cellStyle name="出力 4 2 13" xfId="6845"/>
    <cellStyle name="出力 4 2 14" xfId="6938"/>
    <cellStyle name="出力 4 2 15" xfId="6909"/>
    <cellStyle name="出力 4 2 16" xfId="5245"/>
    <cellStyle name="出力 4 2 17" xfId="5783"/>
    <cellStyle name="出力 4 2 18" xfId="7229"/>
    <cellStyle name="出力 4 2 19" xfId="6958"/>
    <cellStyle name="출력 4 2 2" xfId="4060"/>
    <cellStyle name="出力 4 2 2" xfId="4061"/>
    <cellStyle name="출력 4 2 2 2" xfId="7231"/>
    <cellStyle name="出力 4 2 2 2" xfId="6395"/>
    <cellStyle name="출력 4 2 2 3" xfId="7528"/>
    <cellStyle name="出力 4 2 2 3" xfId="5976"/>
    <cellStyle name="出力 4 2 2 4" xfId="5246"/>
    <cellStyle name="出力 4 2 2 5" xfId="7232"/>
    <cellStyle name="출력 4 2 3" xfId="4062"/>
    <cellStyle name="出力 4 2 3" xfId="4063"/>
    <cellStyle name="출력 4 2 3 2" xfId="7233"/>
    <cellStyle name="出力 4 2 3 2" xfId="7234"/>
    <cellStyle name="출력 4 2 3 3" xfId="7529"/>
    <cellStyle name="出力 4 2 3 3" xfId="7530"/>
    <cellStyle name="출력 4 2 4" xfId="4064"/>
    <cellStyle name="出力 4 2 4" xfId="6394"/>
    <cellStyle name="출력 4 2 4 2" xfId="7235"/>
    <cellStyle name="출력 4 2 4 3" xfId="7531"/>
    <cellStyle name="출력 4 2 5" xfId="4065"/>
    <cellStyle name="出力 4 2 5" xfId="5975"/>
    <cellStyle name="출력 4 2 5 2" xfId="7236"/>
    <cellStyle name="출력 4 2 5 3" xfId="7532"/>
    <cellStyle name="출력 4 2 6" xfId="4066"/>
    <cellStyle name="出力 4 2 6" xfId="5869"/>
    <cellStyle name="출력 4 2 6 2" xfId="7237"/>
    <cellStyle name="출력 4 2 6 3" xfId="7533"/>
    <cellStyle name="출력 4 2 7" xfId="4067"/>
    <cellStyle name="出力 4 2 7" xfId="5953"/>
    <cellStyle name="출력 4 2 7 2" xfId="7238"/>
    <cellStyle name="출력 4 2 7 3" xfId="7534"/>
    <cellStyle name="출력 4 2 8" xfId="4068"/>
    <cellStyle name="出力 4 2 8" xfId="5868"/>
    <cellStyle name="출력 4 2 8 2" xfId="7239"/>
    <cellStyle name="출력 4 2 8 3" xfId="7535"/>
    <cellStyle name="출력 4 2 9" xfId="4069"/>
    <cellStyle name="出力 4 2 9" xfId="5962"/>
    <cellStyle name="출력 4 2 9 2" xfId="7240"/>
    <cellStyle name="출력 4 2 9 3" xfId="7536"/>
    <cellStyle name="出力 4 2_Table_KOR" xfId="4070"/>
    <cellStyle name="출력 4 20" xfId="4071"/>
    <cellStyle name="출력 4 20 2" xfId="7241"/>
    <cellStyle name="출력 4 20 3" xfId="7537"/>
    <cellStyle name="출력 4 21" xfId="4072"/>
    <cellStyle name="출력 4 21 2" xfId="7242"/>
    <cellStyle name="출력 4 21 3" xfId="7538"/>
    <cellStyle name="출력 4 22" xfId="4073"/>
    <cellStyle name="출력 4 22 2" xfId="7243"/>
    <cellStyle name="출력 4 22 3" xfId="7539"/>
    <cellStyle name="출력 4 23" xfId="4074"/>
    <cellStyle name="출력 4 23 2" xfId="7244"/>
    <cellStyle name="출력 4 23 3" xfId="7540"/>
    <cellStyle name="출력 4 24" xfId="4075"/>
    <cellStyle name="출력 4 24 2" xfId="7245"/>
    <cellStyle name="출력 4 24 3" xfId="7541"/>
    <cellStyle name="출력 4 25" xfId="4076"/>
    <cellStyle name="출력 4 25 2" xfId="7246"/>
    <cellStyle name="출력 4 25 3" xfId="7542"/>
    <cellStyle name="출력 4 26" xfId="4077"/>
    <cellStyle name="출력 4 26 2" xfId="7247"/>
    <cellStyle name="출력 4 26 3" xfId="7543"/>
    <cellStyle name="출력 4 27" xfId="4078"/>
    <cellStyle name="출력 4 27 2" xfId="7248"/>
    <cellStyle name="출력 4 27 3" xfId="7544"/>
    <cellStyle name="출력 4 28" xfId="4079"/>
    <cellStyle name="출력 4 28 2" xfId="7249"/>
    <cellStyle name="출력 4 28 3" xfId="7545"/>
    <cellStyle name="출력 4 29" xfId="4080"/>
    <cellStyle name="출력 4 29 2" xfId="7251"/>
    <cellStyle name="출력 4 29 3" xfId="7546"/>
    <cellStyle name="출력 4 3" xfId="4081"/>
    <cellStyle name="出力 4 3" xfId="6393"/>
    <cellStyle name="출력 4 3 2" xfId="4082"/>
    <cellStyle name="출력 4 3 2 2" xfId="7253"/>
    <cellStyle name="출력 4 3 2 3" xfId="7548"/>
    <cellStyle name="출력 4 3 3" xfId="7252"/>
    <cellStyle name="출력 4 3 4" xfId="7547"/>
    <cellStyle name="출력 4 30" xfId="4083"/>
    <cellStyle name="출력 4 30 2" xfId="7254"/>
    <cellStyle name="출력 4 30 3" xfId="7549"/>
    <cellStyle name="출력 4 31" xfId="4084"/>
    <cellStyle name="출력 4 31 2" xfId="7255"/>
    <cellStyle name="출력 4 31 3" xfId="7550"/>
    <cellStyle name="출력 4 32" xfId="4085"/>
    <cellStyle name="출력 4 32 2" xfId="7256"/>
    <cellStyle name="출력 4 32 3" xfId="7551"/>
    <cellStyle name="출력 4 33" xfId="4086"/>
    <cellStyle name="출력 4 33 2" xfId="7257"/>
    <cellStyle name="출력 4 33 3" xfId="7552"/>
    <cellStyle name="출력 4 34" xfId="4087"/>
    <cellStyle name="출력 4 34 2" xfId="7258"/>
    <cellStyle name="출력 4 34 3" xfId="7553"/>
    <cellStyle name="출력 4 35" xfId="4088"/>
    <cellStyle name="출력 4 35 2" xfId="7259"/>
    <cellStyle name="출력 4 35 3" xfId="7554"/>
    <cellStyle name="출력 4 36" xfId="4089"/>
    <cellStyle name="출력 4 36 2" xfId="7260"/>
    <cellStyle name="출력 4 36 3" xfId="7555"/>
    <cellStyle name="출력 4 37" xfId="4090"/>
    <cellStyle name="출력 4 37 2" xfId="7261"/>
    <cellStyle name="출력 4 37 3" xfId="7556"/>
    <cellStyle name="출력 4 38" xfId="4091"/>
    <cellStyle name="출력 4 38 2" xfId="7262"/>
    <cellStyle name="출력 4 38 3" xfId="7557"/>
    <cellStyle name="출력 4 39" xfId="4092"/>
    <cellStyle name="출력 4 4" xfId="4093"/>
    <cellStyle name="出力 4 4" xfId="5974"/>
    <cellStyle name="출력 4 4 2" xfId="7263"/>
    <cellStyle name="출력 4 4 3" xfId="7558"/>
    <cellStyle name="출력 4 40" xfId="4094"/>
    <cellStyle name="출력 4 41" xfId="4095"/>
    <cellStyle name="출력 4 42" xfId="4096"/>
    <cellStyle name="출력 4 43" xfId="4097"/>
    <cellStyle name="출력 4 44" xfId="4098"/>
    <cellStyle name="출력 4 45" xfId="6392"/>
    <cellStyle name="출력 4 46" xfId="5973"/>
    <cellStyle name="출력 4 47" xfId="6888"/>
    <cellStyle name="출력 4 48" xfId="5243"/>
    <cellStyle name="출력 4 49" xfId="5785"/>
    <cellStyle name="출력 4 5" xfId="4099"/>
    <cellStyle name="出力 4 5" xfId="6916"/>
    <cellStyle name="출력 4 5 2" xfId="7264"/>
    <cellStyle name="출력 4 5 3" xfId="7559"/>
    <cellStyle name="출력 4 50" xfId="7216"/>
    <cellStyle name="출력 4 51" xfId="6956"/>
    <cellStyle name="출력 4 6" xfId="4100"/>
    <cellStyle name="出力 4 6" xfId="5244"/>
    <cellStyle name="출력 4 6 2" xfId="7265"/>
    <cellStyle name="출력 4 6 3" xfId="7560"/>
    <cellStyle name="출력 4 7" xfId="4101"/>
    <cellStyle name="出力 4 7" xfId="5784"/>
    <cellStyle name="출력 4 7 2" xfId="7266"/>
    <cellStyle name="출력 4 7 3" xfId="7561"/>
    <cellStyle name="출력 4 8" xfId="4102"/>
    <cellStyle name="出力 4 8" xfId="7217"/>
    <cellStyle name="출력 4 8 2" xfId="7267"/>
    <cellStyle name="출력 4 8 3" xfId="7562"/>
    <cellStyle name="출력 4 9" xfId="4103"/>
    <cellStyle name="出力 4 9" xfId="6957"/>
    <cellStyle name="출력 4 9 2" xfId="7268"/>
    <cellStyle name="출력 4 9 3" xfId="7563"/>
    <cellStyle name="출력 40" xfId="4104"/>
    <cellStyle name="출력 40 2" xfId="4105"/>
    <cellStyle name="출력 40 2 2" xfId="7270"/>
    <cellStyle name="출력 40 2 3" xfId="7564"/>
    <cellStyle name="출력 40 3" xfId="6396"/>
    <cellStyle name="출력 40 4" xfId="5977"/>
    <cellStyle name="출력 40 5" xfId="5247"/>
    <cellStyle name="출력 40 6" xfId="7269"/>
    <cellStyle name="출력 41" xfId="4106"/>
    <cellStyle name="출력 41 2" xfId="4107"/>
    <cellStyle name="출력 41 2 2" xfId="7272"/>
    <cellStyle name="출력 41 2 3" xfId="7565"/>
    <cellStyle name="출력 41 3" xfId="6397"/>
    <cellStyle name="출력 41 4" xfId="5978"/>
    <cellStyle name="출력 41 5" xfId="5248"/>
    <cellStyle name="출력 41 6" xfId="7271"/>
    <cellStyle name="출력 42" xfId="4108"/>
    <cellStyle name="출력 42 2" xfId="6398"/>
    <cellStyle name="출력 42 3" xfId="5979"/>
    <cellStyle name="출력 42 4" xfId="5249"/>
    <cellStyle name="출력 42 5" xfId="7273"/>
    <cellStyle name="출력 43" xfId="4109"/>
    <cellStyle name="출력 43 2" xfId="6399"/>
    <cellStyle name="출력 43 3" xfId="5980"/>
    <cellStyle name="출력 43 4" xfId="5250"/>
    <cellStyle name="출력 43 5" xfId="7274"/>
    <cellStyle name="출력 44" xfId="4110"/>
    <cellStyle name="출력 44 2" xfId="6400"/>
    <cellStyle name="출력 44 3" xfId="5981"/>
    <cellStyle name="출력 44 4" xfId="5251"/>
    <cellStyle name="출력 44 5" xfId="7275"/>
    <cellStyle name="출력 45" xfId="4111"/>
    <cellStyle name="출력 45 2" xfId="6401"/>
    <cellStyle name="출력 45 3" xfId="5982"/>
    <cellStyle name="출력 45 4" xfId="5252"/>
    <cellStyle name="출력 45 5" xfId="7276"/>
    <cellStyle name="출력 46" xfId="4112"/>
    <cellStyle name="출력 46 2" xfId="7277"/>
    <cellStyle name="출력 46 3" xfId="7566"/>
    <cellStyle name="출력 47" xfId="4113"/>
    <cellStyle name="출력 47 2" xfId="7278"/>
    <cellStyle name="출력 47 3" xfId="7567"/>
    <cellStyle name="출력 48" xfId="4114"/>
    <cellStyle name="출력 48 2" xfId="7279"/>
    <cellStyle name="출력 48 3" xfId="7568"/>
    <cellStyle name="출력 49" xfId="4115"/>
    <cellStyle name="출력 49 2" xfId="7280"/>
    <cellStyle name="출력 49 3" xfId="7569"/>
    <cellStyle name="출력 5" xfId="4116"/>
    <cellStyle name="出力 5" xfId="4117"/>
    <cellStyle name="출력 5 10" xfId="4118"/>
    <cellStyle name="출력 5 10 2" xfId="7283"/>
    <cellStyle name="출력 5 10 3" xfId="7570"/>
    <cellStyle name="출력 5 11" xfId="4119"/>
    <cellStyle name="출력 5 11 2" xfId="7284"/>
    <cellStyle name="출력 5 11 3" xfId="7571"/>
    <cellStyle name="출력 5 12" xfId="4120"/>
    <cellStyle name="출력 5 12 2" xfId="7285"/>
    <cellStyle name="출력 5 12 3" xfId="7572"/>
    <cellStyle name="출력 5 13" xfId="4121"/>
    <cellStyle name="출력 5 13 2" xfId="7286"/>
    <cellStyle name="출력 5 13 3" xfId="7573"/>
    <cellStyle name="출력 5 14" xfId="4122"/>
    <cellStyle name="출력 5 14 2" xfId="7287"/>
    <cellStyle name="출력 5 14 3" xfId="7574"/>
    <cellStyle name="출력 5 15" xfId="4123"/>
    <cellStyle name="출력 5 15 2" xfId="7288"/>
    <cellStyle name="출력 5 15 3" xfId="7575"/>
    <cellStyle name="출력 5 16" xfId="4124"/>
    <cellStyle name="출력 5 16 2" xfId="7289"/>
    <cellStyle name="출력 5 16 3" xfId="7576"/>
    <cellStyle name="출력 5 17" xfId="4125"/>
    <cellStyle name="출력 5 17 2" xfId="7290"/>
    <cellStyle name="출력 5 17 3" xfId="7577"/>
    <cellStyle name="출력 5 18" xfId="4126"/>
    <cellStyle name="출력 5 18 2" xfId="7291"/>
    <cellStyle name="출력 5 18 3" xfId="7578"/>
    <cellStyle name="출력 5 19" xfId="4127"/>
    <cellStyle name="출력 5 19 2" xfId="7292"/>
    <cellStyle name="출력 5 19 3" xfId="7579"/>
    <cellStyle name="출력 5 2" xfId="4128"/>
    <cellStyle name="出力 5 2" xfId="4129"/>
    <cellStyle name="출력 5 2 10" xfId="7580"/>
    <cellStyle name="出力 5 2 10" xfId="5857"/>
    <cellStyle name="出力 5 2 11" xfId="6812"/>
    <cellStyle name="出力 5 2 12" xfId="5255"/>
    <cellStyle name="出力 5 2 13" xfId="7294"/>
    <cellStyle name="출력 5 2 2" xfId="4130"/>
    <cellStyle name="出力 5 2 2" xfId="4131"/>
    <cellStyle name="출력 5 2 2 2" xfId="7295"/>
    <cellStyle name="出力 5 2 2 2" xfId="6405"/>
    <cellStyle name="출력 5 2 2 3" xfId="7581"/>
    <cellStyle name="出力 5 2 2 3" xfId="5986"/>
    <cellStyle name="出力 5 2 2 4" xfId="5256"/>
    <cellStyle name="出力 5 2 2 5" xfId="7296"/>
    <cellStyle name="출력 5 2 3" xfId="4132"/>
    <cellStyle name="出力 5 2 3" xfId="4133"/>
    <cellStyle name="출력 5 2 3 2" xfId="7298"/>
    <cellStyle name="出力 5 2 3 2" xfId="7299"/>
    <cellStyle name="출력 5 2 3 3" xfId="7582"/>
    <cellStyle name="出力 5 2 3 3" xfId="7583"/>
    <cellStyle name="출력 5 2 4" xfId="4134"/>
    <cellStyle name="出力 5 2 4" xfId="6404"/>
    <cellStyle name="출력 5 2 4 2" xfId="7300"/>
    <cellStyle name="출력 5 2 4 3" xfId="7584"/>
    <cellStyle name="출력 5 2 5" xfId="4135"/>
    <cellStyle name="出力 5 2 5" xfId="5985"/>
    <cellStyle name="출력 5 2 5 2" xfId="7301"/>
    <cellStyle name="출력 5 2 5 3" xfId="7585"/>
    <cellStyle name="출력 5 2 6" xfId="4136"/>
    <cellStyle name="出力 5 2 6" xfId="5867"/>
    <cellStyle name="출력 5 2 6 2" xfId="7302"/>
    <cellStyle name="출력 5 2 6 3" xfId="7586"/>
    <cellStyle name="출력 5 2 7" xfId="4137"/>
    <cellStyle name="出力 5 2 7" xfId="5956"/>
    <cellStyle name="출력 5 2 7 2" xfId="7304"/>
    <cellStyle name="출력 5 2 7 3" xfId="7587"/>
    <cellStyle name="출력 5 2 8" xfId="4138"/>
    <cellStyle name="出力 5 2 8" xfId="5866"/>
    <cellStyle name="출력 5 2 8 2" xfId="7305"/>
    <cellStyle name="출력 5 2 8 3" xfId="7588"/>
    <cellStyle name="출력 5 2 9" xfId="7293"/>
    <cellStyle name="出力 5 2 9" xfId="5886"/>
    <cellStyle name="出力 5 2_Table_KOR" xfId="4139"/>
    <cellStyle name="출력 5 20" xfId="4140"/>
    <cellStyle name="출력 5 20 2" xfId="7306"/>
    <cellStyle name="출력 5 20 3" xfId="7589"/>
    <cellStyle name="출력 5 21" xfId="4141"/>
    <cellStyle name="출력 5 21 2" xfId="7307"/>
    <cellStyle name="출력 5 21 3" xfId="7590"/>
    <cellStyle name="출력 5 22" xfId="4142"/>
    <cellStyle name="출력 5 22 2" xfId="7308"/>
    <cellStyle name="출력 5 22 3" xfId="7591"/>
    <cellStyle name="출력 5 23" xfId="4143"/>
    <cellStyle name="출력 5 23 2" xfId="7309"/>
    <cellStyle name="출력 5 23 3" xfId="7592"/>
    <cellStyle name="출력 5 24" xfId="4144"/>
    <cellStyle name="출력 5 24 2" xfId="7310"/>
    <cellStyle name="출력 5 24 3" xfId="7593"/>
    <cellStyle name="출력 5 25" xfId="4145"/>
    <cellStyle name="출력 5 25 2" xfId="7311"/>
    <cellStyle name="출력 5 25 3" xfId="7594"/>
    <cellStyle name="출력 5 26" xfId="4146"/>
    <cellStyle name="출력 5 26 2" xfId="7312"/>
    <cellStyle name="출력 5 26 3" xfId="7595"/>
    <cellStyle name="출력 5 27" xfId="4147"/>
    <cellStyle name="출력 5 27 2" xfId="7313"/>
    <cellStyle name="출력 5 27 3" xfId="7596"/>
    <cellStyle name="출력 5 28" xfId="4148"/>
    <cellStyle name="출력 5 28 2" xfId="7314"/>
    <cellStyle name="출력 5 28 3" xfId="7597"/>
    <cellStyle name="출력 5 29" xfId="4149"/>
    <cellStyle name="출력 5 29 2" xfId="7315"/>
    <cellStyle name="출력 5 29 3" xfId="7598"/>
    <cellStyle name="출력 5 3" xfId="4150"/>
    <cellStyle name="出力 5 3" xfId="6403"/>
    <cellStyle name="출력 5 3 2" xfId="7316"/>
    <cellStyle name="출력 5 3 3" xfId="7599"/>
    <cellStyle name="출력 5 30" xfId="4151"/>
    <cellStyle name="출력 5 30 2" xfId="7317"/>
    <cellStyle name="출력 5 30 3" xfId="7600"/>
    <cellStyle name="출력 5 31" xfId="4152"/>
    <cellStyle name="출력 5 31 2" xfId="7318"/>
    <cellStyle name="출력 5 31 3" xfId="7601"/>
    <cellStyle name="출력 5 32" xfId="4153"/>
    <cellStyle name="출력 5 32 2" xfId="7319"/>
    <cellStyle name="출력 5 32 3" xfId="7602"/>
    <cellStyle name="출력 5 33" xfId="4154"/>
    <cellStyle name="출력 5 33 2" xfId="7320"/>
    <cellStyle name="출력 5 33 3" xfId="7603"/>
    <cellStyle name="출력 5 34" xfId="4155"/>
    <cellStyle name="출력 5 34 2" xfId="7321"/>
    <cellStyle name="출력 5 34 3" xfId="7604"/>
    <cellStyle name="출력 5 35" xfId="6402"/>
    <cellStyle name="출력 5 36" xfId="5983"/>
    <cellStyle name="출력 5 37" xfId="6908"/>
    <cellStyle name="출력 5 38" xfId="5253"/>
    <cellStyle name="출력 5 39" xfId="5781"/>
    <cellStyle name="출력 5 4" xfId="4156"/>
    <cellStyle name="出力 5 4" xfId="5984"/>
    <cellStyle name="출력 5 4 2" xfId="7322"/>
    <cellStyle name="출력 5 4 3" xfId="7605"/>
    <cellStyle name="출력 5 40" xfId="7281"/>
    <cellStyle name="출력 5 41" xfId="6959"/>
    <cellStyle name="출력 5 5" xfId="4157"/>
    <cellStyle name="出力 5 5" xfId="6907"/>
    <cellStyle name="출력 5 5 2" xfId="7323"/>
    <cellStyle name="출력 5 5 3" xfId="7606"/>
    <cellStyle name="출력 5 6" xfId="4158"/>
    <cellStyle name="出力 5 6" xfId="5254"/>
    <cellStyle name="출력 5 6 2" xfId="7324"/>
    <cellStyle name="출력 5 6 3" xfId="7607"/>
    <cellStyle name="출력 5 7" xfId="4159"/>
    <cellStyle name="出力 5 7" xfId="5780"/>
    <cellStyle name="출력 5 7 2" xfId="7325"/>
    <cellStyle name="출력 5 7 3" xfId="7608"/>
    <cellStyle name="출력 5 8" xfId="4160"/>
    <cellStyle name="出力 5 8" xfId="7282"/>
    <cellStyle name="출력 5 8 2" xfId="7326"/>
    <cellStyle name="출력 5 8 3" xfId="7609"/>
    <cellStyle name="출력 5 9" xfId="4161"/>
    <cellStyle name="出力 5 9" xfId="6960"/>
    <cellStyle name="출력 5 9 2" xfId="7327"/>
    <cellStyle name="출력 5 9 3" xfId="7610"/>
    <cellStyle name="출력 50" xfId="4162"/>
    <cellStyle name="출력 50 2" xfId="7328"/>
    <cellStyle name="출력 50 3" xfId="7611"/>
    <cellStyle name="출력 51" xfId="4163"/>
    <cellStyle name="출력 51 2" xfId="7329"/>
    <cellStyle name="출력 51 3" xfId="7612"/>
    <cellStyle name="출력 52" xfId="4164"/>
    <cellStyle name="출력 52 2" xfId="7330"/>
    <cellStyle name="출력 52 3" xfId="7613"/>
    <cellStyle name="출력 53" xfId="4165"/>
    <cellStyle name="출력 53 2" xfId="7331"/>
    <cellStyle name="출력 53 3" xfId="7614"/>
    <cellStyle name="출력 54" xfId="4166"/>
    <cellStyle name="출력 54 2" xfId="7332"/>
    <cellStyle name="출력 54 3" xfId="7615"/>
    <cellStyle name="출력 55" xfId="4167"/>
    <cellStyle name="출력 55 2" xfId="7333"/>
    <cellStyle name="출력 55 3" xfId="7616"/>
    <cellStyle name="출력 56" xfId="4168"/>
    <cellStyle name="출력 56 2" xfId="7334"/>
    <cellStyle name="출력 56 3" xfId="7617"/>
    <cellStyle name="출력 57" xfId="4169"/>
    <cellStyle name="출력 57 2" xfId="7335"/>
    <cellStyle name="출력 57 3" xfId="7618"/>
    <cellStyle name="출력 58" xfId="4170"/>
    <cellStyle name="출력 58 2" xfId="7336"/>
    <cellStyle name="출력 58 3" xfId="7619"/>
    <cellStyle name="출력 59" xfId="4171"/>
    <cellStyle name="출력 59 2" xfId="7338"/>
    <cellStyle name="출력 59 3" xfId="7620"/>
    <cellStyle name="출력 6" xfId="4172"/>
    <cellStyle name="出力 6" xfId="4173"/>
    <cellStyle name="출력 6 10" xfId="4174"/>
    <cellStyle name="출력 6 10 2" xfId="7341"/>
    <cellStyle name="출력 6 10 3" xfId="7621"/>
    <cellStyle name="출력 6 11" xfId="4175"/>
    <cellStyle name="출력 6 11 2" xfId="7342"/>
    <cellStyle name="출력 6 11 3" xfId="7622"/>
    <cellStyle name="출력 6 12" xfId="4176"/>
    <cellStyle name="출력 6 12 2" xfId="7344"/>
    <cellStyle name="출력 6 12 3" xfId="7623"/>
    <cellStyle name="출력 6 13" xfId="4177"/>
    <cellStyle name="출력 6 13 2" xfId="7345"/>
    <cellStyle name="출력 6 13 3" xfId="7624"/>
    <cellStyle name="출력 6 14" xfId="4178"/>
    <cellStyle name="출력 6 14 2" xfId="7346"/>
    <cellStyle name="출력 6 14 3" xfId="7625"/>
    <cellStyle name="출력 6 15" xfId="4179"/>
    <cellStyle name="출력 6 15 2" xfId="7347"/>
    <cellStyle name="출력 6 15 3" xfId="7626"/>
    <cellStyle name="출력 6 16" xfId="4180"/>
    <cellStyle name="출력 6 16 2" xfId="7348"/>
    <cellStyle name="출력 6 16 3" xfId="7627"/>
    <cellStyle name="출력 6 17" xfId="4181"/>
    <cellStyle name="출력 6 17 2" xfId="7349"/>
    <cellStyle name="출력 6 17 3" xfId="7628"/>
    <cellStyle name="출력 6 18" xfId="4182"/>
    <cellStyle name="출력 6 18 2" xfId="7350"/>
    <cellStyle name="출력 6 18 3" xfId="7629"/>
    <cellStyle name="출력 6 19" xfId="4183"/>
    <cellStyle name="출력 6 19 2" xfId="7351"/>
    <cellStyle name="출력 6 19 3" xfId="7630"/>
    <cellStyle name="출력 6 2" xfId="4184"/>
    <cellStyle name="出力 6 2" xfId="4185"/>
    <cellStyle name="出力 6 2 10" xfId="6937"/>
    <cellStyle name="出力 6 2 11" xfId="7353"/>
    <cellStyle name="출력 6 2 2" xfId="4186"/>
    <cellStyle name="出力 6 2 2" xfId="5865"/>
    <cellStyle name="출력 6 2 2 2" xfId="7354"/>
    <cellStyle name="출력 6 2 2 3" xfId="7632"/>
    <cellStyle name="출력 6 2 3" xfId="7352"/>
    <cellStyle name="出力 6 2 3" xfId="5958"/>
    <cellStyle name="출력 6 2 4" xfId="7631"/>
    <cellStyle name="出力 6 2 4" xfId="5863"/>
    <cellStyle name="出力 6 2 5" xfId="5887"/>
    <cellStyle name="出力 6 2 6" xfId="5856"/>
    <cellStyle name="出力 6 2 7" xfId="5894"/>
    <cellStyle name="出力 6 2 8" xfId="5841"/>
    <cellStyle name="出力 6 2 9" xfId="6850"/>
    <cellStyle name="출력 6 20" xfId="4187"/>
    <cellStyle name="출력 6 20 2" xfId="7355"/>
    <cellStyle name="출력 6 20 3" xfId="7633"/>
    <cellStyle name="출력 6 21" xfId="4188"/>
    <cellStyle name="출력 6 21 2" xfId="7356"/>
    <cellStyle name="출력 6 21 3" xfId="7634"/>
    <cellStyle name="출력 6 22" xfId="4189"/>
    <cellStyle name="출력 6 22 2" xfId="7357"/>
    <cellStyle name="출력 6 22 3" xfId="7635"/>
    <cellStyle name="출력 6 23" xfId="4190"/>
    <cellStyle name="출력 6 23 2" xfId="7358"/>
    <cellStyle name="출력 6 23 3" xfId="7636"/>
    <cellStyle name="출력 6 24" xfId="4191"/>
    <cellStyle name="출력 6 24 2" xfId="7359"/>
    <cellStyle name="출력 6 24 3" xfId="7637"/>
    <cellStyle name="출력 6 25" xfId="4192"/>
    <cellStyle name="출력 6 25 2" xfId="7360"/>
    <cellStyle name="출력 6 25 3" xfId="7638"/>
    <cellStyle name="출력 6 26" xfId="4193"/>
    <cellStyle name="출력 6 26 2" xfId="7361"/>
    <cellStyle name="출력 6 26 3" xfId="7639"/>
    <cellStyle name="출력 6 27" xfId="4194"/>
    <cellStyle name="출력 6 27 2" xfId="7362"/>
    <cellStyle name="출력 6 27 3" xfId="7640"/>
    <cellStyle name="출력 6 28" xfId="4195"/>
    <cellStyle name="출력 6 28 2" xfId="7363"/>
    <cellStyle name="출력 6 28 3" xfId="7641"/>
    <cellStyle name="출력 6 29" xfId="4196"/>
    <cellStyle name="출력 6 29 2" xfId="7364"/>
    <cellStyle name="출력 6 29 3" xfId="7642"/>
    <cellStyle name="출력 6 3" xfId="4197"/>
    <cellStyle name="出力 6 3" xfId="6407"/>
    <cellStyle name="출력 6 3 2" xfId="7365"/>
    <cellStyle name="출력 6 3 3" xfId="7643"/>
    <cellStyle name="출력 6 30" xfId="4198"/>
    <cellStyle name="출력 6 30 2" xfId="7366"/>
    <cellStyle name="출력 6 30 3" xfId="7644"/>
    <cellStyle name="출력 6 31" xfId="4199"/>
    <cellStyle name="출력 6 31 2" xfId="7367"/>
    <cellStyle name="출력 6 31 3" xfId="7645"/>
    <cellStyle name="출력 6 32" xfId="4200"/>
    <cellStyle name="출력 6 32 2" xfId="7368"/>
    <cellStyle name="출력 6 32 3" xfId="7646"/>
    <cellStyle name="출력 6 33" xfId="4201"/>
    <cellStyle name="출력 6 33 2" xfId="7369"/>
    <cellStyle name="출력 6 33 3" xfId="7647"/>
    <cellStyle name="출력 6 34" xfId="6406"/>
    <cellStyle name="출력 6 35" xfId="5987"/>
    <cellStyle name="출력 6 36" xfId="6906"/>
    <cellStyle name="출력 6 37" xfId="5257"/>
    <cellStyle name="출력 6 38" xfId="5227"/>
    <cellStyle name="출력 6 39" xfId="7339"/>
    <cellStyle name="출력 6 4" xfId="4202"/>
    <cellStyle name="出力 6 4" xfId="5988"/>
    <cellStyle name="출력 6 4 2" xfId="7370"/>
    <cellStyle name="출력 6 4 3" xfId="7648"/>
    <cellStyle name="출력 6 40" xfId="6961"/>
    <cellStyle name="출력 6 5" xfId="4203"/>
    <cellStyle name="出力 6 5" xfId="6905"/>
    <cellStyle name="출력 6 5 2" xfId="7371"/>
    <cellStyle name="출력 6 5 3" xfId="7649"/>
    <cellStyle name="출력 6 6" xfId="4204"/>
    <cellStyle name="出力 6 6" xfId="5258"/>
    <cellStyle name="출력 6 6 2" xfId="7372"/>
    <cellStyle name="출력 6 6 3" xfId="7650"/>
    <cellStyle name="출력 6 7" xfId="4205"/>
    <cellStyle name="出力 6 7" xfId="5779"/>
    <cellStyle name="출력 6 7 2" xfId="7373"/>
    <cellStyle name="출력 6 7 3" xfId="7651"/>
    <cellStyle name="출력 6 8" xfId="4206"/>
    <cellStyle name="出力 6 8" xfId="7340"/>
    <cellStyle name="출력 6 8 2" xfId="7374"/>
    <cellStyle name="출력 6 8 3" xfId="7652"/>
    <cellStyle name="출력 6 9" xfId="4207"/>
    <cellStyle name="出力 6 9" xfId="6962"/>
    <cellStyle name="출력 6 9 2" xfId="7375"/>
    <cellStyle name="출력 6 9 3" xfId="7653"/>
    <cellStyle name="출력 60" xfId="4208"/>
    <cellStyle name="출력 60 2" xfId="7376"/>
    <cellStyle name="출력 60 3" xfId="7654"/>
    <cellStyle name="출력 61" xfId="4209"/>
    <cellStyle name="출력 61 2" xfId="7377"/>
    <cellStyle name="출력 61 3" xfId="7655"/>
    <cellStyle name="출력 62" xfId="4210"/>
    <cellStyle name="출력 62 2" xfId="7378"/>
    <cellStyle name="출력 62 3" xfId="7656"/>
    <cellStyle name="출력 63" xfId="4211"/>
    <cellStyle name="출력 63 2" xfId="7379"/>
    <cellStyle name="출력 63 3" xfId="7657"/>
    <cellStyle name="출력 64" xfId="4212"/>
    <cellStyle name="출력 64 2" xfId="7380"/>
    <cellStyle name="출력 64 3" xfId="7658"/>
    <cellStyle name="출력 65" xfId="4213"/>
    <cellStyle name="출력 65 2" xfId="7381"/>
    <cellStyle name="출력 65 3" xfId="7659"/>
    <cellStyle name="출력 66" xfId="4214"/>
    <cellStyle name="출력 66 2" xfId="7382"/>
    <cellStyle name="출력 66 3" xfId="7660"/>
    <cellStyle name="출력 67" xfId="4215"/>
    <cellStyle name="출력 67 2" xfId="7383"/>
    <cellStyle name="출력 67 3" xfId="7661"/>
    <cellStyle name="출력 68" xfId="4216"/>
    <cellStyle name="출력 68 2" xfId="7384"/>
    <cellStyle name="출력 68 3" xfId="7662"/>
    <cellStyle name="출력 69" xfId="4217"/>
    <cellStyle name="출력 69 2" xfId="7385"/>
    <cellStyle name="출력 69 3" xfId="7663"/>
    <cellStyle name="출력 7" xfId="4218"/>
    <cellStyle name="出力 7" xfId="4219"/>
    <cellStyle name="출력 7 10" xfId="4220"/>
    <cellStyle name="출력 7 10 2" xfId="7388"/>
    <cellStyle name="출력 7 10 3" xfId="7664"/>
    <cellStyle name="출력 7 11" xfId="4221"/>
    <cellStyle name="출력 7 11 2" xfId="7389"/>
    <cellStyle name="출력 7 11 3" xfId="7665"/>
    <cellStyle name="출력 7 12" xfId="4222"/>
    <cellStyle name="출력 7 12 2" xfId="7390"/>
    <cellStyle name="출력 7 12 3" xfId="7666"/>
    <cellStyle name="출력 7 13" xfId="4223"/>
    <cellStyle name="출력 7 13 2" xfId="7391"/>
    <cellStyle name="출력 7 13 3" xfId="7667"/>
    <cellStyle name="출력 7 14" xfId="4224"/>
    <cellStyle name="출력 7 14 2" xfId="7392"/>
    <cellStyle name="출력 7 14 3" xfId="7668"/>
    <cellStyle name="출력 7 15" xfId="4225"/>
    <cellStyle name="출력 7 15 2" xfId="7393"/>
    <cellStyle name="출력 7 15 3" xfId="7669"/>
    <cellStyle name="출력 7 16" xfId="4226"/>
    <cellStyle name="출력 7 16 2" xfId="7394"/>
    <cellStyle name="출력 7 16 3" xfId="7670"/>
    <cellStyle name="출력 7 17" xfId="4227"/>
    <cellStyle name="출력 7 17 2" xfId="7395"/>
    <cellStyle name="출력 7 17 3" xfId="7671"/>
    <cellStyle name="출력 7 18" xfId="4228"/>
    <cellStyle name="출력 7 18 2" xfId="7396"/>
    <cellStyle name="출력 7 18 3" xfId="7672"/>
    <cellStyle name="출력 7 19" xfId="4229"/>
    <cellStyle name="출력 7 19 2" xfId="7397"/>
    <cellStyle name="출력 7 19 3" xfId="7673"/>
    <cellStyle name="출력 7 2" xfId="4230"/>
    <cellStyle name="出力 7 2" xfId="4231"/>
    <cellStyle name="出力 7 2 10" xfId="6943"/>
    <cellStyle name="出力 7 2 11" xfId="7399"/>
    <cellStyle name="출력 7 2 2" xfId="4232"/>
    <cellStyle name="出力 7 2 2" xfId="5864"/>
    <cellStyle name="출력 7 2 2 2" xfId="7400"/>
    <cellStyle name="출력 7 2 2 3" xfId="7675"/>
    <cellStyle name="출력 7 2 3" xfId="7398"/>
    <cellStyle name="出力 7 2 3" xfId="5961"/>
    <cellStyle name="출력 7 2 4" xfId="7674"/>
    <cellStyle name="出力 7 2 4" xfId="5963"/>
    <cellStyle name="出力 7 2 5" xfId="5888"/>
    <cellStyle name="出力 7 2 6" xfId="5855"/>
    <cellStyle name="出力 7 2 7" xfId="5895"/>
    <cellStyle name="出力 7 2 8" xfId="5840"/>
    <cellStyle name="出力 7 2 9" xfId="6851"/>
    <cellStyle name="출력 7 20" xfId="4233"/>
    <cellStyle name="출력 7 20 2" xfId="7401"/>
    <cellStyle name="출력 7 20 3" xfId="7676"/>
    <cellStyle name="출력 7 21" xfId="4234"/>
    <cellStyle name="출력 7 21 2" xfId="7403"/>
    <cellStyle name="출력 7 21 3" xfId="7677"/>
    <cellStyle name="출력 7 22" xfId="4235"/>
    <cellStyle name="출력 7 22 2" xfId="7404"/>
    <cellStyle name="출력 7 22 3" xfId="7678"/>
    <cellStyle name="출력 7 23" xfId="4236"/>
    <cellStyle name="출력 7 23 2" xfId="7405"/>
    <cellStyle name="출력 7 23 3" xfId="7679"/>
    <cellStyle name="출력 7 24" xfId="4237"/>
    <cellStyle name="출력 7 24 2" xfId="7406"/>
    <cellStyle name="출력 7 24 3" xfId="7680"/>
    <cellStyle name="출력 7 25" xfId="4238"/>
    <cellStyle name="출력 7 25 2" xfId="7407"/>
    <cellStyle name="출력 7 25 3" xfId="7681"/>
    <cellStyle name="출력 7 26" xfId="4239"/>
    <cellStyle name="출력 7 26 2" xfId="7408"/>
    <cellStyle name="출력 7 26 3" xfId="7682"/>
    <cellStyle name="출력 7 27" xfId="4240"/>
    <cellStyle name="출력 7 27 2" xfId="7409"/>
    <cellStyle name="출력 7 27 3" xfId="7683"/>
    <cellStyle name="출력 7 28" xfId="4241"/>
    <cellStyle name="출력 7 28 2" xfId="7410"/>
    <cellStyle name="출력 7 28 3" xfId="7684"/>
    <cellStyle name="출력 7 29" xfId="4242"/>
    <cellStyle name="출력 7 29 2" xfId="7411"/>
    <cellStyle name="출력 7 29 3" xfId="7685"/>
    <cellStyle name="출력 7 3" xfId="4243"/>
    <cellStyle name="出力 7 3" xfId="6409"/>
    <cellStyle name="출력 7 3 2" xfId="7412"/>
    <cellStyle name="출력 7 3 3" xfId="7686"/>
    <cellStyle name="출력 7 30" xfId="4244"/>
    <cellStyle name="출력 7 30 2" xfId="7414"/>
    <cellStyle name="출력 7 30 3" xfId="7687"/>
    <cellStyle name="출력 7 31" xfId="4245"/>
    <cellStyle name="출력 7 31 2" xfId="7415"/>
    <cellStyle name="출력 7 31 3" xfId="7688"/>
    <cellStyle name="출력 7 32" xfId="4246"/>
    <cellStyle name="출력 7 32 2" xfId="7416"/>
    <cellStyle name="출력 7 32 3" xfId="7689"/>
    <cellStyle name="출력 7 33" xfId="6408"/>
    <cellStyle name="출력 7 34" xfId="5989"/>
    <cellStyle name="출력 7 35" xfId="6802"/>
    <cellStyle name="출력 7 36" xfId="5259"/>
    <cellStyle name="출력 7 37" xfId="5778"/>
    <cellStyle name="출력 7 38" xfId="7386"/>
    <cellStyle name="출력 7 39" xfId="6963"/>
    <cellStyle name="출력 7 4" xfId="4247"/>
    <cellStyle name="出力 7 4" xfId="5990"/>
    <cellStyle name="출력 7 4 2" xfId="7417"/>
    <cellStyle name="출력 7 4 3" xfId="7690"/>
    <cellStyle name="출력 7 5" xfId="4248"/>
    <cellStyle name="出力 7 5" xfId="6803"/>
    <cellStyle name="출력 7 5 2" xfId="7418"/>
    <cellStyle name="출력 7 5 3" xfId="7691"/>
    <cellStyle name="출력 7 6" xfId="4249"/>
    <cellStyle name="出力 7 6" xfId="5260"/>
    <cellStyle name="출력 7 6 2" xfId="7419"/>
    <cellStyle name="출력 7 6 3" xfId="7692"/>
    <cellStyle name="출력 7 7" xfId="4250"/>
    <cellStyle name="出力 7 7" xfId="5226"/>
    <cellStyle name="출력 7 7 2" xfId="7420"/>
    <cellStyle name="출력 7 7 3" xfId="7693"/>
    <cellStyle name="출력 7 8" xfId="4251"/>
    <cellStyle name="出力 7 8" xfId="7387"/>
    <cellStyle name="출력 7 8 2" xfId="7421"/>
    <cellStyle name="출력 7 8 3" xfId="7694"/>
    <cellStyle name="출력 7 9" xfId="4252"/>
    <cellStyle name="出力 7 9" xfId="6964"/>
    <cellStyle name="출력 7 9 2" xfId="7422"/>
    <cellStyle name="출력 7 9 3" xfId="7695"/>
    <cellStyle name="출력 70" xfId="4253"/>
    <cellStyle name="출력 70 2" xfId="7423"/>
    <cellStyle name="출력 70 3" xfId="7696"/>
    <cellStyle name="출력 71" xfId="4254"/>
    <cellStyle name="출력 71 2" xfId="7425"/>
    <cellStyle name="출력 71 3" xfId="7697"/>
    <cellStyle name="출력 72" xfId="4255"/>
    <cellStyle name="출력 72 2" xfId="7426"/>
    <cellStyle name="출력 72 3" xfId="7698"/>
    <cellStyle name="출력 73" xfId="4256"/>
    <cellStyle name="출력 73 2" xfId="7427"/>
    <cellStyle name="출력 73 3" xfId="7699"/>
    <cellStyle name="출력 74" xfId="4257"/>
    <cellStyle name="출력 74 2" xfId="7428"/>
    <cellStyle name="출력 74 3" xfId="7700"/>
    <cellStyle name="출력 75" xfId="4258"/>
    <cellStyle name="출력 75 2" xfId="7429"/>
    <cellStyle name="출력 75 3" xfId="7469"/>
    <cellStyle name="출력 76" xfId="4259"/>
    <cellStyle name="출력 76 2" xfId="7430"/>
    <cellStyle name="출력 76 3" xfId="7827"/>
    <cellStyle name="출력 77" xfId="4260"/>
    <cellStyle name="출력 78" xfId="4261"/>
    <cellStyle name="출력 79" xfId="5079"/>
    <cellStyle name="출력 8" xfId="4262"/>
    <cellStyle name="出力 8" xfId="4263"/>
    <cellStyle name="출력 8 10" xfId="7431"/>
    <cellStyle name="出力 8 10" xfId="4264"/>
    <cellStyle name="出力 8 10 2" xfId="7433"/>
    <cellStyle name="出力 8 10 3" xfId="7703"/>
    <cellStyle name="출력 8 11" xfId="6965"/>
    <cellStyle name="出力 8 11" xfId="6411"/>
    <cellStyle name="出力 8 12" xfId="5992"/>
    <cellStyle name="出力 8 13" xfId="5862"/>
    <cellStyle name="出力 8 14" xfId="5262"/>
    <cellStyle name="出力 8 15" xfId="7432"/>
    <cellStyle name="출력 8 2" xfId="4265"/>
    <cellStyle name="出力 8 2" xfId="4266"/>
    <cellStyle name="출력 8 2 2" xfId="7434"/>
    <cellStyle name="出力 8 2 2" xfId="6412"/>
    <cellStyle name="출력 8 2 3" xfId="7704"/>
    <cellStyle name="出力 8 2 3" xfId="5993"/>
    <cellStyle name="出力 8 2 4" xfId="5263"/>
    <cellStyle name="出力 8 2 5" xfId="7435"/>
    <cellStyle name="출력 8 3" xfId="4267"/>
    <cellStyle name="出力 8 3" xfId="4268"/>
    <cellStyle name="출력 8 3 2" xfId="7436"/>
    <cellStyle name="出力 8 3 2" xfId="7437"/>
    <cellStyle name="출력 8 3 3" xfId="7705"/>
    <cellStyle name="出力 8 3 3" xfId="7706"/>
    <cellStyle name="출력 8 4" xfId="4269"/>
    <cellStyle name="出力 8 4" xfId="4270"/>
    <cellStyle name="출력 8 4 2" xfId="7438"/>
    <cellStyle name="出力 8 4 2" xfId="7439"/>
    <cellStyle name="출력 8 4 3" xfId="7707"/>
    <cellStyle name="出力 8 4 3" xfId="7708"/>
    <cellStyle name="출력 8 5" xfId="6410"/>
    <cellStyle name="出力 8 5" xfId="4271"/>
    <cellStyle name="出力 8 5 2" xfId="7441"/>
    <cellStyle name="出力 8 5 3" xfId="7709"/>
    <cellStyle name="출력 8 6" xfId="5991"/>
    <cellStyle name="出力 8 6" xfId="4272"/>
    <cellStyle name="出力 8 6 2" xfId="7442"/>
    <cellStyle name="出力 8 6 3" xfId="7710"/>
    <cellStyle name="출력 8 7" xfId="6798"/>
    <cellStyle name="出力 8 7" xfId="4273"/>
    <cellStyle name="出力 8 7 2" xfId="7443"/>
    <cellStyle name="出力 8 7 3" xfId="7711"/>
    <cellStyle name="출력 8 8" xfId="5261"/>
    <cellStyle name="出力 8 8" xfId="4274"/>
    <cellStyle name="出力 8 8 2" xfId="7448"/>
    <cellStyle name="出力 8 8 3" xfId="7712"/>
    <cellStyle name="출력 8 9" xfId="5777"/>
    <cellStyle name="出力 8 9" xfId="4275"/>
    <cellStyle name="出力 8 9 2" xfId="7449"/>
    <cellStyle name="出力 8 9 3" xfId="7713"/>
    <cellStyle name="出力 8_Table_KOR" xfId="4276"/>
    <cellStyle name="출력 80" xfId="5085"/>
    <cellStyle name="출력 81" xfId="5130"/>
    <cellStyle name="출력 82" xfId="5183"/>
    <cellStyle name="출력 83" xfId="5134"/>
    <cellStyle name="출력 84" xfId="5182"/>
    <cellStyle name="출력 85" xfId="5135"/>
    <cellStyle name="출력 86" xfId="5181"/>
    <cellStyle name="출력 87" xfId="5136"/>
    <cellStyle name="출력 88" xfId="5180"/>
    <cellStyle name="출력 89" xfId="5137"/>
    <cellStyle name="출력 9" xfId="4277"/>
    <cellStyle name="出力 9" xfId="4278"/>
    <cellStyle name="출력 9 10" xfId="7459"/>
    <cellStyle name="出力 9 10" xfId="4279"/>
    <cellStyle name="出力 9 10 2" xfId="7461"/>
    <cellStyle name="出力 9 10 3" xfId="7715"/>
    <cellStyle name="출력 9 11" xfId="6966"/>
    <cellStyle name="出力 9 11" xfId="6414"/>
    <cellStyle name="出力 9 12" xfId="5995"/>
    <cellStyle name="出力 9 13" xfId="5861"/>
    <cellStyle name="出力 9 14" xfId="5265"/>
    <cellStyle name="出力 9 15" xfId="7460"/>
    <cellStyle name="출력 9 2" xfId="4280"/>
    <cellStyle name="出力 9 2" xfId="4281"/>
    <cellStyle name="출력 9 2 2" xfId="7462"/>
    <cellStyle name="出力 9 2 2" xfId="6415"/>
    <cellStyle name="출력 9 2 3" xfId="7716"/>
    <cellStyle name="出力 9 2 3" xfId="5996"/>
    <cellStyle name="出力 9 2 4" xfId="5266"/>
    <cellStyle name="出力 9 2 5" xfId="7463"/>
    <cellStyle name="출력 9 3" xfId="4282"/>
    <cellStyle name="出力 9 3" xfId="4283"/>
    <cellStyle name="출력 9 3 2" xfId="7464"/>
    <cellStyle name="出力 9 3 2" xfId="7465"/>
    <cellStyle name="출력 9 3 3" xfId="7717"/>
    <cellStyle name="出力 9 3 3" xfId="7718"/>
    <cellStyle name="출력 9 4" xfId="4284"/>
    <cellStyle name="出力 9 4" xfId="4285"/>
    <cellStyle name="출력 9 4 2" xfId="7466"/>
    <cellStyle name="出力 9 4 2" xfId="7467"/>
    <cellStyle name="출력 9 4 3" xfId="7719"/>
    <cellStyle name="出力 9 4 3" xfId="7720"/>
    <cellStyle name="출력 9 5" xfId="6413"/>
    <cellStyle name="出力 9 5" xfId="4286"/>
    <cellStyle name="出力 9 5 2" xfId="7468"/>
    <cellStyle name="出力 9 5 3" xfId="7721"/>
    <cellStyle name="출력 9 6" xfId="5994"/>
    <cellStyle name="出力 9 6" xfId="4287"/>
    <cellStyle name="출력 9 7" xfId="6813"/>
    <cellStyle name="出力 9 7" xfId="4288"/>
    <cellStyle name="출력 9 8" xfId="5264"/>
    <cellStyle name="出力 9 8" xfId="4289"/>
    <cellStyle name="출력 9 9" xfId="5776"/>
    <cellStyle name="出力 9 9" xfId="4290"/>
    <cellStyle name="出力 9_Table_KOR" xfId="4291"/>
    <cellStyle name="출력 90" xfId="5179"/>
    <cellStyle name="출력 91" xfId="5138"/>
    <cellStyle name="출력 92" xfId="6815"/>
    <cellStyle name="출력 93" xfId="6814"/>
    <cellStyle name="출력 94" xfId="6799"/>
    <cellStyle name="출력 95" xfId="6793"/>
    <cellStyle name="출력 96" xfId="6804"/>
    <cellStyle name="출력 97" xfId="7140"/>
    <cellStyle name="출력_01 YW" xfId="4292"/>
    <cellStyle name="出力_01 YW" xfId="4293"/>
    <cellStyle name="출력_02 PN" xfId="4294"/>
    <cellStyle name="出力_02 PN" xfId="4295"/>
    <cellStyle name="출력_03 FN" xfId="4296"/>
    <cellStyle name="出力_03 FN" xfId="4297"/>
    <cellStyle name="출력_04 KF" xfId="4298"/>
    <cellStyle name="出力_04 KF" xfId="4299"/>
    <cellStyle name="출력_05 WL" xfId="4300"/>
    <cellStyle name="出力_05 WL" xfId="4301"/>
    <cellStyle name="출력_06 YE" xfId="4302"/>
    <cellStyle name="出力_06 YE" xfId="4303"/>
    <cellStyle name="출력_07 MN" xfId="4304"/>
    <cellStyle name="出力_07 MN" xfId="4305"/>
    <cellStyle name="출력_090728 수정 MOB" xfId="4306"/>
    <cellStyle name="出力_090728 수정 MOB" xfId="4307"/>
    <cellStyle name="출력_1차 NETPY 아이템 리스트" xfId="4308"/>
    <cellStyle name="出力_34 CC" xfId="4309"/>
    <cellStyle name="출력_Animation" xfId="4310"/>
    <cellStyle name="出力_CAR" xfId="4311"/>
    <cellStyle name="출력_ChapChap_water" xfId="4312"/>
    <cellStyle name="出力_Contents &amp; Quest Ballance" xfId="4313"/>
    <cellStyle name="출력_Costume Item" xfId="4314"/>
    <cellStyle name="出力_DB Reward Table" xfId="4315"/>
    <cellStyle name="출력_DB_Reward" xfId="4316"/>
    <cellStyle name="出力_DB_Reward" xfId="4317"/>
    <cellStyle name="출력_DBO_Tip" xfId="4318"/>
    <cellStyle name="出力_EMR" xfId="4319"/>
    <cellStyle name="출력_I.Vehicle" xfId="4320"/>
    <cellStyle name="出力_I.Vehicle" xfId="4321"/>
    <cellStyle name="출력_II. UI" xfId="4322"/>
    <cellStyle name="出力_Item" xfId="4323"/>
    <cellStyle name="출력_Item_name" xfId="4324"/>
    <cellStyle name="出力_Item_Recipe" xfId="4325"/>
    <cellStyle name="출력_Landmark_Table(기획)" xfId="4326"/>
    <cellStyle name="出力_Landmark_Table(기획)" xfId="4327"/>
    <cellStyle name="출력_Main_World" xfId="4328"/>
    <cellStyle name="出力_Main_World" xfId="4329"/>
    <cellStyle name="출력_Main_World (2)" xfId="4330"/>
    <cellStyle name="出力_Map" xfId="4331"/>
    <cellStyle name="출력_MAP Object Common" xfId="4332"/>
    <cellStyle name="出力_MAP_Object_Trigger_List" xfId="4333"/>
    <cellStyle name="출력_MAP_Spawn_DragonCave" xfId="4334"/>
    <cellStyle name="出力_MAP_Spawn_DragonCave" xfId="4335"/>
    <cellStyle name="출력_Merchant" xfId="4336"/>
    <cellStyle name="出力_Mob" xfId="4337"/>
    <cellStyle name="출력_MOB " xfId="4338"/>
    <cellStyle name="出力_MOB " xfId="4339"/>
    <cellStyle name="출력_MOB &amp; NPC" xfId="4340"/>
    <cellStyle name="出力_mob 리스트" xfId="4341"/>
    <cellStyle name="출력_Mob_1" xfId="4342"/>
    <cellStyle name="出力_MOB_1" xfId="4343"/>
    <cellStyle name="출력_MOB_Contents &amp; Quest Ballance" xfId="4344"/>
    <cellStyle name="出力_MOB_List" xfId="4345"/>
    <cellStyle name="출력_Mob_MOB_List" xfId="4346"/>
    <cellStyle name="出力_MOB_Skill_Data" xfId="4347"/>
    <cellStyle name="출력_Mob_Standard_Value" xfId="4348"/>
    <cellStyle name="出力_Mob_Standard_Value" xfId="4349"/>
    <cellStyle name="출력_MOB_Table_Data_KOR" xfId="4350"/>
    <cellStyle name="出力_Monster" xfId="4351"/>
    <cellStyle name="출력_name" xfId="4352"/>
    <cellStyle name="出力_name" xfId="4353"/>
    <cellStyle name="출력_New" xfId="4354"/>
    <cellStyle name="出力_New" xfId="4355"/>
    <cellStyle name="출력_NPC" xfId="4356"/>
    <cellStyle name="出力_NPC" xfId="4357"/>
    <cellStyle name="출력_NPC_List" xfId="4358"/>
    <cellStyle name="出力_NPC_List" xfId="4359"/>
    <cellStyle name="출력_NPC_New" xfId="4360"/>
    <cellStyle name="出力_Object" xfId="4361"/>
    <cellStyle name="출력_Object " xfId="4362"/>
    <cellStyle name="出力_Object " xfId="4363"/>
    <cellStyle name="출력_Object_Spawn_Data" xfId="4364"/>
    <cellStyle name="出力_Only Table" xfId="4365"/>
    <cellStyle name="출력_Package" xfId="4366"/>
    <cellStyle name="出力_PC" xfId="4367"/>
    <cellStyle name="출력_PC_Standard_Value" xfId="4368"/>
    <cellStyle name="出力_PC_Standard_Value" xfId="4369"/>
    <cellStyle name="출력_PSV" xfId="4370"/>
    <cellStyle name="出力_PSV" xfId="4371"/>
    <cellStyle name="출력_Quest Item" xfId="4372"/>
    <cellStyle name="出力_Quest Item" xfId="4373"/>
    <cellStyle name="출력_Quest Trigger Item" xfId="4374"/>
    <cellStyle name="出力_QuestReward" xfId="4375"/>
    <cellStyle name="출력_Reward" xfId="4376"/>
    <cellStyle name="出力_Reward" xfId="4377"/>
    <cellStyle name="출력_RV Capsule" xfId="4378"/>
    <cellStyle name="出力_Sheet1" xfId="4379"/>
    <cellStyle name="출력_Sheet1 (2)" xfId="4380"/>
    <cellStyle name="出力_Sheet1 (2)" xfId="4381"/>
    <cellStyle name="출력_Sheet1 (8)" xfId="4382"/>
    <cellStyle name="出力_Sheet1_01 YW" xfId="4383"/>
    <cellStyle name="출력_Sheet1_02 PN" xfId="4384"/>
    <cellStyle name="出力_Sheet1_02 PN" xfId="4385"/>
    <cellStyle name="출력_Sheet1_03 FN" xfId="4386"/>
    <cellStyle name="出力_Sheet1_03 FN" xfId="4387"/>
    <cellStyle name="출력_Sheet1_04 KF" xfId="4388"/>
    <cellStyle name="出力_Sheet1_04 KF" xfId="4389"/>
    <cellStyle name="출력_Sheet1_05 WL" xfId="4390"/>
    <cellStyle name="出力_Sheet1_05 WL" xfId="4391"/>
    <cellStyle name="출력_Sheet1_06 YE" xfId="4392"/>
    <cellStyle name="出力_Sheet1_06 YE" xfId="4393"/>
    <cellStyle name="출력_Sheet1_07 MN" xfId="4394"/>
    <cellStyle name="出力_Sheet1_07 MN" xfId="4395"/>
    <cellStyle name="출력_Sheet1_1" xfId="4396"/>
    <cellStyle name="出力_Sheet1_1" xfId="4397"/>
    <cellStyle name="출력_Sheet1_34 CC" xfId="4398"/>
    <cellStyle name="出力_Sheet1_34 CC" xfId="4399"/>
    <cellStyle name="출력_Sheet1_armor item" xfId="4400"/>
    <cellStyle name="出力_Sheet1_Item" xfId="4401"/>
    <cellStyle name="출력_Sheet1_Landmark_Table(기획)" xfId="4402"/>
    <cellStyle name="出力_Sheet1_MilePost" xfId="4403"/>
    <cellStyle name="출력_Sheet1_MOB_List" xfId="4404"/>
    <cellStyle name="出力_Sheet1_M-R" xfId="4405"/>
    <cellStyle name="출력_Sheet1_NPC" xfId="4406"/>
    <cellStyle name="出力_Sheet1_NPC" xfId="4407"/>
    <cellStyle name="출력_Sheet1_Quest_Item" xfId="4408"/>
    <cellStyle name="出力_Sheet1_Quest_ITEM" xfId="4409"/>
    <cellStyle name="출력_Sheet1_QuestReward" xfId="4410"/>
    <cellStyle name="出力_Sheet1_QuestReward" xfId="4411"/>
    <cellStyle name="출력_Sheet1_Reward" xfId="4412"/>
    <cellStyle name="出力_Sheet1_Reward" xfId="4413"/>
    <cellStyle name="출력_Sheet1_Sheet1" xfId="4414"/>
    <cellStyle name="出力_Sheet1_Sheet1" xfId="4415"/>
    <cellStyle name="출력_Sheet1_Sheet1 (2)" xfId="4416"/>
    <cellStyle name="出力_Sheet1_Sheet1 (2)" xfId="4417"/>
    <cellStyle name="출력_Sheet1_Sheet2" xfId="4418"/>
    <cellStyle name="出力_Sheet1_Sheet2" xfId="4419"/>
    <cellStyle name="출력_Sheet1_Sheet4" xfId="4420"/>
    <cellStyle name="出力_Sheet1_Sheet4" xfId="4421"/>
    <cellStyle name="출력_Sheet1_Sheet5 (3)" xfId="4422"/>
    <cellStyle name="出力_Sheet1_table" xfId="4423"/>
    <cellStyle name="출력_Sheet1_Table_Data_KOR" xfId="4424"/>
    <cellStyle name="出力_Sheet1_Table_Data_KOR" xfId="4425"/>
    <cellStyle name="출력_Sheet1_Table_Data_KOR_1" xfId="4426"/>
    <cellStyle name="出力_Sheet1_Table_Data_KOR_1" xfId="4427"/>
    <cellStyle name="출력_Sheet1_Table_Data_KOR_1_1st Item List" xfId="4428"/>
    <cellStyle name="出力_Sheet1_Table_Data_KOR_Quest_ITEM" xfId="4429"/>
    <cellStyle name="출력_Sheet1_Table_Data_KOR_QuestItem" xfId="4430"/>
    <cellStyle name="出力_Sheet1_Table_Data_KOR_QuestItem" xfId="4431"/>
    <cellStyle name="출력_Sheet1_Table_Data_KOR_Table_Data_KOR" xfId="4432"/>
    <cellStyle name="出力_Sheet1_Use_Item" xfId="4433"/>
    <cellStyle name="출력_Sheet1_Vehicle&amp;Fuel_CJI" xfId="4434"/>
    <cellStyle name="出力_Sheet2" xfId="4435"/>
    <cellStyle name="출력_Sheet2_1" xfId="4436"/>
    <cellStyle name="出力_Sheet2_주요 좌표" xfId="4437"/>
    <cellStyle name="출력_Sheet4" xfId="4438"/>
    <cellStyle name="出力_Sheet4" xfId="4439"/>
    <cellStyle name="출력_Sheet4_1" xfId="4440"/>
    <cellStyle name="出力_Sheet4_1" xfId="4441"/>
    <cellStyle name="출력_Sheet5" xfId="4442"/>
    <cellStyle name="出力_Sheet5" xfId="4443"/>
    <cellStyle name="출력_Sheet5 (3)" xfId="4444"/>
    <cellStyle name="出力_Sheet5 (3)" xfId="4445"/>
    <cellStyle name="출력_Sheet7" xfId="4446"/>
    <cellStyle name="出力_Sheet7" xfId="4447"/>
    <cellStyle name="출력_Sheet9" xfId="4448"/>
    <cellStyle name="出力_Sheet9" xfId="4449"/>
    <cellStyle name="출력_Skill" xfId="4450"/>
    <cellStyle name="出力_Skill" xfId="4451"/>
    <cellStyle name="출력_SkillEffect" xfId="4452"/>
    <cellStyle name="出力_SkillEffect" xfId="4453"/>
    <cellStyle name="출력_sound table" xfId="4454"/>
    <cellStyle name="出力_sound table" xfId="4455"/>
    <cellStyle name="출력_Spawn_Object_Quest002" xfId="4456"/>
    <cellStyle name="出力_table" xfId="4457"/>
    <cellStyle name="출력_Table_Data_KOR" xfId="4458"/>
    <cellStyle name="出力_Table_Data_KOR" xfId="4459"/>
    <cellStyle name="출력_Table_Data_KOR_1" xfId="4460"/>
    <cellStyle name="出力_Table_Data_KOR_1" xfId="4461"/>
    <cellStyle name="출력_Table_Data_KOR_1_1st Item List" xfId="4462"/>
    <cellStyle name="出力_Table_Item_Option_data" xfId="4463"/>
    <cellStyle name="출력_Table_MOB_Data" xfId="4464"/>
    <cellStyle name="出力_Table_MOB_Data" xfId="4465"/>
    <cellStyle name="출력_TblidxRule" xfId="4466"/>
    <cellStyle name="出力_TFT List" xfId="4467"/>
    <cellStyle name="출력_Use_Item" xfId="4468"/>
    <cellStyle name="出力_Vehicle" xfId="4469"/>
    <cellStyle name="출력_Vehicle&amp;Fuel" xfId="4470"/>
    <cellStyle name="出力_Vehicle&amp;Fuel" xfId="4471"/>
    <cellStyle name="출력_Vehicle&amp;Fuel_CJI" xfId="4472"/>
    <cellStyle name="出力_Vehicle&amp;Fuel_CJI" xfId="4473"/>
    <cellStyle name="출력_Vehicle&amp;Fuel_CJI_1" xfId="4474"/>
    <cellStyle name="표준" xfId="0" builtinId="0"/>
    <cellStyle name="표준 10" xfId="4475"/>
    <cellStyle name="표준 10 2" xfId="4476"/>
    <cellStyle name="표준 10 3" xfId="4477"/>
    <cellStyle name="표준 11" xfId="4478"/>
    <cellStyle name="표준 11 2" xfId="4479"/>
    <cellStyle name="표준 11 2 2" xfId="4480"/>
    <cellStyle name="표준 11 2 3" xfId="4481"/>
    <cellStyle name="표준 11 3" xfId="4482"/>
    <cellStyle name="표준 11 3 2" xfId="4483"/>
    <cellStyle name="표준 11 4" xfId="4484"/>
    <cellStyle name="표준 11 5" xfId="4485"/>
    <cellStyle name="표준 11 6" xfId="6416"/>
    <cellStyle name="표준 11 7" xfId="5997"/>
    <cellStyle name="표준 11 8" xfId="5267"/>
    <cellStyle name="표준 12" xfId="4486"/>
    <cellStyle name="표준 12 2" xfId="4487"/>
    <cellStyle name="표준 12 3" xfId="4488"/>
    <cellStyle name="표준 12 4" xfId="4489"/>
    <cellStyle name="표준 12 5" xfId="4490"/>
    <cellStyle name="표준 12 6" xfId="6417"/>
    <cellStyle name="표준 12 7" xfId="5998"/>
    <cellStyle name="표준 12 8" xfId="5268"/>
    <cellStyle name="표준 13" xfId="4491"/>
    <cellStyle name="표준 13 2" xfId="4492"/>
    <cellStyle name="표준 13 3" xfId="4493"/>
    <cellStyle name="표준 13 4" xfId="6418"/>
    <cellStyle name="표준 13 5" xfId="5999"/>
    <cellStyle name="표준 13 6" xfId="5269"/>
    <cellStyle name="표준 14" xfId="4494"/>
    <cellStyle name="표준 14 2" xfId="4495"/>
    <cellStyle name="표준 14 3" xfId="4496"/>
    <cellStyle name="표준 14 4" xfId="4497"/>
    <cellStyle name="표준 15" xfId="4498"/>
    <cellStyle name="표준 15 2" xfId="4499"/>
    <cellStyle name="표준 15 3" xfId="6419"/>
    <cellStyle name="표준 15 4" xfId="6000"/>
    <cellStyle name="표준 15 5" xfId="5270"/>
    <cellStyle name="표준 16" xfId="4500"/>
    <cellStyle name="표준 16 2" xfId="4501"/>
    <cellStyle name="표준 17" xfId="4502"/>
    <cellStyle name="표준 18" xfId="4503"/>
    <cellStyle name="표준 19" xfId="5019"/>
    <cellStyle name="표준 2" xfId="4504"/>
    <cellStyle name="標準 2" xfId="4505"/>
    <cellStyle name="표준 2 10" xfId="4506"/>
    <cellStyle name="標準 2 10" xfId="6421"/>
    <cellStyle name="표준 2 10 10" xfId="6969"/>
    <cellStyle name="표준 2 10 2" xfId="4507"/>
    <cellStyle name="標準 2 10 2" xfId="7924"/>
    <cellStyle name="표준 2 10 3" xfId="4508"/>
    <cellStyle name="標準 2 10 3" xfId="7723"/>
    <cellStyle name="표준 2 10 4" xfId="6422"/>
    <cellStyle name="표준 2 10 4 2" xfId="7925"/>
    <cellStyle name="표준 2 10 4 3" xfId="7724"/>
    <cellStyle name="표준 2 10 5" xfId="6003"/>
    <cellStyle name="표준 2 10 6" xfId="6904"/>
    <cellStyle name="표준 2 10 7" xfId="5273"/>
    <cellStyle name="표준 2 10 8" xfId="5225"/>
    <cellStyle name="표준 2 10 9" xfId="7714"/>
    <cellStyle name="표준 2 11" xfId="4509"/>
    <cellStyle name="標準 2 11" xfId="6002"/>
    <cellStyle name="표준 2 11 10" xfId="6970"/>
    <cellStyle name="표준 2 11 2" xfId="4510"/>
    <cellStyle name="표준 2 11 3" xfId="4511"/>
    <cellStyle name="표준 2 11 4" xfId="6423"/>
    <cellStyle name="표준 2 11 4 2" xfId="7926"/>
    <cellStyle name="표준 2 11 4 3" xfId="7725"/>
    <cellStyle name="표준 2 11 5" xfId="6004"/>
    <cellStyle name="표준 2 11 6" xfId="6797"/>
    <cellStyle name="표준 2 11 7" xfId="5274"/>
    <cellStyle name="표준 2 11 8" xfId="5773"/>
    <cellStyle name="표준 2 11 9" xfId="7785"/>
    <cellStyle name="표준 2 12" xfId="4512"/>
    <cellStyle name="標準 2 12" xfId="6796"/>
    <cellStyle name="표준 2 12 2" xfId="4513"/>
    <cellStyle name="표준 2 12 3" xfId="4514"/>
    <cellStyle name="표준 2 12 4" xfId="6424"/>
    <cellStyle name="표준 2 12 4 2" xfId="7927"/>
    <cellStyle name="표준 2 12 4 3" xfId="7726"/>
    <cellStyle name="표준 2 12 5" xfId="6005"/>
    <cellStyle name="표준 2 12 6" xfId="5275"/>
    <cellStyle name="표준 2 12 7" xfId="5772"/>
    <cellStyle name="표준 2 12 8" xfId="6971"/>
    <cellStyle name="표준 2 13" xfId="4515"/>
    <cellStyle name="標準 2 13" xfId="5272"/>
    <cellStyle name="표준 2 13 2" xfId="4516"/>
    <cellStyle name="표준 2 13 2 2" xfId="4517"/>
    <cellStyle name="표준 2 13 2 2 2" xfId="5858"/>
    <cellStyle name="표준 2 13 2 2 2 2" xfId="7915"/>
    <cellStyle name="표준 2 13 2 2 2 3" xfId="7729"/>
    <cellStyle name="표준 2 13 2 3" xfId="5859"/>
    <cellStyle name="표준 2 13 2 3 2" xfId="7916"/>
    <cellStyle name="표준 2 13 2 3 3" xfId="7728"/>
    <cellStyle name="표준 2 13 3" xfId="6425"/>
    <cellStyle name="표준 2 13 3 2" xfId="7928"/>
    <cellStyle name="표준 2 13 3 3" xfId="7727"/>
    <cellStyle name="표준 2 13 4" xfId="6006"/>
    <cellStyle name="표준 2 13 5" xfId="5276"/>
    <cellStyle name="표준 2 13 6" xfId="5771"/>
    <cellStyle name="표준 2 13 7" xfId="6972"/>
    <cellStyle name="표준 2 14" xfId="4518"/>
    <cellStyle name="標準 2 14" xfId="5774"/>
    <cellStyle name="표준 2 15" xfId="4519"/>
    <cellStyle name="標準 2 15" xfId="7702"/>
    <cellStyle name="표준 2 16" xfId="4520"/>
    <cellStyle name="標準 2 16" xfId="6968"/>
    <cellStyle name="표준 2 17" xfId="4521"/>
    <cellStyle name="표준 2 18" xfId="4522"/>
    <cellStyle name="표준 2 19" xfId="4523"/>
    <cellStyle name="표준 2 2" xfId="4524"/>
    <cellStyle name="標準 2 2" xfId="4525"/>
    <cellStyle name="표준 2 2 10" xfId="6426"/>
    <cellStyle name="標準 2 2 10" xfId="4526"/>
    <cellStyle name="표준 2 2 10 2" xfId="7929"/>
    <cellStyle name="標準 2 2 10 2" xfId="6428"/>
    <cellStyle name="표준 2 2 10 3" xfId="7730"/>
    <cellStyle name="標準 2 2 10 3" xfId="6009"/>
    <cellStyle name="標準 2 2 10 4" xfId="5279"/>
    <cellStyle name="표준 2 2 11" xfId="6007"/>
    <cellStyle name="標準 2 2 11" xfId="6427"/>
    <cellStyle name="標準 2 2 11 2" xfId="7930"/>
    <cellStyle name="標準 2 2 11 3" xfId="7731"/>
    <cellStyle name="표준 2 2 12" xfId="6820"/>
    <cellStyle name="標準 2 2 12" xfId="6008"/>
    <cellStyle name="표준 2 2 13" xfId="5277"/>
    <cellStyle name="標準 2 2 13" xfId="6819"/>
    <cellStyle name="표준 2 2 14" xfId="5770"/>
    <cellStyle name="標準 2 2 14" xfId="5278"/>
    <cellStyle name="표준 2 2 15" xfId="7858"/>
    <cellStyle name="標準 2 2 15" xfId="5769"/>
    <cellStyle name="표준 2 2 16" xfId="6973"/>
    <cellStyle name="標準 2 2 16" xfId="7859"/>
    <cellStyle name="標準 2 2 17" xfId="6974"/>
    <cellStyle name="표준 2 2 2" xfId="4527"/>
    <cellStyle name="標準 2 2 2" xfId="4528"/>
    <cellStyle name="표준 2 2 2 10" xfId="4529"/>
    <cellStyle name="표준 2 2 2 10 2" xfId="6431"/>
    <cellStyle name="표준 2 2 2 10 3" xfId="6012"/>
    <cellStyle name="표준 2 2 2 10 4" xfId="5282"/>
    <cellStyle name="표준 2 2 2 11" xfId="4530"/>
    <cellStyle name="표준 2 2 2 11 2" xfId="6432"/>
    <cellStyle name="표준 2 2 2 11 3" xfId="6013"/>
    <cellStyle name="표준 2 2 2 11 4" xfId="5283"/>
    <cellStyle name="표준 2 2 2 12" xfId="4531"/>
    <cellStyle name="표준 2 2 2 12 2" xfId="6433"/>
    <cellStyle name="표준 2 2 2 12 3" xfId="6014"/>
    <cellStyle name="표준 2 2 2 12 4" xfId="5284"/>
    <cellStyle name="표준 2 2 2 13" xfId="4532"/>
    <cellStyle name="표준 2 2 2 13 2" xfId="6434"/>
    <cellStyle name="표준 2 2 2 13 3" xfId="6015"/>
    <cellStyle name="표준 2 2 2 13 4" xfId="5285"/>
    <cellStyle name="표준 2 2 2 14" xfId="4533"/>
    <cellStyle name="표준 2 2 2 14 2" xfId="6435"/>
    <cellStyle name="표준 2 2 2 14 3" xfId="6016"/>
    <cellStyle name="표준 2 2 2 14 4" xfId="5286"/>
    <cellStyle name="표준 2 2 2 15" xfId="4534"/>
    <cellStyle name="표준 2 2 2 15 2" xfId="6436"/>
    <cellStyle name="표준 2 2 2 15 3" xfId="6017"/>
    <cellStyle name="표준 2 2 2 15 4" xfId="5287"/>
    <cellStyle name="표준 2 2 2 16" xfId="4535"/>
    <cellStyle name="표준 2 2 2 16 2" xfId="6437"/>
    <cellStyle name="표준 2 2 2 16 3" xfId="6018"/>
    <cellStyle name="표준 2 2 2 16 4" xfId="5288"/>
    <cellStyle name="표준 2 2 2 17" xfId="4536"/>
    <cellStyle name="표준 2 2 2 17 2" xfId="6438"/>
    <cellStyle name="표준 2 2 2 17 3" xfId="6019"/>
    <cellStyle name="표준 2 2 2 17 4" xfId="5289"/>
    <cellStyle name="표준 2 2 2 18" xfId="4537"/>
    <cellStyle name="표준 2 2 2 18 2" xfId="6439"/>
    <cellStyle name="표준 2 2 2 18 3" xfId="6020"/>
    <cellStyle name="표준 2 2 2 18 4" xfId="5290"/>
    <cellStyle name="표준 2 2 2 19" xfId="4538"/>
    <cellStyle name="표준 2 2 2 19 2" xfId="6440"/>
    <cellStyle name="표준 2 2 2 19 3" xfId="6021"/>
    <cellStyle name="표준 2 2 2 19 4" xfId="5291"/>
    <cellStyle name="표준 2 2 2 2" xfId="4539"/>
    <cellStyle name="標準 2 2 2 2" xfId="6430"/>
    <cellStyle name="표준 2 2 2 2 2" xfId="6441"/>
    <cellStyle name="標準 2 2 2 2 2" xfId="7932"/>
    <cellStyle name="표준 2 2 2 2 2 2" xfId="7933"/>
    <cellStyle name="표준 2 2 2 2 2 3" xfId="7734"/>
    <cellStyle name="표준 2 2 2 2 3" xfId="6022"/>
    <cellStyle name="標準 2 2 2 2 3" xfId="7733"/>
    <cellStyle name="표준 2 2 2 2 4" xfId="6903"/>
    <cellStyle name="표준 2 2 2 2 5" xfId="5292"/>
    <cellStyle name="표준 2 2 2 2 6" xfId="5767"/>
    <cellStyle name="표준 2 2 2 2 7" xfId="7862"/>
    <cellStyle name="표준 2 2 2 2 8" xfId="6977"/>
    <cellStyle name="표준 2 2 2 20" xfId="4540"/>
    <cellStyle name="표준 2 2 2 20 2" xfId="6442"/>
    <cellStyle name="표준 2 2 2 20 3" xfId="6023"/>
    <cellStyle name="표준 2 2 2 20 4" xfId="5293"/>
    <cellStyle name="표준 2 2 2 21" xfId="4541"/>
    <cellStyle name="표준 2 2 2 21 2" xfId="6443"/>
    <cellStyle name="표준 2 2 2 21 3" xfId="6024"/>
    <cellStyle name="표준 2 2 2 21 4" xfId="5294"/>
    <cellStyle name="표준 2 2 2 22" xfId="4542"/>
    <cellStyle name="표준 2 2 2 22 2" xfId="6444"/>
    <cellStyle name="표준 2 2 2 22 3" xfId="6025"/>
    <cellStyle name="표준 2 2 2 22 4" xfId="5295"/>
    <cellStyle name="표준 2 2 2 23" xfId="4543"/>
    <cellStyle name="표준 2 2 2 23 2" xfId="6445"/>
    <cellStyle name="표준 2 2 2 23 3" xfId="6026"/>
    <cellStyle name="표준 2 2 2 23 4" xfId="5296"/>
    <cellStyle name="표준 2 2 2 24" xfId="4544"/>
    <cellStyle name="표준 2 2 2 24 2" xfId="6446"/>
    <cellStyle name="표준 2 2 2 24 3" xfId="6027"/>
    <cellStyle name="표준 2 2 2 24 4" xfId="5297"/>
    <cellStyle name="표준 2 2 2 25" xfId="4545"/>
    <cellStyle name="표준 2 2 2 25 2" xfId="6447"/>
    <cellStyle name="표준 2 2 2 25 3" xfId="6028"/>
    <cellStyle name="표준 2 2 2 25 4" xfId="5298"/>
    <cellStyle name="표준 2 2 2 26" xfId="4546"/>
    <cellStyle name="표준 2 2 2 26 2" xfId="6448"/>
    <cellStyle name="표준 2 2 2 26 3" xfId="6029"/>
    <cellStyle name="표준 2 2 2 26 4" xfId="5299"/>
    <cellStyle name="표준 2 2 2 27" xfId="4547"/>
    <cellStyle name="표준 2 2 2 27 2" xfId="6449"/>
    <cellStyle name="표준 2 2 2 27 3" xfId="6030"/>
    <cellStyle name="표준 2 2 2 27 4" xfId="5300"/>
    <cellStyle name="표준 2 2 2 28" xfId="4548"/>
    <cellStyle name="표준 2 2 2 28 2" xfId="6450"/>
    <cellStyle name="표준 2 2 2 28 3" xfId="6031"/>
    <cellStyle name="표준 2 2 2 28 4" xfId="5301"/>
    <cellStyle name="표준 2 2 2 29" xfId="4549"/>
    <cellStyle name="표준 2 2 2 29 2" xfId="6451"/>
    <cellStyle name="표준 2 2 2 29 3" xfId="6032"/>
    <cellStyle name="표준 2 2 2 29 4" xfId="5302"/>
    <cellStyle name="표준 2 2 2 3" xfId="4550"/>
    <cellStyle name="標準 2 2 2 3" xfId="6011"/>
    <cellStyle name="표준 2 2 2 3 2" xfId="6452"/>
    <cellStyle name="표준 2 2 2 3 3" xfId="6033"/>
    <cellStyle name="표준 2 2 2 3 4" xfId="6914"/>
    <cellStyle name="표준 2 2 2 3 5" xfId="5303"/>
    <cellStyle name="표준 2 2 2 3 6" xfId="5766"/>
    <cellStyle name="표준 2 2 2 30" xfId="4551"/>
    <cellStyle name="표준 2 2 2 30 2" xfId="6453"/>
    <cellStyle name="표준 2 2 2 30 3" xfId="6034"/>
    <cellStyle name="표준 2 2 2 30 4" xfId="5304"/>
    <cellStyle name="표준 2 2 2 31" xfId="4552"/>
    <cellStyle name="표준 2 2 2 31 2" xfId="6454"/>
    <cellStyle name="표준 2 2 2 31 3" xfId="6035"/>
    <cellStyle name="표준 2 2 2 31 4" xfId="5305"/>
    <cellStyle name="표준 2 2 2 32" xfId="4553"/>
    <cellStyle name="표준 2 2 2 32 2" xfId="6455"/>
    <cellStyle name="표준 2 2 2 32 3" xfId="6036"/>
    <cellStyle name="표준 2 2 2 32 4" xfId="5306"/>
    <cellStyle name="표준 2 2 2 33" xfId="6429"/>
    <cellStyle name="표준 2 2 2 33 2" xfId="7931"/>
    <cellStyle name="표준 2 2 2 33 3" xfId="7732"/>
    <cellStyle name="표준 2 2 2 34" xfId="6010"/>
    <cellStyle name="표준 2 2 2 35" xfId="6818"/>
    <cellStyle name="표준 2 2 2 36" xfId="5280"/>
    <cellStyle name="표준 2 2 2 37" xfId="5768"/>
    <cellStyle name="표준 2 2 2 38" xfId="7860"/>
    <cellStyle name="표준 2 2 2 39" xfId="6975"/>
    <cellStyle name="표준 2 2 2 4" xfId="4554"/>
    <cellStyle name="標準 2 2 2 4" xfId="6817"/>
    <cellStyle name="표준 2 2 2 4 2" xfId="6456"/>
    <cellStyle name="표준 2 2 2 4 3" xfId="6037"/>
    <cellStyle name="표준 2 2 2 4 4" xfId="5307"/>
    <cellStyle name="표준 2 2 2 4 5" xfId="5223"/>
    <cellStyle name="표준 2 2 2 5" xfId="4555"/>
    <cellStyle name="標準 2 2 2 5" xfId="5281"/>
    <cellStyle name="표준 2 2 2 5 2" xfId="6457"/>
    <cellStyle name="표준 2 2 2 5 3" xfId="6038"/>
    <cellStyle name="표준 2 2 2 5 4" xfId="5308"/>
    <cellStyle name="표준 2 2 2 5 5" xfId="5222"/>
    <cellStyle name="표준 2 2 2 6" xfId="4556"/>
    <cellStyle name="標準 2 2 2 6" xfId="5224"/>
    <cellStyle name="표준 2 2 2 6 2" xfId="6458"/>
    <cellStyle name="표준 2 2 2 6 3" xfId="6039"/>
    <cellStyle name="표준 2 2 2 6 4" xfId="5309"/>
    <cellStyle name="표준 2 2 2 7" xfId="4557"/>
    <cellStyle name="標準 2 2 2 7" xfId="7861"/>
    <cellStyle name="표준 2 2 2 7 2" xfId="6459"/>
    <cellStyle name="표준 2 2 2 7 3" xfId="6040"/>
    <cellStyle name="표준 2 2 2 7 4" xfId="5310"/>
    <cellStyle name="표준 2 2 2 8" xfId="4558"/>
    <cellStyle name="標準 2 2 2 8" xfId="6976"/>
    <cellStyle name="표준 2 2 2 8 2" xfId="6460"/>
    <cellStyle name="표준 2 2 2 8 3" xfId="6041"/>
    <cellStyle name="표준 2 2 2 8 4" xfId="5311"/>
    <cellStyle name="표준 2 2 2 9" xfId="4559"/>
    <cellStyle name="표준 2 2 2 9 2" xfId="6461"/>
    <cellStyle name="표준 2 2 2 9 3" xfId="6042"/>
    <cellStyle name="표준 2 2 2 9 4" xfId="5312"/>
    <cellStyle name="표준 2 2 2_Table_KOR" xfId="4560"/>
    <cellStyle name="표준 2 2 3" xfId="4561"/>
    <cellStyle name="標準 2 2 3" xfId="4562"/>
    <cellStyle name="표준 2 2 3 10" xfId="4563"/>
    <cellStyle name="표준 2 2 3 10 2" xfId="6464"/>
    <cellStyle name="표준 2 2 3 10 3" xfId="6045"/>
    <cellStyle name="표준 2 2 3 10 4" xfId="5315"/>
    <cellStyle name="표준 2 2 3 11" xfId="4564"/>
    <cellStyle name="표준 2 2 3 11 2" xfId="6465"/>
    <cellStyle name="표준 2 2 3 11 3" xfId="6046"/>
    <cellStyle name="표준 2 2 3 11 4" xfId="5316"/>
    <cellStyle name="표준 2 2 3 12" xfId="4565"/>
    <cellStyle name="표준 2 2 3 12 2" xfId="6466"/>
    <cellStyle name="표준 2 2 3 12 3" xfId="6047"/>
    <cellStyle name="표준 2 2 3 12 4" xfId="5317"/>
    <cellStyle name="표준 2 2 3 13" xfId="4566"/>
    <cellStyle name="표준 2 2 3 13 2" xfId="6467"/>
    <cellStyle name="표준 2 2 3 13 3" xfId="6048"/>
    <cellStyle name="표준 2 2 3 13 4" xfId="5318"/>
    <cellStyle name="표준 2 2 3 14" xfId="4567"/>
    <cellStyle name="표준 2 2 3 14 2" xfId="6468"/>
    <cellStyle name="표준 2 2 3 14 3" xfId="6049"/>
    <cellStyle name="표준 2 2 3 14 4" xfId="5319"/>
    <cellStyle name="표준 2 2 3 15" xfId="4568"/>
    <cellStyle name="표준 2 2 3 15 2" xfId="6469"/>
    <cellStyle name="표준 2 2 3 15 3" xfId="6050"/>
    <cellStyle name="표준 2 2 3 15 4" xfId="5320"/>
    <cellStyle name="표준 2 2 3 16" xfId="4569"/>
    <cellStyle name="표준 2 2 3 16 2" xfId="6470"/>
    <cellStyle name="표준 2 2 3 16 3" xfId="6051"/>
    <cellStyle name="표준 2 2 3 16 4" xfId="5321"/>
    <cellStyle name="표준 2 2 3 17" xfId="4570"/>
    <cellStyle name="표준 2 2 3 17 2" xfId="6471"/>
    <cellStyle name="표준 2 2 3 17 3" xfId="6052"/>
    <cellStyle name="표준 2 2 3 17 4" xfId="5322"/>
    <cellStyle name="표준 2 2 3 18" xfId="4571"/>
    <cellStyle name="표준 2 2 3 18 2" xfId="6472"/>
    <cellStyle name="표준 2 2 3 18 3" xfId="6053"/>
    <cellStyle name="표준 2 2 3 18 4" xfId="5323"/>
    <cellStyle name="표준 2 2 3 19" xfId="4572"/>
    <cellStyle name="표준 2 2 3 19 2" xfId="6473"/>
    <cellStyle name="표준 2 2 3 19 3" xfId="6054"/>
    <cellStyle name="표준 2 2 3 19 4" xfId="5324"/>
    <cellStyle name="표준 2 2 3 2" xfId="4573"/>
    <cellStyle name="標準 2 2 3 2" xfId="6463"/>
    <cellStyle name="표준 2 2 3 2 2" xfId="6474"/>
    <cellStyle name="표준 2 2 3 2 2 2" xfId="7935"/>
    <cellStyle name="표준 2 2 3 2 2 3" xfId="7736"/>
    <cellStyle name="표준 2 2 3 2 3" xfId="6055"/>
    <cellStyle name="표준 2 2 3 2 4" xfId="6900"/>
    <cellStyle name="표준 2 2 3 2 5" xfId="5325"/>
    <cellStyle name="표준 2 2 3 2 6" xfId="5764"/>
    <cellStyle name="표준 2 2 3 2 7" xfId="6979"/>
    <cellStyle name="표준 2 2 3 20" xfId="4574"/>
    <cellStyle name="표준 2 2 3 20 2" xfId="6475"/>
    <cellStyle name="표준 2 2 3 20 3" xfId="6056"/>
    <cellStyle name="표준 2 2 3 20 4" xfId="5326"/>
    <cellStyle name="표준 2 2 3 21" xfId="4575"/>
    <cellStyle name="표준 2 2 3 21 2" xfId="6476"/>
    <cellStyle name="표준 2 2 3 21 3" xfId="6057"/>
    <cellStyle name="표준 2 2 3 21 4" xfId="5327"/>
    <cellStyle name="표준 2 2 3 22" xfId="4576"/>
    <cellStyle name="표준 2 2 3 22 2" xfId="6477"/>
    <cellStyle name="표준 2 2 3 22 3" xfId="6058"/>
    <cellStyle name="표준 2 2 3 22 4" xfId="5328"/>
    <cellStyle name="표준 2 2 3 23" xfId="4577"/>
    <cellStyle name="표준 2 2 3 23 2" xfId="6478"/>
    <cellStyle name="표준 2 2 3 23 3" xfId="6059"/>
    <cellStyle name="표준 2 2 3 23 4" xfId="5329"/>
    <cellStyle name="표준 2 2 3 24" xfId="4578"/>
    <cellStyle name="표준 2 2 3 24 2" xfId="6479"/>
    <cellStyle name="표준 2 2 3 24 3" xfId="6060"/>
    <cellStyle name="표준 2 2 3 24 4" xfId="5330"/>
    <cellStyle name="표준 2 2 3 25" xfId="4579"/>
    <cellStyle name="표준 2 2 3 25 2" xfId="6480"/>
    <cellStyle name="표준 2 2 3 25 3" xfId="6061"/>
    <cellStyle name="표준 2 2 3 25 4" xfId="5331"/>
    <cellStyle name="표준 2 2 3 26" xfId="4580"/>
    <cellStyle name="표준 2 2 3 26 2" xfId="6481"/>
    <cellStyle name="표준 2 2 3 26 3" xfId="6062"/>
    <cellStyle name="표준 2 2 3 26 4" xfId="5332"/>
    <cellStyle name="표준 2 2 3 27" xfId="4581"/>
    <cellStyle name="표준 2 2 3 27 2" xfId="6482"/>
    <cellStyle name="표준 2 2 3 27 3" xfId="6063"/>
    <cellStyle name="표준 2 2 3 27 4" xfId="5333"/>
    <cellStyle name="표준 2 2 3 28" xfId="4582"/>
    <cellStyle name="표준 2 2 3 28 2" xfId="6483"/>
    <cellStyle name="표준 2 2 3 28 3" xfId="6064"/>
    <cellStyle name="표준 2 2 3 28 4" xfId="5334"/>
    <cellStyle name="표준 2 2 3 29" xfId="4583"/>
    <cellStyle name="표준 2 2 3 29 2" xfId="6484"/>
    <cellStyle name="표준 2 2 3 29 3" xfId="6065"/>
    <cellStyle name="표준 2 2 3 29 4" xfId="5335"/>
    <cellStyle name="표준 2 2 3 3" xfId="4584"/>
    <cellStyle name="標準 2 2 3 3" xfId="6044"/>
    <cellStyle name="표준 2 2 3 3 2" xfId="6485"/>
    <cellStyle name="표준 2 2 3 3 3" xfId="6066"/>
    <cellStyle name="표준 2 2 3 3 4" xfId="6884"/>
    <cellStyle name="표준 2 2 3 3 5" xfId="5336"/>
    <cellStyle name="표준 2 2 3 3 6" xfId="5219"/>
    <cellStyle name="표준 2 2 3 30" xfId="4585"/>
    <cellStyle name="표준 2 2 3 30 2" xfId="6486"/>
    <cellStyle name="표준 2 2 3 30 3" xfId="6067"/>
    <cellStyle name="표준 2 2 3 30 4" xfId="5337"/>
    <cellStyle name="표준 2 2 3 31" xfId="6462"/>
    <cellStyle name="표준 2 2 3 31 2" xfId="7934"/>
    <cellStyle name="표준 2 2 3 31 3" xfId="7735"/>
    <cellStyle name="표준 2 2 3 32" xfId="6043"/>
    <cellStyle name="표준 2 2 3 33" xfId="6902"/>
    <cellStyle name="표준 2 2 3 34" xfId="5313"/>
    <cellStyle name="표준 2 2 3 35" xfId="5221"/>
    <cellStyle name="표준 2 2 3 36" xfId="7863"/>
    <cellStyle name="표준 2 2 3 37" xfId="6978"/>
    <cellStyle name="표준 2 2 3 4" xfId="4586"/>
    <cellStyle name="標準 2 2 3 4" xfId="6901"/>
    <cellStyle name="표준 2 2 3 4 2" xfId="6487"/>
    <cellStyle name="표준 2 2 3 4 3" xfId="6068"/>
    <cellStyle name="표준 2 2 3 4 4" xfId="5338"/>
    <cellStyle name="표준 2 2 3 4 5" xfId="5760"/>
    <cellStyle name="표준 2 2 3 5" xfId="4587"/>
    <cellStyle name="標準 2 2 3 5" xfId="5314"/>
    <cellStyle name="표준 2 2 3 5 2" xfId="6488"/>
    <cellStyle name="표준 2 2 3 5 3" xfId="6069"/>
    <cellStyle name="표준 2 2 3 5 4" xfId="5339"/>
    <cellStyle name="표준 2 2 3 5 5" xfId="5218"/>
    <cellStyle name="표준 2 2 3 6" xfId="4588"/>
    <cellStyle name="標準 2 2 3 6" xfId="5220"/>
    <cellStyle name="표준 2 2 3 6 2" xfId="6489"/>
    <cellStyle name="표준 2 2 3 6 3" xfId="6070"/>
    <cellStyle name="표준 2 2 3 6 4" xfId="5340"/>
    <cellStyle name="표준 2 2 3 7" xfId="4589"/>
    <cellStyle name="표준 2 2 3 7 2" xfId="6490"/>
    <cellStyle name="표준 2 2 3 7 3" xfId="6071"/>
    <cellStyle name="표준 2 2 3 7 4" xfId="5341"/>
    <cellStyle name="표준 2 2 3 8" xfId="4590"/>
    <cellStyle name="표준 2 2 3 8 2" xfId="6491"/>
    <cellStyle name="표준 2 2 3 8 3" xfId="6072"/>
    <cellStyle name="표준 2 2 3 8 4" xfId="5342"/>
    <cellStyle name="표준 2 2 3 9" xfId="4591"/>
    <cellStyle name="표준 2 2 3 9 2" xfId="6492"/>
    <cellStyle name="표준 2 2 3 9 3" xfId="6073"/>
    <cellStyle name="표준 2 2 3 9 4" xfId="5343"/>
    <cellStyle name="표준 2 2 3_Table_KOR" xfId="4592"/>
    <cellStyle name="표준 2 2 4" xfId="4593"/>
    <cellStyle name="標準 2 2 4" xfId="4594"/>
    <cellStyle name="표준 2 2 4 10" xfId="4595"/>
    <cellStyle name="표준 2 2 4 10 2" xfId="6495"/>
    <cellStyle name="표준 2 2 4 10 3" xfId="6076"/>
    <cellStyle name="표준 2 2 4 10 4" xfId="5346"/>
    <cellStyle name="표준 2 2 4 11" xfId="4596"/>
    <cellStyle name="표준 2 2 4 11 2" xfId="6496"/>
    <cellStyle name="표준 2 2 4 11 3" xfId="6077"/>
    <cellStyle name="표준 2 2 4 11 4" xfId="5347"/>
    <cellStyle name="표준 2 2 4 12" xfId="4597"/>
    <cellStyle name="표준 2 2 4 12 2" xfId="6497"/>
    <cellStyle name="표준 2 2 4 12 3" xfId="6078"/>
    <cellStyle name="표준 2 2 4 12 4" xfId="5348"/>
    <cellStyle name="표준 2 2 4 13" xfId="4598"/>
    <cellStyle name="표준 2 2 4 13 2" xfId="6498"/>
    <cellStyle name="표준 2 2 4 13 3" xfId="6079"/>
    <cellStyle name="표준 2 2 4 13 4" xfId="5349"/>
    <cellStyle name="표준 2 2 4 14" xfId="4599"/>
    <cellStyle name="표준 2 2 4 14 2" xfId="6499"/>
    <cellStyle name="표준 2 2 4 14 3" xfId="6080"/>
    <cellStyle name="표준 2 2 4 14 4" xfId="5350"/>
    <cellStyle name="표준 2 2 4 15" xfId="4600"/>
    <cellStyle name="표준 2 2 4 15 2" xfId="6500"/>
    <cellStyle name="표준 2 2 4 15 3" xfId="6081"/>
    <cellStyle name="표준 2 2 4 15 4" xfId="5351"/>
    <cellStyle name="표준 2 2 4 16" xfId="4601"/>
    <cellStyle name="표준 2 2 4 16 2" xfId="6501"/>
    <cellStyle name="표준 2 2 4 16 3" xfId="6082"/>
    <cellStyle name="표준 2 2 4 16 4" xfId="5352"/>
    <cellStyle name="표준 2 2 4 17" xfId="4602"/>
    <cellStyle name="표준 2 2 4 17 2" xfId="6502"/>
    <cellStyle name="표준 2 2 4 17 3" xfId="6083"/>
    <cellStyle name="표준 2 2 4 17 4" xfId="5353"/>
    <cellStyle name="표준 2 2 4 18" xfId="4603"/>
    <cellStyle name="표준 2 2 4 18 2" xfId="6503"/>
    <cellStyle name="표준 2 2 4 18 3" xfId="6084"/>
    <cellStyle name="표준 2 2 4 18 4" xfId="5354"/>
    <cellStyle name="표준 2 2 4 19" xfId="4604"/>
    <cellStyle name="표준 2 2 4 19 2" xfId="6504"/>
    <cellStyle name="표준 2 2 4 19 3" xfId="6085"/>
    <cellStyle name="표준 2 2 4 19 4" xfId="5355"/>
    <cellStyle name="표준 2 2 4 2" xfId="4605"/>
    <cellStyle name="標準 2 2 4 2" xfId="6494"/>
    <cellStyle name="표준 2 2 4 2 2" xfId="6505"/>
    <cellStyle name="표준 2 2 4 2 2 2" xfId="7937"/>
    <cellStyle name="표준 2 2 4 2 2 3" xfId="7738"/>
    <cellStyle name="표준 2 2 4 2 3" xfId="6086"/>
    <cellStyle name="표준 2 2 4 2 4" xfId="6899"/>
    <cellStyle name="표준 2 2 4 2 5" xfId="5356"/>
    <cellStyle name="표준 2 2 4 2 6" xfId="5217"/>
    <cellStyle name="표준 2 2 4 2 7" xfId="6981"/>
    <cellStyle name="표준 2 2 4 20" xfId="4606"/>
    <cellStyle name="표준 2 2 4 20 2" xfId="6506"/>
    <cellStyle name="표준 2 2 4 20 3" xfId="6087"/>
    <cellStyle name="표준 2 2 4 20 4" xfId="5357"/>
    <cellStyle name="표준 2 2 4 21" xfId="4607"/>
    <cellStyle name="표준 2 2 4 21 2" xfId="6507"/>
    <cellStyle name="표준 2 2 4 21 3" xfId="6088"/>
    <cellStyle name="표준 2 2 4 21 4" xfId="5358"/>
    <cellStyle name="표준 2 2 4 22" xfId="4608"/>
    <cellStyle name="표준 2 2 4 22 2" xfId="6508"/>
    <cellStyle name="표준 2 2 4 22 3" xfId="6089"/>
    <cellStyle name="표준 2 2 4 22 4" xfId="5359"/>
    <cellStyle name="표준 2 2 4 23" xfId="4609"/>
    <cellStyle name="표준 2 2 4 23 2" xfId="6509"/>
    <cellStyle name="표준 2 2 4 23 3" xfId="6090"/>
    <cellStyle name="표준 2 2 4 23 4" xfId="5360"/>
    <cellStyle name="표준 2 2 4 24" xfId="4610"/>
    <cellStyle name="표준 2 2 4 24 2" xfId="6510"/>
    <cellStyle name="표준 2 2 4 24 3" xfId="6091"/>
    <cellStyle name="표준 2 2 4 24 4" xfId="5361"/>
    <cellStyle name="표준 2 2 4 25" xfId="4611"/>
    <cellStyle name="표준 2 2 4 25 2" xfId="6511"/>
    <cellStyle name="표준 2 2 4 25 3" xfId="6092"/>
    <cellStyle name="표준 2 2 4 25 4" xfId="5362"/>
    <cellStyle name="표준 2 2 4 26" xfId="4612"/>
    <cellStyle name="표준 2 2 4 26 2" xfId="6512"/>
    <cellStyle name="표준 2 2 4 26 3" xfId="6093"/>
    <cellStyle name="표준 2 2 4 26 4" xfId="5363"/>
    <cellStyle name="표준 2 2 4 27" xfId="4613"/>
    <cellStyle name="표준 2 2 4 27 2" xfId="6513"/>
    <cellStyle name="표준 2 2 4 27 3" xfId="6094"/>
    <cellStyle name="표준 2 2 4 27 4" xfId="5364"/>
    <cellStyle name="표준 2 2 4 28" xfId="4614"/>
    <cellStyle name="표준 2 2 4 28 2" xfId="6514"/>
    <cellStyle name="표준 2 2 4 28 3" xfId="6095"/>
    <cellStyle name="표준 2 2 4 28 4" xfId="5365"/>
    <cellStyle name="표준 2 2 4 29" xfId="4615"/>
    <cellStyle name="표준 2 2 4 29 2" xfId="6515"/>
    <cellStyle name="표준 2 2 4 29 3" xfId="6096"/>
    <cellStyle name="표준 2 2 4 29 4" xfId="5366"/>
    <cellStyle name="표준 2 2 4 3" xfId="4616"/>
    <cellStyle name="標準 2 2 4 3" xfId="6075"/>
    <cellStyle name="표준 2 2 4 3 2" xfId="6516"/>
    <cellStyle name="표준 2 2 4 3 3" xfId="6097"/>
    <cellStyle name="표준 2 2 4 3 4" xfId="6849"/>
    <cellStyle name="표준 2 2 4 3 5" xfId="5367"/>
    <cellStyle name="표준 2 2 4 3 6" xfId="5216"/>
    <cellStyle name="표준 2 2 4 30" xfId="6493"/>
    <cellStyle name="표준 2 2 4 30 2" xfId="7936"/>
    <cellStyle name="표준 2 2 4 30 3" xfId="7737"/>
    <cellStyle name="표준 2 2 4 31" xfId="6074"/>
    <cellStyle name="표준 2 2 4 32" xfId="6853"/>
    <cellStyle name="표준 2 2 4 33" xfId="5344"/>
    <cellStyle name="표준 2 2 4 34" xfId="5817"/>
    <cellStyle name="표준 2 2 4 35" xfId="7864"/>
    <cellStyle name="표준 2 2 4 36" xfId="6980"/>
    <cellStyle name="표준 2 2 4 4" xfId="4617"/>
    <cellStyle name="標準 2 2 4 4" xfId="6852"/>
    <cellStyle name="표준 2 2 4 4 2" xfId="6517"/>
    <cellStyle name="표준 2 2 4 4 3" xfId="6098"/>
    <cellStyle name="표준 2 2 4 4 4" xfId="5368"/>
    <cellStyle name="표준 2 2 4 4 5" xfId="5215"/>
    <cellStyle name="표준 2 2 4 5" xfId="4618"/>
    <cellStyle name="標準 2 2 4 5" xfId="5345"/>
    <cellStyle name="표준 2 2 4 5 2" xfId="6518"/>
    <cellStyle name="표준 2 2 4 5 3" xfId="6099"/>
    <cellStyle name="표준 2 2 4 5 4" xfId="5369"/>
    <cellStyle name="표준 2 2 4 5 5" xfId="5811"/>
    <cellStyle name="표준 2 2 4 6" xfId="4619"/>
    <cellStyle name="標準 2 2 4 6" xfId="5816"/>
    <cellStyle name="표준 2 2 4 6 2" xfId="6519"/>
    <cellStyle name="표준 2 2 4 6 3" xfId="6100"/>
    <cellStyle name="표준 2 2 4 6 4" xfId="5370"/>
    <cellStyle name="표준 2 2 4 7" xfId="4620"/>
    <cellStyle name="표준 2 2 4 7 2" xfId="6520"/>
    <cellStyle name="표준 2 2 4 7 3" xfId="6101"/>
    <cellStyle name="표준 2 2 4 7 4" xfId="5371"/>
    <cellStyle name="표준 2 2 4 8" xfId="4621"/>
    <cellStyle name="표준 2 2 4 8 2" xfId="6521"/>
    <cellStyle name="표준 2 2 4 8 3" xfId="6102"/>
    <cellStyle name="표준 2 2 4 8 4" xfId="5372"/>
    <cellStyle name="표준 2 2 4 9" xfId="4622"/>
    <cellStyle name="표준 2 2 4 9 2" xfId="6522"/>
    <cellStyle name="표준 2 2 4 9 3" xfId="6103"/>
    <cellStyle name="표준 2 2 4 9 4" xfId="5373"/>
    <cellStyle name="표준 2 2 4_Table_KOR" xfId="4623"/>
    <cellStyle name="표준 2 2 5" xfId="4624"/>
    <cellStyle name="標準 2 2 5" xfId="4625"/>
    <cellStyle name="표준 2 2 5 10" xfId="4626"/>
    <cellStyle name="표준 2 2 5 10 2" xfId="6525"/>
    <cellStyle name="표준 2 2 5 10 3" xfId="6106"/>
    <cellStyle name="표준 2 2 5 10 4" xfId="5376"/>
    <cellStyle name="표준 2 2 5 11" xfId="4627"/>
    <cellStyle name="표준 2 2 5 11 2" xfId="6526"/>
    <cellStyle name="표준 2 2 5 11 3" xfId="6107"/>
    <cellStyle name="표준 2 2 5 11 4" xfId="5377"/>
    <cellStyle name="표준 2 2 5 12" xfId="4628"/>
    <cellStyle name="표준 2 2 5 12 2" xfId="6527"/>
    <cellStyle name="표준 2 2 5 12 3" xfId="6108"/>
    <cellStyle name="표준 2 2 5 12 4" xfId="5378"/>
    <cellStyle name="표준 2 2 5 13" xfId="4629"/>
    <cellStyle name="표준 2 2 5 13 2" xfId="6528"/>
    <cellStyle name="표준 2 2 5 13 3" xfId="6109"/>
    <cellStyle name="표준 2 2 5 13 4" xfId="5379"/>
    <cellStyle name="표준 2 2 5 14" xfId="4630"/>
    <cellStyle name="표준 2 2 5 14 2" xfId="6529"/>
    <cellStyle name="표준 2 2 5 14 3" xfId="6110"/>
    <cellStyle name="표준 2 2 5 14 4" xfId="5380"/>
    <cellStyle name="표준 2 2 5 15" xfId="4631"/>
    <cellStyle name="표준 2 2 5 15 2" xfId="6530"/>
    <cellStyle name="표준 2 2 5 15 3" xfId="6111"/>
    <cellStyle name="표준 2 2 5 15 4" xfId="5381"/>
    <cellStyle name="표준 2 2 5 16" xfId="4632"/>
    <cellStyle name="표준 2 2 5 16 2" xfId="6531"/>
    <cellStyle name="표준 2 2 5 16 3" xfId="6112"/>
    <cellStyle name="표준 2 2 5 16 4" xfId="5382"/>
    <cellStyle name="표준 2 2 5 17" xfId="4633"/>
    <cellStyle name="표준 2 2 5 17 2" xfId="6532"/>
    <cellStyle name="표준 2 2 5 17 3" xfId="6113"/>
    <cellStyle name="표준 2 2 5 17 4" xfId="5383"/>
    <cellStyle name="표준 2 2 5 18" xfId="4634"/>
    <cellStyle name="표준 2 2 5 18 2" xfId="6533"/>
    <cellStyle name="표준 2 2 5 18 3" xfId="6114"/>
    <cellStyle name="표준 2 2 5 18 4" xfId="5384"/>
    <cellStyle name="표준 2 2 5 19" xfId="4635"/>
    <cellStyle name="표준 2 2 5 19 2" xfId="6534"/>
    <cellStyle name="표준 2 2 5 19 3" xfId="6115"/>
    <cellStyle name="표준 2 2 5 19 4" xfId="5385"/>
    <cellStyle name="표준 2 2 5 2" xfId="4636"/>
    <cellStyle name="標準 2 2 5 2" xfId="6524"/>
    <cellStyle name="표준 2 2 5 2 2" xfId="6535"/>
    <cellStyle name="표준 2 2 5 2 2 2" xfId="7939"/>
    <cellStyle name="표준 2 2 5 2 2 3" xfId="7740"/>
    <cellStyle name="표준 2 2 5 2 3" xfId="6116"/>
    <cellStyle name="표준 2 2 5 2 4" xfId="6898"/>
    <cellStyle name="표준 2 2 5 2 5" xfId="5386"/>
    <cellStyle name="표준 2 2 5 2 6" xfId="5212"/>
    <cellStyle name="표준 2 2 5 2 7" xfId="6983"/>
    <cellStyle name="표준 2 2 5 20" xfId="4637"/>
    <cellStyle name="표준 2 2 5 20 2" xfId="6536"/>
    <cellStyle name="표준 2 2 5 20 3" xfId="6117"/>
    <cellStyle name="표준 2 2 5 20 4" xfId="5387"/>
    <cellStyle name="표준 2 2 5 21" xfId="4638"/>
    <cellStyle name="표준 2 2 5 21 2" xfId="6537"/>
    <cellStyle name="표준 2 2 5 21 3" xfId="6118"/>
    <cellStyle name="표준 2 2 5 21 4" xfId="5388"/>
    <cellStyle name="표준 2 2 5 22" xfId="4639"/>
    <cellStyle name="표준 2 2 5 22 2" xfId="6538"/>
    <cellStyle name="표준 2 2 5 22 3" xfId="6119"/>
    <cellStyle name="표준 2 2 5 22 4" xfId="5389"/>
    <cellStyle name="표준 2 2 5 23" xfId="4640"/>
    <cellStyle name="표준 2 2 5 23 2" xfId="6539"/>
    <cellStyle name="표준 2 2 5 23 3" xfId="6120"/>
    <cellStyle name="표준 2 2 5 23 4" xfId="5390"/>
    <cellStyle name="표준 2 2 5 24" xfId="4641"/>
    <cellStyle name="표준 2 2 5 24 2" xfId="6540"/>
    <cellStyle name="표준 2 2 5 24 3" xfId="6121"/>
    <cellStyle name="표준 2 2 5 24 4" xfId="5391"/>
    <cellStyle name="표준 2 2 5 25" xfId="4642"/>
    <cellStyle name="표준 2 2 5 25 2" xfId="6541"/>
    <cellStyle name="표준 2 2 5 25 3" xfId="6122"/>
    <cellStyle name="표준 2 2 5 25 4" xfId="5392"/>
    <cellStyle name="표준 2 2 5 26" xfId="4643"/>
    <cellStyle name="표준 2 2 5 26 2" xfId="6542"/>
    <cellStyle name="표준 2 2 5 26 3" xfId="6123"/>
    <cellStyle name="표준 2 2 5 26 4" xfId="5393"/>
    <cellStyle name="표준 2 2 5 27" xfId="4644"/>
    <cellStyle name="표준 2 2 5 27 2" xfId="6543"/>
    <cellStyle name="표준 2 2 5 27 3" xfId="6124"/>
    <cellStyle name="표준 2 2 5 27 4" xfId="5394"/>
    <cellStyle name="표준 2 2 5 28" xfId="4645"/>
    <cellStyle name="표준 2 2 5 28 2" xfId="6544"/>
    <cellStyle name="표준 2 2 5 28 3" xfId="6125"/>
    <cellStyle name="표준 2 2 5 28 4" xfId="5395"/>
    <cellStyle name="표준 2 2 5 29" xfId="4646"/>
    <cellStyle name="표준 2 2 5 29 2" xfId="6545"/>
    <cellStyle name="표준 2 2 5 29 3" xfId="6126"/>
    <cellStyle name="표준 2 2 5 29 4" xfId="5396"/>
    <cellStyle name="표준 2 2 5 3" xfId="4647"/>
    <cellStyle name="標準 2 2 5 3" xfId="6105"/>
    <cellStyle name="표준 2 2 5 3 2" xfId="6546"/>
    <cellStyle name="표준 2 2 5 3 3" xfId="6127"/>
    <cellStyle name="표준 2 2 5 3 4" xfId="6865"/>
    <cellStyle name="표준 2 2 5 3 5" xfId="5397"/>
    <cellStyle name="표준 2 2 5 3 6" xfId="5806"/>
    <cellStyle name="표준 2 2 5 30" xfId="6523"/>
    <cellStyle name="표준 2 2 5 30 2" xfId="7938"/>
    <cellStyle name="표준 2 2 5 30 3" xfId="7739"/>
    <cellStyle name="표준 2 2 5 31" xfId="6104"/>
    <cellStyle name="표준 2 2 5 32" xfId="6868"/>
    <cellStyle name="표준 2 2 5 33" xfId="5374"/>
    <cellStyle name="표준 2 2 5 34" xfId="5214"/>
    <cellStyle name="표준 2 2 5 35" xfId="7865"/>
    <cellStyle name="표준 2 2 5 36" xfId="6982"/>
    <cellStyle name="표준 2 2 5 4" xfId="4648"/>
    <cellStyle name="標準 2 2 5 4" xfId="6867"/>
    <cellStyle name="표준 2 2 5 4 2" xfId="6547"/>
    <cellStyle name="표준 2 2 5 4 3" xfId="6128"/>
    <cellStyle name="표준 2 2 5 4 4" xfId="5398"/>
    <cellStyle name="표준 2 2 5 4 5" xfId="5805"/>
    <cellStyle name="표준 2 2 5 5" xfId="4649"/>
    <cellStyle name="標準 2 2 5 5" xfId="5375"/>
    <cellStyle name="표준 2 2 5 5 2" xfId="6548"/>
    <cellStyle name="표준 2 2 5 5 3" xfId="6129"/>
    <cellStyle name="표준 2 2 5 5 4" xfId="5399"/>
    <cellStyle name="표준 2 2 5 5 5" xfId="5804"/>
    <cellStyle name="표준 2 2 5 6" xfId="4650"/>
    <cellStyle name="標準 2 2 5 6" xfId="5213"/>
    <cellStyle name="표준 2 2 5 6 2" xfId="6549"/>
    <cellStyle name="표준 2 2 5 6 3" xfId="6130"/>
    <cellStyle name="표준 2 2 5 6 4" xfId="5400"/>
    <cellStyle name="표준 2 2 5 7" xfId="4651"/>
    <cellStyle name="표준 2 2 5 7 2" xfId="6550"/>
    <cellStyle name="표준 2 2 5 7 3" xfId="6131"/>
    <cellStyle name="표준 2 2 5 7 4" xfId="5401"/>
    <cellStyle name="표준 2 2 5 8" xfId="4652"/>
    <cellStyle name="표준 2 2 5 8 2" xfId="6551"/>
    <cellStyle name="표준 2 2 5 8 3" xfId="6132"/>
    <cellStyle name="표준 2 2 5 8 4" xfId="5402"/>
    <cellStyle name="표준 2 2 5 9" xfId="4653"/>
    <cellStyle name="표준 2 2 5 9 2" xfId="6552"/>
    <cellStyle name="표준 2 2 5 9 3" xfId="6133"/>
    <cellStyle name="표준 2 2 5 9 4" xfId="5403"/>
    <cellStyle name="표준 2 2 5_Table_KOR" xfId="4654"/>
    <cellStyle name="표준 2 2 6" xfId="4655"/>
    <cellStyle name="標準 2 2 6" xfId="4656"/>
    <cellStyle name="표준 2 2 6 10" xfId="4657"/>
    <cellStyle name="표준 2 2 6 10 2" xfId="6555"/>
    <cellStyle name="표준 2 2 6 10 3" xfId="6136"/>
    <cellStyle name="표준 2 2 6 10 4" xfId="5406"/>
    <cellStyle name="표준 2 2 6 11" xfId="4658"/>
    <cellStyle name="표준 2 2 6 11 2" xfId="6556"/>
    <cellStyle name="표준 2 2 6 11 3" xfId="6137"/>
    <cellStyle name="표준 2 2 6 11 4" xfId="5407"/>
    <cellStyle name="표준 2 2 6 12" xfId="4659"/>
    <cellStyle name="표준 2 2 6 12 2" xfId="6557"/>
    <cellStyle name="표준 2 2 6 12 3" xfId="6138"/>
    <cellStyle name="표준 2 2 6 12 4" xfId="5408"/>
    <cellStyle name="표준 2 2 6 13" xfId="4660"/>
    <cellStyle name="표준 2 2 6 13 2" xfId="6558"/>
    <cellStyle name="표준 2 2 6 13 3" xfId="6139"/>
    <cellStyle name="표준 2 2 6 13 4" xfId="5409"/>
    <cellStyle name="표준 2 2 6 14" xfId="4661"/>
    <cellStyle name="표준 2 2 6 14 2" xfId="6559"/>
    <cellStyle name="표준 2 2 6 14 3" xfId="6140"/>
    <cellStyle name="표준 2 2 6 14 4" xfId="5410"/>
    <cellStyle name="표준 2 2 6 15" xfId="4662"/>
    <cellStyle name="표준 2 2 6 15 2" xfId="6560"/>
    <cellStyle name="표준 2 2 6 15 3" xfId="6141"/>
    <cellStyle name="표준 2 2 6 15 4" xfId="5411"/>
    <cellStyle name="표준 2 2 6 16" xfId="4663"/>
    <cellStyle name="표준 2 2 6 16 2" xfId="6561"/>
    <cellStyle name="표준 2 2 6 16 3" xfId="6142"/>
    <cellStyle name="표준 2 2 6 16 4" xfId="5412"/>
    <cellStyle name="표준 2 2 6 17" xfId="4664"/>
    <cellStyle name="표준 2 2 6 17 2" xfId="6562"/>
    <cellStyle name="표준 2 2 6 17 3" xfId="6143"/>
    <cellStyle name="표준 2 2 6 17 4" xfId="5413"/>
    <cellStyle name="표준 2 2 6 18" xfId="4665"/>
    <cellStyle name="표준 2 2 6 18 2" xfId="6563"/>
    <cellStyle name="표준 2 2 6 18 3" xfId="6144"/>
    <cellStyle name="표준 2 2 6 18 4" xfId="5414"/>
    <cellStyle name="표준 2 2 6 19" xfId="4666"/>
    <cellStyle name="표준 2 2 6 19 2" xfId="6564"/>
    <cellStyle name="표준 2 2 6 19 3" xfId="6145"/>
    <cellStyle name="표준 2 2 6 19 4" xfId="5415"/>
    <cellStyle name="표준 2 2 6 2" xfId="4667"/>
    <cellStyle name="標準 2 2 6 2" xfId="6554"/>
    <cellStyle name="표준 2 2 6 2 2" xfId="6565"/>
    <cellStyle name="표준 2 2 6 2 2 2" xfId="7941"/>
    <cellStyle name="표준 2 2 6 2 2 3" xfId="7742"/>
    <cellStyle name="표준 2 2 6 2 3" xfId="6146"/>
    <cellStyle name="표준 2 2 6 2 4" xfId="6897"/>
    <cellStyle name="표준 2 2 6 2 5" xfId="5416"/>
    <cellStyle name="표준 2 2 6 2 6" xfId="5802"/>
    <cellStyle name="표준 2 2 6 2 7" xfId="6985"/>
    <cellStyle name="표준 2 2 6 20" xfId="4668"/>
    <cellStyle name="표준 2 2 6 20 2" xfId="6566"/>
    <cellStyle name="표준 2 2 6 20 3" xfId="6147"/>
    <cellStyle name="표준 2 2 6 20 4" xfId="5417"/>
    <cellStyle name="표준 2 2 6 21" xfId="4669"/>
    <cellStyle name="표준 2 2 6 21 2" xfId="6567"/>
    <cellStyle name="표준 2 2 6 21 3" xfId="6148"/>
    <cellStyle name="표준 2 2 6 21 4" xfId="5418"/>
    <cellStyle name="표준 2 2 6 22" xfId="4670"/>
    <cellStyle name="표준 2 2 6 22 2" xfId="6568"/>
    <cellStyle name="표준 2 2 6 22 3" xfId="6149"/>
    <cellStyle name="표준 2 2 6 22 4" xfId="5419"/>
    <cellStyle name="표준 2 2 6 23" xfId="4671"/>
    <cellStyle name="표준 2 2 6 23 2" xfId="6569"/>
    <cellStyle name="표준 2 2 6 23 3" xfId="6150"/>
    <cellStyle name="표준 2 2 6 23 4" xfId="5420"/>
    <cellStyle name="표준 2 2 6 24" xfId="4672"/>
    <cellStyle name="표준 2 2 6 24 2" xfId="6570"/>
    <cellStyle name="표준 2 2 6 24 3" xfId="6151"/>
    <cellStyle name="표준 2 2 6 24 4" xfId="5421"/>
    <cellStyle name="표준 2 2 6 25" xfId="4673"/>
    <cellStyle name="표준 2 2 6 25 2" xfId="6571"/>
    <cellStyle name="표준 2 2 6 25 3" xfId="6152"/>
    <cellStyle name="표준 2 2 6 25 4" xfId="5422"/>
    <cellStyle name="표준 2 2 6 26" xfId="4674"/>
    <cellStyle name="표준 2 2 6 26 2" xfId="6572"/>
    <cellStyle name="표준 2 2 6 26 3" xfId="6153"/>
    <cellStyle name="표준 2 2 6 26 4" xfId="5423"/>
    <cellStyle name="표준 2 2 6 27" xfId="4675"/>
    <cellStyle name="표준 2 2 6 27 2" xfId="6573"/>
    <cellStyle name="표준 2 2 6 27 3" xfId="6154"/>
    <cellStyle name="표준 2 2 6 27 4" xfId="5424"/>
    <cellStyle name="표준 2 2 6 28" xfId="4676"/>
    <cellStyle name="표준 2 2 6 28 2" xfId="6574"/>
    <cellStyle name="표준 2 2 6 28 3" xfId="6155"/>
    <cellStyle name="표준 2 2 6 28 4" xfId="5425"/>
    <cellStyle name="표준 2 2 6 29" xfId="6553"/>
    <cellStyle name="표준 2 2 6 29 2" xfId="7940"/>
    <cellStyle name="표준 2 2 6 29 3" xfId="7741"/>
    <cellStyle name="표준 2 2 6 3" xfId="4677"/>
    <cellStyle name="標準 2 2 6 3" xfId="6135"/>
    <cellStyle name="표준 2 2 6 3 2" xfId="6575"/>
    <cellStyle name="표준 2 2 6 3 3" xfId="6156"/>
    <cellStyle name="표준 2 2 6 3 4" xfId="6893"/>
    <cellStyle name="표준 2 2 6 3 5" xfId="5426"/>
    <cellStyle name="표준 2 2 6 3 6" xfId="5801"/>
    <cellStyle name="표준 2 2 6 30" xfId="6134"/>
    <cellStyle name="표준 2 2 6 31" xfId="6848"/>
    <cellStyle name="표준 2 2 6 32" xfId="5404"/>
    <cellStyle name="표준 2 2 6 33" xfId="5803"/>
    <cellStyle name="표준 2 2 6 34" xfId="7866"/>
    <cellStyle name="표준 2 2 6 35" xfId="6984"/>
    <cellStyle name="표준 2 2 6 4" xfId="4678"/>
    <cellStyle name="標準 2 2 6 4" xfId="6860"/>
    <cellStyle name="표준 2 2 6 4 2" xfId="6576"/>
    <cellStyle name="표준 2 2 6 4 3" xfId="6157"/>
    <cellStyle name="표준 2 2 6 4 4" xfId="5427"/>
    <cellStyle name="표준 2 2 6 4 5" xfId="5800"/>
    <cellStyle name="표준 2 2 6 5" xfId="4679"/>
    <cellStyle name="標準 2 2 6 5" xfId="5405"/>
    <cellStyle name="표준 2 2 6 5 2" xfId="6577"/>
    <cellStyle name="표준 2 2 6 5 3" xfId="6158"/>
    <cellStyle name="표준 2 2 6 5 4" xfId="5428"/>
    <cellStyle name="표준 2 2 6 5 5" xfId="5799"/>
    <cellStyle name="표준 2 2 6 6" xfId="4680"/>
    <cellStyle name="標準 2 2 6 6" xfId="5211"/>
    <cellStyle name="표준 2 2 6 6 2" xfId="6578"/>
    <cellStyle name="표준 2 2 6 6 3" xfId="6159"/>
    <cellStyle name="표준 2 2 6 6 4" xfId="5429"/>
    <cellStyle name="표준 2 2 6 7" xfId="4681"/>
    <cellStyle name="표준 2 2 6 7 2" xfId="6579"/>
    <cellStyle name="표준 2 2 6 7 3" xfId="6160"/>
    <cellStyle name="표준 2 2 6 7 4" xfId="5430"/>
    <cellStyle name="표준 2 2 6 8" xfId="4682"/>
    <cellStyle name="표준 2 2 6 8 2" xfId="6580"/>
    <cellStyle name="표준 2 2 6 8 3" xfId="6161"/>
    <cellStyle name="표준 2 2 6 8 4" xfId="5431"/>
    <cellStyle name="표준 2 2 6 9" xfId="4683"/>
    <cellStyle name="표준 2 2 6 9 2" xfId="6581"/>
    <cellStyle name="표준 2 2 6 9 3" xfId="6162"/>
    <cellStyle name="표준 2 2 6 9 4" xfId="5432"/>
    <cellStyle name="표준 2 2 6_Table_KOR" xfId="4684"/>
    <cellStyle name="표준 2 2 7" xfId="4685"/>
    <cellStyle name="標準 2 2 7" xfId="4686"/>
    <cellStyle name="표준 2 2 7 10" xfId="4687"/>
    <cellStyle name="표준 2 2 7 10 2" xfId="6584"/>
    <cellStyle name="표준 2 2 7 10 3" xfId="6165"/>
    <cellStyle name="표준 2 2 7 10 4" xfId="5435"/>
    <cellStyle name="표준 2 2 7 11" xfId="4688"/>
    <cellStyle name="표준 2 2 7 11 2" xfId="6585"/>
    <cellStyle name="표준 2 2 7 11 3" xfId="6166"/>
    <cellStyle name="표준 2 2 7 11 4" xfId="5436"/>
    <cellStyle name="표준 2 2 7 12" xfId="4689"/>
    <cellStyle name="표준 2 2 7 12 2" xfId="6586"/>
    <cellStyle name="표준 2 2 7 12 3" xfId="6167"/>
    <cellStyle name="표준 2 2 7 12 4" xfId="5437"/>
    <cellStyle name="표준 2 2 7 13" xfId="4690"/>
    <cellStyle name="표준 2 2 7 13 2" xfId="6587"/>
    <cellStyle name="표준 2 2 7 13 3" xfId="6168"/>
    <cellStyle name="표준 2 2 7 13 4" xfId="5438"/>
    <cellStyle name="표준 2 2 7 14" xfId="4691"/>
    <cellStyle name="표준 2 2 7 14 2" xfId="6588"/>
    <cellStyle name="표준 2 2 7 14 3" xfId="6169"/>
    <cellStyle name="표준 2 2 7 14 4" xfId="5439"/>
    <cellStyle name="표준 2 2 7 15" xfId="4692"/>
    <cellStyle name="표준 2 2 7 15 2" xfId="6589"/>
    <cellStyle name="표준 2 2 7 15 3" xfId="6170"/>
    <cellStyle name="표준 2 2 7 15 4" xfId="5440"/>
    <cellStyle name="표준 2 2 7 16" xfId="4693"/>
    <cellStyle name="표준 2 2 7 16 2" xfId="6590"/>
    <cellStyle name="표준 2 2 7 16 3" xfId="6171"/>
    <cellStyle name="표준 2 2 7 16 4" xfId="5441"/>
    <cellStyle name="표준 2 2 7 17" xfId="4694"/>
    <cellStyle name="표준 2 2 7 17 2" xfId="6591"/>
    <cellStyle name="표준 2 2 7 17 3" xfId="6172"/>
    <cellStyle name="표준 2 2 7 17 4" xfId="5442"/>
    <cellStyle name="표준 2 2 7 18" xfId="4695"/>
    <cellStyle name="표준 2 2 7 18 2" xfId="6592"/>
    <cellStyle name="표준 2 2 7 18 3" xfId="6173"/>
    <cellStyle name="표준 2 2 7 18 4" xfId="5443"/>
    <cellStyle name="표준 2 2 7 19" xfId="4696"/>
    <cellStyle name="표준 2 2 7 19 2" xfId="6593"/>
    <cellStyle name="표준 2 2 7 19 3" xfId="6174"/>
    <cellStyle name="표준 2 2 7 19 4" xfId="5444"/>
    <cellStyle name="표준 2 2 7 2" xfId="4697"/>
    <cellStyle name="標準 2 2 7 2" xfId="6583"/>
    <cellStyle name="표준 2 2 7 2 2" xfId="6594"/>
    <cellStyle name="표준 2 2 7 2 2 2" xfId="7943"/>
    <cellStyle name="표준 2 2 7 2 2 3" xfId="7744"/>
    <cellStyle name="표준 2 2 7 2 3" xfId="6175"/>
    <cellStyle name="표준 2 2 7 2 4" xfId="6837"/>
    <cellStyle name="표준 2 2 7 2 5" xfId="5445"/>
    <cellStyle name="표준 2 2 7 2 6" xfId="5209"/>
    <cellStyle name="표준 2 2 7 2 7" xfId="6987"/>
    <cellStyle name="표준 2 2 7 20" xfId="4698"/>
    <cellStyle name="표준 2 2 7 20 2" xfId="6595"/>
    <cellStyle name="표준 2 2 7 20 3" xfId="6176"/>
    <cellStyle name="표준 2 2 7 20 4" xfId="5446"/>
    <cellStyle name="표준 2 2 7 21" xfId="4699"/>
    <cellStyle name="표준 2 2 7 21 2" xfId="6596"/>
    <cellStyle name="표준 2 2 7 21 3" xfId="6177"/>
    <cellStyle name="표준 2 2 7 21 4" xfId="5447"/>
    <cellStyle name="표준 2 2 7 22" xfId="4700"/>
    <cellStyle name="표준 2 2 7 22 2" xfId="6597"/>
    <cellStyle name="표준 2 2 7 22 3" xfId="6178"/>
    <cellStyle name="표준 2 2 7 22 4" xfId="5448"/>
    <cellStyle name="표준 2 2 7 23" xfId="4701"/>
    <cellStyle name="표준 2 2 7 23 2" xfId="6598"/>
    <cellStyle name="표준 2 2 7 23 3" xfId="6179"/>
    <cellStyle name="표준 2 2 7 23 4" xfId="5449"/>
    <cellStyle name="표준 2 2 7 24" xfId="4702"/>
    <cellStyle name="표준 2 2 7 24 2" xfId="6599"/>
    <cellStyle name="표준 2 2 7 24 3" xfId="6180"/>
    <cellStyle name="표준 2 2 7 24 4" xfId="5450"/>
    <cellStyle name="표준 2 2 7 25" xfId="4703"/>
    <cellStyle name="표준 2 2 7 25 2" xfId="6600"/>
    <cellStyle name="표준 2 2 7 25 3" xfId="6181"/>
    <cellStyle name="표준 2 2 7 25 4" xfId="5451"/>
    <cellStyle name="표준 2 2 7 26" xfId="4704"/>
    <cellStyle name="표준 2 2 7 26 2" xfId="6601"/>
    <cellStyle name="표준 2 2 7 26 3" xfId="6182"/>
    <cellStyle name="표준 2 2 7 26 4" xfId="5452"/>
    <cellStyle name="표준 2 2 7 27" xfId="4705"/>
    <cellStyle name="표준 2 2 7 27 2" xfId="6602"/>
    <cellStyle name="표준 2 2 7 27 3" xfId="6183"/>
    <cellStyle name="표준 2 2 7 27 4" xfId="5453"/>
    <cellStyle name="표준 2 2 7 28" xfId="6582"/>
    <cellStyle name="표준 2 2 7 28 2" xfId="7942"/>
    <cellStyle name="표준 2 2 7 28 3" xfId="7743"/>
    <cellStyle name="표준 2 2 7 29" xfId="6163"/>
    <cellStyle name="표준 2 2 7 3" xfId="4706"/>
    <cellStyle name="標準 2 2 7 3" xfId="6164"/>
    <cellStyle name="표준 2 2 7 3 2" xfId="6603"/>
    <cellStyle name="표준 2 2 7 3 3" xfId="6184"/>
    <cellStyle name="표준 2 2 7 3 4" xfId="6896"/>
    <cellStyle name="표준 2 2 7 3 5" xfId="5454"/>
    <cellStyle name="표준 2 2 7 3 6" xfId="5208"/>
    <cellStyle name="표준 2 2 7 30" xfId="6855"/>
    <cellStyle name="표준 2 2 7 31" xfId="5433"/>
    <cellStyle name="표준 2 2 7 32" xfId="5798"/>
    <cellStyle name="표준 2 2 7 33" xfId="7867"/>
    <cellStyle name="표준 2 2 7 34" xfId="6986"/>
    <cellStyle name="표준 2 2 7 4" xfId="4707"/>
    <cellStyle name="標準 2 2 7 4" xfId="6854"/>
    <cellStyle name="표준 2 2 7 4 2" xfId="6604"/>
    <cellStyle name="표준 2 2 7 4 3" xfId="6185"/>
    <cellStyle name="표준 2 2 7 4 4" xfId="5455"/>
    <cellStyle name="표준 2 2 7 4 5" xfId="5207"/>
    <cellStyle name="표준 2 2 7 5" xfId="4708"/>
    <cellStyle name="標準 2 2 7 5" xfId="5434"/>
    <cellStyle name="표준 2 2 7 5 2" xfId="6605"/>
    <cellStyle name="표준 2 2 7 5 3" xfId="6186"/>
    <cellStyle name="표준 2 2 7 5 4" xfId="5456"/>
    <cellStyle name="표준 2 2 7 5 5" xfId="5206"/>
    <cellStyle name="표준 2 2 7 6" xfId="4709"/>
    <cellStyle name="標準 2 2 7 6" xfId="5210"/>
    <cellStyle name="표준 2 2 7 6 2" xfId="6606"/>
    <cellStyle name="표준 2 2 7 6 3" xfId="6187"/>
    <cellStyle name="표준 2 2 7 6 4" xfId="5457"/>
    <cellStyle name="표준 2 2 7 7" xfId="4710"/>
    <cellStyle name="표준 2 2 7 7 2" xfId="6607"/>
    <cellStyle name="표준 2 2 7 7 3" xfId="6188"/>
    <cellStyle name="표준 2 2 7 7 4" xfId="5458"/>
    <cellStyle name="표준 2 2 7 8" xfId="4711"/>
    <cellStyle name="표준 2 2 7 8 2" xfId="6608"/>
    <cellStyle name="표준 2 2 7 8 3" xfId="6189"/>
    <cellStyle name="표준 2 2 7 8 4" xfId="5459"/>
    <cellStyle name="표준 2 2 7 9" xfId="4712"/>
    <cellStyle name="표준 2 2 7 9 2" xfId="6609"/>
    <cellStyle name="표준 2 2 7 9 3" xfId="6190"/>
    <cellStyle name="표준 2 2 7 9 4" xfId="5460"/>
    <cellStyle name="표준 2 2 7_Table_KOR" xfId="4713"/>
    <cellStyle name="표준 2 2 8" xfId="4714"/>
    <cellStyle name="標準 2 2 8" xfId="4715"/>
    <cellStyle name="표준 2 2 8 10" xfId="6856"/>
    <cellStyle name="표준 2 2 8 11" xfId="6936"/>
    <cellStyle name="표준 2 2 8 12" xfId="7868"/>
    <cellStyle name="표준 2 2 8 13" xfId="6988"/>
    <cellStyle name="표준 2 2 8 2" xfId="4716"/>
    <cellStyle name="標準 2 2 8 2" xfId="6610"/>
    <cellStyle name="표준 2 2 8 2 10" xfId="6935"/>
    <cellStyle name="표준 2 2 8 2 11" xfId="6989"/>
    <cellStyle name="표준 2 2 8 2 2" xfId="5853"/>
    <cellStyle name="표준 2 2 8 2 2 2" xfId="7913"/>
    <cellStyle name="표준 2 2 8 2 2 3" xfId="7746"/>
    <cellStyle name="표준 2 2 8 2 3" xfId="5891"/>
    <cellStyle name="표준 2 2 8 2 4" xfId="5848"/>
    <cellStyle name="표준 2 2 8 2 5" xfId="5901"/>
    <cellStyle name="표준 2 2 8 2 6" xfId="5689"/>
    <cellStyle name="표준 2 2 8 2 7" xfId="5730"/>
    <cellStyle name="표준 2 2 8 2 8" xfId="5678"/>
    <cellStyle name="표준 2 2 8 2 9" xfId="6857"/>
    <cellStyle name="표준 2 2 8 3" xfId="5854"/>
    <cellStyle name="標準 2 2 8 3" xfId="6191"/>
    <cellStyle name="표준 2 2 8 3 2" xfId="7914"/>
    <cellStyle name="표준 2 2 8 3 3" xfId="7745"/>
    <cellStyle name="표준 2 2 8 4" xfId="5890"/>
    <cellStyle name="標準 2 2 8 4" xfId="6836"/>
    <cellStyle name="표준 2 2 8 4 2" xfId="7917"/>
    <cellStyle name="표준 2 2 8 4 3" xfId="7852"/>
    <cellStyle name="표준 2 2 8 5" xfId="5849"/>
    <cellStyle name="標準 2 2 8 5" xfId="5461"/>
    <cellStyle name="표준 2 2 8 6" xfId="5900"/>
    <cellStyle name="標準 2 2 8 6" xfId="5205"/>
    <cellStyle name="표준 2 2 8 7" xfId="5829"/>
    <cellStyle name="표준 2 2 8 8" xfId="5912"/>
    <cellStyle name="표준 2 2 8 9" xfId="5679"/>
    <cellStyle name="표준 2 2 9" xfId="4717"/>
    <cellStyle name="標準 2 2 9" xfId="4718"/>
    <cellStyle name="표준 2 2 9 10" xfId="6858"/>
    <cellStyle name="표준 2 2 9 11" xfId="6929"/>
    <cellStyle name="표준 2 2 9 12" xfId="7869"/>
    <cellStyle name="표준 2 2 9 13" xfId="6990"/>
    <cellStyle name="표준 2 2 9 2" xfId="4719"/>
    <cellStyle name="標準 2 2 9 2" xfId="6611"/>
    <cellStyle name="표준 2 2 9 2 10" xfId="6934"/>
    <cellStyle name="표준 2 2 9 2 11" xfId="6991"/>
    <cellStyle name="표준 2 2 9 2 2" xfId="5851"/>
    <cellStyle name="표준 2 2 9 2 2 2" xfId="7911"/>
    <cellStyle name="표준 2 2 9 2 2 3" xfId="7748"/>
    <cellStyle name="표준 2 2 9 2 3" xfId="5893"/>
    <cellStyle name="표준 2 2 9 2 4" xfId="5846"/>
    <cellStyle name="표준 2 2 9 2 5" xfId="5903"/>
    <cellStyle name="표준 2 2 9 2 6" xfId="5687"/>
    <cellStyle name="표준 2 2 9 2 7" xfId="5733"/>
    <cellStyle name="표준 2 2 9 2 8" xfId="5690"/>
    <cellStyle name="표준 2 2 9 2 9" xfId="6859"/>
    <cellStyle name="표준 2 2 9 3" xfId="5852"/>
    <cellStyle name="標準 2 2 9 3" xfId="6192"/>
    <cellStyle name="표준 2 2 9 3 2" xfId="7912"/>
    <cellStyle name="표준 2 2 9 3 3" xfId="7747"/>
    <cellStyle name="표준 2 2 9 4" xfId="5892"/>
    <cellStyle name="標準 2 2 9 4" xfId="6835"/>
    <cellStyle name="표준 2 2 9 4 2" xfId="7918"/>
    <cellStyle name="표준 2 2 9 4 3" xfId="7853"/>
    <cellStyle name="표준 2 2 9 5" xfId="5847"/>
    <cellStyle name="標準 2 2 9 5" xfId="5462"/>
    <cellStyle name="표준 2 2 9 6" xfId="5902"/>
    <cellStyle name="標準 2 2 9 6" xfId="5204"/>
    <cellStyle name="표준 2 2 9 7" xfId="5688"/>
    <cellStyle name="표준 2 2 9 8" xfId="5732"/>
    <cellStyle name="표준 2 2 9 9" xfId="5677"/>
    <cellStyle name="標準 2 2_Table_KOR" xfId="4720"/>
    <cellStyle name="표준 2 20" xfId="4721"/>
    <cellStyle name="표준 2 21" xfId="4722"/>
    <cellStyle name="표준 2 22" xfId="4723"/>
    <cellStyle name="표준 2 23" xfId="4724"/>
    <cellStyle name="표준 2 24" xfId="4725"/>
    <cellStyle name="표준 2 25" xfId="4726"/>
    <cellStyle name="표준 2 26" xfId="6420"/>
    <cellStyle name="표준 2 26 2" xfId="7923"/>
    <cellStyle name="표준 2 26 3" xfId="7722"/>
    <cellStyle name="표준 2 27" xfId="6001"/>
    <cellStyle name="표준 2 28" xfId="6795"/>
    <cellStyle name="표준 2 29" xfId="5271"/>
    <cellStyle name="표준 2 3" xfId="4727"/>
    <cellStyle name="標準 2 3" xfId="4728"/>
    <cellStyle name="표준 2 3 10" xfId="6193"/>
    <cellStyle name="標準 2 3 10" xfId="4729"/>
    <cellStyle name="標準 2 3 10 2" xfId="6614"/>
    <cellStyle name="標準 2 3 10 3" xfId="6195"/>
    <cellStyle name="標準 2 3 10 4" xfId="5465"/>
    <cellStyle name="표준 2 3 11" xfId="6847"/>
    <cellStyle name="標準 2 3 11" xfId="6613"/>
    <cellStyle name="標準 2 3 11 2" xfId="7945"/>
    <cellStyle name="標準 2 3 11 3" xfId="7750"/>
    <cellStyle name="표준 2 3 12" xfId="5463"/>
    <cellStyle name="標準 2 3 12" xfId="6194"/>
    <cellStyle name="표준 2 3 13" xfId="5756"/>
    <cellStyle name="標準 2 3 13" xfId="6846"/>
    <cellStyle name="표준 2 3 14" xfId="7870"/>
    <cellStyle name="標準 2 3 14" xfId="5464"/>
    <cellStyle name="표준 2 3 15" xfId="6992"/>
    <cellStyle name="標準 2 3 15" xfId="5203"/>
    <cellStyle name="標準 2 3 16" xfId="7871"/>
    <cellStyle name="標準 2 3 17" xfId="6993"/>
    <cellStyle name="표준 2 3 2" xfId="4730"/>
    <cellStyle name="標準 2 3 2" xfId="4731"/>
    <cellStyle name="표준 2 3 2 10" xfId="4732"/>
    <cellStyle name="표준 2 3 2 10 2" xfId="6617"/>
    <cellStyle name="표준 2 3 2 10 3" xfId="6198"/>
    <cellStyle name="표준 2 3 2 10 4" xfId="5468"/>
    <cellStyle name="표준 2 3 2 11" xfId="4733"/>
    <cellStyle name="표준 2 3 2 11 2" xfId="6618"/>
    <cellStyle name="표준 2 3 2 11 3" xfId="6199"/>
    <cellStyle name="표준 2 3 2 11 4" xfId="5469"/>
    <cellStyle name="표준 2 3 2 12" xfId="4734"/>
    <cellStyle name="표준 2 3 2 12 2" xfId="6619"/>
    <cellStyle name="표준 2 3 2 12 3" xfId="6200"/>
    <cellStyle name="표준 2 3 2 12 4" xfId="5470"/>
    <cellStyle name="표준 2 3 2 13" xfId="4735"/>
    <cellStyle name="표준 2 3 2 13 2" xfId="6620"/>
    <cellStyle name="표준 2 3 2 13 3" xfId="6201"/>
    <cellStyle name="표준 2 3 2 13 4" xfId="5471"/>
    <cellStyle name="표준 2 3 2 14" xfId="4736"/>
    <cellStyle name="표준 2 3 2 14 2" xfId="6621"/>
    <cellStyle name="표준 2 3 2 14 3" xfId="6202"/>
    <cellStyle name="표준 2 3 2 14 4" xfId="5472"/>
    <cellStyle name="표준 2 3 2 15" xfId="4737"/>
    <cellStyle name="표준 2 3 2 15 2" xfId="6622"/>
    <cellStyle name="표준 2 3 2 15 3" xfId="6203"/>
    <cellStyle name="표준 2 3 2 15 4" xfId="5473"/>
    <cellStyle name="표준 2 3 2 16" xfId="4738"/>
    <cellStyle name="표준 2 3 2 16 2" xfId="6623"/>
    <cellStyle name="표준 2 3 2 16 3" xfId="6204"/>
    <cellStyle name="표준 2 3 2 16 4" xfId="5474"/>
    <cellStyle name="표준 2 3 2 17" xfId="4739"/>
    <cellStyle name="표준 2 3 2 17 2" xfId="6624"/>
    <cellStyle name="표준 2 3 2 17 3" xfId="6205"/>
    <cellStyle name="표준 2 3 2 17 4" xfId="5475"/>
    <cellStyle name="표준 2 3 2 18" xfId="4740"/>
    <cellStyle name="표준 2 3 2 18 2" xfId="6625"/>
    <cellStyle name="표준 2 3 2 18 3" xfId="6206"/>
    <cellStyle name="표준 2 3 2 18 4" xfId="5476"/>
    <cellStyle name="표준 2 3 2 19" xfId="4741"/>
    <cellStyle name="표준 2 3 2 19 2" xfId="6626"/>
    <cellStyle name="표준 2 3 2 19 3" xfId="6207"/>
    <cellStyle name="표준 2 3 2 19 4" xfId="5477"/>
    <cellStyle name="표준 2 3 2 2" xfId="4742"/>
    <cellStyle name="標準 2 3 2 2" xfId="6616"/>
    <cellStyle name="표준 2 3 2 2 2" xfId="6627"/>
    <cellStyle name="標準 2 3 2 2 2" xfId="7947"/>
    <cellStyle name="표준 2 3 2 2 2 2" xfId="7948"/>
    <cellStyle name="표준 2 3 2 2 2 3" xfId="7753"/>
    <cellStyle name="표준 2 3 2 2 3" xfId="6208"/>
    <cellStyle name="標準 2 3 2 2 3" xfId="7752"/>
    <cellStyle name="표준 2 3 2 2 4" xfId="6842"/>
    <cellStyle name="표준 2 3 2 2 5" xfId="5478"/>
    <cellStyle name="표준 2 3 2 2 6" xfId="5752"/>
    <cellStyle name="표준 2 3 2 2 7" xfId="7874"/>
    <cellStyle name="표준 2 3 2 2 8" xfId="6996"/>
    <cellStyle name="표준 2 3 2 20" xfId="4743"/>
    <cellStyle name="표준 2 3 2 20 2" xfId="6628"/>
    <cellStyle name="표준 2 3 2 20 3" xfId="6209"/>
    <cellStyle name="표준 2 3 2 20 4" xfId="5479"/>
    <cellStyle name="표준 2 3 2 21" xfId="4744"/>
    <cellStyle name="표준 2 3 2 21 2" xfId="6629"/>
    <cellStyle name="표준 2 3 2 21 3" xfId="6210"/>
    <cellStyle name="표준 2 3 2 21 4" xfId="5480"/>
    <cellStyle name="표준 2 3 2 22" xfId="4745"/>
    <cellStyle name="표준 2 3 2 22 2" xfId="6630"/>
    <cellStyle name="표준 2 3 2 22 3" xfId="6211"/>
    <cellStyle name="표준 2 3 2 22 4" xfId="5481"/>
    <cellStyle name="표준 2 3 2 23" xfId="4746"/>
    <cellStyle name="표준 2 3 2 23 2" xfId="6631"/>
    <cellStyle name="표준 2 3 2 23 3" xfId="6212"/>
    <cellStyle name="표준 2 3 2 23 4" xfId="5482"/>
    <cellStyle name="표준 2 3 2 24" xfId="4747"/>
    <cellStyle name="표준 2 3 2 24 2" xfId="6632"/>
    <cellStyle name="표준 2 3 2 24 3" xfId="6213"/>
    <cellStyle name="표준 2 3 2 24 4" xfId="5483"/>
    <cellStyle name="표준 2 3 2 25" xfId="4748"/>
    <cellStyle name="표준 2 3 2 25 2" xfId="6633"/>
    <cellStyle name="표준 2 3 2 25 3" xfId="6214"/>
    <cellStyle name="표준 2 3 2 25 4" xfId="5484"/>
    <cellStyle name="표준 2 3 2 26" xfId="4749"/>
    <cellStyle name="표준 2 3 2 26 2" xfId="6634"/>
    <cellStyle name="표준 2 3 2 26 3" xfId="6215"/>
    <cellStyle name="표준 2 3 2 26 4" xfId="5485"/>
    <cellStyle name="표준 2 3 2 27" xfId="4750"/>
    <cellStyle name="표준 2 3 2 27 2" xfId="6635"/>
    <cellStyle name="표준 2 3 2 27 3" xfId="6216"/>
    <cellStyle name="표준 2 3 2 27 4" xfId="5486"/>
    <cellStyle name="표준 2 3 2 28" xfId="4751"/>
    <cellStyle name="표준 2 3 2 28 2" xfId="6636"/>
    <cellStyle name="표준 2 3 2 28 3" xfId="6217"/>
    <cellStyle name="표준 2 3 2 28 4" xfId="5487"/>
    <cellStyle name="표준 2 3 2 29" xfId="4752"/>
    <cellStyle name="표준 2 3 2 29 2" xfId="6637"/>
    <cellStyle name="표준 2 3 2 29 3" xfId="6218"/>
    <cellStyle name="표준 2 3 2 29 4" xfId="5488"/>
    <cellStyle name="표준 2 3 2 3" xfId="4753"/>
    <cellStyle name="標準 2 3 2 3" xfId="6197"/>
    <cellStyle name="표준 2 3 2 3 2" xfId="6638"/>
    <cellStyle name="표준 2 3 2 3 3" xfId="6219"/>
    <cellStyle name="표준 2 3 2 3 4" xfId="6841"/>
    <cellStyle name="표준 2 3 2 3 5" xfId="5489"/>
    <cellStyle name="표준 2 3 2 3 6" xfId="5201"/>
    <cellStyle name="표준 2 3 2 30" xfId="4754"/>
    <cellStyle name="표준 2 3 2 30 2" xfId="6639"/>
    <cellStyle name="표준 2 3 2 30 3" xfId="6220"/>
    <cellStyle name="표준 2 3 2 30 4" xfId="5490"/>
    <cellStyle name="표준 2 3 2 31" xfId="4755"/>
    <cellStyle name="표준 2 3 2 31 2" xfId="6640"/>
    <cellStyle name="표준 2 3 2 31 3" xfId="6221"/>
    <cellStyle name="표준 2 3 2 31 4" xfId="5491"/>
    <cellStyle name="표준 2 3 2 32" xfId="4756"/>
    <cellStyle name="표준 2 3 2 32 2" xfId="6641"/>
    <cellStyle name="표준 2 3 2 32 3" xfId="6222"/>
    <cellStyle name="표준 2 3 2 32 4" xfId="5492"/>
    <cellStyle name="표준 2 3 2 33" xfId="6615"/>
    <cellStyle name="표준 2 3 2 33 2" xfId="7946"/>
    <cellStyle name="표준 2 3 2 33 3" xfId="7751"/>
    <cellStyle name="표준 2 3 2 34" xfId="6196"/>
    <cellStyle name="표준 2 3 2 35" xfId="6844"/>
    <cellStyle name="표준 2 3 2 36" xfId="5466"/>
    <cellStyle name="표준 2 3 2 37" xfId="5202"/>
    <cellStyle name="표준 2 3 2 38" xfId="7872"/>
    <cellStyle name="표준 2 3 2 39" xfId="6994"/>
    <cellStyle name="표준 2 3 2 4" xfId="4757"/>
    <cellStyle name="標準 2 3 2 4" xfId="6843"/>
    <cellStyle name="표준 2 3 2 4 2" xfId="6642"/>
    <cellStyle name="표준 2 3 2 4 3" xfId="6223"/>
    <cellStyle name="표준 2 3 2 4 4" xfId="5493"/>
    <cellStyle name="표준 2 3 2 4 5" xfId="5749"/>
    <cellStyle name="표준 2 3 2 5" xfId="4758"/>
    <cellStyle name="標準 2 3 2 5" xfId="5467"/>
    <cellStyle name="표준 2 3 2 5 2" xfId="6643"/>
    <cellStyle name="표준 2 3 2 5 3" xfId="6224"/>
    <cellStyle name="표준 2 3 2 5 4" xfId="5494"/>
    <cellStyle name="표준 2 3 2 5 5" xfId="5200"/>
    <cellStyle name="표준 2 3 2 6" xfId="4759"/>
    <cellStyle name="標準 2 3 2 6" xfId="5754"/>
    <cellStyle name="표준 2 3 2 6 2" xfId="6644"/>
    <cellStyle name="표준 2 3 2 6 3" xfId="6225"/>
    <cellStyle name="표준 2 3 2 6 4" xfId="5495"/>
    <cellStyle name="표준 2 3 2 7" xfId="4760"/>
    <cellStyle name="標準 2 3 2 7" xfId="7873"/>
    <cellStyle name="표준 2 3 2 7 2" xfId="6645"/>
    <cellStyle name="표준 2 3 2 7 3" xfId="6226"/>
    <cellStyle name="표준 2 3 2 7 4" xfId="5496"/>
    <cellStyle name="표준 2 3 2 8" xfId="4761"/>
    <cellStyle name="標準 2 3 2 8" xfId="6995"/>
    <cellStyle name="표준 2 3 2 8 2" xfId="6646"/>
    <cellStyle name="표준 2 3 2 8 3" xfId="6227"/>
    <cellStyle name="표준 2 3 2 8 4" xfId="5497"/>
    <cellStyle name="표준 2 3 2 9" xfId="4762"/>
    <cellStyle name="표준 2 3 2 9 2" xfId="6647"/>
    <cellStyle name="표준 2 3 2 9 3" xfId="6228"/>
    <cellStyle name="표준 2 3 2 9 4" xfId="5498"/>
    <cellStyle name="표준 2 3 2_Table_KOR" xfId="4763"/>
    <cellStyle name="표준 2 3 3" xfId="4764"/>
    <cellStyle name="標準 2 3 3" xfId="4765"/>
    <cellStyle name="표준 2 3 3 10" xfId="4766"/>
    <cellStyle name="표준 2 3 3 10 2" xfId="6650"/>
    <cellStyle name="표준 2 3 3 10 3" xfId="6231"/>
    <cellStyle name="표준 2 3 3 10 4" xfId="5501"/>
    <cellStyle name="표준 2 3 3 11" xfId="4767"/>
    <cellStyle name="표준 2 3 3 11 2" xfId="6651"/>
    <cellStyle name="표준 2 3 3 11 3" xfId="6232"/>
    <cellStyle name="표준 2 3 3 11 4" xfId="5502"/>
    <cellStyle name="표준 2 3 3 12" xfId="4768"/>
    <cellStyle name="표준 2 3 3 12 2" xfId="6652"/>
    <cellStyle name="표준 2 3 3 12 3" xfId="6233"/>
    <cellStyle name="표준 2 3 3 12 4" xfId="5503"/>
    <cellStyle name="표준 2 3 3 13" xfId="4769"/>
    <cellStyle name="표준 2 3 3 13 2" xfId="6653"/>
    <cellStyle name="표준 2 3 3 13 3" xfId="6234"/>
    <cellStyle name="표준 2 3 3 13 4" xfId="5504"/>
    <cellStyle name="표준 2 3 3 14" xfId="4770"/>
    <cellStyle name="표준 2 3 3 14 2" xfId="6654"/>
    <cellStyle name="표준 2 3 3 14 3" xfId="6235"/>
    <cellStyle name="표준 2 3 3 14 4" xfId="5505"/>
    <cellStyle name="표준 2 3 3 15" xfId="4771"/>
    <cellStyle name="표준 2 3 3 15 2" xfId="6655"/>
    <cellStyle name="표준 2 3 3 15 3" xfId="6236"/>
    <cellStyle name="표준 2 3 3 15 4" xfId="5506"/>
    <cellStyle name="표준 2 3 3 16" xfId="4772"/>
    <cellStyle name="표준 2 3 3 16 2" xfId="6656"/>
    <cellStyle name="표준 2 3 3 16 3" xfId="6237"/>
    <cellStyle name="표준 2 3 3 16 4" xfId="5507"/>
    <cellStyle name="표준 2 3 3 17" xfId="4773"/>
    <cellStyle name="표준 2 3 3 17 2" xfId="6657"/>
    <cellStyle name="표준 2 3 3 17 3" xfId="6238"/>
    <cellStyle name="표준 2 3 3 17 4" xfId="5508"/>
    <cellStyle name="표준 2 3 3 18" xfId="4774"/>
    <cellStyle name="표준 2 3 3 18 2" xfId="6658"/>
    <cellStyle name="표준 2 3 3 18 3" xfId="6239"/>
    <cellStyle name="표준 2 3 3 18 4" xfId="5509"/>
    <cellStyle name="표준 2 3 3 19" xfId="4775"/>
    <cellStyle name="표준 2 3 3 19 2" xfId="6659"/>
    <cellStyle name="표준 2 3 3 19 3" xfId="6240"/>
    <cellStyle name="표준 2 3 3 19 4" xfId="5510"/>
    <cellStyle name="표준 2 3 3 2" xfId="4776"/>
    <cellStyle name="標準 2 3 3 2" xfId="6649"/>
    <cellStyle name="표준 2 3 3 2 2" xfId="6660"/>
    <cellStyle name="표준 2 3 3 2 2 2" xfId="7950"/>
    <cellStyle name="표준 2 3 3 2 2 3" xfId="7755"/>
    <cellStyle name="표준 2 3 3 2 3" xfId="6241"/>
    <cellStyle name="표준 2 3 3 2 4" xfId="6821"/>
    <cellStyle name="표준 2 3 3 2 5" xfId="5511"/>
    <cellStyle name="표준 2 3 3 2 6" xfId="5740"/>
    <cellStyle name="표준 2 3 3 2 7" xfId="6998"/>
    <cellStyle name="표준 2 3 3 20" xfId="4777"/>
    <cellStyle name="표준 2 3 3 20 2" xfId="6661"/>
    <cellStyle name="표준 2 3 3 20 3" xfId="6242"/>
    <cellStyle name="표준 2 3 3 20 4" xfId="5512"/>
    <cellStyle name="표준 2 3 3 21" xfId="4778"/>
    <cellStyle name="표준 2 3 3 21 2" xfId="6662"/>
    <cellStyle name="표준 2 3 3 21 3" xfId="6243"/>
    <cellStyle name="표준 2 3 3 21 4" xfId="5513"/>
    <cellStyle name="표준 2 3 3 22" xfId="4779"/>
    <cellStyle name="표준 2 3 3 22 2" xfId="6663"/>
    <cellStyle name="표준 2 3 3 22 3" xfId="6244"/>
    <cellStyle name="표준 2 3 3 22 4" xfId="5514"/>
    <cellStyle name="표준 2 3 3 23" xfId="4780"/>
    <cellStyle name="표준 2 3 3 23 2" xfId="6664"/>
    <cellStyle name="표준 2 3 3 23 3" xfId="6245"/>
    <cellStyle name="표준 2 3 3 23 4" xfId="5515"/>
    <cellStyle name="표준 2 3 3 24" xfId="4781"/>
    <cellStyle name="표준 2 3 3 24 2" xfId="6665"/>
    <cellStyle name="표준 2 3 3 24 3" xfId="6246"/>
    <cellStyle name="표준 2 3 3 24 4" xfId="5516"/>
    <cellStyle name="표준 2 3 3 25" xfId="4782"/>
    <cellStyle name="표준 2 3 3 25 2" xfId="6666"/>
    <cellStyle name="표준 2 3 3 25 3" xfId="6247"/>
    <cellStyle name="표준 2 3 3 25 4" xfId="5517"/>
    <cellStyle name="표준 2 3 3 26" xfId="4783"/>
    <cellStyle name="표준 2 3 3 26 2" xfId="6667"/>
    <cellStyle name="표준 2 3 3 26 3" xfId="6248"/>
    <cellStyle name="표준 2 3 3 26 4" xfId="5518"/>
    <cellStyle name="표준 2 3 3 27" xfId="4784"/>
    <cellStyle name="표준 2 3 3 27 2" xfId="6668"/>
    <cellStyle name="표준 2 3 3 27 3" xfId="6249"/>
    <cellStyle name="표준 2 3 3 27 4" xfId="5519"/>
    <cellStyle name="표준 2 3 3 28" xfId="4785"/>
    <cellStyle name="표준 2 3 3 28 2" xfId="6669"/>
    <cellStyle name="표준 2 3 3 28 3" xfId="6250"/>
    <cellStyle name="표준 2 3 3 28 4" xfId="5520"/>
    <cellStyle name="표준 2 3 3 29" xfId="4786"/>
    <cellStyle name="표준 2 3 3 29 2" xfId="6670"/>
    <cellStyle name="표준 2 3 3 29 3" xfId="6251"/>
    <cellStyle name="표준 2 3 3 29 4" xfId="5521"/>
    <cellStyle name="표준 2 3 3 3" xfId="4787"/>
    <cellStyle name="標準 2 3 3 3" xfId="6230"/>
    <cellStyle name="표준 2 3 3 3 2" xfId="6671"/>
    <cellStyle name="표준 2 3 3 3 3" xfId="6252"/>
    <cellStyle name="표준 2 3 3 3 4" xfId="6885"/>
    <cellStyle name="표준 2 3 3 3 5" xfId="5522"/>
    <cellStyle name="표준 2 3 3 3 6" xfId="5197"/>
    <cellStyle name="표준 2 3 3 30" xfId="4788"/>
    <cellStyle name="표준 2 3 3 30 2" xfId="6672"/>
    <cellStyle name="표준 2 3 3 30 3" xfId="6253"/>
    <cellStyle name="표준 2 3 3 30 4" xfId="5523"/>
    <cellStyle name="표준 2 3 3 31" xfId="6648"/>
    <cellStyle name="표준 2 3 3 31 2" xfId="7949"/>
    <cellStyle name="표준 2 3 3 31 3" xfId="7754"/>
    <cellStyle name="표준 2 3 3 32" xfId="6229"/>
    <cellStyle name="표준 2 3 3 33" xfId="6840"/>
    <cellStyle name="표준 2 3 3 34" xfId="5499"/>
    <cellStyle name="표준 2 3 3 35" xfId="5199"/>
    <cellStyle name="표준 2 3 3 36" xfId="7875"/>
    <cellStyle name="표준 2 3 3 37" xfId="6997"/>
    <cellStyle name="표준 2 3 3 4" xfId="4789"/>
    <cellStyle name="標準 2 3 3 4" xfId="6839"/>
    <cellStyle name="표준 2 3 3 4 2" xfId="6673"/>
    <cellStyle name="표준 2 3 3 4 3" xfId="6254"/>
    <cellStyle name="표준 2 3 3 4 4" xfId="5524"/>
    <cellStyle name="표준 2 3 3 4 5" xfId="5196"/>
    <cellStyle name="표준 2 3 3 5" xfId="4790"/>
    <cellStyle name="標準 2 3 3 5" xfId="5500"/>
    <cellStyle name="표준 2 3 3 5 2" xfId="6674"/>
    <cellStyle name="표준 2 3 3 5 3" xfId="6255"/>
    <cellStyle name="표준 2 3 3 5 4" xfId="5525"/>
    <cellStyle name="표준 2 3 3 5 5" xfId="5195"/>
    <cellStyle name="표준 2 3 3 6" xfId="4791"/>
    <cellStyle name="標準 2 3 3 6" xfId="5198"/>
    <cellStyle name="표준 2 3 3 6 2" xfId="6675"/>
    <cellStyle name="표준 2 3 3 6 3" xfId="6256"/>
    <cellStyle name="표준 2 3 3 6 4" xfId="5526"/>
    <cellStyle name="표준 2 3 3 7" xfId="4792"/>
    <cellStyle name="표준 2 3 3 7 2" xfId="6676"/>
    <cellStyle name="표준 2 3 3 7 3" xfId="6257"/>
    <cellStyle name="표준 2 3 3 7 4" xfId="5527"/>
    <cellStyle name="표준 2 3 3 8" xfId="4793"/>
    <cellStyle name="표준 2 3 3 8 2" xfId="6677"/>
    <cellStyle name="표준 2 3 3 8 3" xfId="6258"/>
    <cellStyle name="표준 2 3 3 8 4" xfId="5528"/>
    <cellStyle name="표준 2 3 3 9" xfId="4794"/>
    <cellStyle name="표준 2 3 3 9 2" xfId="6678"/>
    <cellStyle name="표준 2 3 3 9 3" xfId="6259"/>
    <cellStyle name="표준 2 3 3 9 4" xfId="5529"/>
    <cellStyle name="표준 2 3 3_Table_KOR" xfId="4795"/>
    <cellStyle name="표준 2 3 4" xfId="4796"/>
    <cellStyle name="標準 2 3 4" xfId="4797"/>
    <cellStyle name="표준 2 3 4 10" xfId="4798"/>
    <cellStyle name="표준 2 3 4 10 2" xfId="6681"/>
    <cellStyle name="표준 2 3 4 10 3" xfId="6262"/>
    <cellStyle name="표준 2 3 4 10 4" xfId="5532"/>
    <cellStyle name="표준 2 3 4 11" xfId="4799"/>
    <cellStyle name="표준 2 3 4 11 2" xfId="6682"/>
    <cellStyle name="표준 2 3 4 11 3" xfId="6263"/>
    <cellStyle name="표준 2 3 4 11 4" xfId="5533"/>
    <cellStyle name="표준 2 3 4 12" xfId="4800"/>
    <cellStyle name="표준 2 3 4 12 2" xfId="6683"/>
    <cellStyle name="표준 2 3 4 12 3" xfId="6264"/>
    <cellStyle name="표준 2 3 4 12 4" xfId="5534"/>
    <cellStyle name="표준 2 3 4 13" xfId="4801"/>
    <cellStyle name="표준 2 3 4 13 2" xfId="6684"/>
    <cellStyle name="표준 2 3 4 13 3" xfId="6265"/>
    <cellStyle name="표준 2 3 4 13 4" xfId="5535"/>
    <cellStyle name="표준 2 3 4 14" xfId="4802"/>
    <cellStyle name="표준 2 3 4 14 2" xfId="6685"/>
    <cellStyle name="표준 2 3 4 14 3" xfId="6266"/>
    <cellStyle name="표준 2 3 4 14 4" xfId="5536"/>
    <cellStyle name="표준 2 3 4 15" xfId="4803"/>
    <cellStyle name="표준 2 3 4 15 2" xfId="6686"/>
    <cellStyle name="표준 2 3 4 15 3" xfId="6267"/>
    <cellStyle name="표준 2 3 4 15 4" xfId="5537"/>
    <cellStyle name="표준 2 3 4 16" xfId="4804"/>
    <cellStyle name="표준 2 3 4 16 2" xfId="6687"/>
    <cellStyle name="표준 2 3 4 16 3" xfId="6268"/>
    <cellStyle name="표준 2 3 4 16 4" xfId="5538"/>
    <cellStyle name="표준 2 3 4 17" xfId="4805"/>
    <cellStyle name="표준 2 3 4 17 2" xfId="6688"/>
    <cellStyle name="표준 2 3 4 17 3" xfId="6269"/>
    <cellStyle name="표준 2 3 4 17 4" xfId="5539"/>
    <cellStyle name="표준 2 3 4 18" xfId="4806"/>
    <cellStyle name="표준 2 3 4 18 2" xfId="6689"/>
    <cellStyle name="표준 2 3 4 18 3" xfId="6270"/>
    <cellStyle name="표준 2 3 4 18 4" xfId="5540"/>
    <cellStyle name="표준 2 3 4 19" xfId="4807"/>
    <cellStyle name="표준 2 3 4 19 2" xfId="6690"/>
    <cellStyle name="표준 2 3 4 19 3" xfId="6271"/>
    <cellStyle name="표준 2 3 4 19 4" xfId="5541"/>
    <cellStyle name="표준 2 3 4 2" xfId="4808"/>
    <cellStyle name="標準 2 3 4 2" xfId="6680"/>
    <cellStyle name="표준 2 3 4 2 2" xfId="6691"/>
    <cellStyle name="표준 2 3 4 2 2 2" xfId="7952"/>
    <cellStyle name="표준 2 3 4 2 2 3" xfId="7757"/>
    <cellStyle name="표준 2 3 4 2 3" xfId="6272"/>
    <cellStyle name="표준 2 3 4 2 4" xfId="6805"/>
    <cellStyle name="표준 2 3 4 2 5" xfId="5542"/>
    <cellStyle name="표준 2 3 4 2 6" xfId="5193"/>
    <cellStyle name="표준 2 3 4 2 7" xfId="7000"/>
    <cellStyle name="표준 2 3 4 20" xfId="4809"/>
    <cellStyle name="표준 2 3 4 20 2" xfId="6692"/>
    <cellStyle name="표준 2 3 4 20 3" xfId="6273"/>
    <cellStyle name="표준 2 3 4 20 4" xfId="5543"/>
    <cellStyle name="표준 2 3 4 21" xfId="4810"/>
    <cellStyle name="표준 2 3 4 21 2" xfId="6693"/>
    <cellStyle name="표준 2 3 4 21 3" xfId="6274"/>
    <cellStyle name="표준 2 3 4 21 4" xfId="5544"/>
    <cellStyle name="표준 2 3 4 22" xfId="4811"/>
    <cellStyle name="표준 2 3 4 22 2" xfId="6694"/>
    <cellStyle name="표준 2 3 4 22 3" xfId="6275"/>
    <cellStyle name="표준 2 3 4 22 4" xfId="5545"/>
    <cellStyle name="표준 2 3 4 23" xfId="4812"/>
    <cellStyle name="표준 2 3 4 23 2" xfId="6695"/>
    <cellStyle name="표준 2 3 4 23 3" xfId="6276"/>
    <cellStyle name="표준 2 3 4 23 4" xfId="5546"/>
    <cellStyle name="표준 2 3 4 24" xfId="4813"/>
    <cellStyle name="표준 2 3 4 24 2" xfId="6696"/>
    <cellStyle name="표준 2 3 4 24 3" xfId="6277"/>
    <cellStyle name="표준 2 3 4 24 4" xfId="5547"/>
    <cellStyle name="표준 2 3 4 25" xfId="4814"/>
    <cellStyle name="표준 2 3 4 25 2" xfId="6697"/>
    <cellStyle name="표준 2 3 4 25 3" xfId="6278"/>
    <cellStyle name="표준 2 3 4 25 4" xfId="5548"/>
    <cellStyle name="표준 2 3 4 26" xfId="4815"/>
    <cellStyle name="표준 2 3 4 26 2" xfId="6698"/>
    <cellStyle name="표준 2 3 4 26 3" xfId="6279"/>
    <cellStyle name="표준 2 3 4 26 4" xfId="5549"/>
    <cellStyle name="표준 2 3 4 27" xfId="4816"/>
    <cellStyle name="표준 2 3 4 27 2" xfId="6699"/>
    <cellStyle name="표준 2 3 4 27 3" xfId="6280"/>
    <cellStyle name="표준 2 3 4 27 4" xfId="5550"/>
    <cellStyle name="표준 2 3 4 28" xfId="4817"/>
    <cellStyle name="표준 2 3 4 28 2" xfId="6700"/>
    <cellStyle name="표준 2 3 4 28 3" xfId="6281"/>
    <cellStyle name="표준 2 3 4 28 4" xfId="5551"/>
    <cellStyle name="표준 2 3 4 29" xfId="4818"/>
    <cellStyle name="표준 2 3 4 29 2" xfId="6701"/>
    <cellStyle name="표준 2 3 4 29 3" xfId="6282"/>
    <cellStyle name="표준 2 3 4 29 4" xfId="5552"/>
    <cellStyle name="표준 2 3 4 3" xfId="4819"/>
    <cellStyle name="標準 2 3 4 3" xfId="6261"/>
    <cellStyle name="표준 2 3 4 3 2" xfId="6702"/>
    <cellStyle name="표준 2 3 4 3 3" xfId="6283"/>
    <cellStyle name="표준 2 3 4 3 4" xfId="6806"/>
    <cellStyle name="표준 2 3 4 3 5" xfId="5553"/>
    <cellStyle name="표준 2 3 4 3 6" xfId="5192"/>
    <cellStyle name="표준 2 3 4 30" xfId="6679"/>
    <cellStyle name="표준 2 3 4 30 2" xfId="7951"/>
    <cellStyle name="표준 2 3 4 30 3" xfId="7756"/>
    <cellStyle name="표준 2 3 4 31" xfId="6260"/>
    <cellStyle name="표준 2 3 4 32" xfId="6895"/>
    <cellStyle name="표준 2 3 4 33" xfId="5530"/>
    <cellStyle name="표준 2 3 4 34" xfId="5194"/>
    <cellStyle name="표준 2 3 4 35" xfId="7876"/>
    <cellStyle name="표준 2 3 4 36" xfId="6999"/>
    <cellStyle name="표준 2 3 4 4" xfId="4820"/>
    <cellStyle name="標準 2 3 4 4" xfId="6886"/>
    <cellStyle name="표준 2 3 4 4 2" xfId="6703"/>
    <cellStyle name="표준 2 3 4 4 3" xfId="6284"/>
    <cellStyle name="표준 2 3 4 4 4" xfId="5554"/>
    <cellStyle name="표준 2 3 4 4 5" xfId="5727"/>
    <cellStyle name="표준 2 3 4 5" xfId="4821"/>
    <cellStyle name="標準 2 3 4 5" xfId="5531"/>
    <cellStyle name="표준 2 3 4 5 2" xfId="6704"/>
    <cellStyle name="표준 2 3 4 5 3" xfId="6285"/>
    <cellStyle name="표준 2 3 4 5 4" xfId="5555"/>
    <cellStyle name="표준 2 3 4 5 5" xfId="5726"/>
    <cellStyle name="표준 2 3 4 6" xfId="4822"/>
    <cellStyle name="標準 2 3 4 6" xfId="5731"/>
    <cellStyle name="표준 2 3 4 6 2" xfId="6705"/>
    <cellStyle name="표준 2 3 4 6 3" xfId="6286"/>
    <cellStyle name="표준 2 3 4 6 4" xfId="5556"/>
    <cellStyle name="표준 2 3 4 7" xfId="4823"/>
    <cellStyle name="표준 2 3 4 7 2" xfId="6706"/>
    <cellStyle name="표준 2 3 4 7 3" xfId="6287"/>
    <cellStyle name="표준 2 3 4 7 4" xfId="5557"/>
    <cellStyle name="표준 2 3 4 8" xfId="4824"/>
    <cellStyle name="표준 2 3 4 8 2" xfId="6707"/>
    <cellStyle name="표준 2 3 4 8 3" xfId="6288"/>
    <cellStyle name="표준 2 3 4 8 4" xfId="5558"/>
    <cellStyle name="표준 2 3 4 9" xfId="4825"/>
    <cellStyle name="표준 2 3 4 9 2" xfId="6708"/>
    <cellStyle name="표준 2 3 4 9 3" xfId="6289"/>
    <cellStyle name="표준 2 3 4 9 4" xfId="5559"/>
    <cellStyle name="표준 2 3 4_Table_KOR" xfId="4826"/>
    <cellStyle name="표준 2 3 5" xfId="4827"/>
    <cellStyle name="標準 2 3 5" xfId="4828"/>
    <cellStyle name="표준 2 3 5 10" xfId="4829"/>
    <cellStyle name="표준 2 3 5 10 2" xfId="6711"/>
    <cellStyle name="표준 2 3 5 10 3" xfId="6292"/>
    <cellStyle name="표준 2 3 5 10 4" xfId="5562"/>
    <cellStyle name="표준 2 3 5 11" xfId="4830"/>
    <cellStyle name="표준 2 3 5 11 2" xfId="6712"/>
    <cellStyle name="표준 2 3 5 11 3" xfId="6293"/>
    <cellStyle name="표준 2 3 5 11 4" xfId="5563"/>
    <cellStyle name="표준 2 3 5 12" xfId="4831"/>
    <cellStyle name="표준 2 3 5 12 2" xfId="6713"/>
    <cellStyle name="표준 2 3 5 12 3" xfId="6294"/>
    <cellStyle name="표준 2 3 5 12 4" xfId="5564"/>
    <cellStyle name="표준 2 3 5 13" xfId="4832"/>
    <cellStyle name="표준 2 3 5 13 2" xfId="6714"/>
    <cellStyle name="표준 2 3 5 13 3" xfId="6295"/>
    <cellStyle name="표준 2 3 5 13 4" xfId="5565"/>
    <cellStyle name="표준 2 3 5 14" xfId="4833"/>
    <cellStyle name="표준 2 3 5 14 2" xfId="6715"/>
    <cellStyle name="표준 2 3 5 14 3" xfId="6296"/>
    <cellStyle name="표준 2 3 5 14 4" xfId="5566"/>
    <cellStyle name="표준 2 3 5 15" xfId="4834"/>
    <cellStyle name="표준 2 3 5 15 2" xfId="6716"/>
    <cellStyle name="표준 2 3 5 15 3" xfId="6297"/>
    <cellStyle name="표준 2 3 5 15 4" xfId="5567"/>
    <cellStyle name="표준 2 3 5 16" xfId="4835"/>
    <cellStyle name="표준 2 3 5 16 2" xfId="6717"/>
    <cellStyle name="표준 2 3 5 16 3" xfId="6298"/>
    <cellStyle name="표준 2 3 5 16 4" xfId="5568"/>
    <cellStyle name="표준 2 3 5 17" xfId="4836"/>
    <cellStyle name="표준 2 3 5 17 2" xfId="6718"/>
    <cellStyle name="표준 2 3 5 17 3" xfId="6299"/>
    <cellStyle name="표준 2 3 5 17 4" xfId="5569"/>
    <cellStyle name="표준 2 3 5 18" xfId="4837"/>
    <cellStyle name="표준 2 3 5 18 2" xfId="6719"/>
    <cellStyle name="표준 2 3 5 18 3" xfId="6300"/>
    <cellStyle name="표준 2 3 5 18 4" xfId="5570"/>
    <cellStyle name="표준 2 3 5 19" xfId="4838"/>
    <cellStyle name="표준 2 3 5 19 2" xfId="6720"/>
    <cellStyle name="표준 2 3 5 19 3" xfId="6301"/>
    <cellStyle name="표준 2 3 5 19 4" xfId="5571"/>
    <cellStyle name="표준 2 3 5 2" xfId="4839"/>
    <cellStyle name="標準 2 3 5 2" xfId="6710"/>
    <cellStyle name="표준 2 3 5 2 2" xfId="6721"/>
    <cellStyle name="표준 2 3 5 2 2 2" xfId="7954"/>
    <cellStyle name="표준 2 3 5 2 2 3" xfId="7759"/>
    <cellStyle name="표준 2 3 5 2 3" xfId="6302"/>
    <cellStyle name="표준 2 3 5 2 4" xfId="6808"/>
    <cellStyle name="표준 2 3 5 2 5" xfId="5572"/>
    <cellStyle name="표준 2 3 5 2 6" xfId="5723"/>
    <cellStyle name="표준 2 3 5 2 7" xfId="7002"/>
    <cellStyle name="표준 2 3 5 20" xfId="4840"/>
    <cellStyle name="표준 2 3 5 20 2" xfId="6722"/>
    <cellStyle name="표준 2 3 5 20 3" xfId="6303"/>
    <cellStyle name="표준 2 3 5 20 4" xfId="5573"/>
    <cellStyle name="표준 2 3 5 21" xfId="4841"/>
    <cellStyle name="표준 2 3 5 21 2" xfId="6723"/>
    <cellStyle name="표준 2 3 5 21 3" xfId="6304"/>
    <cellStyle name="표준 2 3 5 21 4" xfId="5574"/>
    <cellStyle name="표준 2 3 5 22" xfId="4842"/>
    <cellStyle name="표준 2 3 5 22 2" xfId="6724"/>
    <cellStyle name="표준 2 3 5 22 3" xfId="6305"/>
    <cellStyle name="표준 2 3 5 22 4" xfId="5575"/>
    <cellStyle name="표준 2 3 5 23" xfId="4843"/>
    <cellStyle name="표준 2 3 5 23 2" xfId="6725"/>
    <cellStyle name="표준 2 3 5 23 3" xfId="6306"/>
    <cellStyle name="표준 2 3 5 23 4" xfId="5576"/>
    <cellStyle name="표준 2 3 5 24" xfId="4844"/>
    <cellStyle name="표준 2 3 5 24 2" xfId="6726"/>
    <cellStyle name="표준 2 3 5 24 3" xfId="6307"/>
    <cellStyle name="표준 2 3 5 24 4" xfId="5577"/>
    <cellStyle name="표준 2 3 5 25" xfId="4845"/>
    <cellStyle name="표준 2 3 5 25 2" xfId="6727"/>
    <cellStyle name="표준 2 3 5 25 3" xfId="6308"/>
    <cellStyle name="표준 2 3 5 25 4" xfId="5578"/>
    <cellStyle name="표준 2 3 5 26" xfId="4846"/>
    <cellStyle name="표준 2 3 5 26 2" xfId="6728"/>
    <cellStyle name="표준 2 3 5 26 3" xfId="6309"/>
    <cellStyle name="표준 2 3 5 26 4" xfId="5579"/>
    <cellStyle name="표준 2 3 5 27" xfId="4847"/>
    <cellStyle name="표준 2 3 5 27 2" xfId="6729"/>
    <cellStyle name="표준 2 3 5 27 3" xfId="6310"/>
    <cellStyle name="표준 2 3 5 27 4" xfId="5580"/>
    <cellStyle name="표준 2 3 5 28" xfId="4848"/>
    <cellStyle name="표준 2 3 5 28 2" xfId="6730"/>
    <cellStyle name="표준 2 3 5 28 3" xfId="6311"/>
    <cellStyle name="표준 2 3 5 28 4" xfId="5581"/>
    <cellStyle name="표준 2 3 5 29" xfId="4849"/>
    <cellStyle name="표준 2 3 5 29 2" xfId="6731"/>
    <cellStyle name="표준 2 3 5 29 3" xfId="6312"/>
    <cellStyle name="표준 2 3 5 29 4" xfId="5582"/>
    <cellStyle name="표준 2 3 5 3" xfId="4850"/>
    <cellStyle name="標準 2 3 5 3" xfId="6291"/>
    <cellStyle name="표준 2 3 5 3 2" xfId="6732"/>
    <cellStyle name="표준 2 3 5 3 3" xfId="6313"/>
    <cellStyle name="표준 2 3 5 3 4" xfId="6923"/>
    <cellStyle name="표준 2 3 5 3 5" xfId="5583"/>
    <cellStyle name="표준 2 3 5 3 6" xfId="5722"/>
    <cellStyle name="표준 2 3 5 30" xfId="6709"/>
    <cellStyle name="표준 2 3 5 30 2" xfId="7953"/>
    <cellStyle name="표준 2 3 5 30 3" xfId="7758"/>
    <cellStyle name="표준 2 3 5 31" xfId="6290"/>
    <cellStyle name="표준 2 3 5 32" xfId="6807"/>
    <cellStyle name="표준 2 3 5 33" xfId="5560"/>
    <cellStyle name="표준 2 3 5 34" xfId="5725"/>
    <cellStyle name="표준 2 3 5 35" xfId="7877"/>
    <cellStyle name="표준 2 3 5 36" xfId="7001"/>
    <cellStyle name="표준 2 3 5 4" xfId="4851"/>
    <cellStyle name="標準 2 3 5 4" xfId="6924"/>
    <cellStyle name="표준 2 3 5 4 2" xfId="6733"/>
    <cellStyle name="표준 2 3 5 4 3" xfId="6314"/>
    <cellStyle name="표준 2 3 5 4 4" xfId="5584"/>
    <cellStyle name="표준 2 3 5 4 5" xfId="5721"/>
    <cellStyle name="표준 2 3 5 5" xfId="4852"/>
    <cellStyle name="標準 2 3 5 5" xfId="5561"/>
    <cellStyle name="표준 2 3 5 5 2" xfId="6734"/>
    <cellStyle name="표준 2 3 5 5 3" xfId="6315"/>
    <cellStyle name="표준 2 3 5 5 4" xfId="5585"/>
    <cellStyle name="표준 2 3 5 5 5" xfId="5720"/>
    <cellStyle name="표준 2 3 5 6" xfId="4853"/>
    <cellStyle name="標準 2 3 5 6" xfId="5724"/>
    <cellStyle name="표준 2 3 5 6 2" xfId="6735"/>
    <cellStyle name="표준 2 3 5 6 3" xfId="6316"/>
    <cellStyle name="표준 2 3 5 6 4" xfId="5586"/>
    <cellStyle name="표준 2 3 5 7" xfId="4854"/>
    <cellStyle name="표준 2 3 5 7 2" xfId="6736"/>
    <cellStyle name="표준 2 3 5 7 3" xfId="6317"/>
    <cellStyle name="표준 2 3 5 7 4" xfId="5587"/>
    <cellStyle name="표준 2 3 5 8" xfId="4855"/>
    <cellStyle name="표준 2 3 5 8 2" xfId="6737"/>
    <cellStyle name="표준 2 3 5 8 3" xfId="6318"/>
    <cellStyle name="표준 2 3 5 8 4" xfId="5588"/>
    <cellStyle name="표준 2 3 5 9" xfId="4856"/>
    <cellStyle name="표준 2 3 5 9 2" xfId="6738"/>
    <cellStyle name="표준 2 3 5 9 3" xfId="6319"/>
    <cellStyle name="표준 2 3 5 9 4" xfId="5589"/>
    <cellStyle name="표준 2 3 5_Table_KOR" xfId="4857"/>
    <cellStyle name="표준 2 3 6" xfId="4858"/>
    <cellStyle name="標準 2 3 6" xfId="4859"/>
    <cellStyle name="표준 2 3 6 10" xfId="4860"/>
    <cellStyle name="표준 2 3 6 10 2" xfId="6741"/>
    <cellStyle name="표준 2 3 6 10 3" xfId="6322"/>
    <cellStyle name="표준 2 3 6 10 4" xfId="5592"/>
    <cellStyle name="표준 2 3 6 11" xfId="4861"/>
    <cellStyle name="표준 2 3 6 11 2" xfId="6742"/>
    <cellStyle name="표준 2 3 6 11 3" xfId="6323"/>
    <cellStyle name="표준 2 3 6 11 4" xfId="5593"/>
    <cellStyle name="표준 2 3 6 12" xfId="4862"/>
    <cellStyle name="표준 2 3 6 12 2" xfId="6743"/>
    <cellStyle name="표준 2 3 6 12 3" xfId="6324"/>
    <cellStyle name="표준 2 3 6 12 4" xfId="5594"/>
    <cellStyle name="표준 2 3 6 13" xfId="4863"/>
    <cellStyle name="표준 2 3 6 13 2" xfId="6744"/>
    <cellStyle name="표준 2 3 6 13 3" xfId="6325"/>
    <cellStyle name="표준 2 3 6 13 4" xfId="5595"/>
    <cellStyle name="표준 2 3 6 14" xfId="4864"/>
    <cellStyle name="표준 2 3 6 14 2" xfId="6745"/>
    <cellStyle name="표준 2 3 6 14 3" xfId="6326"/>
    <cellStyle name="표준 2 3 6 14 4" xfId="5596"/>
    <cellStyle name="표준 2 3 6 15" xfId="4865"/>
    <cellStyle name="표준 2 3 6 15 2" xfId="6746"/>
    <cellStyle name="표준 2 3 6 15 3" xfId="6327"/>
    <cellStyle name="표준 2 3 6 15 4" xfId="5597"/>
    <cellStyle name="표준 2 3 6 16" xfId="4866"/>
    <cellStyle name="표준 2 3 6 16 2" xfId="6747"/>
    <cellStyle name="표준 2 3 6 16 3" xfId="6328"/>
    <cellStyle name="표준 2 3 6 16 4" xfId="5598"/>
    <cellStyle name="표준 2 3 6 17" xfId="4867"/>
    <cellStyle name="표준 2 3 6 17 2" xfId="6748"/>
    <cellStyle name="표준 2 3 6 17 3" xfId="6329"/>
    <cellStyle name="표준 2 3 6 17 4" xfId="5599"/>
    <cellStyle name="표준 2 3 6 18" xfId="4868"/>
    <cellStyle name="표준 2 3 6 18 2" xfId="6749"/>
    <cellStyle name="표준 2 3 6 18 3" xfId="6330"/>
    <cellStyle name="표준 2 3 6 18 4" xfId="5600"/>
    <cellStyle name="표준 2 3 6 19" xfId="4869"/>
    <cellStyle name="표준 2 3 6 19 2" xfId="6750"/>
    <cellStyle name="표준 2 3 6 19 3" xfId="6331"/>
    <cellStyle name="표준 2 3 6 19 4" xfId="5601"/>
    <cellStyle name="표준 2 3 6 2" xfId="4870"/>
    <cellStyle name="標準 2 3 6 2" xfId="6740"/>
    <cellStyle name="표준 2 3 6 2 2" xfId="6751"/>
    <cellStyle name="표준 2 3 6 2 2 2" xfId="7956"/>
    <cellStyle name="표준 2 3 6 2 2 3" xfId="7761"/>
    <cellStyle name="표준 2 3 6 2 3" xfId="6332"/>
    <cellStyle name="표준 2 3 6 2 4" xfId="6921"/>
    <cellStyle name="표준 2 3 6 2 5" xfId="5602"/>
    <cellStyle name="표준 2 3 6 2 6" xfId="5717"/>
    <cellStyle name="표준 2 3 6 2 7" xfId="7004"/>
    <cellStyle name="표준 2 3 6 20" xfId="4871"/>
    <cellStyle name="표준 2 3 6 20 2" xfId="6752"/>
    <cellStyle name="표준 2 3 6 20 3" xfId="6333"/>
    <cellStyle name="표준 2 3 6 20 4" xfId="5603"/>
    <cellStyle name="표준 2 3 6 21" xfId="4872"/>
    <cellStyle name="표준 2 3 6 21 2" xfId="6753"/>
    <cellStyle name="표준 2 3 6 21 3" xfId="6334"/>
    <cellStyle name="표준 2 3 6 21 4" xfId="5604"/>
    <cellStyle name="표준 2 3 6 22" xfId="4873"/>
    <cellStyle name="표준 2 3 6 22 2" xfId="6754"/>
    <cellStyle name="표준 2 3 6 22 3" xfId="6335"/>
    <cellStyle name="표준 2 3 6 22 4" xfId="5605"/>
    <cellStyle name="표준 2 3 6 23" xfId="4874"/>
    <cellStyle name="표준 2 3 6 23 2" xfId="6755"/>
    <cellStyle name="표준 2 3 6 23 3" xfId="6336"/>
    <cellStyle name="표준 2 3 6 23 4" xfId="5606"/>
    <cellStyle name="표준 2 3 6 24" xfId="4875"/>
    <cellStyle name="표준 2 3 6 24 2" xfId="6756"/>
    <cellStyle name="표준 2 3 6 24 3" xfId="6337"/>
    <cellStyle name="표준 2 3 6 24 4" xfId="5607"/>
    <cellStyle name="표준 2 3 6 25" xfId="4876"/>
    <cellStyle name="표준 2 3 6 25 2" xfId="6757"/>
    <cellStyle name="표준 2 3 6 25 3" xfId="6338"/>
    <cellStyle name="표준 2 3 6 25 4" xfId="5608"/>
    <cellStyle name="표준 2 3 6 26" xfId="4877"/>
    <cellStyle name="표준 2 3 6 26 2" xfId="6758"/>
    <cellStyle name="표준 2 3 6 26 3" xfId="6339"/>
    <cellStyle name="표준 2 3 6 26 4" xfId="5609"/>
    <cellStyle name="표준 2 3 6 27" xfId="4878"/>
    <cellStyle name="표준 2 3 6 27 2" xfId="6759"/>
    <cellStyle name="표준 2 3 6 27 3" xfId="6340"/>
    <cellStyle name="표준 2 3 6 27 4" xfId="5610"/>
    <cellStyle name="표준 2 3 6 28" xfId="4879"/>
    <cellStyle name="표준 2 3 6 28 2" xfId="6760"/>
    <cellStyle name="표준 2 3 6 28 3" xfId="6341"/>
    <cellStyle name="표준 2 3 6 28 4" xfId="5611"/>
    <cellStyle name="표준 2 3 6 29" xfId="6739"/>
    <cellStyle name="표준 2 3 6 29 2" xfId="7955"/>
    <cellStyle name="표준 2 3 6 29 3" xfId="7760"/>
    <cellStyle name="표준 2 3 6 3" xfId="4880"/>
    <cellStyle name="標準 2 3 6 3" xfId="6321"/>
    <cellStyle name="표준 2 3 6 3 2" xfId="6761"/>
    <cellStyle name="표준 2 3 6 3 3" xfId="6342"/>
    <cellStyle name="표준 2 3 6 3 4" xfId="6871"/>
    <cellStyle name="표준 2 3 6 3 5" xfId="5612"/>
    <cellStyle name="표준 2 3 6 3 6" xfId="5716"/>
    <cellStyle name="표준 2 3 6 30" xfId="6320"/>
    <cellStyle name="표준 2 3 6 31" xfId="6809"/>
    <cellStyle name="표준 2 3 6 32" xfId="5590"/>
    <cellStyle name="표준 2 3 6 33" xfId="5719"/>
    <cellStyle name="표준 2 3 6 34" xfId="7878"/>
    <cellStyle name="표준 2 3 6 35" xfId="7003"/>
    <cellStyle name="표준 2 3 6 4" xfId="4881"/>
    <cellStyle name="標準 2 3 6 4" xfId="6922"/>
    <cellStyle name="표준 2 3 6 4 2" xfId="6762"/>
    <cellStyle name="표준 2 3 6 4 3" xfId="6343"/>
    <cellStyle name="표준 2 3 6 4 4" xfId="5613"/>
    <cellStyle name="표준 2 3 6 4 5" xfId="5191"/>
    <cellStyle name="표준 2 3 6 5" xfId="4882"/>
    <cellStyle name="標準 2 3 6 5" xfId="5591"/>
    <cellStyle name="표준 2 3 6 5 2" xfId="6763"/>
    <cellStyle name="표준 2 3 6 5 3" xfId="6344"/>
    <cellStyle name="표준 2 3 6 5 4" xfId="5614"/>
    <cellStyle name="표준 2 3 6 5 5" xfId="5190"/>
    <cellStyle name="표준 2 3 6 6" xfId="4883"/>
    <cellStyle name="標準 2 3 6 6" xfId="5718"/>
    <cellStyle name="표준 2 3 6 6 2" xfId="6764"/>
    <cellStyle name="표준 2 3 6 6 3" xfId="6345"/>
    <cellStyle name="표준 2 3 6 6 4" xfId="5615"/>
    <cellStyle name="표준 2 3 6 7" xfId="4884"/>
    <cellStyle name="표준 2 3 6 7 2" xfId="6765"/>
    <cellStyle name="표준 2 3 6 7 3" xfId="6346"/>
    <cellStyle name="표준 2 3 6 7 4" xfId="5616"/>
    <cellStyle name="표준 2 3 6 8" xfId="4885"/>
    <cellStyle name="표준 2 3 6 8 2" xfId="6766"/>
    <cellStyle name="표준 2 3 6 8 3" xfId="6347"/>
    <cellStyle name="표준 2 3 6 8 4" xfId="5617"/>
    <cellStyle name="표준 2 3 6 9" xfId="4886"/>
    <cellStyle name="표준 2 3 6 9 2" xfId="6767"/>
    <cellStyle name="표준 2 3 6 9 3" xfId="6348"/>
    <cellStyle name="표준 2 3 6 9 4" xfId="5618"/>
    <cellStyle name="표준 2 3 6_Table_KOR" xfId="4887"/>
    <cellStyle name="표준 2 3 7" xfId="4888"/>
    <cellStyle name="標準 2 3 7" xfId="4889"/>
    <cellStyle name="표준 2 3 7 10" xfId="6861"/>
    <cellStyle name="표준 2 3 7 11" xfId="6933"/>
    <cellStyle name="표준 2 3 7 12" xfId="7879"/>
    <cellStyle name="표준 2 3 7 13" xfId="7005"/>
    <cellStyle name="표준 2 3 7 2" xfId="4890"/>
    <cellStyle name="標準 2 3 7 2" xfId="6768"/>
    <cellStyle name="표준 2 3 7 2 10" xfId="6932"/>
    <cellStyle name="표준 2 3 7 2 11" xfId="7006"/>
    <cellStyle name="표준 2 3 7 2 2" xfId="5844"/>
    <cellStyle name="표준 2 3 7 2 2 2" xfId="7909"/>
    <cellStyle name="표준 2 3 7 2 2 3" xfId="7763"/>
    <cellStyle name="표준 2 3 7 2 3" xfId="5897"/>
    <cellStyle name="표준 2 3 7 2 4" xfId="5838"/>
    <cellStyle name="표준 2 3 7 2 5" xfId="5909"/>
    <cellStyle name="표준 2 3 7 2 6" xfId="5682"/>
    <cellStyle name="표준 2 3 7 2 7" xfId="5744"/>
    <cellStyle name="표준 2 3 7 2 8" xfId="5651"/>
    <cellStyle name="표준 2 3 7 2 9" xfId="6862"/>
    <cellStyle name="표준 2 3 7 3" xfId="5845"/>
    <cellStyle name="標準 2 3 7 3" xfId="6349"/>
    <cellStyle name="표준 2 3 7 3 2" xfId="7910"/>
    <cellStyle name="표준 2 3 7 3 3" xfId="7762"/>
    <cellStyle name="표준 2 3 7 4" xfId="5896"/>
    <cellStyle name="標準 2 3 7 4" xfId="6874"/>
    <cellStyle name="표준 2 3 7 4 2" xfId="7919"/>
    <cellStyle name="표준 2 3 7 4 3" xfId="7854"/>
    <cellStyle name="표준 2 3 7 5" xfId="5839"/>
    <cellStyle name="標準 2 3 7 5" xfId="5619"/>
    <cellStyle name="표준 2 3 7 6" xfId="5908"/>
    <cellStyle name="標準 2 3 7 6" xfId="5714"/>
    <cellStyle name="표준 2 3 7 7" xfId="5683"/>
    <cellStyle name="표준 2 3 7 8" xfId="5743"/>
    <cellStyle name="표준 2 3 7 9" xfId="5652"/>
    <cellStyle name="표준 2 3 8" xfId="4891"/>
    <cellStyle name="標準 2 3 8" xfId="4892"/>
    <cellStyle name="표준 2 3 8 10" xfId="6863"/>
    <cellStyle name="표준 2 3 8 11" xfId="6931"/>
    <cellStyle name="표준 2 3 8 12" xfId="7880"/>
    <cellStyle name="표준 2 3 8 13" xfId="7007"/>
    <cellStyle name="표준 2 3 8 2" xfId="4893"/>
    <cellStyle name="標準 2 3 8 2" xfId="6769"/>
    <cellStyle name="표준 2 3 8 2 10" xfId="6930"/>
    <cellStyle name="표준 2 3 8 2 11" xfId="7008"/>
    <cellStyle name="표준 2 3 8 2 2" xfId="5842"/>
    <cellStyle name="표준 2 3 8 2 2 2" xfId="7907"/>
    <cellStyle name="표준 2 3 8 2 2 3" xfId="7765"/>
    <cellStyle name="표준 2 3 8 2 3" xfId="5899"/>
    <cellStyle name="표준 2 3 8 2 4" xfId="5832"/>
    <cellStyle name="표준 2 3 8 2 5" xfId="5911"/>
    <cellStyle name="표준 2 3 8 2 6" xfId="5680"/>
    <cellStyle name="표준 2 3 8 2 7" xfId="5747"/>
    <cellStyle name="표준 2 3 8 2 8" xfId="5649"/>
    <cellStyle name="표준 2 3 8 2 9" xfId="6864"/>
    <cellStyle name="표준 2 3 8 3" xfId="5843"/>
    <cellStyle name="標準 2 3 8 3" xfId="6350"/>
    <cellStyle name="표준 2 3 8 3 2" xfId="7908"/>
    <cellStyle name="표준 2 3 8 3 3" xfId="7764"/>
    <cellStyle name="표준 2 3 8 4" xfId="5898"/>
    <cellStyle name="標準 2 3 8 4" xfId="6876"/>
    <cellStyle name="표준 2 3 8 4 2" xfId="7920"/>
    <cellStyle name="표준 2 3 8 4 3" xfId="7855"/>
    <cellStyle name="표준 2 3 8 5" xfId="5835"/>
    <cellStyle name="標準 2 3 8 5" xfId="5620"/>
    <cellStyle name="표준 2 3 8 6" xfId="5910"/>
    <cellStyle name="標準 2 3 8 6" xfId="5713"/>
    <cellStyle name="표준 2 3 8 7" xfId="5681"/>
    <cellStyle name="표준 2 3 8 8" xfId="5746"/>
    <cellStyle name="표준 2 3 8 9" xfId="5650"/>
    <cellStyle name="표준 2 3 9" xfId="6612"/>
    <cellStyle name="標準 2 3 9" xfId="4894"/>
    <cellStyle name="표준 2 3 9 2" xfId="7944"/>
    <cellStyle name="標準 2 3 9 2" xfId="6770"/>
    <cellStyle name="표준 2 3 9 3" xfId="7749"/>
    <cellStyle name="標準 2 3 9 3" xfId="6351"/>
    <cellStyle name="標準 2 3 9 4" xfId="5621"/>
    <cellStyle name="標準 2 3_Table_KOR" xfId="4895"/>
    <cellStyle name="표준 2 30" xfId="5775"/>
    <cellStyle name="표준 2 31" xfId="7701"/>
    <cellStyle name="표준 2 32" xfId="6967"/>
    <cellStyle name="표준 2 4" xfId="4896"/>
    <cellStyle name="標準 2 4" xfId="4897"/>
    <cellStyle name="표준 2 4 10" xfId="7881"/>
    <cellStyle name="표준 2 4 11" xfId="7009"/>
    <cellStyle name="표준 2 4 2" xfId="4898"/>
    <cellStyle name="標準 2 4 2" xfId="4899"/>
    <cellStyle name="標準 2 4 2 2" xfId="6773"/>
    <cellStyle name="標準 2 4 2 2 2" xfId="7959"/>
    <cellStyle name="標準 2 4 2 2 3" xfId="7768"/>
    <cellStyle name="標準 2 4 2 3" xfId="6354"/>
    <cellStyle name="標準 2 4 2 4" xfId="5624"/>
    <cellStyle name="표준 2 4 3" xfId="4900"/>
    <cellStyle name="標準 2 4 3" xfId="6772"/>
    <cellStyle name="標準 2 4 3 2" xfId="7958"/>
    <cellStyle name="標準 2 4 3 3" xfId="7767"/>
    <cellStyle name="표준 2 4 4" xfId="4901"/>
    <cellStyle name="標準 2 4 4" xfId="6353"/>
    <cellStyle name="표준 2 4 5" xfId="6771"/>
    <cellStyle name="標準 2 4 5" xfId="6877"/>
    <cellStyle name="표준 2 4 5 2" xfId="7957"/>
    <cellStyle name="표준 2 4 5 3" xfId="7766"/>
    <cellStyle name="표준 2 4 6" xfId="6352"/>
    <cellStyle name="標準 2 4 6" xfId="5623"/>
    <cellStyle name="표준 2 4 7" xfId="6920"/>
    <cellStyle name="標準 2 4 7" xfId="5189"/>
    <cellStyle name="표준 2 4 8" xfId="5622"/>
    <cellStyle name="標準 2 4 8" xfId="7882"/>
    <cellStyle name="표준 2 4 9" xfId="5712"/>
    <cellStyle name="標準 2 4 9" xfId="7010"/>
    <cellStyle name="標準 2 4_Table_KOR" xfId="4902"/>
    <cellStyle name="표준 2 5" xfId="4903"/>
    <cellStyle name="標準 2 5" xfId="4904"/>
    <cellStyle name="표준 2 5 10" xfId="7883"/>
    <cellStyle name="표준 2 5 11" xfId="7011"/>
    <cellStyle name="표준 2 5 2" xfId="4905"/>
    <cellStyle name="標準 2 5 2" xfId="4906"/>
    <cellStyle name="標準 2 5 2 2" xfId="6776"/>
    <cellStyle name="標準 2 5 2 2 2" xfId="7962"/>
    <cellStyle name="標準 2 5 2 2 3" xfId="7771"/>
    <cellStyle name="標準 2 5 2 3" xfId="6357"/>
    <cellStyle name="標準 2 5 2 4" xfId="5627"/>
    <cellStyle name="표준 2 5 3" xfId="4907"/>
    <cellStyle name="標準 2 5 3" xfId="6775"/>
    <cellStyle name="標準 2 5 3 2" xfId="7961"/>
    <cellStyle name="標準 2 5 3 3" xfId="7770"/>
    <cellStyle name="표준 2 5 4" xfId="4908"/>
    <cellStyle name="標準 2 5 4" xfId="6356"/>
    <cellStyle name="표준 2 5 5" xfId="6774"/>
    <cellStyle name="標準 2 5 5" xfId="6794"/>
    <cellStyle name="표준 2 5 5 2" xfId="7960"/>
    <cellStyle name="표준 2 5 5 3" xfId="7769"/>
    <cellStyle name="표준 2 5 6" xfId="6355"/>
    <cellStyle name="標準 2 5 6" xfId="5626"/>
    <cellStyle name="표준 2 5 7" xfId="6801"/>
    <cellStyle name="標準 2 5 7" xfId="5187"/>
    <cellStyle name="표준 2 5 8" xfId="5625"/>
    <cellStyle name="標準 2 5 8" xfId="7884"/>
    <cellStyle name="표준 2 5 9" xfId="5188"/>
    <cellStyle name="標準 2 5 9" xfId="7012"/>
    <cellStyle name="標準 2 5_Table_KOR" xfId="4909"/>
    <cellStyle name="표준 2 6" xfId="4910"/>
    <cellStyle name="標準 2 6" xfId="4911"/>
    <cellStyle name="표준 2 6 10" xfId="7885"/>
    <cellStyle name="표준 2 6 11" xfId="7013"/>
    <cellStyle name="표준 2 6 2" xfId="4912"/>
    <cellStyle name="標準 2 6 2" xfId="4913"/>
    <cellStyle name="標準 2 6 2 2" xfId="6779"/>
    <cellStyle name="標準 2 6 2 2 2" xfId="7965"/>
    <cellStyle name="標準 2 6 2 2 3" xfId="7774"/>
    <cellStyle name="標準 2 6 2 3" xfId="6360"/>
    <cellStyle name="標準 2 6 2 4" xfId="5630"/>
    <cellStyle name="표준 2 6 3" xfId="4914"/>
    <cellStyle name="標準 2 6 3" xfId="6778"/>
    <cellStyle name="標準 2 6 3 2" xfId="7964"/>
    <cellStyle name="標準 2 6 3 3" xfId="7773"/>
    <cellStyle name="표준 2 6 4" xfId="4915"/>
    <cellStyle name="標準 2 6 4" xfId="6359"/>
    <cellStyle name="표준 2 6 5" xfId="6777"/>
    <cellStyle name="標準 2 6 5" xfId="6881"/>
    <cellStyle name="표준 2 6 5 2" xfId="7963"/>
    <cellStyle name="표준 2 6 5 3" xfId="7772"/>
    <cellStyle name="표준 2 6 6" xfId="6358"/>
    <cellStyle name="標準 2 6 6" xfId="5629"/>
    <cellStyle name="표준 2 6 7" xfId="6880"/>
    <cellStyle name="標準 2 6 7" xfId="5709"/>
    <cellStyle name="표준 2 6 8" xfId="5628"/>
    <cellStyle name="標準 2 6 8" xfId="7886"/>
    <cellStyle name="표준 2 6 9" xfId="5710"/>
    <cellStyle name="標準 2 6 9" xfId="7014"/>
    <cellStyle name="標準 2 6_Table_KOR" xfId="4916"/>
    <cellStyle name="표준 2 7" xfId="4917"/>
    <cellStyle name="標準 2 7" xfId="4918"/>
    <cellStyle name="표준 2 7 10" xfId="7887"/>
    <cellStyle name="표준 2 7 11" xfId="7015"/>
    <cellStyle name="표준 2 7 2" xfId="4919"/>
    <cellStyle name="標準 2 7 2" xfId="4920"/>
    <cellStyle name="標準 2 7 2 2" xfId="6782"/>
    <cellStyle name="標準 2 7 2 2 2" xfId="7968"/>
    <cellStyle name="標準 2 7 2 2 3" xfId="7777"/>
    <cellStyle name="標準 2 7 2 3" xfId="6363"/>
    <cellStyle name="標準 2 7 2 4" xfId="5633"/>
    <cellStyle name="표준 2 7 3" xfId="4921"/>
    <cellStyle name="標準 2 7 3" xfId="6781"/>
    <cellStyle name="標準 2 7 3 2" xfId="7967"/>
    <cellStyle name="標準 2 7 3 3" xfId="7776"/>
    <cellStyle name="표준 2 7 4" xfId="4922"/>
    <cellStyle name="標準 2 7 4" xfId="6362"/>
    <cellStyle name="표준 2 7 5" xfId="6780"/>
    <cellStyle name="標準 2 7 5" xfId="6918"/>
    <cellStyle name="표준 2 7 5 2" xfId="7966"/>
    <cellStyle name="표준 2 7 5 3" xfId="7775"/>
    <cellStyle name="표준 2 7 6" xfId="6361"/>
    <cellStyle name="標準 2 7 6" xfId="5632"/>
    <cellStyle name="표준 2 7 7" xfId="6919"/>
    <cellStyle name="標準 2 7 7" xfId="6375"/>
    <cellStyle name="표준 2 7 8" xfId="5631"/>
    <cellStyle name="標準 2 7 8" xfId="7888"/>
    <cellStyle name="표준 2 7 9" xfId="5186"/>
    <cellStyle name="標準 2 7 9" xfId="7016"/>
    <cellStyle name="標準 2 7_Table_KOR" xfId="4923"/>
    <cellStyle name="표준 2 8" xfId="4924"/>
    <cellStyle name="標準 2 8" xfId="4925"/>
    <cellStyle name="표준 2 8 10" xfId="7017"/>
    <cellStyle name="標準 2 8 10" xfId="6866"/>
    <cellStyle name="標準 2 8 11" xfId="7890"/>
    <cellStyle name="표준 2 8 2" xfId="4926"/>
    <cellStyle name="標準 2 8 2" xfId="4927"/>
    <cellStyle name="標準 2 8 2 2" xfId="5836"/>
    <cellStyle name="標準 2 8 2 2 2" xfId="7905"/>
    <cellStyle name="標準 2 8 2 2 3" xfId="7780"/>
    <cellStyle name="표준 2 8 3" xfId="4928"/>
    <cellStyle name="標準 2 8 3" xfId="5837"/>
    <cellStyle name="標準 2 8 3 2" xfId="7906"/>
    <cellStyle name="標準 2 8 3 3" xfId="7779"/>
    <cellStyle name="표준 2 8 4" xfId="6783"/>
    <cellStyle name="標準 2 8 4" xfId="5904"/>
    <cellStyle name="표준 2 8 4 2" xfId="7969"/>
    <cellStyle name="標準 2 8 4 2" xfId="7921"/>
    <cellStyle name="표준 2 8 4 3" xfId="7778"/>
    <cellStyle name="標準 2 8 4 3" xfId="7856"/>
    <cellStyle name="표준 2 8 5" xfId="6364"/>
    <cellStyle name="標準 2 8 5" xfId="5686"/>
    <cellStyle name="표준 2 8 6" xfId="6917"/>
    <cellStyle name="標準 2 8 6" xfId="5735"/>
    <cellStyle name="표준 2 8 7" xfId="5634"/>
    <cellStyle name="標準 2 8 7" xfId="5655"/>
    <cellStyle name="표준 2 8 8" xfId="6374"/>
    <cellStyle name="標準 2 8 8" xfId="5672"/>
    <cellStyle name="표준 2 8 9" xfId="7889"/>
    <cellStyle name="標準 2 8 9" xfId="5691"/>
    <cellStyle name="표준 2 9" xfId="4929"/>
    <cellStyle name="標準 2 9" xfId="4930"/>
    <cellStyle name="표준 2 9 10" xfId="7018"/>
    <cellStyle name="標準 2 9 10" xfId="6869"/>
    <cellStyle name="標準 2 9 11" xfId="7892"/>
    <cellStyle name="표준 2 9 2" xfId="4931"/>
    <cellStyle name="標準 2 9 2" xfId="4932"/>
    <cellStyle name="標準 2 9 2 2" xfId="5833"/>
    <cellStyle name="標準 2 9 2 2 2" xfId="7903"/>
    <cellStyle name="標準 2 9 2 2 3" xfId="7783"/>
    <cellStyle name="표준 2 9 3" xfId="4933"/>
    <cellStyle name="標準 2 9 3" xfId="5834"/>
    <cellStyle name="標準 2 9 3 2" xfId="7904"/>
    <cellStyle name="標準 2 9 3 3" xfId="7782"/>
    <cellStyle name="표준 2 9 4" xfId="6784"/>
    <cellStyle name="標準 2 9 4" xfId="5905"/>
    <cellStyle name="표준 2 9 4 2" xfId="7970"/>
    <cellStyle name="標準 2 9 4 2" xfId="7922"/>
    <cellStyle name="표준 2 9 4 3" xfId="7781"/>
    <cellStyle name="標準 2 9 4 3" xfId="7857"/>
    <cellStyle name="표준 2 9 5" xfId="6365"/>
    <cellStyle name="標準 2 9 5" xfId="5685"/>
    <cellStyle name="표준 2 9 6" xfId="6882"/>
    <cellStyle name="標準 2 9 6" xfId="5738"/>
    <cellStyle name="표준 2 9 7" xfId="5635"/>
    <cellStyle name="標準 2 9 7" xfId="5654"/>
    <cellStyle name="표준 2 9 8" xfId="6376"/>
    <cellStyle name="標準 2 9 8" xfId="5673"/>
    <cellStyle name="표준 2 9 9" xfId="7891"/>
    <cellStyle name="標準 2 9 9" xfId="5919"/>
    <cellStyle name="標準 2_etc_data" xfId="4934"/>
    <cellStyle name="표준 2_MainWaepon_Relocation4" xfId="4935"/>
    <cellStyle name="標準 2_Sheet1" xfId="4936"/>
    <cellStyle name="표준 2_Sheet2" xfId="4937"/>
    <cellStyle name="標準 2_Sheet3" xfId="4938"/>
    <cellStyle name="표준 2_어투 참고" xfId="4939"/>
    <cellStyle name="표준 20" xfId="5018"/>
    <cellStyle name="표준 20 2" xfId="6939"/>
    <cellStyle name="표준 20 2 2" xfId="7975"/>
    <cellStyle name="표준 20 3" xfId="5131"/>
    <cellStyle name="표준 20 3 2" xfId="7899"/>
    <cellStyle name="표준 20 4" xfId="7894"/>
    <cellStyle name="표준 21" xfId="5080"/>
    <cellStyle name="표준 21 2" xfId="6940"/>
    <cellStyle name="표준 21 2 2" xfId="7976"/>
    <cellStyle name="표준 21 3" xfId="5132"/>
    <cellStyle name="표준 21 3 2" xfId="7900"/>
    <cellStyle name="표준 21 4" xfId="7895"/>
    <cellStyle name="표준 22" xfId="5086"/>
    <cellStyle name="표준 22 2" xfId="6941"/>
    <cellStyle name="표준 22 2 2" xfId="7977"/>
    <cellStyle name="표준 22 3" xfId="5133"/>
    <cellStyle name="표준 22 3 2" xfId="7901"/>
    <cellStyle name="표준 22 4" xfId="7896"/>
    <cellStyle name="표준 23" xfId="5089"/>
    <cellStyle name="표준 24" xfId="6377"/>
    <cellStyle name="표준 25" xfId="5658"/>
    <cellStyle name="표준 25 2" xfId="6894"/>
    <cellStyle name="표준 25 2 2" xfId="7973"/>
    <cellStyle name="표준 25 3" xfId="7902"/>
    <cellStyle name="표준 26" xfId="6825"/>
    <cellStyle name="표준 27" xfId="6824"/>
    <cellStyle name="표준 27 2" xfId="7972"/>
    <cellStyle name="표준 28" xfId="6928"/>
    <cellStyle name="표준 28 2" xfId="7974"/>
    <cellStyle name="표준 29" xfId="5184"/>
    <cellStyle name="표준 3" xfId="4940"/>
    <cellStyle name="標準 3" xfId="4941"/>
    <cellStyle name="표준 3 10" xfId="4942"/>
    <cellStyle name="표준 3 11" xfId="4943"/>
    <cellStyle name="표준 3 12" xfId="4944"/>
    <cellStyle name="표준 3 13" xfId="4945"/>
    <cellStyle name="표준 3 14" xfId="4946"/>
    <cellStyle name="표준 3 15" xfId="4947"/>
    <cellStyle name="표준 3 16" xfId="4948"/>
    <cellStyle name="표준 3 17" xfId="4949"/>
    <cellStyle name="표준 3 18" xfId="4950"/>
    <cellStyle name="표준 3 19" xfId="4951"/>
    <cellStyle name="표준 3 2" xfId="4952"/>
    <cellStyle name="표준 3 2 2" xfId="4953"/>
    <cellStyle name="표준 3 2 3" xfId="4954"/>
    <cellStyle name="표준 3 2 4" xfId="4955"/>
    <cellStyle name="표준 3 20" xfId="4956"/>
    <cellStyle name="표준 3 21" xfId="4957"/>
    <cellStyle name="표준 3 22" xfId="4958"/>
    <cellStyle name="표준 3 23" xfId="4959"/>
    <cellStyle name="표준 3 24" xfId="4960"/>
    <cellStyle name="표준 3 25" xfId="4961"/>
    <cellStyle name="표준 3 26" xfId="6785"/>
    <cellStyle name="표준 3 26 2" xfId="7971"/>
    <cellStyle name="표준 3 26 3" xfId="7784"/>
    <cellStyle name="표준 3 27" xfId="6366"/>
    <cellStyle name="표준 3 28" xfId="5831"/>
    <cellStyle name="표준 3 29" xfId="5906"/>
    <cellStyle name="표준 3 3" xfId="4962"/>
    <cellStyle name="표준 3 3 2" xfId="4963"/>
    <cellStyle name="표준 3 3 3" xfId="4964"/>
    <cellStyle name="표준 3 30" xfId="5684"/>
    <cellStyle name="표준 3 31" xfId="5741"/>
    <cellStyle name="표준 3 32" xfId="5653"/>
    <cellStyle name="표준 3 33" xfId="5674"/>
    <cellStyle name="표준 3 34" xfId="5917"/>
    <cellStyle name="표준 3 35" xfId="6870"/>
    <cellStyle name="표준 3 36" xfId="6942"/>
    <cellStyle name="표준 3 37" xfId="6883"/>
    <cellStyle name="표준 3 38" xfId="5636"/>
    <cellStyle name="표준 3 39" xfId="5708"/>
    <cellStyle name="표준 3 4" xfId="4965"/>
    <cellStyle name="표준 3 4 2" xfId="4966"/>
    <cellStyle name="표준 3 4 3" xfId="4967"/>
    <cellStyle name="표준 3 40" xfId="7893"/>
    <cellStyle name="표준 3 41" xfId="7019"/>
    <cellStyle name="표준 3 5" xfId="4968"/>
    <cellStyle name="표준 3 5 2" xfId="4969"/>
    <cellStyle name="표준 3 5 3" xfId="4970"/>
    <cellStyle name="표준 3 6" xfId="4971"/>
    <cellStyle name="표준 3 6 2" xfId="4972"/>
    <cellStyle name="표준 3 6 3" xfId="4973"/>
    <cellStyle name="표준 3 7" xfId="4974"/>
    <cellStyle name="표준 3 7 2" xfId="4975"/>
    <cellStyle name="표준 3 8" xfId="4976"/>
    <cellStyle name="표준 3 8 2" xfId="4977"/>
    <cellStyle name="표준 3 9" xfId="4978"/>
    <cellStyle name="표준 3_Table_KOR" xfId="4979"/>
    <cellStyle name="표준 30" xfId="6373"/>
    <cellStyle name="표준 31" xfId="5087"/>
    <cellStyle name="표준 31 2" xfId="7897"/>
    <cellStyle name="표준 32" xfId="5088"/>
    <cellStyle name="표준 32 2" xfId="7898"/>
    <cellStyle name="표준 4" xfId="4980"/>
    <cellStyle name="표준 5" xfId="4981"/>
    <cellStyle name="표준 5 10" xfId="5637"/>
    <cellStyle name="표준 5 2" xfId="4982"/>
    <cellStyle name="표준 5 2 2" xfId="4983"/>
    <cellStyle name="표준 5 2 3" xfId="4984"/>
    <cellStyle name="표준 5 2 4" xfId="6787"/>
    <cellStyle name="표준 5 2 5" xfId="6368"/>
    <cellStyle name="표준 5 2 6" xfId="5638"/>
    <cellStyle name="표준 5 3" xfId="4985"/>
    <cellStyle name="표준 5 3 2" xfId="4986"/>
    <cellStyle name="표준 5 4" xfId="4987"/>
    <cellStyle name="표준 5 5" xfId="4988"/>
    <cellStyle name="표준 5 6" xfId="4989"/>
    <cellStyle name="표준 5 7" xfId="4990"/>
    <cellStyle name="표준 5 8" xfId="6786"/>
    <cellStyle name="표준 5 9" xfId="6367"/>
    <cellStyle name="표준 6" xfId="4991"/>
    <cellStyle name="표준 6 10" xfId="5830"/>
    <cellStyle name="표준 6 11" xfId="5639"/>
    <cellStyle name="표준 6 2" xfId="4992"/>
    <cellStyle name="표준 6 2 2" xfId="4993"/>
    <cellStyle name="표준 6 2 3" xfId="4994"/>
    <cellStyle name="표준 6 3" xfId="4995"/>
    <cellStyle name="표준 6 4" xfId="4996"/>
    <cellStyle name="표준 6 5" xfId="4997"/>
    <cellStyle name="표준 6 6" xfId="4998"/>
    <cellStyle name="표준 6 7" xfId="4999"/>
    <cellStyle name="표준 6 8" xfId="6788"/>
    <cellStyle name="표준 6 9" xfId="6369"/>
    <cellStyle name="표준 66" xfId="5000"/>
    <cellStyle name="표준 66 2" xfId="5001"/>
    <cellStyle name="표준 66 3" xfId="6789"/>
    <cellStyle name="표준 66 4" xfId="6370"/>
    <cellStyle name="표준 66 5" xfId="5640"/>
    <cellStyle name="표준 7" xfId="5002"/>
    <cellStyle name="표준 7 2" xfId="5003"/>
    <cellStyle name="표준 7 3" xfId="5004"/>
    <cellStyle name="표준 8" xfId="5005"/>
    <cellStyle name="표준 8 10" xfId="6371"/>
    <cellStyle name="표준 8 11" xfId="5641"/>
    <cellStyle name="표준 8 2" xfId="5006"/>
    <cellStyle name="표준 8 2 2" xfId="5007"/>
    <cellStyle name="표준 8 2 3" xfId="6791"/>
    <cellStyle name="표준 8 2 4" xfId="6372"/>
    <cellStyle name="표준 8 2 5" xfId="5642"/>
    <cellStyle name="표준 8 3" xfId="5008"/>
    <cellStyle name="표준 8 4" xfId="5009"/>
    <cellStyle name="표준 8 5" xfId="5010"/>
    <cellStyle name="표준 8 6" xfId="5011"/>
    <cellStyle name="표준 8 7" xfId="5012"/>
    <cellStyle name="표준 8 8" xfId="5013"/>
    <cellStyle name="표준 8 9" xfId="6790"/>
    <cellStyle name="표준 9" xfId="5014"/>
    <cellStyle name="표준 9 2" xfId="5015"/>
    <cellStyle name="표준 9 3" xfId="5016"/>
    <cellStyle name="標準_2007_10_01打ち合わせまとめ修正" xfId="5017"/>
  </cellStyles>
  <dxfs count="15"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  <dxf>
      <fill>
        <patternFill>
          <bgColor indexed="4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D4D4D4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1108</xdr:row>
      <xdr:rowOff>142875</xdr:rowOff>
    </xdr:from>
    <xdr:to>
      <xdr:col>11</xdr:col>
      <xdr:colOff>95250</xdr:colOff>
      <xdr:row>1116</xdr:row>
      <xdr:rowOff>28576</xdr:rowOff>
    </xdr:to>
    <xdr:sp macro="" textlink="">
      <xdr:nvSpPr>
        <xdr:cNvPr id="2" name="가로로 말린 두루마리 모양 1"/>
        <xdr:cNvSpPr/>
      </xdr:nvSpPr>
      <xdr:spPr>
        <a:xfrm>
          <a:off x="5162550" y="600075"/>
          <a:ext cx="4124325" cy="1104901"/>
        </a:xfrm>
        <a:prstGeom prst="horizontalScroll">
          <a:avLst>
            <a:gd name="adj" fmla="val 25000"/>
          </a:avLst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ea"/>
              <a:ea typeface="+mn-ea"/>
            </a:rPr>
            <a:t>작업은 </a:t>
          </a:r>
          <a:r>
            <a:rPr lang="en-US" altLang="ko-KR" sz="1000" b="1">
              <a:latin typeface="+mn-ea"/>
              <a:ea typeface="+mn-ea"/>
            </a:rPr>
            <a:t>Item_Enchant_Old</a:t>
          </a:r>
          <a:r>
            <a:rPr lang="ko-KR" altLang="en-US" sz="1000" b="1">
              <a:latin typeface="+mn-ea"/>
              <a:ea typeface="+mn-ea"/>
            </a:rPr>
            <a:t>에서 하세요</a:t>
          </a:r>
          <a:r>
            <a:rPr lang="en-US" altLang="ko-KR" sz="1000" b="1">
              <a:latin typeface="+mn-ea"/>
              <a:ea typeface="+mn-ea"/>
            </a:rPr>
            <a:t>...</a:t>
          </a:r>
        </a:p>
        <a:p>
          <a:pPr algn="ctr"/>
          <a:r>
            <a:rPr lang="en-US" altLang="ko-KR" sz="1000" b="1">
              <a:latin typeface="+mn-ea"/>
              <a:ea typeface="+mn-ea"/>
            </a:rPr>
            <a:t>XML</a:t>
          </a:r>
          <a:r>
            <a:rPr lang="ko-KR" altLang="en-US" sz="1000" b="1">
              <a:latin typeface="+mn-ea"/>
              <a:ea typeface="+mn-ea"/>
            </a:rPr>
            <a:t>은 </a:t>
          </a:r>
          <a:r>
            <a:rPr lang="en-US" altLang="ko-KR" sz="1000" b="1">
              <a:latin typeface="+mn-ea"/>
              <a:ea typeface="+mn-ea"/>
            </a:rPr>
            <a:t>Item_Enchant_Data </a:t>
          </a:r>
          <a:r>
            <a:rPr lang="ko-KR" altLang="en-US" sz="1000" b="1">
              <a:latin typeface="+mn-ea"/>
              <a:ea typeface="+mn-ea"/>
            </a:rPr>
            <a:t>시트를 뽑으세요</a:t>
          </a:r>
          <a:r>
            <a:rPr lang="en-US" altLang="ko-KR" sz="1000" b="1">
              <a:latin typeface="+mn-ea"/>
              <a:ea typeface="+mn-ea"/>
            </a:rPr>
            <a:t>...</a:t>
          </a:r>
          <a:endParaRPr lang="ko-KR" altLang="en-US" sz="1000" b="1">
            <a:latin typeface="+mn-ea"/>
            <a:ea typeface="+mn-ea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_Referenc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at_Reference"/>
      <sheetName val="Item_Option_Reference"/>
      <sheetName val="Level_Reference"/>
      <sheetName val="성능, 가격 정책기준"/>
      <sheetName val="Item_Option_Policy"/>
      <sheetName val="item_option"/>
    </sheetNames>
    <sheetDataSet>
      <sheetData sheetId="0">
        <row r="5">
          <cell r="A5">
            <v>1</v>
          </cell>
          <cell r="B5">
            <v>50</v>
          </cell>
          <cell r="C5">
            <v>5</v>
          </cell>
          <cell r="D5">
            <v>1</v>
          </cell>
          <cell r="E5">
            <v>20</v>
          </cell>
          <cell r="F5">
            <v>14</v>
          </cell>
          <cell r="G5">
            <v>12</v>
          </cell>
          <cell r="H5">
            <v>11</v>
          </cell>
          <cell r="I5">
            <v>11</v>
          </cell>
          <cell r="J5">
            <v>12</v>
          </cell>
          <cell r="K5">
            <v>11</v>
          </cell>
          <cell r="L5">
            <v>7</v>
          </cell>
          <cell r="M5">
            <v>12</v>
          </cell>
          <cell r="N5">
            <v>13</v>
          </cell>
          <cell r="O5">
            <v>9</v>
          </cell>
          <cell r="P5">
            <v>13</v>
          </cell>
          <cell r="Q5">
            <v>15</v>
          </cell>
          <cell r="R5">
            <v>10.5</v>
          </cell>
          <cell r="S5">
            <v>12</v>
          </cell>
          <cell r="T5">
            <v>12</v>
          </cell>
          <cell r="U5">
            <v>10</v>
          </cell>
          <cell r="V5">
            <v>12.5</v>
          </cell>
          <cell r="W5">
            <v>13</v>
          </cell>
          <cell r="X5">
            <v>14</v>
          </cell>
          <cell r="Y5">
            <v>12</v>
          </cell>
          <cell r="Z5">
            <v>13</v>
          </cell>
          <cell r="AA5">
            <v>11</v>
          </cell>
          <cell r="AB5">
            <v>13</v>
          </cell>
          <cell r="AC5">
            <v>15</v>
          </cell>
          <cell r="AD5">
            <v>26.4</v>
          </cell>
          <cell r="AE5">
            <v>950</v>
          </cell>
          <cell r="AF5">
            <v>9</v>
          </cell>
          <cell r="AG5">
            <v>18</v>
          </cell>
          <cell r="AH5">
            <v>130</v>
          </cell>
          <cell r="AI5">
            <v>130</v>
          </cell>
          <cell r="AJ5">
            <v>55.000000000000007</v>
          </cell>
          <cell r="AK5">
            <v>87</v>
          </cell>
          <cell r="AL5">
            <v>55</v>
          </cell>
          <cell r="AM5">
            <v>21.3</v>
          </cell>
          <cell r="AN5">
            <v>55.000000000000007</v>
          </cell>
          <cell r="AO5">
            <v>775</v>
          </cell>
          <cell r="AP5">
            <v>8</v>
          </cell>
          <cell r="AQ5">
            <v>16</v>
          </cell>
          <cell r="AR5">
            <v>45</v>
          </cell>
          <cell r="AS5">
            <v>45</v>
          </cell>
          <cell r="AT5">
            <v>6.5714285714285712</v>
          </cell>
          <cell r="AU5">
            <v>11.833333333333334</v>
          </cell>
          <cell r="AV5">
            <v>6.8571428571428577</v>
          </cell>
          <cell r="AW5">
            <v>12.166666666666666</v>
          </cell>
          <cell r="AX5">
            <v>100</v>
          </cell>
          <cell r="AZ5">
            <v>26.4</v>
          </cell>
          <cell r="BA5">
            <v>21.3</v>
          </cell>
          <cell r="BB5">
            <v>23</v>
          </cell>
          <cell r="BC5">
            <v>368</v>
          </cell>
          <cell r="BD5">
            <v>951</v>
          </cell>
          <cell r="BR5">
            <v>25</v>
          </cell>
          <cell r="BS5">
            <v>193</v>
          </cell>
          <cell r="BT5">
            <v>38</v>
          </cell>
          <cell r="BU5">
            <v>48</v>
          </cell>
          <cell r="GZ5">
            <v>201</v>
          </cell>
          <cell r="HA5">
            <v>201</v>
          </cell>
          <cell r="HB5">
            <v>3</v>
          </cell>
          <cell r="HC5">
            <v>1</v>
          </cell>
          <cell r="HD5">
            <v>240</v>
          </cell>
          <cell r="HE5">
            <v>2</v>
          </cell>
          <cell r="HF5">
            <v>2</v>
          </cell>
          <cell r="HG5">
            <v>1</v>
          </cell>
          <cell r="HH5">
            <v>1</v>
          </cell>
          <cell r="HI5">
            <v>1</v>
          </cell>
          <cell r="HJ5">
            <v>1</v>
          </cell>
          <cell r="HK5">
            <v>1</v>
          </cell>
          <cell r="HL5">
            <v>1</v>
          </cell>
          <cell r="HM5">
            <v>1</v>
          </cell>
          <cell r="HN5">
            <v>1</v>
          </cell>
          <cell r="HO5">
            <v>2</v>
          </cell>
          <cell r="HP5">
            <v>5</v>
          </cell>
          <cell r="HQ5">
            <v>3</v>
          </cell>
          <cell r="HR5">
            <v>7</v>
          </cell>
          <cell r="HT5">
            <v>1</v>
          </cell>
          <cell r="HU5">
            <v>560</v>
          </cell>
          <cell r="HV5">
            <v>3000</v>
          </cell>
          <cell r="HW5">
            <v>4000</v>
          </cell>
          <cell r="HX5">
            <v>290</v>
          </cell>
          <cell r="HY5">
            <v>230</v>
          </cell>
          <cell r="HZ5">
            <v>480</v>
          </cell>
          <cell r="IA5">
            <v>390</v>
          </cell>
          <cell r="IF5">
            <v>1</v>
          </cell>
          <cell r="IG5">
            <v>3</v>
          </cell>
          <cell r="IH5">
            <v>0.45</v>
          </cell>
        </row>
        <row r="6">
          <cell r="A6">
            <v>2</v>
          </cell>
          <cell r="B6">
            <v>60</v>
          </cell>
          <cell r="C6">
            <v>10</v>
          </cell>
          <cell r="D6">
            <v>2</v>
          </cell>
          <cell r="E6">
            <v>20</v>
          </cell>
          <cell r="F6">
            <v>15</v>
          </cell>
          <cell r="G6">
            <v>13</v>
          </cell>
          <cell r="H6">
            <v>12</v>
          </cell>
          <cell r="I6">
            <v>12</v>
          </cell>
          <cell r="J6">
            <v>13</v>
          </cell>
          <cell r="K6">
            <v>12</v>
          </cell>
          <cell r="L6">
            <v>8</v>
          </cell>
          <cell r="M6">
            <v>13</v>
          </cell>
          <cell r="N6">
            <v>14</v>
          </cell>
          <cell r="O6">
            <v>10</v>
          </cell>
          <cell r="P6">
            <v>14</v>
          </cell>
          <cell r="Q6">
            <v>16</v>
          </cell>
          <cell r="R6">
            <v>11.5</v>
          </cell>
          <cell r="S6">
            <v>13</v>
          </cell>
          <cell r="T6">
            <v>13</v>
          </cell>
          <cell r="U6">
            <v>11</v>
          </cell>
          <cell r="V6">
            <v>13.5</v>
          </cell>
          <cell r="W6">
            <v>14</v>
          </cell>
          <cell r="X6">
            <v>15</v>
          </cell>
          <cell r="Y6">
            <v>13</v>
          </cell>
          <cell r="Z6">
            <v>14</v>
          </cell>
          <cell r="AA6">
            <v>12</v>
          </cell>
          <cell r="AB6">
            <v>14</v>
          </cell>
          <cell r="AC6">
            <v>16</v>
          </cell>
          <cell r="AD6">
            <v>28.9</v>
          </cell>
          <cell r="AE6">
            <v>1025</v>
          </cell>
          <cell r="AF6">
            <v>9</v>
          </cell>
          <cell r="AG6">
            <v>18</v>
          </cell>
          <cell r="AH6">
            <v>140</v>
          </cell>
          <cell r="AI6">
            <v>140</v>
          </cell>
          <cell r="AJ6">
            <v>60</v>
          </cell>
          <cell r="AK6">
            <v>94</v>
          </cell>
          <cell r="AL6">
            <v>60</v>
          </cell>
          <cell r="AM6">
            <v>23.4</v>
          </cell>
          <cell r="AN6">
            <v>60</v>
          </cell>
          <cell r="AO6">
            <v>820</v>
          </cell>
          <cell r="AP6">
            <v>9</v>
          </cell>
          <cell r="AQ6">
            <v>18</v>
          </cell>
          <cell r="AR6">
            <v>90</v>
          </cell>
          <cell r="AS6">
            <v>90</v>
          </cell>
          <cell r="AT6">
            <v>6.7142857142857144</v>
          </cell>
          <cell r="AU6">
            <v>12</v>
          </cell>
          <cell r="AV6">
            <v>7</v>
          </cell>
          <cell r="AW6">
            <v>12.333333333333334</v>
          </cell>
          <cell r="AX6">
            <v>100</v>
          </cell>
          <cell r="AZ6">
            <v>28.9</v>
          </cell>
          <cell r="BA6">
            <v>23.4</v>
          </cell>
          <cell r="BB6">
            <v>26</v>
          </cell>
          <cell r="BC6">
            <v>416</v>
          </cell>
          <cell r="BD6">
            <v>1026</v>
          </cell>
          <cell r="BR6">
            <v>27</v>
          </cell>
          <cell r="BS6">
            <v>205</v>
          </cell>
          <cell r="BT6">
            <v>41</v>
          </cell>
          <cell r="BU6">
            <v>51</v>
          </cell>
          <cell r="GZ6">
            <v>201</v>
          </cell>
          <cell r="HA6">
            <v>201</v>
          </cell>
          <cell r="HB6">
            <v>6</v>
          </cell>
          <cell r="HC6">
            <v>1</v>
          </cell>
          <cell r="HD6">
            <v>240</v>
          </cell>
          <cell r="HE6">
            <v>2</v>
          </cell>
          <cell r="HF6">
            <v>2</v>
          </cell>
          <cell r="HG6">
            <v>1</v>
          </cell>
          <cell r="HH6">
            <v>1</v>
          </cell>
          <cell r="HI6">
            <v>1</v>
          </cell>
          <cell r="HJ6">
            <v>1</v>
          </cell>
          <cell r="HK6">
            <v>1</v>
          </cell>
          <cell r="HL6">
            <v>1</v>
          </cell>
          <cell r="HM6">
            <v>1</v>
          </cell>
          <cell r="HN6">
            <v>1</v>
          </cell>
          <cell r="HO6">
            <v>2</v>
          </cell>
          <cell r="HP6">
            <v>5</v>
          </cell>
          <cell r="HQ6">
            <v>3</v>
          </cell>
          <cell r="HR6">
            <v>7</v>
          </cell>
          <cell r="HT6">
            <v>2</v>
          </cell>
          <cell r="HU6">
            <v>560</v>
          </cell>
          <cell r="HV6">
            <v>3000</v>
          </cell>
          <cell r="HW6">
            <v>4000</v>
          </cell>
          <cell r="HX6">
            <v>310</v>
          </cell>
          <cell r="HY6">
            <v>250</v>
          </cell>
          <cell r="HZ6">
            <v>510</v>
          </cell>
          <cell r="IA6">
            <v>410</v>
          </cell>
          <cell r="IF6">
            <v>2</v>
          </cell>
          <cell r="IG6">
            <v>6</v>
          </cell>
          <cell r="IH6">
            <v>0.9</v>
          </cell>
        </row>
        <row r="7">
          <cell r="A7">
            <v>3</v>
          </cell>
          <cell r="B7">
            <v>70</v>
          </cell>
          <cell r="C7">
            <v>15</v>
          </cell>
          <cell r="D7">
            <v>3</v>
          </cell>
          <cell r="E7">
            <v>20</v>
          </cell>
          <cell r="F7">
            <v>16</v>
          </cell>
          <cell r="G7">
            <v>14</v>
          </cell>
          <cell r="H7">
            <v>13</v>
          </cell>
          <cell r="I7">
            <v>13</v>
          </cell>
          <cell r="J7">
            <v>14</v>
          </cell>
          <cell r="K7">
            <v>13</v>
          </cell>
          <cell r="L7">
            <v>9</v>
          </cell>
          <cell r="M7">
            <v>14</v>
          </cell>
          <cell r="N7">
            <v>15</v>
          </cell>
          <cell r="O7">
            <v>11</v>
          </cell>
          <cell r="P7">
            <v>15</v>
          </cell>
          <cell r="Q7">
            <v>18</v>
          </cell>
          <cell r="R7">
            <v>12.5</v>
          </cell>
          <cell r="S7">
            <v>14</v>
          </cell>
          <cell r="T7">
            <v>14</v>
          </cell>
          <cell r="U7">
            <v>12</v>
          </cell>
          <cell r="V7">
            <v>14.5</v>
          </cell>
          <cell r="W7">
            <v>15.5</v>
          </cell>
          <cell r="X7">
            <v>16</v>
          </cell>
          <cell r="Y7">
            <v>14</v>
          </cell>
          <cell r="Z7">
            <v>15</v>
          </cell>
          <cell r="AA7">
            <v>13</v>
          </cell>
          <cell r="AB7">
            <v>15</v>
          </cell>
          <cell r="AC7">
            <v>18</v>
          </cell>
          <cell r="AD7">
            <v>31.4</v>
          </cell>
          <cell r="AE7">
            <v>1100</v>
          </cell>
          <cell r="AF7">
            <v>10</v>
          </cell>
          <cell r="AG7">
            <v>20</v>
          </cell>
          <cell r="AH7">
            <v>150</v>
          </cell>
          <cell r="AI7">
            <v>150</v>
          </cell>
          <cell r="AJ7">
            <v>65</v>
          </cell>
          <cell r="AK7">
            <v>101</v>
          </cell>
          <cell r="AL7">
            <v>65</v>
          </cell>
          <cell r="AM7">
            <v>25.5</v>
          </cell>
          <cell r="AN7">
            <v>65</v>
          </cell>
          <cell r="AO7">
            <v>910</v>
          </cell>
          <cell r="AP7">
            <v>10</v>
          </cell>
          <cell r="AQ7">
            <v>20</v>
          </cell>
          <cell r="AR7">
            <v>135</v>
          </cell>
          <cell r="AS7">
            <v>135</v>
          </cell>
          <cell r="AT7">
            <v>6.8571428571428577</v>
          </cell>
          <cell r="AU7">
            <v>12.166666666666666</v>
          </cell>
          <cell r="AV7">
            <v>7.1428571428571423</v>
          </cell>
          <cell r="AW7">
            <v>12.5</v>
          </cell>
          <cell r="AX7">
            <v>100</v>
          </cell>
          <cell r="AZ7">
            <v>31.4</v>
          </cell>
          <cell r="BA7">
            <v>25.5</v>
          </cell>
          <cell r="BB7">
            <v>28</v>
          </cell>
          <cell r="BC7">
            <v>448</v>
          </cell>
          <cell r="BD7">
            <v>1101</v>
          </cell>
          <cell r="BR7">
            <v>30</v>
          </cell>
          <cell r="BS7">
            <v>227</v>
          </cell>
          <cell r="BT7">
            <v>45</v>
          </cell>
          <cell r="BU7">
            <v>56</v>
          </cell>
          <cell r="GZ7">
            <v>201</v>
          </cell>
          <cell r="HA7">
            <v>201</v>
          </cell>
          <cell r="HB7">
            <v>10</v>
          </cell>
          <cell r="HC7">
            <v>1</v>
          </cell>
          <cell r="HD7">
            <v>240</v>
          </cell>
          <cell r="HE7">
            <v>2</v>
          </cell>
          <cell r="HF7">
            <v>2</v>
          </cell>
          <cell r="HG7">
            <v>1</v>
          </cell>
          <cell r="HH7">
            <v>1</v>
          </cell>
          <cell r="HI7">
            <v>1</v>
          </cell>
          <cell r="HJ7">
            <v>1</v>
          </cell>
          <cell r="HK7">
            <v>1</v>
          </cell>
          <cell r="HL7">
            <v>1</v>
          </cell>
          <cell r="HM7">
            <v>1</v>
          </cell>
          <cell r="HN7">
            <v>1</v>
          </cell>
          <cell r="HO7">
            <v>2</v>
          </cell>
          <cell r="HP7">
            <v>5</v>
          </cell>
          <cell r="HQ7">
            <v>3</v>
          </cell>
          <cell r="HR7">
            <v>7</v>
          </cell>
          <cell r="HT7">
            <v>3</v>
          </cell>
          <cell r="HU7">
            <v>560</v>
          </cell>
          <cell r="HV7">
            <v>3000</v>
          </cell>
          <cell r="HW7">
            <v>4000</v>
          </cell>
          <cell r="HX7">
            <v>330</v>
          </cell>
          <cell r="HY7">
            <v>270</v>
          </cell>
          <cell r="HZ7">
            <v>550</v>
          </cell>
          <cell r="IA7">
            <v>460</v>
          </cell>
          <cell r="IF7">
            <v>3</v>
          </cell>
          <cell r="IG7">
            <v>10</v>
          </cell>
          <cell r="IH7">
            <v>1.5</v>
          </cell>
        </row>
        <row r="8">
          <cell r="A8">
            <v>4</v>
          </cell>
          <cell r="B8">
            <v>80</v>
          </cell>
          <cell r="C8">
            <v>20</v>
          </cell>
          <cell r="D8">
            <v>4</v>
          </cell>
          <cell r="E8">
            <v>20</v>
          </cell>
          <cell r="F8">
            <v>18</v>
          </cell>
          <cell r="G8">
            <v>15</v>
          </cell>
          <cell r="H8">
            <v>14</v>
          </cell>
          <cell r="I8">
            <v>14</v>
          </cell>
          <cell r="J8">
            <v>15</v>
          </cell>
          <cell r="K8">
            <v>14</v>
          </cell>
          <cell r="L8">
            <v>9</v>
          </cell>
          <cell r="M8">
            <v>15</v>
          </cell>
          <cell r="N8">
            <v>16</v>
          </cell>
          <cell r="O8">
            <v>12</v>
          </cell>
          <cell r="P8">
            <v>16</v>
          </cell>
          <cell r="Q8">
            <v>19</v>
          </cell>
          <cell r="R8">
            <v>13.5</v>
          </cell>
          <cell r="S8">
            <v>15</v>
          </cell>
          <cell r="T8">
            <v>15</v>
          </cell>
          <cell r="U8">
            <v>13</v>
          </cell>
          <cell r="V8">
            <v>15.5</v>
          </cell>
          <cell r="W8">
            <v>16.5</v>
          </cell>
          <cell r="X8">
            <v>18</v>
          </cell>
          <cell r="Y8">
            <v>15</v>
          </cell>
          <cell r="Z8">
            <v>16</v>
          </cell>
          <cell r="AA8">
            <v>14</v>
          </cell>
          <cell r="AB8">
            <v>16</v>
          </cell>
          <cell r="AC8">
            <v>19</v>
          </cell>
          <cell r="AD8">
            <v>35.200000000000003</v>
          </cell>
          <cell r="AE8">
            <v>1175</v>
          </cell>
          <cell r="AF8">
            <v>10</v>
          </cell>
          <cell r="AG8">
            <v>20</v>
          </cell>
          <cell r="AH8">
            <v>160</v>
          </cell>
          <cell r="AI8">
            <v>160</v>
          </cell>
          <cell r="AJ8">
            <v>70</v>
          </cell>
          <cell r="AK8">
            <v>108</v>
          </cell>
          <cell r="AL8">
            <v>70</v>
          </cell>
          <cell r="AM8">
            <v>27.6</v>
          </cell>
          <cell r="AN8">
            <v>70</v>
          </cell>
          <cell r="AO8">
            <v>955</v>
          </cell>
          <cell r="AP8">
            <v>10</v>
          </cell>
          <cell r="AQ8">
            <v>20</v>
          </cell>
          <cell r="AR8">
            <v>180</v>
          </cell>
          <cell r="AS8">
            <v>180</v>
          </cell>
          <cell r="AT8">
            <v>7</v>
          </cell>
          <cell r="AU8">
            <v>12.333333333333334</v>
          </cell>
          <cell r="AV8">
            <v>7.2857142857142856</v>
          </cell>
          <cell r="AW8">
            <v>12.666666666666666</v>
          </cell>
          <cell r="AX8">
            <v>100</v>
          </cell>
          <cell r="AZ8">
            <v>35.200000000000003</v>
          </cell>
          <cell r="BA8">
            <v>27.6</v>
          </cell>
          <cell r="BB8">
            <v>31</v>
          </cell>
          <cell r="BC8">
            <v>496</v>
          </cell>
          <cell r="BD8">
            <v>1176</v>
          </cell>
          <cell r="BR8">
            <v>31</v>
          </cell>
          <cell r="BS8">
            <v>238</v>
          </cell>
          <cell r="BT8">
            <v>47</v>
          </cell>
          <cell r="BU8">
            <v>59</v>
          </cell>
          <cell r="GZ8">
            <v>201</v>
          </cell>
          <cell r="HA8">
            <v>201</v>
          </cell>
          <cell r="HB8">
            <v>13</v>
          </cell>
          <cell r="HC8">
            <v>1</v>
          </cell>
          <cell r="HD8">
            <v>240</v>
          </cell>
          <cell r="HE8">
            <v>2</v>
          </cell>
          <cell r="HF8">
            <v>2</v>
          </cell>
          <cell r="HG8">
            <v>1</v>
          </cell>
          <cell r="HH8">
            <v>1</v>
          </cell>
          <cell r="HI8">
            <v>1</v>
          </cell>
          <cell r="HJ8">
            <v>1</v>
          </cell>
          <cell r="HK8">
            <v>1</v>
          </cell>
          <cell r="HL8">
            <v>1</v>
          </cell>
          <cell r="HM8">
            <v>1</v>
          </cell>
          <cell r="HN8">
            <v>1</v>
          </cell>
          <cell r="HO8">
            <v>2</v>
          </cell>
          <cell r="HP8">
            <v>5</v>
          </cell>
          <cell r="HQ8">
            <v>3</v>
          </cell>
          <cell r="HR8">
            <v>7</v>
          </cell>
          <cell r="HT8">
            <v>4</v>
          </cell>
          <cell r="HU8">
            <v>560</v>
          </cell>
          <cell r="HV8">
            <v>3000</v>
          </cell>
          <cell r="HW8">
            <v>4000</v>
          </cell>
          <cell r="HX8">
            <v>350</v>
          </cell>
          <cell r="HY8">
            <v>290</v>
          </cell>
          <cell r="HZ8">
            <v>590</v>
          </cell>
          <cell r="IA8">
            <v>480</v>
          </cell>
          <cell r="IF8">
            <v>4</v>
          </cell>
          <cell r="IG8">
            <v>13</v>
          </cell>
          <cell r="IH8">
            <v>1.95</v>
          </cell>
        </row>
        <row r="9">
          <cell r="A9">
            <v>5</v>
          </cell>
          <cell r="B9">
            <v>90</v>
          </cell>
          <cell r="C9">
            <v>25</v>
          </cell>
          <cell r="D9">
            <v>5</v>
          </cell>
          <cell r="E9">
            <v>20</v>
          </cell>
          <cell r="F9">
            <v>19</v>
          </cell>
          <cell r="G9">
            <v>16</v>
          </cell>
          <cell r="H9">
            <v>15</v>
          </cell>
          <cell r="I9">
            <v>15</v>
          </cell>
          <cell r="J9">
            <v>16</v>
          </cell>
          <cell r="K9">
            <v>15</v>
          </cell>
          <cell r="L9">
            <v>10</v>
          </cell>
          <cell r="M9">
            <v>16</v>
          </cell>
          <cell r="N9">
            <v>18</v>
          </cell>
          <cell r="O9">
            <v>13</v>
          </cell>
          <cell r="P9">
            <v>18</v>
          </cell>
          <cell r="Q9">
            <v>21</v>
          </cell>
          <cell r="R9">
            <v>14.5</v>
          </cell>
          <cell r="S9">
            <v>16</v>
          </cell>
          <cell r="T9">
            <v>16.5</v>
          </cell>
          <cell r="U9">
            <v>14</v>
          </cell>
          <cell r="V9">
            <v>17</v>
          </cell>
          <cell r="W9">
            <v>18</v>
          </cell>
          <cell r="X9">
            <v>19</v>
          </cell>
          <cell r="Y9">
            <v>16</v>
          </cell>
          <cell r="Z9">
            <v>18</v>
          </cell>
          <cell r="AA9">
            <v>15</v>
          </cell>
          <cell r="AB9">
            <v>18</v>
          </cell>
          <cell r="AC9">
            <v>21</v>
          </cell>
          <cell r="AD9">
            <v>37.700000000000003</v>
          </cell>
          <cell r="AE9">
            <v>1250</v>
          </cell>
          <cell r="AF9">
            <v>11</v>
          </cell>
          <cell r="AG9">
            <v>22</v>
          </cell>
          <cell r="AH9">
            <v>180</v>
          </cell>
          <cell r="AI9">
            <v>180</v>
          </cell>
          <cell r="AJ9">
            <v>75</v>
          </cell>
          <cell r="AK9">
            <v>120</v>
          </cell>
          <cell r="AL9">
            <v>75</v>
          </cell>
          <cell r="AM9">
            <v>31.299999999999997</v>
          </cell>
          <cell r="AN9">
            <v>75</v>
          </cell>
          <cell r="AO9">
            <v>1045</v>
          </cell>
          <cell r="AP9">
            <v>11</v>
          </cell>
          <cell r="AQ9">
            <v>22</v>
          </cell>
          <cell r="AR9">
            <v>225</v>
          </cell>
          <cell r="AS9">
            <v>225</v>
          </cell>
          <cell r="AT9">
            <v>7.1428571428571423</v>
          </cell>
          <cell r="AU9">
            <v>12.5</v>
          </cell>
          <cell r="AV9">
            <v>7.5714285714285712</v>
          </cell>
          <cell r="AW9">
            <v>13</v>
          </cell>
          <cell r="AX9">
            <v>100</v>
          </cell>
          <cell r="AZ9">
            <v>37.700000000000003</v>
          </cell>
          <cell r="BA9">
            <v>31.299999999999997</v>
          </cell>
          <cell r="BB9">
            <v>34</v>
          </cell>
          <cell r="BC9">
            <v>544</v>
          </cell>
          <cell r="BD9">
            <v>1251</v>
          </cell>
          <cell r="BR9">
            <v>34</v>
          </cell>
          <cell r="BS9">
            <v>261</v>
          </cell>
          <cell r="BT9">
            <v>52</v>
          </cell>
          <cell r="BU9">
            <v>65</v>
          </cell>
          <cell r="GZ9">
            <v>201</v>
          </cell>
          <cell r="HA9">
            <v>201</v>
          </cell>
          <cell r="HB9">
            <v>18</v>
          </cell>
          <cell r="HC9">
            <v>1</v>
          </cell>
          <cell r="HD9">
            <v>240</v>
          </cell>
          <cell r="HE9">
            <v>2</v>
          </cell>
          <cell r="HF9">
            <v>2</v>
          </cell>
          <cell r="HG9">
            <v>1</v>
          </cell>
          <cell r="HH9">
            <v>1</v>
          </cell>
          <cell r="HI9">
            <v>1</v>
          </cell>
          <cell r="HJ9">
            <v>1</v>
          </cell>
          <cell r="HK9">
            <v>1</v>
          </cell>
          <cell r="HL9">
            <v>1</v>
          </cell>
          <cell r="HM9">
            <v>1</v>
          </cell>
          <cell r="HN9">
            <v>1</v>
          </cell>
          <cell r="HO9">
            <v>2</v>
          </cell>
          <cell r="HP9">
            <v>5</v>
          </cell>
          <cell r="HQ9">
            <v>3</v>
          </cell>
          <cell r="HR9">
            <v>7</v>
          </cell>
          <cell r="HT9">
            <v>5</v>
          </cell>
          <cell r="HU9">
            <v>560</v>
          </cell>
          <cell r="HV9">
            <v>3000</v>
          </cell>
          <cell r="HW9">
            <v>4000</v>
          </cell>
          <cell r="HX9">
            <v>380</v>
          </cell>
          <cell r="HY9">
            <v>310</v>
          </cell>
          <cell r="HZ9">
            <v>630</v>
          </cell>
          <cell r="IA9">
            <v>520</v>
          </cell>
          <cell r="IF9">
            <v>5</v>
          </cell>
          <cell r="IG9">
            <v>18</v>
          </cell>
          <cell r="IH9">
            <v>2.7</v>
          </cell>
        </row>
        <row r="10">
          <cell r="A10">
            <v>6</v>
          </cell>
          <cell r="B10">
            <v>100</v>
          </cell>
          <cell r="C10">
            <v>30</v>
          </cell>
          <cell r="D10">
            <v>6</v>
          </cell>
          <cell r="E10">
            <v>20</v>
          </cell>
          <cell r="F10">
            <v>20</v>
          </cell>
          <cell r="G10">
            <v>17</v>
          </cell>
          <cell r="H10">
            <v>16</v>
          </cell>
          <cell r="I10">
            <v>16</v>
          </cell>
          <cell r="J10">
            <v>17</v>
          </cell>
          <cell r="K10">
            <v>16</v>
          </cell>
          <cell r="L10">
            <v>11</v>
          </cell>
          <cell r="M10">
            <v>17</v>
          </cell>
          <cell r="N10">
            <v>19</v>
          </cell>
          <cell r="O10">
            <v>14</v>
          </cell>
          <cell r="P10">
            <v>19</v>
          </cell>
          <cell r="Q10">
            <v>22</v>
          </cell>
          <cell r="R10">
            <v>15.5</v>
          </cell>
          <cell r="S10">
            <v>17</v>
          </cell>
          <cell r="T10">
            <v>17.5</v>
          </cell>
          <cell r="U10">
            <v>15</v>
          </cell>
          <cell r="V10">
            <v>18</v>
          </cell>
          <cell r="W10">
            <v>19</v>
          </cell>
          <cell r="X10">
            <v>20</v>
          </cell>
          <cell r="Y10">
            <v>17</v>
          </cell>
          <cell r="Z10">
            <v>19</v>
          </cell>
          <cell r="AA10">
            <v>16</v>
          </cell>
          <cell r="AB10">
            <v>19</v>
          </cell>
          <cell r="AC10">
            <v>22</v>
          </cell>
          <cell r="AD10">
            <v>40.200000000000003</v>
          </cell>
          <cell r="AE10">
            <v>1325</v>
          </cell>
          <cell r="AF10">
            <v>11</v>
          </cell>
          <cell r="AG10">
            <v>22</v>
          </cell>
          <cell r="AH10">
            <v>190</v>
          </cell>
          <cell r="AI10">
            <v>190</v>
          </cell>
          <cell r="AJ10">
            <v>80</v>
          </cell>
          <cell r="AK10">
            <v>127</v>
          </cell>
          <cell r="AL10">
            <v>80</v>
          </cell>
          <cell r="AM10">
            <v>33.4</v>
          </cell>
          <cell r="AN10">
            <v>80</v>
          </cell>
          <cell r="AO10">
            <v>1090</v>
          </cell>
          <cell r="AP10">
            <v>12</v>
          </cell>
          <cell r="AQ10">
            <v>24</v>
          </cell>
          <cell r="AR10">
            <v>270</v>
          </cell>
          <cell r="AS10">
            <v>270</v>
          </cell>
          <cell r="AT10">
            <v>7.2857142857142856</v>
          </cell>
          <cell r="AU10">
            <v>12.666666666666666</v>
          </cell>
          <cell r="AV10">
            <v>7.7142857142857144</v>
          </cell>
          <cell r="AW10">
            <v>13.166666666666666</v>
          </cell>
          <cell r="AX10">
            <v>100</v>
          </cell>
          <cell r="AZ10">
            <v>40.200000000000003</v>
          </cell>
          <cell r="BA10">
            <v>33.4</v>
          </cell>
          <cell r="BB10">
            <v>36</v>
          </cell>
          <cell r="BC10">
            <v>576</v>
          </cell>
          <cell r="BD10">
            <v>1326</v>
          </cell>
          <cell r="BR10">
            <v>36</v>
          </cell>
          <cell r="BS10">
            <v>272</v>
          </cell>
          <cell r="BT10">
            <v>54</v>
          </cell>
          <cell r="BU10">
            <v>68</v>
          </cell>
          <cell r="GZ10">
            <v>203</v>
          </cell>
          <cell r="HA10">
            <v>203</v>
          </cell>
          <cell r="HB10">
            <v>22</v>
          </cell>
          <cell r="HC10">
            <v>1</v>
          </cell>
          <cell r="HD10">
            <v>240</v>
          </cell>
          <cell r="HE10">
            <v>2</v>
          </cell>
          <cell r="HF10">
            <v>2</v>
          </cell>
          <cell r="HG10">
            <v>1</v>
          </cell>
          <cell r="HH10">
            <v>1</v>
          </cell>
          <cell r="HI10">
            <v>1</v>
          </cell>
          <cell r="HJ10">
            <v>1</v>
          </cell>
          <cell r="HK10">
            <v>1</v>
          </cell>
          <cell r="HL10">
            <v>1</v>
          </cell>
          <cell r="HM10">
            <v>1</v>
          </cell>
          <cell r="HN10">
            <v>1</v>
          </cell>
          <cell r="HO10">
            <v>2</v>
          </cell>
          <cell r="HP10">
            <v>5</v>
          </cell>
          <cell r="HQ10">
            <v>3</v>
          </cell>
          <cell r="HR10">
            <v>7</v>
          </cell>
          <cell r="HT10">
            <v>6</v>
          </cell>
          <cell r="HU10">
            <v>560</v>
          </cell>
          <cell r="HV10">
            <v>3000</v>
          </cell>
          <cell r="HW10">
            <v>4000</v>
          </cell>
          <cell r="HX10">
            <v>400</v>
          </cell>
          <cell r="HY10">
            <v>330</v>
          </cell>
          <cell r="HZ10">
            <v>660</v>
          </cell>
          <cell r="IA10">
            <v>550</v>
          </cell>
          <cell r="IF10">
            <v>6</v>
          </cell>
          <cell r="IG10">
            <v>22</v>
          </cell>
          <cell r="IH10">
            <v>3.3</v>
          </cell>
        </row>
        <row r="11">
          <cell r="A11">
            <v>7</v>
          </cell>
          <cell r="B11">
            <v>110</v>
          </cell>
          <cell r="C11">
            <v>35</v>
          </cell>
          <cell r="D11">
            <v>7</v>
          </cell>
          <cell r="E11">
            <v>20</v>
          </cell>
          <cell r="F11">
            <v>22</v>
          </cell>
          <cell r="G11">
            <v>18</v>
          </cell>
          <cell r="H11">
            <v>17</v>
          </cell>
          <cell r="I11">
            <v>17</v>
          </cell>
          <cell r="J11">
            <v>18</v>
          </cell>
          <cell r="K11">
            <v>17</v>
          </cell>
          <cell r="L11">
            <v>11</v>
          </cell>
          <cell r="M11">
            <v>18</v>
          </cell>
          <cell r="N11">
            <v>20</v>
          </cell>
          <cell r="O11">
            <v>15</v>
          </cell>
          <cell r="P11">
            <v>20</v>
          </cell>
          <cell r="Q11">
            <v>23</v>
          </cell>
          <cell r="R11">
            <v>16.5</v>
          </cell>
          <cell r="S11">
            <v>18</v>
          </cell>
          <cell r="T11">
            <v>18.5</v>
          </cell>
          <cell r="U11">
            <v>16</v>
          </cell>
          <cell r="V11">
            <v>19</v>
          </cell>
          <cell r="W11">
            <v>20</v>
          </cell>
          <cell r="X11">
            <v>22</v>
          </cell>
          <cell r="Y11">
            <v>18</v>
          </cell>
          <cell r="Z11">
            <v>20</v>
          </cell>
          <cell r="AA11">
            <v>17</v>
          </cell>
          <cell r="AB11">
            <v>20</v>
          </cell>
          <cell r="AC11">
            <v>23</v>
          </cell>
          <cell r="AD11">
            <v>44</v>
          </cell>
          <cell r="AE11">
            <v>1400</v>
          </cell>
          <cell r="AF11">
            <v>12</v>
          </cell>
          <cell r="AG11">
            <v>24</v>
          </cell>
          <cell r="AH11">
            <v>200</v>
          </cell>
          <cell r="AI11">
            <v>200</v>
          </cell>
          <cell r="AJ11">
            <v>85</v>
          </cell>
          <cell r="AK11">
            <v>134</v>
          </cell>
          <cell r="AL11">
            <v>85</v>
          </cell>
          <cell r="AM11">
            <v>35.5</v>
          </cell>
          <cell r="AN11">
            <v>85</v>
          </cell>
          <cell r="AO11">
            <v>1135</v>
          </cell>
          <cell r="AP11">
            <v>12</v>
          </cell>
          <cell r="AQ11">
            <v>24</v>
          </cell>
          <cell r="AR11">
            <v>315</v>
          </cell>
          <cell r="AS11">
            <v>315</v>
          </cell>
          <cell r="AT11">
            <v>7.4285714285714288</v>
          </cell>
          <cell r="AU11">
            <v>12.833333333333334</v>
          </cell>
          <cell r="AV11">
            <v>7.8571428571428577</v>
          </cell>
          <cell r="AW11">
            <v>13.333333333333334</v>
          </cell>
          <cell r="AX11">
            <v>100</v>
          </cell>
          <cell r="AZ11">
            <v>44</v>
          </cell>
          <cell r="BA11">
            <v>35.5</v>
          </cell>
          <cell r="BB11">
            <v>39</v>
          </cell>
          <cell r="BC11">
            <v>624</v>
          </cell>
          <cell r="BD11">
            <v>1401</v>
          </cell>
          <cell r="BR11">
            <v>37</v>
          </cell>
          <cell r="BS11">
            <v>283</v>
          </cell>
          <cell r="BT11">
            <v>56</v>
          </cell>
          <cell r="BU11">
            <v>70</v>
          </cell>
          <cell r="GZ11">
            <v>203</v>
          </cell>
          <cell r="HA11">
            <v>203</v>
          </cell>
          <cell r="HB11">
            <v>27</v>
          </cell>
          <cell r="HC11">
            <v>1</v>
          </cell>
          <cell r="HD11">
            <v>240</v>
          </cell>
          <cell r="HE11">
            <v>2</v>
          </cell>
          <cell r="HF11">
            <v>2</v>
          </cell>
          <cell r="HG11">
            <v>1</v>
          </cell>
          <cell r="HH11">
            <v>1</v>
          </cell>
          <cell r="HI11">
            <v>1</v>
          </cell>
          <cell r="HJ11">
            <v>1</v>
          </cell>
          <cell r="HK11">
            <v>1</v>
          </cell>
          <cell r="HL11">
            <v>1</v>
          </cell>
          <cell r="HM11">
            <v>1</v>
          </cell>
          <cell r="HN11">
            <v>1</v>
          </cell>
          <cell r="HO11">
            <v>2</v>
          </cell>
          <cell r="HP11">
            <v>5</v>
          </cell>
          <cell r="HQ11">
            <v>3</v>
          </cell>
          <cell r="HR11">
            <v>7</v>
          </cell>
          <cell r="HT11">
            <v>7</v>
          </cell>
          <cell r="HU11">
            <v>560</v>
          </cell>
          <cell r="HV11">
            <v>3000</v>
          </cell>
          <cell r="HW11">
            <v>4000</v>
          </cell>
          <cell r="HX11">
            <v>420</v>
          </cell>
          <cell r="HY11">
            <v>340</v>
          </cell>
          <cell r="HZ11">
            <v>700</v>
          </cell>
          <cell r="IA11">
            <v>570</v>
          </cell>
          <cell r="IF11">
            <v>7</v>
          </cell>
          <cell r="IG11">
            <v>27</v>
          </cell>
          <cell r="IH11">
            <v>4.05</v>
          </cell>
        </row>
        <row r="12">
          <cell r="A12">
            <v>8</v>
          </cell>
          <cell r="B12">
            <v>120</v>
          </cell>
          <cell r="C12">
            <v>40</v>
          </cell>
          <cell r="D12">
            <v>8</v>
          </cell>
          <cell r="E12">
            <v>20</v>
          </cell>
          <cell r="F12">
            <v>23</v>
          </cell>
          <cell r="G12">
            <v>19</v>
          </cell>
          <cell r="H12">
            <v>18</v>
          </cell>
          <cell r="I12">
            <v>18</v>
          </cell>
          <cell r="J12">
            <v>19</v>
          </cell>
          <cell r="K12">
            <v>18</v>
          </cell>
          <cell r="L12">
            <v>12</v>
          </cell>
          <cell r="M12">
            <v>19</v>
          </cell>
          <cell r="N12">
            <v>21</v>
          </cell>
          <cell r="O12">
            <v>16</v>
          </cell>
          <cell r="P12">
            <v>21</v>
          </cell>
          <cell r="Q12">
            <v>25</v>
          </cell>
          <cell r="R12">
            <v>17.5</v>
          </cell>
          <cell r="S12">
            <v>19</v>
          </cell>
          <cell r="T12">
            <v>19.5</v>
          </cell>
          <cell r="U12">
            <v>17</v>
          </cell>
          <cell r="V12">
            <v>20</v>
          </cell>
          <cell r="W12">
            <v>21.5</v>
          </cell>
          <cell r="X12">
            <v>23</v>
          </cell>
          <cell r="Y12">
            <v>19</v>
          </cell>
          <cell r="Z12">
            <v>21</v>
          </cell>
          <cell r="AA12">
            <v>18</v>
          </cell>
          <cell r="AB12">
            <v>21</v>
          </cell>
          <cell r="AC12">
            <v>25</v>
          </cell>
          <cell r="AD12">
            <v>46.500000000000007</v>
          </cell>
          <cell r="AE12">
            <v>1475</v>
          </cell>
          <cell r="AF12">
            <v>12</v>
          </cell>
          <cell r="AG12">
            <v>24</v>
          </cell>
          <cell r="AH12">
            <v>210</v>
          </cell>
          <cell r="AI12">
            <v>210</v>
          </cell>
          <cell r="AJ12">
            <v>90</v>
          </cell>
          <cell r="AK12">
            <v>141</v>
          </cell>
          <cell r="AL12">
            <v>90</v>
          </cell>
          <cell r="AM12">
            <v>37.6</v>
          </cell>
          <cell r="AN12">
            <v>90</v>
          </cell>
          <cell r="AO12">
            <v>1225</v>
          </cell>
          <cell r="AP12">
            <v>13</v>
          </cell>
          <cell r="AQ12">
            <v>26</v>
          </cell>
          <cell r="AR12">
            <v>360</v>
          </cell>
          <cell r="AS12">
            <v>360</v>
          </cell>
          <cell r="AT12">
            <v>7.5714285714285712</v>
          </cell>
          <cell r="AU12">
            <v>13</v>
          </cell>
          <cell r="AV12">
            <v>8</v>
          </cell>
          <cell r="AW12">
            <v>13.5</v>
          </cell>
          <cell r="AX12">
            <v>100</v>
          </cell>
          <cell r="AZ12">
            <v>46.500000000000007</v>
          </cell>
          <cell r="BA12">
            <v>37.6</v>
          </cell>
          <cell r="BB12">
            <v>42</v>
          </cell>
          <cell r="BC12">
            <v>672</v>
          </cell>
          <cell r="BD12">
            <v>1476</v>
          </cell>
          <cell r="BR12">
            <v>40</v>
          </cell>
          <cell r="BS12">
            <v>306</v>
          </cell>
          <cell r="BT12">
            <v>61</v>
          </cell>
          <cell r="BU12">
            <v>76</v>
          </cell>
          <cell r="GZ12">
            <v>203</v>
          </cell>
          <cell r="HA12">
            <v>203</v>
          </cell>
          <cell r="HB12">
            <v>32</v>
          </cell>
          <cell r="HC12">
            <v>1</v>
          </cell>
          <cell r="HD12">
            <v>240</v>
          </cell>
          <cell r="HE12">
            <v>1</v>
          </cell>
          <cell r="HF12">
            <v>1</v>
          </cell>
          <cell r="HG12">
            <v>1</v>
          </cell>
          <cell r="HH12">
            <v>1</v>
          </cell>
          <cell r="HI12">
            <v>1</v>
          </cell>
          <cell r="HJ12">
            <v>1</v>
          </cell>
          <cell r="HK12">
            <v>1</v>
          </cell>
          <cell r="HL12">
            <v>1</v>
          </cell>
          <cell r="HM12">
            <v>1</v>
          </cell>
          <cell r="HN12">
            <v>1</v>
          </cell>
          <cell r="HO12">
            <v>2</v>
          </cell>
          <cell r="HP12">
            <v>3</v>
          </cell>
          <cell r="HQ12">
            <v>3</v>
          </cell>
          <cell r="HR12">
            <v>4</v>
          </cell>
          <cell r="HT12">
            <v>8</v>
          </cell>
          <cell r="HU12">
            <v>320</v>
          </cell>
          <cell r="HV12">
            <v>2000</v>
          </cell>
          <cell r="HW12">
            <v>2000</v>
          </cell>
          <cell r="HX12">
            <v>440</v>
          </cell>
          <cell r="HY12">
            <v>370</v>
          </cell>
          <cell r="HZ12">
            <v>740</v>
          </cell>
          <cell r="IA12">
            <v>610</v>
          </cell>
          <cell r="IF12">
            <v>8</v>
          </cell>
          <cell r="IG12">
            <v>32</v>
          </cell>
          <cell r="IH12">
            <v>4.8</v>
          </cell>
        </row>
        <row r="13">
          <cell r="A13">
            <v>9</v>
          </cell>
          <cell r="B13">
            <v>130</v>
          </cell>
          <cell r="C13">
            <v>45</v>
          </cell>
          <cell r="D13">
            <v>9</v>
          </cell>
          <cell r="E13">
            <v>20</v>
          </cell>
          <cell r="F13">
            <v>24</v>
          </cell>
          <cell r="G13">
            <v>20</v>
          </cell>
          <cell r="H13">
            <v>19</v>
          </cell>
          <cell r="I13">
            <v>19</v>
          </cell>
          <cell r="J13">
            <v>20</v>
          </cell>
          <cell r="K13">
            <v>19</v>
          </cell>
          <cell r="L13">
            <v>13</v>
          </cell>
          <cell r="M13">
            <v>20</v>
          </cell>
          <cell r="N13">
            <v>22</v>
          </cell>
          <cell r="O13">
            <v>17</v>
          </cell>
          <cell r="P13">
            <v>22</v>
          </cell>
          <cell r="Q13">
            <v>26</v>
          </cell>
          <cell r="R13">
            <v>18.5</v>
          </cell>
          <cell r="S13">
            <v>20</v>
          </cell>
          <cell r="T13">
            <v>20.5</v>
          </cell>
          <cell r="U13">
            <v>18</v>
          </cell>
          <cell r="V13">
            <v>21</v>
          </cell>
          <cell r="W13">
            <v>22.5</v>
          </cell>
          <cell r="X13">
            <v>24</v>
          </cell>
          <cell r="Y13">
            <v>20</v>
          </cell>
          <cell r="Z13">
            <v>22</v>
          </cell>
          <cell r="AA13">
            <v>19</v>
          </cell>
          <cell r="AB13">
            <v>22</v>
          </cell>
          <cell r="AC13">
            <v>26</v>
          </cell>
          <cell r="AD13">
            <v>49</v>
          </cell>
          <cell r="AE13">
            <v>1550</v>
          </cell>
          <cell r="AF13">
            <v>13</v>
          </cell>
          <cell r="AG13">
            <v>26</v>
          </cell>
          <cell r="AH13">
            <v>220.00000000000003</v>
          </cell>
          <cell r="AI13">
            <v>220.00000000000003</v>
          </cell>
          <cell r="AJ13">
            <v>95</v>
          </cell>
          <cell r="AK13">
            <v>148</v>
          </cell>
          <cell r="AL13">
            <v>95</v>
          </cell>
          <cell r="AM13">
            <v>39.700000000000003</v>
          </cell>
          <cell r="AN13">
            <v>95</v>
          </cell>
          <cell r="AO13">
            <v>1270</v>
          </cell>
          <cell r="AP13">
            <v>14</v>
          </cell>
          <cell r="AQ13">
            <v>28</v>
          </cell>
          <cell r="AR13">
            <v>405</v>
          </cell>
          <cell r="AS13">
            <v>405</v>
          </cell>
          <cell r="AT13">
            <v>7.7142857142857144</v>
          </cell>
          <cell r="AU13">
            <v>13.166666666666666</v>
          </cell>
          <cell r="AV13">
            <v>8.1428571428571423</v>
          </cell>
          <cell r="AW13">
            <v>13.666666666666666</v>
          </cell>
          <cell r="AX13">
            <v>100</v>
          </cell>
          <cell r="AZ13">
            <v>49</v>
          </cell>
          <cell r="BA13">
            <v>39.700000000000003</v>
          </cell>
          <cell r="BB13">
            <v>44</v>
          </cell>
          <cell r="BC13">
            <v>704</v>
          </cell>
          <cell r="BD13">
            <v>1551</v>
          </cell>
          <cell r="BR13">
            <v>42</v>
          </cell>
          <cell r="BS13">
            <v>317</v>
          </cell>
          <cell r="BT13">
            <v>63</v>
          </cell>
          <cell r="BU13">
            <v>79</v>
          </cell>
          <cell r="GZ13">
            <v>203</v>
          </cell>
          <cell r="HA13">
            <v>203</v>
          </cell>
          <cell r="HB13">
            <v>37</v>
          </cell>
          <cell r="HC13">
            <v>2</v>
          </cell>
          <cell r="HD13">
            <v>480</v>
          </cell>
          <cell r="HE13">
            <v>1</v>
          </cell>
          <cell r="HF13">
            <v>1</v>
          </cell>
          <cell r="HG13">
            <v>1</v>
          </cell>
          <cell r="HH13">
            <v>1</v>
          </cell>
          <cell r="HI13">
            <v>1</v>
          </cell>
          <cell r="HJ13">
            <v>1</v>
          </cell>
          <cell r="HK13">
            <v>2</v>
          </cell>
          <cell r="HL13">
            <v>3</v>
          </cell>
          <cell r="HM13">
            <v>1</v>
          </cell>
          <cell r="HN13">
            <v>1</v>
          </cell>
          <cell r="HO13">
            <v>2</v>
          </cell>
          <cell r="HP13">
            <v>4</v>
          </cell>
          <cell r="HQ13">
            <v>3</v>
          </cell>
          <cell r="HR13">
            <v>6</v>
          </cell>
          <cell r="HT13">
            <v>9</v>
          </cell>
          <cell r="HU13">
            <v>480</v>
          </cell>
          <cell r="HV13">
            <v>2000</v>
          </cell>
          <cell r="HW13">
            <v>3000</v>
          </cell>
          <cell r="HX13">
            <v>470</v>
          </cell>
          <cell r="HY13">
            <v>380</v>
          </cell>
          <cell r="HZ13">
            <v>780</v>
          </cell>
          <cell r="IA13">
            <v>640</v>
          </cell>
          <cell r="IF13">
            <v>9</v>
          </cell>
          <cell r="IG13">
            <v>37</v>
          </cell>
          <cell r="IH13">
            <v>5.55</v>
          </cell>
        </row>
        <row r="14">
          <cell r="A14">
            <v>10</v>
          </cell>
          <cell r="B14">
            <v>140</v>
          </cell>
          <cell r="C14">
            <v>50</v>
          </cell>
          <cell r="D14">
            <v>10</v>
          </cell>
          <cell r="E14">
            <v>20</v>
          </cell>
          <cell r="F14">
            <v>26</v>
          </cell>
          <cell r="G14">
            <v>22</v>
          </cell>
          <cell r="H14">
            <v>20</v>
          </cell>
          <cell r="I14">
            <v>20</v>
          </cell>
          <cell r="J14">
            <v>22</v>
          </cell>
          <cell r="K14">
            <v>20</v>
          </cell>
          <cell r="L14">
            <v>14</v>
          </cell>
          <cell r="M14">
            <v>22</v>
          </cell>
          <cell r="N14">
            <v>24</v>
          </cell>
          <cell r="O14">
            <v>18</v>
          </cell>
          <cell r="P14">
            <v>24</v>
          </cell>
          <cell r="Q14">
            <v>28</v>
          </cell>
          <cell r="R14">
            <v>20</v>
          </cell>
          <cell r="S14">
            <v>22</v>
          </cell>
          <cell r="T14">
            <v>22</v>
          </cell>
          <cell r="U14">
            <v>19</v>
          </cell>
          <cell r="V14">
            <v>23</v>
          </cell>
          <cell r="W14">
            <v>24</v>
          </cell>
          <cell r="X14">
            <v>26</v>
          </cell>
          <cell r="Y14">
            <v>22</v>
          </cell>
          <cell r="Z14">
            <v>24</v>
          </cell>
          <cell r="AA14">
            <v>20</v>
          </cell>
          <cell r="AB14">
            <v>24</v>
          </cell>
          <cell r="AC14">
            <v>28</v>
          </cell>
          <cell r="AD14">
            <v>52.800000000000004</v>
          </cell>
          <cell r="AE14">
            <v>1700</v>
          </cell>
          <cell r="AF14">
            <v>14</v>
          </cell>
          <cell r="AG14">
            <v>28</v>
          </cell>
          <cell r="AH14">
            <v>240</v>
          </cell>
          <cell r="AI14">
            <v>240</v>
          </cell>
          <cell r="AJ14">
            <v>100</v>
          </cell>
          <cell r="AK14">
            <v>160</v>
          </cell>
          <cell r="AL14">
            <v>100</v>
          </cell>
          <cell r="AM14">
            <v>43.4</v>
          </cell>
          <cell r="AN14">
            <v>100</v>
          </cell>
          <cell r="AO14">
            <v>1360</v>
          </cell>
          <cell r="AP14">
            <v>15</v>
          </cell>
          <cell r="AQ14">
            <v>30</v>
          </cell>
          <cell r="AR14">
            <v>450</v>
          </cell>
          <cell r="AS14">
            <v>450</v>
          </cell>
          <cell r="AT14">
            <v>7.8571428571428577</v>
          </cell>
          <cell r="AU14">
            <v>13.333333333333334</v>
          </cell>
          <cell r="AV14">
            <v>8.4285714285714288</v>
          </cell>
          <cell r="AW14">
            <v>14</v>
          </cell>
          <cell r="AX14">
            <v>100</v>
          </cell>
          <cell r="AZ14">
            <v>52.800000000000004</v>
          </cell>
          <cell r="BA14">
            <v>43.4</v>
          </cell>
          <cell r="BB14">
            <v>48</v>
          </cell>
          <cell r="BC14">
            <v>768</v>
          </cell>
          <cell r="BD14">
            <v>1866</v>
          </cell>
          <cell r="BR14">
            <v>45</v>
          </cell>
          <cell r="BS14">
            <v>340</v>
          </cell>
          <cell r="BT14">
            <v>68</v>
          </cell>
          <cell r="BU14">
            <v>85</v>
          </cell>
          <cell r="GZ14">
            <v>203</v>
          </cell>
          <cell r="HA14">
            <v>203</v>
          </cell>
          <cell r="HB14">
            <v>42</v>
          </cell>
          <cell r="HC14">
            <v>2</v>
          </cell>
          <cell r="HD14">
            <v>480</v>
          </cell>
          <cell r="HE14">
            <v>1</v>
          </cell>
          <cell r="HF14">
            <v>1</v>
          </cell>
          <cell r="HG14">
            <v>1</v>
          </cell>
          <cell r="HH14">
            <v>1</v>
          </cell>
          <cell r="HI14">
            <v>1</v>
          </cell>
          <cell r="HJ14">
            <v>1</v>
          </cell>
          <cell r="HK14">
            <v>2</v>
          </cell>
          <cell r="HL14">
            <v>3</v>
          </cell>
          <cell r="HM14">
            <v>1</v>
          </cell>
          <cell r="HN14">
            <v>1</v>
          </cell>
          <cell r="HO14">
            <v>2</v>
          </cell>
          <cell r="HP14">
            <v>4</v>
          </cell>
          <cell r="HQ14">
            <v>3</v>
          </cell>
          <cell r="HR14">
            <v>6</v>
          </cell>
          <cell r="HT14">
            <v>10</v>
          </cell>
          <cell r="HU14">
            <v>480</v>
          </cell>
          <cell r="HV14">
            <v>2000</v>
          </cell>
          <cell r="HW14">
            <v>3000</v>
          </cell>
          <cell r="HX14">
            <v>510</v>
          </cell>
          <cell r="HY14">
            <v>410</v>
          </cell>
          <cell r="HZ14">
            <v>850</v>
          </cell>
          <cell r="IA14">
            <v>680</v>
          </cell>
          <cell r="IF14">
            <v>10</v>
          </cell>
          <cell r="IG14">
            <v>42</v>
          </cell>
          <cell r="IH14">
            <v>6.3</v>
          </cell>
        </row>
        <row r="15">
          <cell r="A15">
            <v>11</v>
          </cell>
          <cell r="B15">
            <v>150</v>
          </cell>
          <cell r="C15">
            <v>55</v>
          </cell>
          <cell r="D15">
            <v>11</v>
          </cell>
          <cell r="E15">
            <v>20</v>
          </cell>
          <cell r="F15">
            <v>27</v>
          </cell>
          <cell r="G15">
            <v>23</v>
          </cell>
          <cell r="H15">
            <v>21</v>
          </cell>
          <cell r="I15">
            <v>21</v>
          </cell>
          <cell r="J15">
            <v>23</v>
          </cell>
          <cell r="K15">
            <v>21</v>
          </cell>
          <cell r="L15">
            <v>14</v>
          </cell>
          <cell r="M15">
            <v>23</v>
          </cell>
          <cell r="N15">
            <v>25</v>
          </cell>
          <cell r="O15">
            <v>18</v>
          </cell>
          <cell r="P15">
            <v>25</v>
          </cell>
          <cell r="Q15">
            <v>29</v>
          </cell>
          <cell r="R15">
            <v>20.5</v>
          </cell>
          <cell r="S15">
            <v>23</v>
          </cell>
          <cell r="T15">
            <v>23</v>
          </cell>
          <cell r="U15">
            <v>19.5</v>
          </cell>
          <cell r="V15">
            <v>24</v>
          </cell>
          <cell r="W15">
            <v>25</v>
          </cell>
          <cell r="X15">
            <v>27</v>
          </cell>
          <cell r="Y15">
            <v>23</v>
          </cell>
          <cell r="Z15">
            <v>25</v>
          </cell>
          <cell r="AA15">
            <v>21</v>
          </cell>
          <cell r="AB15">
            <v>25</v>
          </cell>
          <cell r="AC15">
            <v>29</v>
          </cell>
          <cell r="AD15">
            <v>55.3</v>
          </cell>
          <cell r="AE15">
            <v>1775</v>
          </cell>
          <cell r="AF15">
            <v>14</v>
          </cell>
          <cell r="AG15">
            <v>28</v>
          </cell>
          <cell r="AH15">
            <v>250</v>
          </cell>
          <cell r="AI15">
            <v>250</v>
          </cell>
          <cell r="AJ15">
            <v>105</v>
          </cell>
          <cell r="AK15">
            <v>167</v>
          </cell>
          <cell r="AL15">
            <v>105</v>
          </cell>
          <cell r="AM15">
            <v>45.5</v>
          </cell>
          <cell r="AN15">
            <v>105</v>
          </cell>
          <cell r="AO15">
            <v>1405</v>
          </cell>
          <cell r="AP15">
            <v>15</v>
          </cell>
          <cell r="AQ15">
            <v>30</v>
          </cell>
          <cell r="AR15">
            <v>495</v>
          </cell>
          <cell r="AS15">
            <v>495</v>
          </cell>
          <cell r="AT15">
            <v>8</v>
          </cell>
          <cell r="AU15">
            <v>13.5</v>
          </cell>
          <cell r="AV15">
            <v>8.5714285714285712</v>
          </cell>
          <cell r="AW15">
            <v>14.166666666666668</v>
          </cell>
          <cell r="AX15">
            <v>100</v>
          </cell>
          <cell r="AZ15">
            <v>55.3</v>
          </cell>
          <cell r="BA15">
            <v>45.5</v>
          </cell>
          <cell r="BB15">
            <v>50</v>
          </cell>
          <cell r="BC15">
            <v>800</v>
          </cell>
          <cell r="BD15">
            <v>1948</v>
          </cell>
          <cell r="BR15">
            <v>46</v>
          </cell>
          <cell r="BS15">
            <v>351</v>
          </cell>
          <cell r="BT15">
            <v>70</v>
          </cell>
          <cell r="BU15">
            <v>87</v>
          </cell>
          <cell r="GZ15">
            <v>203</v>
          </cell>
          <cell r="HA15">
            <v>205</v>
          </cell>
          <cell r="HB15">
            <v>48</v>
          </cell>
          <cell r="HC15">
            <v>2</v>
          </cell>
          <cell r="HD15">
            <v>480</v>
          </cell>
          <cell r="HE15">
            <v>1</v>
          </cell>
          <cell r="HF15">
            <v>1</v>
          </cell>
          <cell r="HG15">
            <v>1</v>
          </cell>
          <cell r="HH15">
            <v>1</v>
          </cell>
          <cell r="HI15">
            <v>1</v>
          </cell>
          <cell r="HJ15">
            <v>1</v>
          </cell>
          <cell r="HK15">
            <v>2</v>
          </cell>
          <cell r="HL15">
            <v>3</v>
          </cell>
          <cell r="HM15">
            <v>1</v>
          </cell>
          <cell r="HN15">
            <v>1</v>
          </cell>
          <cell r="HO15">
            <v>2</v>
          </cell>
          <cell r="HP15">
            <v>4</v>
          </cell>
          <cell r="HQ15">
            <v>3</v>
          </cell>
          <cell r="HR15">
            <v>6</v>
          </cell>
          <cell r="HT15">
            <v>11</v>
          </cell>
          <cell r="HU15">
            <v>480</v>
          </cell>
          <cell r="HV15">
            <v>2000</v>
          </cell>
          <cell r="HW15">
            <v>3000</v>
          </cell>
          <cell r="HX15">
            <v>530</v>
          </cell>
          <cell r="HY15">
            <v>420</v>
          </cell>
          <cell r="HZ15">
            <v>890</v>
          </cell>
          <cell r="IA15">
            <v>700</v>
          </cell>
          <cell r="IF15">
            <v>11</v>
          </cell>
          <cell r="IG15">
            <v>48</v>
          </cell>
          <cell r="IH15">
            <v>7.2</v>
          </cell>
        </row>
        <row r="16">
          <cell r="A16">
            <v>12</v>
          </cell>
          <cell r="B16">
            <v>160</v>
          </cell>
          <cell r="C16">
            <v>60</v>
          </cell>
          <cell r="D16">
            <v>12</v>
          </cell>
          <cell r="E16">
            <v>20</v>
          </cell>
          <cell r="F16">
            <v>28</v>
          </cell>
          <cell r="G16">
            <v>24</v>
          </cell>
          <cell r="H16">
            <v>22</v>
          </cell>
          <cell r="I16">
            <v>22</v>
          </cell>
          <cell r="J16">
            <v>24</v>
          </cell>
          <cell r="K16">
            <v>22</v>
          </cell>
          <cell r="L16">
            <v>15</v>
          </cell>
          <cell r="M16">
            <v>24</v>
          </cell>
          <cell r="N16">
            <v>26</v>
          </cell>
          <cell r="O16">
            <v>19</v>
          </cell>
          <cell r="P16">
            <v>26</v>
          </cell>
          <cell r="Q16">
            <v>30</v>
          </cell>
          <cell r="R16">
            <v>21.5</v>
          </cell>
          <cell r="S16">
            <v>24</v>
          </cell>
          <cell r="T16">
            <v>24</v>
          </cell>
          <cell r="U16">
            <v>20.5</v>
          </cell>
          <cell r="V16">
            <v>25</v>
          </cell>
          <cell r="W16">
            <v>26</v>
          </cell>
          <cell r="X16">
            <v>28</v>
          </cell>
          <cell r="Y16">
            <v>24</v>
          </cell>
          <cell r="Z16">
            <v>26</v>
          </cell>
          <cell r="AA16">
            <v>22</v>
          </cell>
          <cell r="AB16">
            <v>26</v>
          </cell>
          <cell r="AC16">
            <v>30</v>
          </cell>
          <cell r="AD16">
            <v>57.8</v>
          </cell>
          <cell r="AE16">
            <v>1850</v>
          </cell>
          <cell r="AF16">
            <v>15</v>
          </cell>
          <cell r="AG16">
            <v>30</v>
          </cell>
          <cell r="AH16">
            <v>260</v>
          </cell>
          <cell r="AI16">
            <v>260</v>
          </cell>
          <cell r="AJ16">
            <v>110.00000000000001</v>
          </cell>
          <cell r="AK16">
            <v>174</v>
          </cell>
          <cell r="AL16">
            <v>110</v>
          </cell>
          <cell r="AM16">
            <v>47.6</v>
          </cell>
          <cell r="AN16">
            <v>110.00000000000001</v>
          </cell>
          <cell r="AO16">
            <v>1450</v>
          </cell>
          <cell r="AP16">
            <v>16</v>
          </cell>
          <cell r="AQ16">
            <v>32</v>
          </cell>
          <cell r="AR16">
            <v>540</v>
          </cell>
          <cell r="AS16">
            <v>540</v>
          </cell>
          <cell r="AT16">
            <v>8.1428571428571423</v>
          </cell>
          <cell r="AU16">
            <v>13.666666666666666</v>
          </cell>
          <cell r="AV16">
            <v>8.7142857142857153</v>
          </cell>
          <cell r="AW16">
            <v>14.333333333333332</v>
          </cell>
          <cell r="AX16">
            <v>100</v>
          </cell>
          <cell r="AZ16">
            <v>57.8</v>
          </cell>
          <cell r="BA16">
            <v>47.6</v>
          </cell>
          <cell r="BB16">
            <v>52</v>
          </cell>
          <cell r="BC16">
            <v>832</v>
          </cell>
          <cell r="BD16">
            <v>2031</v>
          </cell>
          <cell r="BR16">
            <v>48</v>
          </cell>
          <cell r="BS16">
            <v>362</v>
          </cell>
          <cell r="BT16">
            <v>72</v>
          </cell>
          <cell r="BU16">
            <v>90</v>
          </cell>
          <cell r="GZ16">
            <v>205</v>
          </cell>
          <cell r="HA16">
            <v>205</v>
          </cell>
          <cell r="HB16">
            <v>53</v>
          </cell>
          <cell r="HC16">
            <v>2</v>
          </cell>
          <cell r="HD16">
            <v>480</v>
          </cell>
          <cell r="HE16">
            <v>1</v>
          </cell>
          <cell r="HF16">
            <v>1</v>
          </cell>
          <cell r="HG16">
            <v>1</v>
          </cell>
          <cell r="HH16">
            <v>1</v>
          </cell>
          <cell r="HI16">
            <v>1</v>
          </cell>
          <cell r="HJ16">
            <v>1</v>
          </cell>
          <cell r="HK16">
            <v>2</v>
          </cell>
          <cell r="HL16">
            <v>3</v>
          </cell>
          <cell r="HM16">
            <v>1</v>
          </cell>
          <cell r="HN16">
            <v>1</v>
          </cell>
          <cell r="HO16">
            <v>2</v>
          </cell>
          <cell r="HP16">
            <v>4</v>
          </cell>
          <cell r="HQ16">
            <v>3</v>
          </cell>
          <cell r="HR16">
            <v>6</v>
          </cell>
          <cell r="HT16">
            <v>12</v>
          </cell>
          <cell r="HU16">
            <v>480</v>
          </cell>
          <cell r="HV16">
            <v>2000</v>
          </cell>
          <cell r="HW16">
            <v>3000</v>
          </cell>
          <cell r="HX16">
            <v>560</v>
          </cell>
          <cell r="HY16">
            <v>440</v>
          </cell>
          <cell r="HZ16">
            <v>930</v>
          </cell>
          <cell r="IA16">
            <v>730</v>
          </cell>
          <cell r="IF16">
            <v>12</v>
          </cell>
          <cell r="IG16">
            <v>53</v>
          </cell>
          <cell r="IH16">
            <v>7.95</v>
          </cell>
        </row>
        <row r="17">
          <cell r="A17">
            <v>13</v>
          </cell>
          <cell r="B17">
            <v>170</v>
          </cell>
          <cell r="C17">
            <v>65</v>
          </cell>
          <cell r="D17">
            <v>13</v>
          </cell>
          <cell r="E17">
            <v>20</v>
          </cell>
          <cell r="F17">
            <v>29</v>
          </cell>
          <cell r="G17">
            <v>25</v>
          </cell>
          <cell r="H17">
            <v>23</v>
          </cell>
          <cell r="I17">
            <v>23</v>
          </cell>
          <cell r="J17">
            <v>25</v>
          </cell>
          <cell r="K17">
            <v>23</v>
          </cell>
          <cell r="L17">
            <v>16</v>
          </cell>
          <cell r="M17">
            <v>25</v>
          </cell>
          <cell r="N17">
            <v>27</v>
          </cell>
          <cell r="O17">
            <v>20</v>
          </cell>
          <cell r="P17">
            <v>27</v>
          </cell>
          <cell r="Q17">
            <v>32</v>
          </cell>
          <cell r="R17">
            <v>22.5</v>
          </cell>
          <cell r="S17">
            <v>25</v>
          </cell>
          <cell r="T17">
            <v>25</v>
          </cell>
          <cell r="U17">
            <v>21.5</v>
          </cell>
          <cell r="V17">
            <v>26</v>
          </cell>
          <cell r="W17">
            <v>27.5</v>
          </cell>
          <cell r="X17">
            <v>29</v>
          </cell>
          <cell r="Y17">
            <v>25</v>
          </cell>
          <cell r="Z17">
            <v>27</v>
          </cell>
          <cell r="AA17">
            <v>23</v>
          </cell>
          <cell r="AB17">
            <v>27</v>
          </cell>
          <cell r="AC17">
            <v>32</v>
          </cell>
          <cell r="AD17">
            <v>60.3</v>
          </cell>
          <cell r="AE17">
            <v>1925</v>
          </cell>
          <cell r="AF17">
            <v>15</v>
          </cell>
          <cell r="AG17">
            <v>30</v>
          </cell>
          <cell r="AH17">
            <v>270</v>
          </cell>
          <cell r="AI17">
            <v>270</v>
          </cell>
          <cell r="AJ17">
            <v>114.99999999999999</v>
          </cell>
          <cell r="AK17">
            <v>181</v>
          </cell>
          <cell r="AL17">
            <v>115</v>
          </cell>
          <cell r="AM17">
            <v>49.7</v>
          </cell>
          <cell r="AN17">
            <v>114.99999999999999</v>
          </cell>
          <cell r="AO17">
            <v>1540</v>
          </cell>
          <cell r="AP17">
            <v>17</v>
          </cell>
          <cell r="AQ17">
            <v>34</v>
          </cell>
          <cell r="AR17">
            <v>585</v>
          </cell>
          <cell r="AS17">
            <v>585</v>
          </cell>
          <cell r="AT17">
            <v>8.2857142857142847</v>
          </cell>
          <cell r="AU17">
            <v>13.833333333333334</v>
          </cell>
          <cell r="AV17">
            <v>8.8571428571428577</v>
          </cell>
          <cell r="AW17">
            <v>14.5</v>
          </cell>
          <cell r="AX17">
            <v>100</v>
          </cell>
          <cell r="AZ17">
            <v>60.3</v>
          </cell>
          <cell r="BA17">
            <v>49.7</v>
          </cell>
          <cell r="BB17">
            <v>55</v>
          </cell>
          <cell r="BC17">
            <v>880</v>
          </cell>
          <cell r="BD17">
            <v>2113</v>
          </cell>
          <cell r="BR17">
            <v>51</v>
          </cell>
          <cell r="BS17">
            <v>385</v>
          </cell>
          <cell r="BT17">
            <v>77</v>
          </cell>
          <cell r="BU17">
            <v>96</v>
          </cell>
          <cell r="GZ17">
            <v>205</v>
          </cell>
          <cell r="HA17">
            <v>205</v>
          </cell>
          <cell r="HB17">
            <v>59</v>
          </cell>
          <cell r="HC17">
            <v>3</v>
          </cell>
          <cell r="HD17">
            <v>720</v>
          </cell>
          <cell r="HE17">
            <v>2</v>
          </cell>
          <cell r="HF17">
            <v>2</v>
          </cell>
          <cell r="HG17">
            <v>1</v>
          </cell>
          <cell r="HH17">
            <v>1</v>
          </cell>
          <cell r="HI17">
            <v>1</v>
          </cell>
          <cell r="HJ17">
            <v>1</v>
          </cell>
          <cell r="HK17">
            <v>2</v>
          </cell>
          <cell r="HL17">
            <v>3</v>
          </cell>
          <cell r="HM17">
            <v>1</v>
          </cell>
          <cell r="HN17">
            <v>1</v>
          </cell>
          <cell r="HO17">
            <v>2</v>
          </cell>
          <cell r="HP17">
            <v>6</v>
          </cell>
          <cell r="HQ17">
            <v>3</v>
          </cell>
          <cell r="HR17">
            <v>9</v>
          </cell>
          <cell r="HT17">
            <v>13</v>
          </cell>
          <cell r="HU17">
            <v>720</v>
          </cell>
          <cell r="HV17">
            <v>3000</v>
          </cell>
          <cell r="HW17">
            <v>5000</v>
          </cell>
          <cell r="HX17">
            <v>580</v>
          </cell>
          <cell r="HY17">
            <v>460</v>
          </cell>
          <cell r="HZ17">
            <v>960</v>
          </cell>
          <cell r="IA17">
            <v>770</v>
          </cell>
          <cell r="IF17">
            <v>13</v>
          </cell>
          <cell r="IG17">
            <v>59</v>
          </cell>
          <cell r="IH17">
            <v>8.85</v>
          </cell>
        </row>
        <row r="18">
          <cell r="A18">
            <v>14</v>
          </cell>
          <cell r="B18">
            <v>180</v>
          </cell>
          <cell r="C18">
            <v>70</v>
          </cell>
          <cell r="D18">
            <v>14</v>
          </cell>
          <cell r="E18">
            <v>20</v>
          </cell>
          <cell r="F18">
            <v>31</v>
          </cell>
          <cell r="G18">
            <v>26</v>
          </cell>
          <cell r="H18">
            <v>24</v>
          </cell>
          <cell r="I18">
            <v>24</v>
          </cell>
          <cell r="J18">
            <v>26</v>
          </cell>
          <cell r="K18">
            <v>24</v>
          </cell>
          <cell r="L18">
            <v>16</v>
          </cell>
          <cell r="M18">
            <v>26</v>
          </cell>
          <cell r="N18">
            <v>28</v>
          </cell>
          <cell r="O18">
            <v>21</v>
          </cell>
          <cell r="P18">
            <v>28</v>
          </cell>
          <cell r="Q18">
            <v>33</v>
          </cell>
          <cell r="R18">
            <v>23.5</v>
          </cell>
          <cell r="S18">
            <v>26</v>
          </cell>
          <cell r="T18">
            <v>26</v>
          </cell>
          <cell r="U18">
            <v>22.5</v>
          </cell>
          <cell r="V18">
            <v>27</v>
          </cell>
          <cell r="W18">
            <v>28.5</v>
          </cell>
          <cell r="X18">
            <v>31</v>
          </cell>
          <cell r="Y18">
            <v>26</v>
          </cell>
          <cell r="Z18">
            <v>28</v>
          </cell>
          <cell r="AA18">
            <v>24</v>
          </cell>
          <cell r="AB18">
            <v>28</v>
          </cell>
          <cell r="AC18">
            <v>33</v>
          </cell>
          <cell r="AD18">
            <v>64.099999999999994</v>
          </cell>
          <cell r="AE18">
            <v>2000</v>
          </cell>
          <cell r="AF18">
            <v>16</v>
          </cell>
          <cell r="AG18">
            <v>32</v>
          </cell>
          <cell r="AH18">
            <v>280</v>
          </cell>
          <cell r="AI18">
            <v>280</v>
          </cell>
          <cell r="AJ18">
            <v>120</v>
          </cell>
          <cell r="AK18">
            <v>188</v>
          </cell>
          <cell r="AL18">
            <v>120</v>
          </cell>
          <cell r="AM18">
            <v>51.8</v>
          </cell>
          <cell r="AN18">
            <v>120</v>
          </cell>
          <cell r="AO18">
            <v>1585</v>
          </cell>
          <cell r="AP18">
            <v>17</v>
          </cell>
          <cell r="AQ18">
            <v>34</v>
          </cell>
          <cell r="AR18">
            <v>630</v>
          </cell>
          <cell r="AS18">
            <v>630</v>
          </cell>
          <cell r="AT18">
            <v>8.4285714285714288</v>
          </cell>
          <cell r="AU18">
            <v>14</v>
          </cell>
          <cell r="AV18">
            <v>9</v>
          </cell>
          <cell r="AW18">
            <v>14.666666666666668</v>
          </cell>
          <cell r="AX18">
            <v>100</v>
          </cell>
          <cell r="AZ18">
            <v>64.099999999999994</v>
          </cell>
          <cell r="BA18">
            <v>51.8</v>
          </cell>
          <cell r="BB18">
            <v>57</v>
          </cell>
          <cell r="BC18">
            <v>912</v>
          </cell>
          <cell r="BD18">
            <v>2196</v>
          </cell>
          <cell r="BR18">
            <v>52</v>
          </cell>
          <cell r="BS18">
            <v>396</v>
          </cell>
          <cell r="BT18">
            <v>79</v>
          </cell>
          <cell r="BU18">
            <v>99</v>
          </cell>
          <cell r="GZ18">
            <v>205</v>
          </cell>
          <cell r="HA18">
            <v>205</v>
          </cell>
          <cell r="HB18">
            <v>65</v>
          </cell>
          <cell r="HC18">
            <v>3</v>
          </cell>
          <cell r="HD18">
            <v>720</v>
          </cell>
          <cell r="HE18">
            <v>2</v>
          </cell>
          <cell r="HF18">
            <v>2</v>
          </cell>
          <cell r="HG18">
            <v>1</v>
          </cell>
          <cell r="HH18">
            <v>1</v>
          </cell>
          <cell r="HI18">
            <v>1</v>
          </cell>
          <cell r="HJ18">
            <v>1</v>
          </cell>
          <cell r="HK18">
            <v>2</v>
          </cell>
          <cell r="HL18">
            <v>3</v>
          </cell>
          <cell r="HM18">
            <v>1</v>
          </cell>
          <cell r="HN18">
            <v>1</v>
          </cell>
          <cell r="HO18">
            <v>2</v>
          </cell>
          <cell r="HP18">
            <v>6</v>
          </cell>
          <cell r="HQ18">
            <v>3</v>
          </cell>
          <cell r="HR18">
            <v>9</v>
          </cell>
          <cell r="HT18">
            <v>14</v>
          </cell>
          <cell r="HU18">
            <v>720</v>
          </cell>
          <cell r="HV18">
            <v>3000</v>
          </cell>
          <cell r="HW18">
            <v>5000</v>
          </cell>
          <cell r="HX18">
            <v>600</v>
          </cell>
          <cell r="HY18">
            <v>480</v>
          </cell>
          <cell r="HZ18">
            <v>1000</v>
          </cell>
          <cell r="IA18">
            <v>790</v>
          </cell>
          <cell r="IF18">
            <v>14</v>
          </cell>
          <cell r="IG18">
            <v>65</v>
          </cell>
          <cell r="IH18">
            <v>9.75</v>
          </cell>
        </row>
        <row r="19">
          <cell r="A19">
            <v>15</v>
          </cell>
          <cell r="B19">
            <v>190</v>
          </cell>
          <cell r="C19">
            <v>75</v>
          </cell>
          <cell r="D19">
            <v>15</v>
          </cell>
          <cell r="E19">
            <v>20</v>
          </cell>
          <cell r="F19">
            <v>32</v>
          </cell>
          <cell r="G19">
            <v>27</v>
          </cell>
          <cell r="H19">
            <v>25</v>
          </cell>
          <cell r="I19">
            <v>25</v>
          </cell>
          <cell r="J19">
            <v>27</v>
          </cell>
          <cell r="K19">
            <v>25</v>
          </cell>
          <cell r="L19">
            <v>17</v>
          </cell>
          <cell r="M19">
            <v>27</v>
          </cell>
          <cell r="N19">
            <v>30</v>
          </cell>
          <cell r="O19">
            <v>22</v>
          </cell>
          <cell r="P19">
            <v>30</v>
          </cell>
          <cell r="Q19">
            <v>35</v>
          </cell>
          <cell r="R19">
            <v>24.5</v>
          </cell>
          <cell r="S19">
            <v>27</v>
          </cell>
          <cell r="T19">
            <v>27.5</v>
          </cell>
          <cell r="U19">
            <v>23.5</v>
          </cell>
          <cell r="V19">
            <v>28.5</v>
          </cell>
          <cell r="W19">
            <v>30</v>
          </cell>
          <cell r="X19">
            <v>32</v>
          </cell>
          <cell r="Y19">
            <v>27</v>
          </cell>
          <cell r="Z19">
            <v>30</v>
          </cell>
          <cell r="AA19">
            <v>25</v>
          </cell>
          <cell r="AB19">
            <v>30</v>
          </cell>
          <cell r="AC19">
            <v>35</v>
          </cell>
          <cell r="AD19">
            <v>66.599999999999994</v>
          </cell>
          <cell r="AE19">
            <v>2075</v>
          </cell>
          <cell r="AF19">
            <v>16</v>
          </cell>
          <cell r="AG19">
            <v>32</v>
          </cell>
          <cell r="AH19">
            <v>300</v>
          </cell>
          <cell r="AI19">
            <v>300</v>
          </cell>
          <cell r="AJ19">
            <v>125</v>
          </cell>
          <cell r="AK19">
            <v>200</v>
          </cell>
          <cell r="AL19">
            <v>125</v>
          </cell>
          <cell r="AM19">
            <v>55.5</v>
          </cell>
          <cell r="AN19">
            <v>125</v>
          </cell>
          <cell r="AO19">
            <v>1675</v>
          </cell>
          <cell r="AP19">
            <v>18</v>
          </cell>
          <cell r="AQ19">
            <v>36</v>
          </cell>
          <cell r="AR19">
            <v>675</v>
          </cell>
          <cell r="AS19">
            <v>675</v>
          </cell>
          <cell r="AT19">
            <v>8.5714285714285712</v>
          </cell>
          <cell r="AU19">
            <v>14.166666666666668</v>
          </cell>
          <cell r="AV19">
            <v>9.2857142857142847</v>
          </cell>
          <cell r="AW19">
            <v>15</v>
          </cell>
          <cell r="AX19">
            <v>100</v>
          </cell>
          <cell r="AZ19">
            <v>66.599999999999994</v>
          </cell>
          <cell r="BA19">
            <v>55.5</v>
          </cell>
          <cell r="BB19">
            <v>61</v>
          </cell>
          <cell r="BC19">
            <v>976</v>
          </cell>
          <cell r="BD19">
            <v>2278</v>
          </cell>
          <cell r="BR19">
            <v>55</v>
          </cell>
          <cell r="BS19">
            <v>418</v>
          </cell>
          <cell r="BT19">
            <v>83</v>
          </cell>
          <cell r="BU19">
            <v>104</v>
          </cell>
          <cell r="GZ19">
            <v>205</v>
          </cell>
          <cell r="HA19">
            <v>205</v>
          </cell>
          <cell r="HB19">
            <v>71</v>
          </cell>
          <cell r="HC19">
            <v>3</v>
          </cell>
          <cell r="HD19">
            <v>720</v>
          </cell>
          <cell r="HE19">
            <v>2</v>
          </cell>
          <cell r="HF19">
            <v>2</v>
          </cell>
          <cell r="HG19">
            <v>1</v>
          </cell>
          <cell r="HH19">
            <v>1</v>
          </cell>
          <cell r="HI19">
            <v>1</v>
          </cell>
          <cell r="HJ19">
            <v>1</v>
          </cell>
          <cell r="HK19">
            <v>2</v>
          </cell>
          <cell r="HL19">
            <v>3</v>
          </cell>
          <cell r="HM19">
            <v>1</v>
          </cell>
          <cell r="HN19">
            <v>1</v>
          </cell>
          <cell r="HO19">
            <v>2</v>
          </cell>
          <cell r="HP19">
            <v>6</v>
          </cell>
          <cell r="HQ19">
            <v>3</v>
          </cell>
          <cell r="HR19">
            <v>9</v>
          </cell>
          <cell r="HT19">
            <v>15</v>
          </cell>
          <cell r="HU19">
            <v>720</v>
          </cell>
          <cell r="HV19">
            <v>3000</v>
          </cell>
          <cell r="HW19">
            <v>5000</v>
          </cell>
          <cell r="HX19">
            <v>620</v>
          </cell>
          <cell r="HY19">
            <v>500</v>
          </cell>
          <cell r="HZ19">
            <v>1040</v>
          </cell>
          <cell r="IA19">
            <v>840</v>
          </cell>
          <cell r="IF19">
            <v>15</v>
          </cell>
          <cell r="IG19">
            <v>71</v>
          </cell>
          <cell r="IH19">
            <v>10.65</v>
          </cell>
        </row>
        <row r="20">
          <cell r="A20">
            <v>16</v>
          </cell>
          <cell r="B20">
            <v>200</v>
          </cell>
          <cell r="C20">
            <v>80</v>
          </cell>
          <cell r="D20">
            <v>16</v>
          </cell>
          <cell r="E20">
            <v>20</v>
          </cell>
          <cell r="F20">
            <v>33</v>
          </cell>
          <cell r="G20">
            <v>28</v>
          </cell>
          <cell r="H20">
            <v>26</v>
          </cell>
          <cell r="I20">
            <v>26</v>
          </cell>
          <cell r="J20">
            <v>28</v>
          </cell>
          <cell r="K20">
            <v>26</v>
          </cell>
          <cell r="L20">
            <v>18</v>
          </cell>
          <cell r="M20">
            <v>28</v>
          </cell>
          <cell r="N20">
            <v>31</v>
          </cell>
          <cell r="O20">
            <v>23</v>
          </cell>
          <cell r="P20">
            <v>31</v>
          </cell>
          <cell r="Q20">
            <v>36</v>
          </cell>
          <cell r="R20">
            <v>25.5</v>
          </cell>
          <cell r="S20">
            <v>28</v>
          </cell>
          <cell r="T20">
            <v>28.5</v>
          </cell>
          <cell r="U20">
            <v>24.5</v>
          </cell>
          <cell r="V20">
            <v>29.5</v>
          </cell>
          <cell r="W20">
            <v>31</v>
          </cell>
          <cell r="X20">
            <v>33</v>
          </cell>
          <cell r="Y20">
            <v>28</v>
          </cell>
          <cell r="Z20">
            <v>31</v>
          </cell>
          <cell r="AA20">
            <v>26</v>
          </cell>
          <cell r="AB20">
            <v>31</v>
          </cell>
          <cell r="AC20">
            <v>36</v>
          </cell>
          <cell r="AD20">
            <v>69.099999999999994</v>
          </cell>
          <cell r="AE20">
            <v>2150</v>
          </cell>
          <cell r="AF20">
            <v>17</v>
          </cell>
          <cell r="AG20">
            <v>34</v>
          </cell>
          <cell r="AH20">
            <v>310</v>
          </cell>
          <cell r="AI20">
            <v>310</v>
          </cell>
          <cell r="AJ20">
            <v>130</v>
          </cell>
          <cell r="AK20">
            <v>207</v>
          </cell>
          <cell r="AL20">
            <v>130</v>
          </cell>
          <cell r="AM20">
            <v>57.599999999999994</v>
          </cell>
          <cell r="AN20">
            <v>130</v>
          </cell>
          <cell r="AO20">
            <v>1720</v>
          </cell>
          <cell r="AP20">
            <v>19</v>
          </cell>
          <cell r="AQ20">
            <v>38</v>
          </cell>
          <cell r="AR20">
            <v>720</v>
          </cell>
          <cell r="AS20">
            <v>720</v>
          </cell>
          <cell r="AT20">
            <v>8.7142857142857153</v>
          </cell>
          <cell r="AU20">
            <v>14.333333333333332</v>
          </cell>
          <cell r="AV20">
            <v>9.4285714285714288</v>
          </cell>
          <cell r="AW20">
            <v>15.166666666666668</v>
          </cell>
          <cell r="AX20">
            <v>100</v>
          </cell>
          <cell r="AZ20">
            <v>69.099999999999994</v>
          </cell>
          <cell r="BA20">
            <v>57.599999999999994</v>
          </cell>
          <cell r="BB20">
            <v>63</v>
          </cell>
          <cell r="BC20">
            <v>1008</v>
          </cell>
          <cell r="BD20">
            <v>2361</v>
          </cell>
          <cell r="BR20">
            <v>57</v>
          </cell>
          <cell r="BS20">
            <v>430</v>
          </cell>
          <cell r="BT20">
            <v>86</v>
          </cell>
          <cell r="BU20">
            <v>107</v>
          </cell>
          <cell r="GZ20">
            <v>205</v>
          </cell>
          <cell r="HA20">
            <v>207</v>
          </cell>
          <cell r="HB20">
            <v>77</v>
          </cell>
          <cell r="HC20">
            <v>4</v>
          </cell>
          <cell r="HD20">
            <v>960</v>
          </cell>
          <cell r="HE20">
            <v>3</v>
          </cell>
          <cell r="HF20">
            <v>3</v>
          </cell>
          <cell r="HG20">
            <v>1</v>
          </cell>
          <cell r="HH20">
            <v>1</v>
          </cell>
          <cell r="HI20">
            <v>1</v>
          </cell>
          <cell r="HJ20">
            <v>1</v>
          </cell>
          <cell r="HK20">
            <v>2</v>
          </cell>
          <cell r="HL20">
            <v>3</v>
          </cell>
          <cell r="HM20">
            <v>1</v>
          </cell>
          <cell r="HN20">
            <v>1</v>
          </cell>
          <cell r="HO20">
            <v>2</v>
          </cell>
          <cell r="HP20">
            <v>8</v>
          </cell>
          <cell r="HQ20">
            <v>3</v>
          </cell>
          <cell r="HR20">
            <v>12</v>
          </cell>
          <cell r="HT20">
            <v>16</v>
          </cell>
          <cell r="HU20">
            <v>960</v>
          </cell>
          <cell r="HV20">
            <v>4000</v>
          </cell>
          <cell r="HW20">
            <v>7000</v>
          </cell>
          <cell r="HX20">
            <v>650</v>
          </cell>
          <cell r="HY20">
            <v>520</v>
          </cell>
          <cell r="HZ20">
            <v>1080</v>
          </cell>
          <cell r="IA20">
            <v>860</v>
          </cell>
          <cell r="IF20">
            <v>16</v>
          </cell>
          <cell r="IG20">
            <v>77</v>
          </cell>
          <cell r="IH20">
            <v>11.55</v>
          </cell>
        </row>
        <row r="21">
          <cell r="A21">
            <v>17</v>
          </cell>
          <cell r="B21">
            <v>210</v>
          </cell>
          <cell r="C21">
            <v>85</v>
          </cell>
          <cell r="D21">
            <v>17</v>
          </cell>
          <cell r="E21">
            <v>20</v>
          </cell>
          <cell r="F21">
            <v>35</v>
          </cell>
          <cell r="G21">
            <v>29</v>
          </cell>
          <cell r="H21">
            <v>27</v>
          </cell>
          <cell r="I21">
            <v>27</v>
          </cell>
          <cell r="J21">
            <v>29</v>
          </cell>
          <cell r="K21">
            <v>27</v>
          </cell>
          <cell r="L21">
            <v>18</v>
          </cell>
          <cell r="M21">
            <v>29</v>
          </cell>
          <cell r="N21">
            <v>32</v>
          </cell>
          <cell r="O21">
            <v>24</v>
          </cell>
          <cell r="P21">
            <v>32</v>
          </cell>
          <cell r="Q21">
            <v>37</v>
          </cell>
          <cell r="R21">
            <v>26.5</v>
          </cell>
          <cell r="S21">
            <v>29</v>
          </cell>
          <cell r="T21">
            <v>29.5</v>
          </cell>
          <cell r="U21">
            <v>25.5</v>
          </cell>
          <cell r="V21">
            <v>30.5</v>
          </cell>
          <cell r="W21">
            <v>32</v>
          </cell>
          <cell r="X21">
            <v>35</v>
          </cell>
          <cell r="Y21">
            <v>29</v>
          </cell>
          <cell r="Z21">
            <v>32</v>
          </cell>
          <cell r="AA21">
            <v>27</v>
          </cell>
          <cell r="AB21">
            <v>32</v>
          </cell>
          <cell r="AC21">
            <v>37</v>
          </cell>
          <cell r="AD21">
            <v>72.900000000000006</v>
          </cell>
          <cell r="AE21">
            <v>2225</v>
          </cell>
          <cell r="AF21">
            <v>17</v>
          </cell>
          <cell r="AG21">
            <v>34</v>
          </cell>
          <cell r="AH21">
            <v>320</v>
          </cell>
          <cell r="AI21">
            <v>320</v>
          </cell>
          <cell r="AJ21">
            <v>135</v>
          </cell>
          <cell r="AK21">
            <v>214</v>
          </cell>
          <cell r="AL21">
            <v>135</v>
          </cell>
          <cell r="AM21">
            <v>59.7</v>
          </cell>
          <cell r="AN21">
            <v>135</v>
          </cell>
          <cell r="AO21">
            <v>1765</v>
          </cell>
          <cell r="AP21">
            <v>19</v>
          </cell>
          <cell r="AQ21">
            <v>38</v>
          </cell>
          <cell r="AR21">
            <v>765</v>
          </cell>
          <cell r="AS21">
            <v>765</v>
          </cell>
          <cell r="AT21">
            <v>8.8571428571428577</v>
          </cell>
          <cell r="AU21">
            <v>14.5</v>
          </cell>
          <cell r="AV21">
            <v>9.5714285714285712</v>
          </cell>
          <cell r="AW21">
            <v>15.333333333333332</v>
          </cell>
          <cell r="AX21">
            <v>100</v>
          </cell>
          <cell r="AZ21">
            <v>72.900000000000006</v>
          </cell>
          <cell r="BA21">
            <v>59.7</v>
          </cell>
          <cell r="BB21">
            <v>66</v>
          </cell>
          <cell r="BC21">
            <v>1056</v>
          </cell>
          <cell r="BD21">
            <v>2443</v>
          </cell>
          <cell r="BR21">
            <v>58</v>
          </cell>
          <cell r="BS21">
            <v>441</v>
          </cell>
          <cell r="BT21">
            <v>88</v>
          </cell>
          <cell r="BU21">
            <v>110</v>
          </cell>
          <cell r="GZ21">
            <v>205</v>
          </cell>
          <cell r="HA21">
            <v>207</v>
          </cell>
          <cell r="HB21">
            <v>82</v>
          </cell>
          <cell r="HC21">
            <v>4</v>
          </cell>
          <cell r="HD21">
            <v>960</v>
          </cell>
          <cell r="HE21">
            <v>3</v>
          </cell>
          <cell r="HF21">
            <v>3</v>
          </cell>
          <cell r="HG21">
            <v>1</v>
          </cell>
          <cell r="HH21">
            <v>1</v>
          </cell>
          <cell r="HI21">
            <v>1</v>
          </cell>
          <cell r="HJ21">
            <v>1</v>
          </cell>
          <cell r="HK21">
            <v>2</v>
          </cell>
          <cell r="HL21">
            <v>3</v>
          </cell>
          <cell r="HM21">
            <v>1</v>
          </cell>
          <cell r="HN21">
            <v>1</v>
          </cell>
          <cell r="HO21">
            <v>2</v>
          </cell>
          <cell r="HP21">
            <v>8</v>
          </cell>
          <cell r="HQ21">
            <v>3</v>
          </cell>
          <cell r="HR21">
            <v>12</v>
          </cell>
          <cell r="HT21">
            <v>17</v>
          </cell>
          <cell r="HU21">
            <v>960</v>
          </cell>
          <cell r="HV21">
            <v>4000</v>
          </cell>
          <cell r="HW21">
            <v>7000</v>
          </cell>
          <cell r="HX21">
            <v>670</v>
          </cell>
          <cell r="HY21">
            <v>530</v>
          </cell>
          <cell r="HZ21">
            <v>1110</v>
          </cell>
          <cell r="IA21">
            <v>880</v>
          </cell>
          <cell r="IF21">
            <v>17</v>
          </cell>
          <cell r="IG21">
            <v>82</v>
          </cell>
          <cell r="IH21">
            <v>12.3</v>
          </cell>
        </row>
        <row r="22">
          <cell r="A22">
            <v>18</v>
          </cell>
          <cell r="B22">
            <v>220</v>
          </cell>
          <cell r="C22">
            <v>90</v>
          </cell>
          <cell r="D22">
            <v>18</v>
          </cell>
          <cell r="E22">
            <v>20</v>
          </cell>
          <cell r="F22">
            <v>36</v>
          </cell>
          <cell r="G22">
            <v>30</v>
          </cell>
          <cell r="H22">
            <v>28</v>
          </cell>
          <cell r="I22">
            <v>28</v>
          </cell>
          <cell r="J22">
            <v>30</v>
          </cell>
          <cell r="K22">
            <v>28</v>
          </cell>
          <cell r="L22">
            <v>19</v>
          </cell>
          <cell r="M22">
            <v>30</v>
          </cell>
          <cell r="N22">
            <v>33</v>
          </cell>
          <cell r="O22">
            <v>25</v>
          </cell>
          <cell r="P22">
            <v>33</v>
          </cell>
          <cell r="Q22">
            <v>39</v>
          </cell>
          <cell r="R22">
            <v>27.5</v>
          </cell>
          <cell r="S22">
            <v>30</v>
          </cell>
          <cell r="T22">
            <v>30.5</v>
          </cell>
          <cell r="U22">
            <v>26.5</v>
          </cell>
          <cell r="V22">
            <v>31.5</v>
          </cell>
          <cell r="W22">
            <v>33.5</v>
          </cell>
          <cell r="X22">
            <v>36</v>
          </cell>
          <cell r="Y22">
            <v>30</v>
          </cell>
          <cell r="Z22">
            <v>33</v>
          </cell>
          <cell r="AA22">
            <v>28</v>
          </cell>
          <cell r="AB22">
            <v>33</v>
          </cell>
          <cell r="AC22">
            <v>39</v>
          </cell>
          <cell r="AD22">
            <v>75.400000000000006</v>
          </cell>
          <cell r="AE22">
            <v>2300</v>
          </cell>
          <cell r="AF22">
            <v>18</v>
          </cell>
          <cell r="AG22">
            <v>36</v>
          </cell>
          <cell r="AH22">
            <v>330</v>
          </cell>
          <cell r="AI22">
            <v>330</v>
          </cell>
          <cell r="AJ22">
            <v>140</v>
          </cell>
          <cell r="AK22">
            <v>221</v>
          </cell>
          <cell r="AL22">
            <v>140</v>
          </cell>
          <cell r="AM22">
            <v>61.8</v>
          </cell>
          <cell r="AN22">
            <v>140</v>
          </cell>
          <cell r="AO22">
            <v>1855</v>
          </cell>
          <cell r="AP22">
            <v>20</v>
          </cell>
          <cell r="AQ22">
            <v>40</v>
          </cell>
          <cell r="AR22">
            <v>810</v>
          </cell>
          <cell r="AS22">
            <v>810</v>
          </cell>
          <cell r="AT22">
            <v>9</v>
          </cell>
          <cell r="AU22">
            <v>14.666666666666668</v>
          </cell>
          <cell r="AV22">
            <v>9.7142857142857153</v>
          </cell>
          <cell r="AW22">
            <v>15.5</v>
          </cell>
          <cell r="AX22">
            <v>100</v>
          </cell>
          <cell r="AZ22">
            <v>75.400000000000006</v>
          </cell>
          <cell r="BA22">
            <v>61.8</v>
          </cell>
          <cell r="BB22">
            <v>68</v>
          </cell>
          <cell r="BC22">
            <v>1088</v>
          </cell>
          <cell r="BD22">
            <v>2526</v>
          </cell>
          <cell r="BR22">
            <v>61</v>
          </cell>
          <cell r="BS22">
            <v>463</v>
          </cell>
          <cell r="BT22">
            <v>92</v>
          </cell>
          <cell r="BU22">
            <v>115</v>
          </cell>
          <cell r="GZ22">
            <v>207</v>
          </cell>
          <cell r="HA22">
            <v>207</v>
          </cell>
          <cell r="HB22">
            <v>88</v>
          </cell>
          <cell r="HC22">
            <v>4</v>
          </cell>
          <cell r="HD22">
            <v>960</v>
          </cell>
          <cell r="HE22">
            <v>3</v>
          </cell>
          <cell r="HF22">
            <v>3</v>
          </cell>
          <cell r="HG22">
            <v>1</v>
          </cell>
          <cell r="HH22">
            <v>1</v>
          </cell>
          <cell r="HI22">
            <v>1</v>
          </cell>
          <cell r="HJ22">
            <v>1</v>
          </cell>
          <cell r="HK22">
            <v>2</v>
          </cell>
          <cell r="HL22">
            <v>3</v>
          </cell>
          <cell r="HM22">
            <v>1</v>
          </cell>
          <cell r="HN22">
            <v>1</v>
          </cell>
          <cell r="HO22">
            <v>2</v>
          </cell>
          <cell r="HP22">
            <v>8</v>
          </cell>
          <cell r="HQ22">
            <v>3</v>
          </cell>
          <cell r="HR22">
            <v>12</v>
          </cell>
          <cell r="HT22">
            <v>18</v>
          </cell>
          <cell r="HU22">
            <v>960</v>
          </cell>
          <cell r="HV22">
            <v>4000</v>
          </cell>
          <cell r="HW22">
            <v>7000</v>
          </cell>
          <cell r="HX22">
            <v>690</v>
          </cell>
          <cell r="HY22">
            <v>560</v>
          </cell>
          <cell r="HZ22">
            <v>1150</v>
          </cell>
          <cell r="IA22">
            <v>930</v>
          </cell>
          <cell r="IF22">
            <v>18</v>
          </cell>
          <cell r="IG22">
            <v>88</v>
          </cell>
          <cell r="IH22">
            <v>13.2</v>
          </cell>
        </row>
        <row r="23">
          <cell r="A23">
            <v>19</v>
          </cell>
          <cell r="B23">
            <v>230</v>
          </cell>
          <cell r="C23">
            <v>95</v>
          </cell>
          <cell r="D23">
            <v>19</v>
          </cell>
          <cell r="E23">
            <v>20</v>
          </cell>
          <cell r="F23">
            <v>37</v>
          </cell>
          <cell r="G23">
            <v>31</v>
          </cell>
          <cell r="H23">
            <v>29</v>
          </cell>
          <cell r="I23">
            <v>29</v>
          </cell>
          <cell r="J23">
            <v>31</v>
          </cell>
          <cell r="K23">
            <v>29</v>
          </cell>
          <cell r="L23">
            <v>20</v>
          </cell>
          <cell r="M23">
            <v>31</v>
          </cell>
          <cell r="N23">
            <v>34</v>
          </cell>
          <cell r="O23">
            <v>26</v>
          </cell>
          <cell r="P23">
            <v>34</v>
          </cell>
          <cell r="Q23">
            <v>40</v>
          </cell>
          <cell r="R23">
            <v>28.5</v>
          </cell>
          <cell r="S23">
            <v>31</v>
          </cell>
          <cell r="T23">
            <v>31.5</v>
          </cell>
          <cell r="U23">
            <v>27.5</v>
          </cell>
          <cell r="V23">
            <v>32.5</v>
          </cell>
          <cell r="W23">
            <v>34.5</v>
          </cell>
          <cell r="X23">
            <v>37</v>
          </cell>
          <cell r="Y23">
            <v>31</v>
          </cell>
          <cell r="Z23">
            <v>34</v>
          </cell>
          <cell r="AA23">
            <v>29</v>
          </cell>
          <cell r="AB23">
            <v>34</v>
          </cell>
          <cell r="AC23">
            <v>40</v>
          </cell>
          <cell r="AD23">
            <v>77.900000000000006</v>
          </cell>
          <cell r="AE23">
            <v>2375</v>
          </cell>
          <cell r="AF23">
            <v>18</v>
          </cell>
          <cell r="AG23">
            <v>36</v>
          </cell>
          <cell r="AH23">
            <v>340</v>
          </cell>
          <cell r="AI23">
            <v>340</v>
          </cell>
          <cell r="AJ23">
            <v>145</v>
          </cell>
          <cell r="AK23">
            <v>228</v>
          </cell>
          <cell r="AL23">
            <v>145</v>
          </cell>
          <cell r="AM23">
            <v>63.9</v>
          </cell>
          <cell r="AN23">
            <v>145</v>
          </cell>
          <cell r="AO23">
            <v>1900</v>
          </cell>
          <cell r="AP23">
            <v>21</v>
          </cell>
          <cell r="AQ23">
            <v>42</v>
          </cell>
          <cell r="AR23">
            <v>855</v>
          </cell>
          <cell r="AS23">
            <v>855</v>
          </cell>
          <cell r="AT23">
            <v>9.1428571428571423</v>
          </cell>
          <cell r="AU23">
            <v>14.833333333333332</v>
          </cell>
          <cell r="AV23">
            <v>9.8571428571428577</v>
          </cell>
          <cell r="AW23">
            <v>15.666666666666668</v>
          </cell>
          <cell r="AX23">
            <v>100</v>
          </cell>
          <cell r="AZ23">
            <v>77.900000000000006</v>
          </cell>
          <cell r="BA23">
            <v>63.9</v>
          </cell>
          <cell r="BB23">
            <v>70</v>
          </cell>
          <cell r="BC23">
            <v>1120</v>
          </cell>
          <cell r="BD23">
            <v>2608</v>
          </cell>
          <cell r="BR23">
            <v>63</v>
          </cell>
          <cell r="BS23">
            <v>475</v>
          </cell>
          <cell r="BT23">
            <v>95</v>
          </cell>
          <cell r="BU23">
            <v>118</v>
          </cell>
          <cell r="GZ23">
            <v>207</v>
          </cell>
          <cell r="HA23">
            <v>207</v>
          </cell>
          <cell r="HB23">
            <v>94</v>
          </cell>
          <cell r="HC23">
            <v>5</v>
          </cell>
          <cell r="HD23">
            <v>1200</v>
          </cell>
          <cell r="HE23">
            <v>4</v>
          </cell>
          <cell r="HF23">
            <v>4</v>
          </cell>
          <cell r="HG23">
            <v>1</v>
          </cell>
          <cell r="HH23">
            <v>1</v>
          </cell>
          <cell r="HI23">
            <v>1</v>
          </cell>
          <cell r="HJ23">
            <v>1</v>
          </cell>
          <cell r="HK23">
            <v>2</v>
          </cell>
          <cell r="HL23">
            <v>3</v>
          </cell>
          <cell r="HM23">
            <v>1</v>
          </cell>
          <cell r="HN23">
            <v>1</v>
          </cell>
          <cell r="HO23">
            <v>2</v>
          </cell>
          <cell r="HP23">
            <v>10</v>
          </cell>
          <cell r="HQ23">
            <v>3</v>
          </cell>
          <cell r="HR23">
            <v>15</v>
          </cell>
          <cell r="HT23">
            <v>19</v>
          </cell>
          <cell r="HU23">
            <v>1200</v>
          </cell>
          <cell r="HV23">
            <v>6000</v>
          </cell>
          <cell r="HW23">
            <v>8000</v>
          </cell>
          <cell r="HX23">
            <v>710</v>
          </cell>
          <cell r="HY23">
            <v>570</v>
          </cell>
          <cell r="HZ23">
            <v>1190</v>
          </cell>
          <cell r="IA23">
            <v>950</v>
          </cell>
          <cell r="IF23">
            <v>19</v>
          </cell>
          <cell r="IG23">
            <v>94</v>
          </cell>
          <cell r="IH23">
            <v>14.1</v>
          </cell>
        </row>
        <row r="24">
          <cell r="A24">
            <v>20</v>
          </cell>
          <cell r="B24">
            <v>240</v>
          </cell>
          <cell r="C24">
            <v>100</v>
          </cell>
          <cell r="D24">
            <v>20</v>
          </cell>
          <cell r="E24">
            <v>20</v>
          </cell>
          <cell r="F24">
            <v>39</v>
          </cell>
          <cell r="G24">
            <v>33</v>
          </cell>
          <cell r="H24">
            <v>30</v>
          </cell>
          <cell r="I24">
            <v>30</v>
          </cell>
          <cell r="J24">
            <v>33</v>
          </cell>
          <cell r="K24">
            <v>30</v>
          </cell>
          <cell r="L24">
            <v>21</v>
          </cell>
          <cell r="M24">
            <v>33</v>
          </cell>
          <cell r="N24">
            <v>36</v>
          </cell>
          <cell r="O24">
            <v>27</v>
          </cell>
          <cell r="P24">
            <v>36</v>
          </cell>
          <cell r="Q24">
            <v>42</v>
          </cell>
          <cell r="R24">
            <v>30</v>
          </cell>
          <cell r="S24">
            <v>33</v>
          </cell>
          <cell r="T24">
            <v>33</v>
          </cell>
          <cell r="U24">
            <v>28.5</v>
          </cell>
          <cell r="V24">
            <v>34.5</v>
          </cell>
          <cell r="W24">
            <v>36</v>
          </cell>
          <cell r="X24">
            <v>39</v>
          </cell>
          <cell r="Y24">
            <v>33</v>
          </cell>
          <cell r="Z24">
            <v>36</v>
          </cell>
          <cell r="AA24">
            <v>30</v>
          </cell>
          <cell r="AB24">
            <v>36</v>
          </cell>
          <cell r="AC24">
            <v>42</v>
          </cell>
          <cell r="AD24">
            <v>81.7</v>
          </cell>
          <cell r="AE24">
            <v>2525</v>
          </cell>
          <cell r="AF24">
            <v>19</v>
          </cell>
          <cell r="AG24">
            <v>38</v>
          </cell>
          <cell r="AH24">
            <v>360</v>
          </cell>
          <cell r="AI24">
            <v>360</v>
          </cell>
          <cell r="AJ24">
            <v>150</v>
          </cell>
          <cell r="AK24">
            <v>240</v>
          </cell>
          <cell r="AL24">
            <v>150</v>
          </cell>
          <cell r="AM24">
            <v>67.599999999999994</v>
          </cell>
          <cell r="AN24">
            <v>150</v>
          </cell>
          <cell r="AO24">
            <v>1990</v>
          </cell>
          <cell r="AP24">
            <v>22</v>
          </cell>
          <cell r="AQ24">
            <v>44</v>
          </cell>
          <cell r="AR24">
            <v>900</v>
          </cell>
          <cell r="AS24">
            <v>900</v>
          </cell>
          <cell r="AT24">
            <v>9.2857142857142847</v>
          </cell>
          <cell r="AU24">
            <v>15</v>
          </cell>
          <cell r="AV24">
            <v>10.142857142857142</v>
          </cell>
          <cell r="AW24">
            <v>16</v>
          </cell>
          <cell r="AX24">
            <v>100</v>
          </cell>
          <cell r="AZ24">
            <v>81.7</v>
          </cell>
          <cell r="BA24">
            <v>67.599999999999994</v>
          </cell>
          <cell r="BB24">
            <v>74</v>
          </cell>
          <cell r="BC24">
            <v>1184</v>
          </cell>
          <cell r="BD24">
            <v>2773</v>
          </cell>
          <cell r="BR24">
            <v>66</v>
          </cell>
          <cell r="BS24">
            <v>497</v>
          </cell>
          <cell r="BT24">
            <v>99</v>
          </cell>
          <cell r="BU24">
            <v>124</v>
          </cell>
          <cell r="GZ24">
            <v>207</v>
          </cell>
          <cell r="HA24">
            <v>207</v>
          </cell>
          <cell r="HB24">
            <v>99</v>
          </cell>
          <cell r="HC24">
            <v>5</v>
          </cell>
          <cell r="HD24">
            <v>1200</v>
          </cell>
          <cell r="HE24">
            <v>4</v>
          </cell>
          <cell r="HF24">
            <v>4</v>
          </cell>
          <cell r="HG24">
            <v>1</v>
          </cell>
          <cell r="HH24">
            <v>1</v>
          </cell>
          <cell r="HI24">
            <v>1</v>
          </cell>
          <cell r="HJ24">
            <v>1</v>
          </cell>
          <cell r="HK24">
            <v>2</v>
          </cell>
          <cell r="HL24">
            <v>3</v>
          </cell>
          <cell r="HM24">
            <v>1</v>
          </cell>
          <cell r="HN24">
            <v>1</v>
          </cell>
          <cell r="HO24">
            <v>2</v>
          </cell>
          <cell r="HP24">
            <v>10</v>
          </cell>
          <cell r="HQ24">
            <v>3</v>
          </cell>
          <cell r="HR24">
            <v>15</v>
          </cell>
          <cell r="HT24">
            <v>20</v>
          </cell>
          <cell r="HU24">
            <v>1200</v>
          </cell>
          <cell r="HV24">
            <v>6000</v>
          </cell>
          <cell r="HW24">
            <v>8000</v>
          </cell>
          <cell r="HX24">
            <v>760</v>
          </cell>
          <cell r="HY24">
            <v>600</v>
          </cell>
          <cell r="HZ24">
            <v>1260</v>
          </cell>
          <cell r="IA24">
            <v>1000</v>
          </cell>
          <cell r="IF24">
            <v>20</v>
          </cell>
          <cell r="IG24">
            <v>99</v>
          </cell>
          <cell r="IH24">
            <v>14.85</v>
          </cell>
        </row>
        <row r="25">
          <cell r="A25">
            <v>21</v>
          </cell>
          <cell r="B25">
            <v>250</v>
          </cell>
          <cell r="C25">
            <v>105</v>
          </cell>
          <cell r="D25">
            <v>21</v>
          </cell>
          <cell r="E25">
            <v>20</v>
          </cell>
          <cell r="F25">
            <v>40</v>
          </cell>
          <cell r="G25">
            <v>34</v>
          </cell>
          <cell r="H25">
            <v>31</v>
          </cell>
          <cell r="I25">
            <v>31</v>
          </cell>
          <cell r="J25">
            <v>34</v>
          </cell>
          <cell r="K25">
            <v>31</v>
          </cell>
          <cell r="L25">
            <v>21</v>
          </cell>
          <cell r="M25">
            <v>34</v>
          </cell>
          <cell r="N25">
            <v>37</v>
          </cell>
          <cell r="O25">
            <v>27</v>
          </cell>
          <cell r="P25">
            <v>37</v>
          </cell>
          <cell r="Q25">
            <v>43</v>
          </cell>
          <cell r="R25">
            <v>30.5</v>
          </cell>
          <cell r="S25">
            <v>34</v>
          </cell>
          <cell r="T25">
            <v>34</v>
          </cell>
          <cell r="U25">
            <v>29</v>
          </cell>
          <cell r="V25">
            <v>35.5</v>
          </cell>
          <cell r="W25">
            <v>37</v>
          </cell>
          <cell r="X25">
            <v>40</v>
          </cell>
          <cell r="Y25">
            <v>34</v>
          </cell>
          <cell r="Z25">
            <v>37</v>
          </cell>
          <cell r="AA25">
            <v>31</v>
          </cell>
          <cell r="AB25">
            <v>37</v>
          </cell>
          <cell r="AC25">
            <v>43</v>
          </cell>
          <cell r="AD25">
            <v>84.2</v>
          </cell>
          <cell r="AE25">
            <v>2600</v>
          </cell>
          <cell r="AF25">
            <v>20</v>
          </cell>
          <cell r="AG25">
            <v>40</v>
          </cell>
          <cell r="AH25">
            <v>370</v>
          </cell>
          <cell r="AI25">
            <v>370</v>
          </cell>
          <cell r="AJ25">
            <v>155</v>
          </cell>
          <cell r="AK25">
            <v>247</v>
          </cell>
          <cell r="AL25">
            <v>155</v>
          </cell>
          <cell r="AM25">
            <v>69.7</v>
          </cell>
          <cell r="AN25">
            <v>155</v>
          </cell>
          <cell r="AO25">
            <v>2035</v>
          </cell>
          <cell r="AP25">
            <v>22</v>
          </cell>
          <cell r="AQ25">
            <v>44</v>
          </cell>
          <cell r="AR25">
            <v>945</v>
          </cell>
          <cell r="AS25">
            <v>945</v>
          </cell>
          <cell r="AT25">
            <v>9.4285714285714288</v>
          </cell>
          <cell r="AU25">
            <v>15.166666666666668</v>
          </cell>
          <cell r="AV25">
            <v>10.285714285714285</v>
          </cell>
          <cell r="AW25">
            <v>16.166666666666668</v>
          </cell>
          <cell r="AX25">
            <v>100</v>
          </cell>
          <cell r="AZ25">
            <v>84.2</v>
          </cell>
          <cell r="BA25">
            <v>69.7</v>
          </cell>
          <cell r="BB25">
            <v>76</v>
          </cell>
          <cell r="BC25">
            <v>1216</v>
          </cell>
          <cell r="BD25">
            <v>2856</v>
          </cell>
          <cell r="BR25">
            <v>67</v>
          </cell>
          <cell r="BS25">
            <v>508</v>
          </cell>
          <cell r="BT25">
            <v>101</v>
          </cell>
          <cell r="BU25">
            <v>127</v>
          </cell>
          <cell r="GZ25">
            <v>207</v>
          </cell>
          <cell r="HA25">
            <v>209</v>
          </cell>
          <cell r="HB25">
            <v>105</v>
          </cell>
          <cell r="HC25">
            <v>5</v>
          </cell>
          <cell r="HD25">
            <v>1200</v>
          </cell>
          <cell r="HE25">
            <v>4</v>
          </cell>
          <cell r="HF25">
            <v>4</v>
          </cell>
          <cell r="HG25">
            <v>1</v>
          </cell>
          <cell r="HH25">
            <v>1</v>
          </cell>
          <cell r="HI25">
            <v>1</v>
          </cell>
          <cell r="HJ25">
            <v>1</v>
          </cell>
          <cell r="HK25">
            <v>2</v>
          </cell>
          <cell r="HL25">
            <v>3</v>
          </cell>
          <cell r="HM25">
            <v>1</v>
          </cell>
          <cell r="HN25">
            <v>1</v>
          </cell>
          <cell r="HO25">
            <v>2</v>
          </cell>
          <cell r="HP25">
            <v>10</v>
          </cell>
          <cell r="HQ25">
            <v>3</v>
          </cell>
          <cell r="HR25">
            <v>15</v>
          </cell>
          <cell r="HT25">
            <v>21</v>
          </cell>
          <cell r="HU25">
            <v>1200</v>
          </cell>
          <cell r="HV25">
            <v>6000</v>
          </cell>
          <cell r="HW25">
            <v>8000</v>
          </cell>
          <cell r="HX25">
            <v>780</v>
          </cell>
          <cell r="HY25">
            <v>610</v>
          </cell>
          <cell r="HZ25">
            <v>1300</v>
          </cell>
          <cell r="IA25">
            <v>1020</v>
          </cell>
          <cell r="IF25">
            <v>21</v>
          </cell>
          <cell r="IG25">
            <v>105</v>
          </cell>
          <cell r="IH25">
            <v>15.75</v>
          </cell>
        </row>
        <row r="26">
          <cell r="A26">
            <v>22</v>
          </cell>
          <cell r="B26">
            <v>260</v>
          </cell>
          <cell r="C26">
            <v>110</v>
          </cell>
          <cell r="D26">
            <v>22</v>
          </cell>
          <cell r="E26">
            <v>20</v>
          </cell>
          <cell r="F26">
            <v>41</v>
          </cell>
          <cell r="G26">
            <v>35</v>
          </cell>
          <cell r="H26">
            <v>32</v>
          </cell>
          <cell r="I26">
            <v>32</v>
          </cell>
          <cell r="J26">
            <v>35</v>
          </cell>
          <cell r="K26">
            <v>32</v>
          </cell>
          <cell r="L26">
            <v>22</v>
          </cell>
          <cell r="M26">
            <v>35</v>
          </cell>
          <cell r="N26">
            <v>38</v>
          </cell>
          <cell r="O26">
            <v>28</v>
          </cell>
          <cell r="P26">
            <v>38</v>
          </cell>
          <cell r="Q26">
            <v>44</v>
          </cell>
          <cell r="R26">
            <v>31.5</v>
          </cell>
          <cell r="S26">
            <v>35</v>
          </cell>
          <cell r="T26">
            <v>35</v>
          </cell>
          <cell r="U26">
            <v>30</v>
          </cell>
          <cell r="V26">
            <v>36.5</v>
          </cell>
          <cell r="W26">
            <v>38</v>
          </cell>
          <cell r="X26">
            <v>41</v>
          </cell>
          <cell r="Y26">
            <v>35</v>
          </cell>
          <cell r="Z26">
            <v>38</v>
          </cell>
          <cell r="AA26">
            <v>32</v>
          </cell>
          <cell r="AB26">
            <v>38</v>
          </cell>
          <cell r="AC26">
            <v>44</v>
          </cell>
          <cell r="AD26">
            <v>86.700000000000017</v>
          </cell>
          <cell r="AE26">
            <v>2675</v>
          </cell>
          <cell r="AF26">
            <v>20</v>
          </cell>
          <cell r="AG26">
            <v>40</v>
          </cell>
          <cell r="AH26">
            <v>380</v>
          </cell>
          <cell r="AI26">
            <v>380</v>
          </cell>
          <cell r="AJ26">
            <v>160</v>
          </cell>
          <cell r="AK26">
            <v>254</v>
          </cell>
          <cell r="AL26">
            <v>160</v>
          </cell>
          <cell r="AM26">
            <v>71.8</v>
          </cell>
          <cell r="AN26">
            <v>160</v>
          </cell>
          <cell r="AO26">
            <v>2080</v>
          </cell>
          <cell r="AP26">
            <v>23</v>
          </cell>
          <cell r="AQ26">
            <v>46</v>
          </cell>
          <cell r="AR26">
            <v>990</v>
          </cell>
          <cell r="AS26">
            <v>990</v>
          </cell>
          <cell r="AT26">
            <v>9.5714285714285712</v>
          </cell>
          <cell r="AU26">
            <v>15.333333333333332</v>
          </cell>
          <cell r="AV26">
            <v>10.428571428571429</v>
          </cell>
          <cell r="AW26">
            <v>16.333333333333332</v>
          </cell>
          <cell r="AX26">
            <v>100</v>
          </cell>
          <cell r="AZ26">
            <v>86.700000000000017</v>
          </cell>
          <cell r="BA26">
            <v>71.8</v>
          </cell>
          <cell r="BB26">
            <v>79</v>
          </cell>
          <cell r="BC26">
            <v>1264</v>
          </cell>
          <cell r="BD26">
            <v>2938</v>
          </cell>
          <cell r="BR26">
            <v>69</v>
          </cell>
          <cell r="BS26">
            <v>520</v>
          </cell>
          <cell r="BT26">
            <v>104</v>
          </cell>
          <cell r="BU26">
            <v>130</v>
          </cell>
          <cell r="GZ26">
            <v>207</v>
          </cell>
          <cell r="HA26">
            <v>209</v>
          </cell>
          <cell r="HB26">
            <v>110</v>
          </cell>
          <cell r="HC26">
            <v>6</v>
          </cell>
          <cell r="HD26">
            <v>1440</v>
          </cell>
          <cell r="HE26">
            <v>5</v>
          </cell>
          <cell r="HF26">
            <v>5</v>
          </cell>
          <cell r="HG26">
            <v>1</v>
          </cell>
          <cell r="HH26">
            <v>1</v>
          </cell>
          <cell r="HI26">
            <v>1</v>
          </cell>
          <cell r="HJ26">
            <v>1</v>
          </cell>
          <cell r="HK26">
            <v>2</v>
          </cell>
          <cell r="HL26">
            <v>3</v>
          </cell>
          <cell r="HM26">
            <v>1</v>
          </cell>
          <cell r="HN26">
            <v>1</v>
          </cell>
          <cell r="HO26">
            <v>2</v>
          </cell>
          <cell r="HP26">
            <v>12</v>
          </cell>
          <cell r="HQ26">
            <v>3</v>
          </cell>
          <cell r="HR26">
            <v>18</v>
          </cell>
          <cell r="HT26">
            <v>22</v>
          </cell>
          <cell r="HU26">
            <v>1440</v>
          </cell>
          <cell r="HV26">
            <v>7000</v>
          </cell>
          <cell r="HW26">
            <v>10000</v>
          </cell>
          <cell r="HX26">
            <v>800</v>
          </cell>
          <cell r="HY26">
            <v>620</v>
          </cell>
          <cell r="HZ26">
            <v>1340</v>
          </cell>
          <cell r="IA26">
            <v>1040</v>
          </cell>
          <cell r="IF26">
            <v>22</v>
          </cell>
          <cell r="IG26">
            <v>110</v>
          </cell>
          <cell r="IH26">
            <v>16.5</v>
          </cell>
        </row>
        <row r="27">
          <cell r="A27">
            <v>23</v>
          </cell>
          <cell r="B27">
            <v>270</v>
          </cell>
          <cell r="C27">
            <v>115</v>
          </cell>
          <cell r="D27">
            <v>23</v>
          </cell>
          <cell r="E27">
            <v>20</v>
          </cell>
          <cell r="F27">
            <v>42</v>
          </cell>
          <cell r="G27">
            <v>36</v>
          </cell>
          <cell r="H27">
            <v>33</v>
          </cell>
          <cell r="I27">
            <v>33</v>
          </cell>
          <cell r="J27">
            <v>36</v>
          </cell>
          <cell r="K27">
            <v>33</v>
          </cell>
          <cell r="L27">
            <v>23</v>
          </cell>
          <cell r="M27">
            <v>36</v>
          </cell>
          <cell r="N27">
            <v>39</v>
          </cell>
          <cell r="O27">
            <v>29</v>
          </cell>
          <cell r="P27">
            <v>39</v>
          </cell>
          <cell r="Q27">
            <v>46</v>
          </cell>
          <cell r="R27">
            <v>32.5</v>
          </cell>
          <cell r="S27">
            <v>36</v>
          </cell>
          <cell r="T27">
            <v>36</v>
          </cell>
          <cell r="U27">
            <v>31</v>
          </cell>
          <cell r="V27">
            <v>37.5</v>
          </cell>
          <cell r="W27">
            <v>39.5</v>
          </cell>
          <cell r="X27">
            <v>42</v>
          </cell>
          <cell r="Y27">
            <v>36</v>
          </cell>
          <cell r="Z27">
            <v>39</v>
          </cell>
          <cell r="AA27">
            <v>33</v>
          </cell>
          <cell r="AB27">
            <v>39</v>
          </cell>
          <cell r="AC27">
            <v>46</v>
          </cell>
          <cell r="AD27">
            <v>89.199999999999989</v>
          </cell>
          <cell r="AE27">
            <v>2750</v>
          </cell>
          <cell r="AF27">
            <v>21</v>
          </cell>
          <cell r="AG27">
            <v>42</v>
          </cell>
          <cell r="AH27">
            <v>390</v>
          </cell>
          <cell r="AI27">
            <v>390</v>
          </cell>
          <cell r="AJ27">
            <v>165</v>
          </cell>
          <cell r="AK27">
            <v>261</v>
          </cell>
          <cell r="AL27">
            <v>165</v>
          </cell>
          <cell r="AM27">
            <v>73.900000000000006</v>
          </cell>
          <cell r="AN27">
            <v>165</v>
          </cell>
          <cell r="AO27">
            <v>2170</v>
          </cell>
          <cell r="AP27">
            <v>24</v>
          </cell>
          <cell r="AQ27">
            <v>48</v>
          </cell>
          <cell r="AR27">
            <v>1035</v>
          </cell>
          <cell r="AS27">
            <v>1035</v>
          </cell>
          <cell r="AT27">
            <v>9.7142857142857153</v>
          </cell>
          <cell r="AU27">
            <v>15.5</v>
          </cell>
          <cell r="AV27">
            <v>10.571428571428571</v>
          </cell>
          <cell r="AW27">
            <v>16.5</v>
          </cell>
          <cell r="AX27">
            <v>100</v>
          </cell>
          <cell r="AZ27">
            <v>89.199999999999989</v>
          </cell>
          <cell r="BA27">
            <v>73.900000000000006</v>
          </cell>
          <cell r="BB27">
            <v>81</v>
          </cell>
          <cell r="BC27">
            <v>1296</v>
          </cell>
          <cell r="BD27">
            <v>3021</v>
          </cell>
          <cell r="BR27">
            <v>72</v>
          </cell>
          <cell r="BS27">
            <v>542</v>
          </cell>
          <cell r="BT27">
            <v>108</v>
          </cell>
          <cell r="BU27">
            <v>135</v>
          </cell>
          <cell r="GZ27">
            <v>207</v>
          </cell>
          <cell r="HA27">
            <v>209</v>
          </cell>
          <cell r="HB27">
            <v>115</v>
          </cell>
          <cell r="HC27">
            <v>6</v>
          </cell>
          <cell r="HD27">
            <v>1440</v>
          </cell>
          <cell r="HE27">
            <v>5</v>
          </cell>
          <cell r="HF27">
            <v>5</v>
          </cell>
          <cell r="HG27">
            <v>1</v>
          </cell>
          <cell r="HH27">
            <v>1</v>
          </cell>
          <cell r="HI27">
            <v>1</v>
          </cell>
          <cell r="HJ27">
            <v>1</v>
          </cell>
          <cell r="HK27">
            <v>2</v>
          </cell>
          <cell r="HL27">
            <v>3</v>
          </cell>
          <cell r="HM27">
            <v>1</v>
          </cell>
          <cell r="HN27">
            <v>1</v>
          </cell>
          <cell r="HO27">
            <v>2</v>
          </cell>
          <cell r="HP27">
            <v>12</v>
          </cell>
          <cell r="HQ27">
            <v>3</v>
          </cell>
          <cell r="HR27">
            <v>18</v>
          </cell>
          <cell r="HT27">
            <v>23</v>
          </cell>
          <cell r="HU27">
            <v>1440</v>
          </cell>
          <cell r="HV27">
            <v>7000</v>
          </cell>
          <cell r="HW27">
            <v>10000</v>
          </cell>
          <cell r="HX27">
            <v>830</v>
          </cell>
          <cell r="HY27">
            <v>650</v>
          </cell>
          <cell r="HZ27">
            <v>1380</v>
          </cell>
          <cell r="IA27">
            <v>1090</v>
          </cell>
          <cell r="IF27">
            <v>23</v>
          </cell>
          <cell r="IG27">
            <v>115</v>
          </cell>
          <cell r="IH27">
            <v>17.25</v>
          </cell>
        </row>
        <row r="28">
          <cell r="A28">
            <v>24</v>
          </cell>
          <cell r="B28">
            <v>280</v>
          </cell>
          <cell r="C28">
            <v>120</v>
          </cell>
          <cell r="D28">
            <v>24</v>
          </cell>
          <cell r="E28">
            <v>20</v>
          </cell>
          <cell r="F28">
            <v>44</v>
          </cell>
          <cell r="G28">
            <v>37</v>
          </cell>
          <cell r="H28">
            <v>34</v>
          </cell>
          <cell r="I28">
            <v>34</v>
          </cell>
          <cell r="J28">
            <v>37</v>
          </cell>
          <cell r="K28">
            <v>34</v>
          </cell>
          <cell r="L28">
            <v>23</v>
          </cell>
          <cell r="M28">
            <v>37</v>
          </cell>
          <cell r="N28">
            <v>40</v>
          </cell>
          <cell r="O28">
            <v>30</v>
          </cell>
          <cell r="P28">
            <v>40</v>
          </cell>
          <cell r="Q28">
            <v>47</v>
          </cell>
          <cell r="R28">
            <v>33.5</v>
          </cell>
          <cell r="S28">
            <v>37</v>
          </cell>
          <cell r="T28">
            <v>37</v>
          </cell>
          <cell r="U28">
            <v>32</v>
          </cell>
          <cell r="V28">
            <v>38.5</v>
          </cell>
          <cell r="W28">
            <v>40.5</v>
          </cell>
          <cell r="X28">
            <v>44</v>
          </cell>
          <cell r="Y28">
            <v>37</v>
          </cell>
          <cell r="Z28">
            <v>40</v>
          </cell>
          <cell r="AA28">
            <v>34</v>
          </cell>
          <cell r="AB28">
            <v>40</v>
          </cell>
          <cell r="AC28">
            <v>47</v>
          </cell>
          <cell r="AD28">
            <v>93</v>
          </cell>
          <cell r="AE28">
            <v>2825</v>
          </cell>
          <cell r="AF28">
            <v>21</v>
          </cell>
          <cell r="AG28">
            <v>42</v>
          </cell>
          <cell r="AH28">
            <v>400</v>
          </cell>
          <cell r="AI28">
            <v>400</v>
          </cell>
          <cell r="AJ28">
            <v>170</v>
          </cell>
          <cell r="AK28">
            <v>268</v>
          </cell>
          <cell r="AL28">
            <v>170</v>
          </cell>
          <cell r="AM28">
            <v>76</v>
          </cell>
          <cell r="AN28">
            <v>170</v>
          </cell>
          <cell r="AO28">
            <v>2215</v>
          </cell>
          <cell r="AP28">
            <v>24</v>
          </cell>
          <cell r="AQ28">
            <v>48</v>
          </cell>
          <cell r="AR28">
            <v>1080</v>
          </cell>
          <cell r="AS28">
            <v>1080</v>
          </cell>
          <cell r="AT28">
            <v>9.8571428571428577</v>
          </cell>
          <cell r="AU28">
            <v>15.666666666666668</v>
          </cell>
          <cell r="AV28">
            <v>10.714285714285715</v>
          </cell>
          <cell r="AW28">
            <v>16.666666666666668</v>
          </cell>
          <cell r="AX28">
            <v>100</v>
          </cell>
          <cell r="AZ28">
            <v>93</v>
          </cell>
          <cell r="BA28">
            <v>76</v>
          </cell>
          <cell r="BB28">
            <v>84</v>
          </cell>
          <cell r="BC28">
            <v>1344</v>
          </cell>
          <cell r="BD28">
            <v>3103</v>
          </cell>
          <cell r="BR28">
            <v>73</v>
          </cell>
          <cell r="BS28">
            <v>553</v>
          </cell>
          <cell r="BT28">
            <v>110</v>
          </cell>
          <cell r="BU28">
            <v>138</v>
          </cell>
          <cell r="GZ28">
            <v>209</v>
          </cell>
          <cell r="HA28">
            <v>209</v>
          </cell>
          <cell r="HB28">
            <v>120</v>
          </cell>
          <cell r="HC28">
            <v>6</v>
          </cell>
          <cell r="HD28">
            <v>1440</v>
          </cell>
          <cell r="HE28">
            <v>5</v>
          </cell>
          <cell r="HF28">
            <v>5</v>
          </cell>
          <cell r="HG28">
            <v>1</v>
          </cell>
          <cell r="HH28">
            <v>1</v>
          </cell>
          <cell r="HI28">
            <v>1</v>
          </cell>
          <cell r="HJ28">
            <v>1</v>
          </cell>
          <cell r="HK28">
            <v>2</v>
          </cell>
          <cell r="HL28">
            <v>3</v>
          </cell>
          <cell r="HM28">
            <v>1</v>
          </cell>
          <cell r="HN28">
            <v>1</v>
          </cell>
          <cell r="HO28">
            <v>2</v>
          </cell>
          <cell r="HP28">
            <v>12</v>
          </cell>
          <cell r="HQ28">
            <v>3</v>
          </cell>
          <cell r="HR28">
            <v>18</v>
          </cell>
          <cell r="HT28">
            <v>24</v>
          </cell>
          <cell r="HU28">
            <v>1440</v>
          </cell>
          <cell r="HV28">
            <v>7000</v>
          </cell>
          <cell r="HW28">
            <v>10000</v>
          </cell>
          <cell r="HX28">
            <v>850</v>
          </cell>
          <cell r="HY28">
            <v>660</v>
          </cell>
          <cell r="HZ28">
            <v>1410</v>
          </cell>
          <cell r="IA28">
            <v>1110</v>
          </cell>
          <cell r="IF28">
            <v>24</v>
          </cell>
          <cell r="IG28">
            <v>120</v>
          </cell>
          <cell r="IH28">
            <v>18</v>
          </cell>
        </row>
        <row r="29">
          <cell r="A29">
            <v>25</v>
          </cell>
          <cell r="B29">
            <v>290</v>
          </cell>
          <cell r="C29">
            <v>125</v>
          </cell>
          <cell r="D29">
            <v>25</v>
          </cell>
          <cell r="E29">
            <v>20</v>
          </cell>
          <cell r="F29">
            <v>45</v>
          </cell>
          <cell r="G29">
            <v>38</v>
          </cell>
          <cell r="H29">
            <v>35</v>
          </cell>
          <cell r="I29">
            <v>35</v>
          </cell>
          <cell r="J29">
            <v>38</v>
          </cell>
          <cell r="K29">
            <v>35</v>
          </cell>
          <cell r="L29">
            <v>24</v>
          </cell>
          <cell r="M29">
            <v>38</v>
          </cell>
          <cell r="N29">
            <v>42</v>
          </cell>
          <cell r="O29">
            <v>31</v>
          </cell>
          <cell r="P29">
            <v>42</v>
          </cell>
          <cell r="Q29">
            <v>49</v>
          </cell>
          <cell r="R29">
            <v>34.5</v>
          </cell>
          <cell r="S29">
            <v>38</v>
          </cell>
          <cell r="T29">
            <v>38.5</v>
          </cell>
          <cell r="U29">
            <v>33</v>
          </cell>
          <cell r="V29">
            <v>40</v>
          </cell>
          <cell r="W29">
            <v>42</v>
          </cell>
          <cell r="X29">
            <v>45</v>
          </cell>
          <cell r="Y29">
            <v>38</v>
          </cell>
          <cell r="Z29">
            <v>42</v>
          </cell>
          <cell r="AA29">
            <v>35</v>
          </cell>
          <cell r="AB29">
            <v>42</v>
          </cell>
          <cell r="AC29">
            <v>49</v>
          </cell>
          <cell r="AD29">
            <v>95.5</v>
          </cell>
          <cell r="AE29">
            <v>2900</v>
          </cell>
          <cell r="AF29">
            <v>22</v>
          </cell>
          <cell r="AG29">
            <v>44</v>
          </cell>
          <cell r="AH29">
            <v>420</v>
          </cell>
          <cell r="AI29">
            <v>420</v>
          </cell>
          <cell r="AJ29">
            <v>175</v>
          </cell>
          <cell r="AK29">
            <v>280</v>
          </cell>
          <cell r="AL29">
            <v>175</v>
          </cell>
          <cell r="AM29">
            <v>79.7</v>
          </cell>
          <cell r="AN29">
            <v>175</v>
          </cell>
          <cell r="AO29">
            <v>2305</v>
          </cell>
          <cell r="AP29">
            <v>25</v>
          </cell>
          <cell r="AQ29">
            <v>50</v>
          </cell>
          <cell r="AR29">
            <v>1125</v>
          </cell>
          <cell r="AS29">
            <v>1125</v>
          </cell>
          <cell r="AT29">
            <v>10</v>
          </cell>
          <cell r="AU29">
            <v>15.833333333333332</v>
          </cell>
          <cell r="AV29">
            <v>11</v>
          </cell>
          <cell r="AW29">
            <v>17</v>
          </cell>
          <cell r="AX29">
            <v>100</v>
          </cell>
          <cell r="AZ29">
            <v>95.5</v>
          </cell>
          <cell r="BA29">
            <v>79.7</v>
          </cell>
          <cell r="BB29">
            <v>87</v>
          </cell>
          <cell r="BC29">
            <v>1392</v>
          </cell>
          <cell r="BD29">
            <v>3186</v>
          </cell>
          <cell r="BR29">
            <v>76</v>
          </cell>
          <cell r="BS29">
            <v>576</v>
          </cell>
          <cell r="BT29">
            <v>115</v>
          </cell>
          <cell r="BU29">
            <v>144</v>
          </cell>
          <cell r="GZ29">
            <v>209</v>
          </cell>
          <cell r="HA29">
            <v>209</v>
          </cell>
          <cell r="HB29">
            <v>124</v>
          </cell>
          <cell r="HC29">
            <v>6</v>
          </cell>
          <cell r="HD29">
            <v>1440</v>
          </cell>
          <cell r="HE29">
            <v>5</v>
          </cell>
          <cell r="HF29">
            <v>5</v>
          </cell>
          <cell r="HG29">
            <v>1</v>
          </cell>
          <cell r="HH29">
            <v>1</v>
          </cell>
          <cell r="HI29">
            <v>1</v>
          </cell>
          <cell r="HJ29">
            <v>1</v>
          </cell>
          <cell r="HK29">
            <v>2</v>
          </cell>
          <cell r="HL29">
            <v>3</v>
          </cell>
          <cell r="HM29">
            <v>1</v>
          </cell>
          <cell r="HN29">
            <v>1</v>
          </cell>
          <cell r="HO29">
            <v>2</v>
          </cell>
          <cell r="HP29">
            <v>12</v>
          </cell>
          <cell r="HQ29">
            <v>3</v>
          </cell>
          <cell r="HR29">
            <v>18</v>
          </cell>
          <cell r="HT29">
            <v>25</v>
          </cell>
          <cell r="HU29">
            <v>1440</v>
          </cell>
          <cell r="HV29">
            <v>7000</v>
          </cell>
          <cell r="HW29">
            <v>10000</v>
          </cell>
          <cell r="HX29">
            <v>870</v>
          </cell>
          <cell r="HY29">
            <v>690</v>
          </cell>
          <cell r="HZ29">
            <v>1450</v>
          </cell>
          <cell r="IA29">
            <v>1150</v>
          </cell>
          <cell r="IF29">
            <v>25</v>
          </cell>
          <cell r="IG29">
            <v>124</v>
          </cell>
          <cell r="IH29">
            <v>18.600000000000001</v>
          </cell>
        </row>
        <row r="30">
          <cell r="A30">
            <v>26</v>
          </cell>
          <cell r="B30">
            <v>300</v>
          </cell>
          <cell r="C30">
            <v>130</v>
          </cell>
          <cell r="D30">
            <v>26</v>
          </cell>
          <cell r="E30">
            <v>20</v>
          </cell>
          <cell r="F30">
            <v>46</v>
          </cell>
          <cell r="G30">
            <v>39</v>
          </cell>
          <cell r="H30">
            <v>36</v>
          </cell>
          <cell r="I30">
            <v>36</v>
          </cell>
          <cell r="J30">
            <v>39</v>
          </cell>
          <cell r="K30">
            <v>36</v>
          </cell>
          <cell r="L30">
            <v>25</v>
          </cell>
          <cell r="M30">
            <v>39</v>
          </cell>
          <cell r="N30">
            <v>43</v>
          </cell>
          <cell r="O30">
            <v>32</v>
          </cell>
          <cell r="P30">
            <v>43</v>
          </cell>
          <cell r="Q30">
            <v>50</v>
          </cell>
          <cell r="R30">
            <v>35.5</v>
          </cell>
          <cell r="S30">
            <v>39</v>
          </cell>
          <cell r="T30">
            <v>39.5</v>
          </cell>
          <cell r="U30">
            <v>34</v>
          </cell>
          <cell r="V30">
            <v>41</v>
          </cell>
          <cell r="W30">
            <v>43</v>
          </cell>
          <cell r="X30">
            <v>46</v>
          </cell>
          <cell r="Y30">
            <v>39</v>
          </cell>
          <cell r="Z30">
            <v>43</v>
          </cell>
          <cell r="AA30">
            <v>36</v>
          </cell>
          <cell r="AB30">
            <v>43</v>
          </cell>
          <cell r="AC30">
            <v>50</v>
          </cell>
          <cell r="AD30">
            <v>98.000000000000014</v>
          </cell>
          <cell r="AE30">
            <v>2975</v>
          </cell>
          <cell r="AF30">
            <v>22</v>
          </cell>
          <cell r="AG30">
            <v>44</v>
          </cell>
          <cell r="AH30">
            <v>430</v>
          </cell>
          <cell r="AI30">
            <v>430</v>
          </cell>
          <cell r="AJ30">
            <v>180</v>
          </cell>
          <cell r="AK30">
            <v>287</v>
          </cell>
          <cell r="AL30">
            <v>180</v>
          </cell>
          <cell r="AM30">
            <v>81.8</v>
          </cell>
          <cell r="AN30">
            <v>180</v>
          </cell>
          <cell r="AO30">
            <v>2350</v>
          </cell>
          <cell r="AP30">
            <v>26</v>
          </cell>
          <cell r="AQ30">
            <v>52</v>
          </cell>
          <cell r="AR30">
            <v>1170</v>
          </cell>
          <cell r="AS30">
            <v>1170</v>
          </cell>
          <cell r="AT30">
            <v>10.142857142857142</v>
          </cell>
          <cell r="AU30">
            <v>16</v>
          </cell>
          <cell r="AV30">
            <v>11.142857142857142</v>
          </cell>
          <cell r="AW30">
            <v>17.166666666666668</v>
          </cell>
          <cell r="AX30">
            <v>100</v>
          </cell>
          <cell r="AZ30">
            <v>98.000000000000014</v>
          </cell>
          <cell r="BA30">
            <v>81.8</v>
          </cell>
          <cell r="BB30">
            <v>89</v>
          </cell>
          <cell r="BC30">
            <v>1424</v>
          </cell>
          <cell r="BD30">
            <v>3268</v>
          </cell>
          <cell r="BR30">
            <v>78</v>
          </cell>
          <cell r="BS30">
            <v>587</v>
          </cell>
          <cell r="BT30">
            <v>117</v>
          </cell>
          <cell r="BU30">
            <v>146</v>
          </cell>
          <cell r="GZ30">
            <v>209</v>
          </cell>
          <cell r="HA30">
            <v>211</v>
          </cell>
          <cell r="HB30">
            <v>128</v>
          </cell>
          <cell r="HC30">
            <v>7</v>
          </cell>
          <cell r="HD30">
            <v>1680</v>
          </cell>
          <cell r="HE30">
            <v>6</v>
          </cell>
          <cell r="HF30">
            <v>6</v>
          </cell>
          <cell r="HG30">
            <v>1</v>
          </cell>
          <cell r="HH30">
            <v>1</v>
          </cell>
          <cell r="HI30">
            <v>1</v>
          </cell>
          <cell r="HJ30">
            <v>1</v>
          </cell>
          <cell r="HK30">
            <v>2</v>
          </cell>
          <cell r="HL30">
            <v>3</v>
          </cell>
          <cell r="HM30">
            <v>1</v>
          </cell>
          <cell r="HN30">
            <v>1</v>
          </cell>
          <cell r="HO30">
            <v>2</v>
          </cell>
          <cell r="HP30">
            <v>14</v>
          </cell>
          <cell r="HQ30">
            <v>3</v>
          </cell>
          <cell r="HR30">
            <v>21</v>
          </cell>
          <cell r="HT30">
            <v>26</v>
          </cell>
          <cell r="HU30">
            <v>1680</v>
          </cell>
          <cell r="HV30">
            <v>8000</v>
          </cell>
          <cell r="HW30">
            <v>12000</v>
          </cell>
          <cell r="HX30">
            <v>890</v>
          </cell>
          <cell r="HY30">
            <v>710</v>
          </cell>
          <cell r="HZ30">
            <v>1490</v>
          </cell>
          <cell r="IA30">
            <v>1180</v>
          </cell>
          <cell r="IF30">
            <v>26</v>
          </cell>
          <cell r="IG30">
            <v>128</v>
          </cell>
          <cell r="IH30">
            <v>19.2</v>
          </cell>
        </row>
        <row r="31">
          <cell r="A31">
            <v>27</v>
          </cell>
          <cell r="B31">
            <v>310</v>
          </cell>
          <cell r="C31">
            <v>135</v>
          </cell>
          <cell r="D31">
            <v>27</v>
          </cell>
          <cell r="E31">
            <v>20</v>
          </cell>
          <cell r="F31">
            <v>48</v>
          </cell>
          <cell r="G31">
            <v>40</v>
          </cell>
          <cell r="H31">
            <v>37</v>
          </cell>
          <cell r="I31">
            <v>37</v>
          </cell>
          <cell r="J31">
            <v>40</v>
          </cell>
          <cell r="K31">
            <v>37</v>
          </cell>
          <cell r="L31">
            <v>25</v>
          </cell>
          <cell r="M31">
            <v>40</v>
          </cell>
          <cell r="N31">
            <v>44</v>
          </cell>
          <cell r="O31">
            <v>33</v>
          </cell>
          <cell r="P31">
            <v>44</v>
          </cell>
          <cell r="Q31">
            <v>51</v>
          </cell>
          <cell r="R31">
            <v>36.5</v>
          </cell>
          <cell r="S31">
            <v>40</v>
          </cell>
          <cell r="T31">
            <v>40.5</v>
          </cell>
          <cell r="U31">
            <v>35</v>
          </cell>
          <cell r="V31">
            <v>42</v>
          </cell>
          <cell r="W31">
            <v>44</v>
          </cell>
          <cell r="X31">
            <v>48</v>
          </cell>
          <cell r="Y31">
            <v>40</v>
          </cell>
          <cell r="Z31">
            <v>44</v>
          </cell>
          <cell r="AA31">
            <v>37</v>
          </cell>
          <cell r="AB31">
            <v>44</v>
          </cell>
          <cell r="AC31">
            <v>51</v>
          </cell>
          <cell r="AD31">
            <v>101.80000000000001</v>
          </cell>
          <cell r="AE31">
            <v>3050</v>
          </cell>
          <cell r="AF31">
            <v>23</v>
          </cell>
          <cell r="AG31">
            <v>46</v>
          </cell>
          <cell r="AH31">
            <v>440.00000000000006</v>
          </cell>
          <cell r="AI31">
            <v>440.00000000000006</v>
          </cell>
          <cell r="AJ31">
            <v>185</v>
          </cell>
          <cell r="AK31">
            <v>294</v>
          </cell>
          <cell r="AL31">
            <v>185</v>
          </cell>
          <cell r="AM31">
            <v>83.9</v>
          </cell>
          <cell r="AN31">
            <v>185</v>
          </cell>
          <cell r="AO31">
            <v>2395</v>
          </cell>
          <cell r="AP31">
            <v>26</v>
          </cell>
          <cell r="AQ31">
            <v>52</v>
          </cell>
          <cell r="AR31">
            <v>1215</v>
          </cell>
          <cell r="AS31">
            <v>1215</v>
          </cell>
          <cell r="AT31">
            <v>10.285714285714285</v>
          </cell>
          <cell r="AU31">
            <v>16.166666666666668</v>
          </cell>
          <cell r="AV31">
            <v>11.285714285714285</v>
          </cell>
          <cell r="AW31">
            <v>17.333333333333332</v>
          </cell>
          <cell r="AX31">
            <v>100</v>
          </cell>
          <cell r="AZ31">
            <v>101.80000000000001</v>
          </cell>
          <cell r="BA31">
            <v>83.9</v>
          </cell>
          <cell r="BB31">
            <v>92</v>
          </cell>
          <cell r="BC31">
            <v>1472</v>
          </cell>
          <cell r="BD31">
            <v>3351</v>
          </cell>
          <cell r="BR31">
            <v>79</v>
          </cell>
          <cell r="BS31">
            <v>598</v>
          </cell>
          <cell r="BT31">
            <v>119</v>
          </cell>
          <cell r="BU31">
            <v>149</v>
          </cell>
          <cell r="GZ31">
            <v>209</v>
          </cell>
          <cell r="HA31">
            <v>211</v>
          </cell>
          <cell r="HB31">
            <v>132</v>
          </cell>
          <cell r="HC31">
            <v>7</v>
          </cell>
          <cell r="HD31">
            <v>1680</v>
          </cell>
          <cell r="HE31">
            <v>6</v>
          </cell>
          <cell r="HF31">
            <v>6</v>
          </cell>
          <cell r="HG31">
            <v>1</v>
          </cell>
          <cell r="HH31">
            <v>1</v>
          </cell>
          <cell r="HI31">
            <v>1</v>
          </cell>
          <cell r="HJ31">
            <v>1</v>
          </cell>
          <cell r="HK31">
            <v>2</v>
          </cell>
          <cell r="HL31">
            <v>3</v>
          </cell>
          <cell r="HM31">
            <v>1</v>
          </cell>
          <cell r="HN31">
            <v>1</v>
          </cell>
          <cell r="HO31">
            <v>2</v>
          </cell>
          <cell r="HP31">
            <v>14</v>
          </cell>
          <cell r="HQ31">
            <v>3</v>
          </cell>
          <cell r="HR31">
            <v>21</v>
          </cell>
          <cell r="HT31">
            <v>27</v>
          </cell>
          <cell r="HU31">
            <v>1680</v>
          </cell>
          <cell r="HV31">
            <v>8000</v>
          </cell>
          <cell r="HW31">
            <v>12000</v>
          </cell>
          <cell r="HX31">
            <v>920</v>
          </cell>
          <cell r="HY31">
            <v>720</v>
          </cell>
          <cell r="HZ31">
            <v>1530</v>
          </cell>
          <cell r="IA31">
            <v>1200</v>
          </cell>
          <cell r="IF31">
            <v>27</v>
          </cell>
          <cell r="IG31">
            <v>132</v>
          </cell>
          <cell r="IH31">
            <v>19.8</v>
          </cell>
        </row>
        <row r="32">
          <cell r="A32">
            <v>28</v>
          </cell>
          <cell r="B32">
            <v>320</v>
          </cell>
          <cell r="C32">
            <v>140</v>
          </cell>
          <cell r="D32">
            <v>28</v>
          </cell>
          <cell r="E32">
            <v>20</v>
          </cell>
          <cell r="F32">
            <v>49</v>
          </cell>
          <cell r="G32">
            <v>41</v>
          </cell>
          <cell r="H32">
            <v>38</v>
          </cell>
          <cell r="I32">
            <v>38</v>
          </cell>
          <cell r="J32">
            <v>41</v>
          </cell>
          <cell r="K32">
            <v>38</v>
          </cell>
          <cell r="L32">
            <v>26</v>
          </cell>
          <cell r="M32">
            <v>41</v>
          </cell>
          <cell r="N32">
            <v>45</v>
          </cell>
          <cell r="O32">
            <v>34</v>
          </cell>
          <cell r="P32">
            <v>45</v>
          </cell>
          <cell r="Q32">
            <v>53</v>
          </cell>
          <cell r="R32">
            <v>37.5</v>
          </cell>
          <cell r="S32">
            <v>41</v>
          </cell>
          <cell r="T32">
            <v>41.5</v>
          </cell>
          <cell r="U32">
            <v>36</v>
          </cell>
          <cell r="V32">
            <v>43</v>
          </cell>
          <cell r="W32">
            <v>45.5</v>
          </cell>
          <cell r="X32">
            <v>49</v>
          </cell>
          <cell r="Y32">
            <v>41</v>
          </cell>
          <cell r="Z32">
            <v>45</v>
          </cell>
          <cell r="AA32">
            <v>38</v>
          </cell>
          <cell r="AB32">
            <v>45</v>
          </cell>
          <cell r="AC32">
            <v>53</v>
          </cell>
          <cell r="AD32">
            <v>104.3</v>
          </cell>
          <cell r="AE32">
            <v>3125</v>
          </cell>
          <cell r="AF32">
            <v>23</v>
          </cell>
          <cell r="AG32">
            <v>46</v>
          </cell>
          <cell r="AH32">
            <v>450</v>
          </cell>
          <cell r="AI32">
            <v>450</v>
          </cell>
          <cell r="AJ32">
            <v>190</v>
          </cell>
          <cell r="AK32">
            <v>301</v>
          </cell>
          <cell r="AL32">
            <v>190</v>
          </cell>
          <cell r="AM32">
            <v>86</v>
          </cell>
          <cell r="AN32">
            <v>190</v>
          </cell>
          <cell r="AO32">
            <v>2485</v>
          </cell>
          <cell r="AP32">
            <v>27</v>
          </cell>
          <cell r="AQ32">
            <v>54</v>
          </cell>
          <cell r="AR32">
            <v>1260</v>
          </cell>
          <cell r="AS32">
            <v>1260</v>
          </cell>
          <cell r="AT32">
            <v>10.428571428571429</v>
          </cell>
          <cell r="AU32">
            <v>16.333333333333332</v>
          </cell>
          <cell r="AV32">
            <v>11.428571428571429</v>
          </cell>
          <cell r="AW32">
            <v>17.5</v>
          </cell>
          <cell r="AX32">
            <v>100</v>
          </cell>
          <cell r="AZ32">
            <v>104.3</v>
          </cell>
          <cell r="BA32">
            <v>86</v>
          </cell>
          <cell r="BB32">
            <v>95</v>
          </cell>
          <cell r="BC32">
            <v>1520</v>
          </cell>
          <cell r="BD32">
            <v>3433</v>
          </cell>
          <cell r="BR32">
            <v>82</v>
          </cell>
          <cell r="BS32">
            <v>621</v>
          </cell>
          <cell r="BT32">
            <v>124</v>
          </cell>
          <cell r="BU32">
            <v>155</v>
          </cell>
          <cell r="GZ32">
            <v>209</v>
          </cell>
          <cell r="HA32">
            <v>211</v>
          </cell>
          <cell r="HB32">
            <v>135</v>
          </cell>
          <cell r="HC32">
            <v>7</v>
          </cell>
          <cell r="HD32">
            <v>1680</v>
          </cell>
          <cell r="HE32">
            <v>6</v>
          </cell>
          <cell r="HF32">
            <v>6</v>
          </cell>
          <cell r="HG32">
            <v>1</v>
          </cell>
          <cell r="HH32">
            <v>1</v>
          </cell>
          <cell r="HI32">
            <v>1</v>
          </cell>
          <cell r="HJ32">
            <v>1</v>
          </cell>
          <cell r="HK32">
            <v>2</v>
          </cell>
          <cell r="HL32">
            <v>3</v>
          </cell>
          <cell r="HM32">
            <v>1</v>
          </cell>
          <cell r="HN32">
            <v>1</v>
          </cell>
          <cell r="HO32">
            <v>2</v>
          </cell>
          <cell r="HP32">
            <v>14</v>
          </cell>
          <cell r="HQ32">
            <v>3</v>
          </cell>
          <cell r="HR32">
            <v>21</v>
          </cell>
          <cell r="HT32">
            <v>28</v>
          </cell>
          <cell r="HU32">
            <v>1680</v>
          </cell>
          <cell r="HV32">
            <v>8000</v>
          </cell>
          <cell r="HW32">
            <v>12000</v>
          </cell>
          <cell r="HX32">
            <v>940</v>
          </cell>
          <cell r="HY32">
            <v>750</v>
          </cell>
          <cell r="HZ32">
            <v>1560</v>
          </cell>
          <cell r="IA32">
            <v>1240</v>
          </cell>
          <cell r="IF32">
            <v>28</v>
          </cell>
          <cell r="IG32">
            <v>135</v>
          </cell>
          <cell r="IH32">
            <v>20.25</v>
          </cell>
        </row>
        <row r="33">
          <cell r="A33">
            <v>29</v>
          </cell>
          <cell r="B33">
            <v>330</v>
          </cell>
          <cell r="C33">
            <v>145</v>
          </cell>
          <cell r="D33">
            <v>29</v>
          </cell>
          <cell r="E33">
            <v>20</v>
          </cell>
          <cell r="F33">
            <v>50</v>
          </cell>
          <cell r="G33">
            <v>42</v>
          </cell>
          <cell r="H33">
            <v>39</v>
          </cell>
          <cell r="I33">
            <v>39</v>
          </cell>
          <cell r="J33">
            <v>42</v>
          </cell>
          <cell r="K33">
            <v>39</v>
          </cell>
          <cell r="L33">
            <v>27</v>
          </cell>
          <cell r="M33">
            <v>42</v>
          </cell>
          <cell r="N33">
            <v>46</v>
          </cell>
          <cell r="O33">
            <v>35</v>
          </cell>
          <cell r="P33">
            <v>46</v>
          </cell>
          <cell r="Q33">
            <v>54</v>
          </cell>
          <cell r="R33">
            <v>38.5</v>
          </cell>
          <cell r="S33">
            <v>42</v>
          </cell>
          <cell r="T33">
            <v>42.5</v>
          </cell>
          <cell r="U33">
            <v>37</v>
          </cell>
          <cell r="V33">
            <v>44</v>
          </cell>
          <cell r="W33">
            <v>46.5</v>
          </cell>
          <cell r="X33">
            <v>50</v>
          </cell>
          <cell r="Y33">
            <v>42</v>
          </cell>
          <cell r="Z33">
            <v>46</v>
          </cell>
          <cell r="AA33">
            <v>39</v>
          </cell>
          <cell r="AB33">
            <v>46</v>
          </cell>
          <cell r="AC33">
            <v>54</v>
          </cell>
          <cell r="AD33">
            <v>106.8</v>
          </cell>
          <cell r="AE33">
            <v>3200</v>
          </cell>
          <cell r="AF33">
            <v>24</v>
          </cell>
          <cell r="AG33">
            <v>48</v>
          </cell>
          <cell r="AH33">
            <v>459.99999999999994</v>
          </cell>
          <cell r="AI33">
            <v>459.99999999999994</v>
          </cell>
          <cell r="AJ33">
            <v>195</v>
          </cell>
          <cell r="AK33">
            <v>308</v>
          </cell>
          <cell r="AL33">
            <v>195</v>
          </cell>
          <cell r="AM33">
            <v>88.1</v>
          </cell>
          <cell r="AN33">
            <v>195</v>
          </cell>
          <cell r="AO33">
            <v>2530</v>
          </cell>
          <cell r="AP33">
            <v>28</v>
          </cell>
          <cell r="AQ33">
            <v>56</v>
          </cell>
          <cell r="AR33">
            <v>1305</v>
          </cell>
          <cell r="AS33">
            <v>1305</v>
          </cell>
          <cell r="AT33">
            <v>10.571428571428571</v>
          </cell>
          <cell r="AU33">
            <v>16.5</v>
          </cell>
          <cell r="AV33">
            <v>11.571428571428571</v>
          </cell>
          <cell r="AW33">
            <v>17.666666666666668</v>
          </cell>
          <cell r="AX33">
            <v>100</v>
          </cell>
          <cell r="AZ33">
            <v>106.8</v>
          </cell>
          <cell r="BA33">
            <v>88.1</v>
          </cell>
          <cell r="BB33">
            <v>97</v>
          </cell>
          <cell r="BC33">
            <v>1552</v>
          </cell>
          <cell r="BD33">
            <v>3516</v>
          </cell>
          <cell r="BR33">
            <v>84</v>
          </cell>
          <cell r="BS33">
            <v>632</v>
          </cell>
          <cell r="BT33">
            <v>126</v>
          </cell>
          <cell r="BU33">
            <v>158</v>
          </cell>
          <cell r="GZ33">
            <v>209</v>
          </cell>
          <cell r="HA33">
            <v>211</v>
          </cell>
          <cell r="HB33">
            <v>138</v>
          </cell>
          <cell r="HC33">
            <v>7</v>
          </cell>
          <cell r="HD33">
            <v>1680</v>
          </cell>
          <cell r="HE33">
            <v>6</v>
          </cell>
          <cell r="HF33">
            <v>6</v>
          </cell>
          <cell r="HG33">
            <v>1</v>
          </cell>
          <cell r="HH33">
            <v>1</v>
          </cell>
          <cell r="HI33">
            <v>1</v>
          </cell>
          <cell r="HJ33">
            <v>1</v>
          </cell>
          <cell r="HK33">
            <v>2</v>
          </cell>
          <cell r="HL33">
            <v>3</v>
          </cell>
          <cell r="HM33">
            <v>1</v>
          </cell>
          <cell r="HN33">
            <v>1</v>
          </cell>
          <cell r="HO33">
            <v>2</v>
          </cell>
          <cell r="HP33">
            <v>14</v>
          </cell>
          <cell r="HQ33">
            <v>3</v>
          </cell>
          <cell r="HR33">
            <v>21</v>
          </cell>
          <cell r="HT33">
            <v>29</v>
          </cell>
          <cell r="HU33">
            <v>1680</v>
          </cell>
          <cell r="HV33">
            <v>8000</v>
          </cell>
          <cell r="HW33">
            <v>12000</v>
          </cell>
          <cell r="HX33">
            <v>960</v>
          </cell>
          <cell r="HY33">
            <v>760</v>
          </cell>
          <cell r="HZ33">
            <v>1600</v>
          </cell>
          <cell r="IA33">
            <v>1270</v>
          </cell>
          <cell r="IF33">
            <v>29</v>
          </cell>
          <cell r="IG33">
            <v>138</v>
          </cell>
          <cell r="IH33">
            <v>20.7</v>
          </cell>
        </row>
        <row r="34">
          <cell r="A34">
            <v>30</v>
          </cell>
          <cell r="B34">
            <v>340</v>
          </cell>
          <cell r="C34">
            <v>150</v>
          </cell>
          <cell r="D34">
            <v>30</v>
          </cell>
          <cell r="E34">
            <v>20</v>
          </cell>
          <cell r="F34">
            <v>52</v>
          </cell>
          <cell r="G34">
            <v>44</v>
          </cell>
          <cell r="H34">
            <v>40</v>
          </cell>
          <cell r="I34">
            <v>40</v>
          </cell>
          <cell r="J34">
            <v>44</v>
          </cell>
          <cell r="K34">
            <v>40</v>
          </cell>
          <cell r="L34">
            <v>28</v>
          </cell>
          <cell r="M34">
            <v>44</v>
          </cell>
          <cell r="N34">
            <v>48</v>
          </cell>
          <cell r="O34">
            <v>36</v>
          </cell>
          <cell r="P34">
            <v>48</v>
          </cell>
          <cell r="Q34">
            <v>56</v>
          </cell>
          <cell r="R34">
            <v>40</v>
          </cell>
          <cell r="S34">
            <v>44</v>
          </cell>
          <cell r="T34">
            <v>44</v>
          </cell>
          <cell r="U34">
            <v>38</v>
          </cell>
          <cell r="V34">
            <v>46</v>
          </cell>
          <cell r="W34">
            <v>48</v>
          </cell>
          <cell r="X34">
            <v>52</v>
          </cell>
          <cell r="Y34">
            <v>44</v>
          </cell>
          <cell r="Z34">
            <v>48</v>
          </cell>
          <cell r="AA34">
            <v>40</v>
          </cell>
          <cell r="AB34">
            <v>48</v>
          </cell>
          <cell r="AC34">
            <v>56</v>
          </cell>
          <cell r="AD34">
            <v>110.60000000000001</v>
          </cell>
          <cell r="AE34">
            <v>3350</v>
          </cell>
          <cell r="AF34">
            <v>25</v>
          </cell>
          <cell r="AG34">
            <v>50</v>
          </cell>
          <cell r="AH34">
            <v>480</v>
          </cell>
          <cell r="AI34">
            <v>480</v>
          </cell>
          <cell r="AJ34">
            <v>200</v>
          </cell>
          <cell r="AK34">
            <v>320</v>
          </cell>
          <cell r="AL34">
            <v>200</v>
          </cell>
          <cell r="AM34">
            <v>91.8</v>
          </cell>
          <cell r="AN34">
            <v>200</v>
          </cell>
          <cell r="AO34">
            <v>2620</v>
          </cell>
          <cell r="AP34">
            <v>29</v>
          </cell>
          <cell r="AQ34">
            <v>58</v>
          </cell>
          <cell r="AR34">
            <v>1350</v>
          </cell>
          <cell r="AS34">
            <v>1350</v>
          </cell>
          <cell r="AT34">
            <v>10.714285714285715</v>
          </cell>
          <cell r="AU34">
            <v>16.666666666666668</v>
          </cell>
          <cell r="AV34">
            <v>11.857142857142858</v>
          </cell>
          <cell r="AW34">
            <v>18</v>
          </cell>
          <cell r="AX34">
            <v>100</v>
          </cell>
          <cell r="AZ34">
            <v>110.60000000000001</v>
          </cell>
          <cell r="BA34">
            <v>91.8</v>
          </cell>
          <cell r="BB34">
            <v>101</v>
          </cell>
          <cell r="BC34">
            <v>1616</v>
          </cell>
          <cell r="BD34">
            <v>3681</v>
          </cell>
          <cell r="BR34">
            <v>87</v>
          </cell>
          <cell r="BS34">
            <v>655</v>
          </cell>
          <cell r="BT34">
            <v>131</v>
          </cell>
          <cell r="BU34">
            <v>163</v>
          </cell>
          <cell r="GZ34">
            <v>211</v>
          </cell>
          <cell r="HA34">
            <v>211</v>
          </cell>
          <cell r="HB34">
            <v>141</v>
          </cell>
          <cell r="HC34">
            <v>7</v>
          </cell>
          <cell r="HD34">
            <v>1680</v>
          </cell>
          <cell r="HE34">
            <v>6</v>
          </cell>
          <cell r="HF34">
            <v>6</v>
          </cell>
          <cell r="HG34">
            <v>1</v>
          </cell>
          <cell r="HH34">
            <v>1</v>
          </cell>
          <cell r="HI34">
            <v>1</v>
          </cell>
          <cell r="HJ34">
            <v>1</v>
          </cell>
          <cell r="HK34">
            <v>2</v>
          </cell>
          <cell r="HL34">
            <v>3</v>
          </cell>
          <cell r="HM34">
            <v>1</v>
          </cell>
          <cell r="HN34">
            <v>1</v>
          </cell>
          <cell r="HO34">
            <v>2</v>
          </cell>
          <cell r="HP34">
            <v>14</v>
          </cell>
          <cell r="HQ34">
            <v>3</v>
          </cell>
          <cell r="HR34">
            <v>21</v>
          </cell>
          <cell r="HT34">
            <v>30</v>
          </cell>
          <cell r="HU34">
            <v>1680</v>
          </cell>
          <cell r="HV34">
            <v>8000</v>
          </cell>
          <cell r="HW34">
            <v>12000</v>
          </cell>
          <cell r="HX34">
            <v>1010</v>
          </cell>
          <cell r="HY34">
            <v>790</v>
          </cell>
          <cell r="HZ34">
            <v>1680</v>
          </cell>
          <cell r="IA34">
            <v>1310</v>
          </cell>
          <cell r="IF34">
            <v>30</v>
          </cell>
          <cell r="IG34">
            <v>141</v>
          </cell>
          <cell r="IH34">
            <v>21.15</v>
          </cell>
        </row>
        <row r="35">
          <cell r="A35">
            <v>31</v>
          </cell>
          <cell r="B35">
            <v>350</v>
          </cell>
          <cell r="C35">
            <v>155</v>
          </cell>
          <cell r="D35">
            <v>31</v>
          </cell>
          <cell r="E35">
            <v>20</v>
          </cell>
          <cell r="F35">
            <v>53</v>
          </cell>
          <cell r="G35">
            <v>45</v>
          </cell>
          <cell r="H35">
            <v>41</v>
          </cell>
          <cell r="I35">
            <v>41</v>
          </cell>
          <cell r="J35">
            <v>45</v>
          </cell>
          <cell r="K35">
            <v>41</v>
          </cell>
          <cell r="L35">
            <v>28</v>
          </cell>
          <cell r="M35">
            <v>45</v>
          </cell>
          <cell r="N35">
            <v>49</v>
          </cell>
          <cell r="O35">
            <v>36</v>
          </cell>
          <cell r="P35">
            <v>49</v>
          </cell>
          <cell r="Q35">
            <v>57</v>
          </cell>
          <cell r="R35">
            <v>40.5</v>
          </cell>
          <cell r="S35">
            <v>45</v>
          </cell>
          <cell r="T35">
            <v>45</v>
          </cell>
          <cell r="U35">
            <v>38.5</v>
          </cell>
          <cell r="V35">
            <v>47</v>
          </cell>
          <cell r="W35">
            <v>49</v>
          </cell>
          <cell r="X35">
            <v>53</v>
          </cell>
          <cell r="Y35">
            <v>45</v>
          </cell>
          <cell r="Z35">
            <v>49</v>
          </cell>
          <cell r="AA35">
            <v>41</v>
          </cell>
          <cell r="AB35">
            <v>49</v>
          </cell>
          <cell r="AC35">
            <v>57</v>
          </cell>
          <cell r="AD35">
            <v>113.10000000000001</v>
          </cell>
          <cell r="AE35">
            <v>3425</v>
          </cell>
          <cell r="AF35">
            <v>25</v>
          </cell>
          <cell r="AG35">
            <v>50</v>
          </cell>
          <cell r="AH35">
            <v>490.00000000000006</v>
          </cell>
          <cell r="AI35">
            <v>490.00000000000006</v>
          </cell>
          <cell r="AJ35">
            <v>204.99999999999997</v>
          </cell>
          <cell r="AK35">
            <v>327</v>
          </cell>
          <cell r="AL35">
            <v>205</v>
          </cell>
          <cell r="AM35">
            <v>93.9</v>
          </cell>
          <cell r="AN35">
            <v>204.99999999999997</v>
          </cell>
          <cell r="AO35">
            <v>2665</v>
          </cell>
          <cell r="AP35">
            <v>29</v>
          </cell>
          <cell r="AQ35">
            <v>58</v>
          </cell>
          <cell r="AR35">
            <v>1395</v>
          </cell>
          <cell r="AS35">
            <v>1395</v>
          </cell>
          <cell r="AT35">
            <v>10.857142857142858</v>
          </cell>
          <cell r="AU35">
            <v>16.833333333333332</v>
          </cell>
          <cell r="AV35">
            <v>12</v>
          </cell>
          <cell r="AW35">
            <v>18.166666666666664</v>
          </cell>
          <cell r="AX35">
            <v>100</v>
          </cell>
          <cell r="AZ35">
            <v>113.10000000000001</v>
          </cell>
          <cell r="BA35">
            <v>93.9</v>
          </cell>
          <cell r="BB35">
            <v>103</v>
          </cell>
          <cell r="BC35">
            <v>1648</v>
          </cell>
          <cell r="BD35">
            <v>3763</v>
          </cell>
          <cell r="BR35">
            <v>88</v>
          </cell>
          <cell r="BS35">
            <v>666</v>
          </cell>
          <cell r="BT35">
            <v>133</v>
          </cell>
          <cell r="BU35">
            <v>166</v>
          </cell>
          <cell r="GZ35">
            <v>211</v>
          </cell>
          <cell r="HA35">
            <v>213</v>
          </cell>
          <cell r="HB35">
            <v>142</v>
          </cell>
          <cell r="HC35">
            <v>7</v>
          </cell>
          <cell r="HD35">
            <v>1680</v>
          </cell>
          <cell r="HE35">
            <v>6</v>
          </cell>
          <cell r="HF35">
            <v>6</v>
          </cell>
          <cell r="HG35">
            <v>1</v>
          </cell>
          <cell r="HH35">
            <v>1</v>
          </cell>
          <cell r="HI35">
            <v>1</v>
          </cell>
          <cell r="HJ35">
            <v>1</v>
          </cell>
          <cell r="HK35">
            <v>2</v>
          </cell>
          <cell r="HL35">
            <v>3</v>
          </cell>
          <cell r="HM35">
            <v>1</v>
          </cell>
          <cell r="HN35">
            <v>1</v>
          </cell>
          <cell r="HO35">
            <v>2</v>
          </cell>
          <cell r="HP35">
            <v>14</v>
          </cell>
          <cell r="HQ35">
            <v>3</v>
          </cell>
          <cell r="HR35">
            <v>21</v>
          </cell>
          <cell r="HT35">
            <v>31</v>
          </cell>
          <cell r="HU35">
            <v>1680</v>
          </cell>
          <cell r="HV35">
            <v>8000</v>
          </cell>
          <cell r="HW35">
            <v>12000</v>
          </cell>
          <cell r="HX35">
            <v>1030</v>
          </cell>
          <cell r="HY35">
            <v>800</v>
          </cell>
          <cell r="HZ35">
            <v>1710</v>
          </cell>
          <cell r="IA35">
            <v>1330</v>
          </cell>
          <cell r="IF35">
            <v>31</v>
          </cell>
          <cell r="IG35">
            <v>142</v>
          </cell>
          <cell r="IH35">
            <v>21.3</v>
          </cell>
        </row>
        <row r="36">
          <cell r="A36">
            <v>32</v>
          </cell>
          <cell r="B36">
            <v>360</v>
          </cell>
          <cell r="C36">
            <v>160</v>
          </cell>
          <cell r="D36">
            <v>32</v>
          </cell>
          <cell r="E36">
            <v>20</v>
          </cell>
          <cell r="F36">
            <v>54</v>
          </cell>
          <cell r="G36">
            <v>46</v>
          </cell>
          <cell r="H36">
            <v>42</v>
          </cell>
          <cell r="I36">
            <v>42</v>
          </cell>
          <cell r="J36">
            <v>46</v>
          </cell>
          <cell r="K36">
            <v>42</v>
          </cell>
          <cell r="L36">
            <v>29</v>
          </cell>
          <cell r="M36">
            <v>46</v>
          </cell>
          <cell r="N36">
            <v>50</v>
          </cell>
          <cell r="O36">
            <v>37</v>
          </cell>
          <cell r="P36">
            <v>50</v>
          </cell>
          <cell r="Q36">
            <v>58</v>
          </cell>
          <cell r="R36">
            <v>41.5</v>
          </cell>
          <cell r="S36">
            <v>46</v>
          </cell>
          <cell r="T36">
            <v>46</v>
          </cell>
          <cell r="U36">
            <v>39.5</v>
          </cell>
          <cell r="V36">
            <v>48</v>
          </cell>
          <cell r="W36">
            <v>50</v>
          </cell>
          <cell r="X36">
            <v>54</v>
          </cell>
          <cell r="Y36">
            <v>46</v>
          </cell>
          <cell r="Z36">
            <v>50</v>
          </cell>
          <cell r="AA36">
            <v>42</v>
          </cell>
          <cell r="AB36">
            <v>50</v>
          </cell>
          <cell r="AC36">
            <v>58</v>
          </cell>
          <cell r="AD36">
            <v>115.6</v>
          </cell>
          <cell r="AE36">
            <v>3500</v>
          </cell>
          <cell r="AF36">
            <v>26</v>
          </cell>
          <cell r="AG36">
            <v>52</v>
          </cell>
          <cell r="AH36">
            <v>500</v>
          </cell>
          <cell r="AI36">
            <v>500</v>
          </cell>
          <cell r="AJ36">
            <v>210</v>
          </cell>
          <cell r="AK36">
            <v>334</v>
          </cell>
          <cell r="AL36">
            <v>210</v>
          </cell>
          <cell r="AM36">
            <v>96</v>
          </cell>
          <cell r="AN36">
            <v>210</v>
          </cell>
          <cell r="AO36">
            <v>2710</v>
          </cell>
          <cell r="AP36">
            <v>30</v>
          </cell>
          <cell r="AQ36">
            <v>60</v>
          </cell>
          <cell r="AR36">
            <v>1440</v>
          </cell>
          <cell r="AS36">
            <v>1440</v>
          </cell>
          <cell r="AT36">
            <v>11</v>
          </cell>
          <cell r="AU36">
            <v>17</v>
          </cell>
          <cell r="AV36">
            <v>12.142857142857142</v>
          </cell>
          <cell r="AW36">
            <v>18.333333333333336</v>
          </cell>
          <cell r="AX36">
            <v>100</v>
          </cell>
          <cell r="AZ36">
            <v>115.6</v>
          </cell>
          <cell r="BA36">
            <v>96</v>
          </cell>
          <cell r="BB36">
            <v>105</v>
          </cell>
          <cell r="BC36">
            <v>1680</v>
          </cell>
          <cell r="BD36">
            <v>3846</v>
          </cell>
          <cell r="BR36">
            <v>90</v>
          </cell>
          <cell r="BS36">
            <v>677</v>
          </cell>
          <cell r="BT36">
            <v>135</v>
          </cell>
          <cell r="BU36">
            <v>169</v>
          </cell>
          <cell r="GZ36">
            <v>211</v>
          </cell>
          <cell r="HA36">
            <v>213</v>
          </cell>
          <cell r="HB36">
            <v>149</v>
          </cell>
          <cell r="HC36">
            <v>8</v>
          </cell>
          <cell r="HD36">
            <v>1920</v>
          </cell>
          <cell r="HE36">
            <v>7</v>
          </cell>
          <cell r="HF36">
            <v>7</v>
          </cell>
          <cell r="HG36">
            <v>1</v>
          </cell>
          <cell r="HH36">
            <v>1</v>
          </cell>
          <cell r="HI36">
            <v>1</v>
          </cell>
          <cell r="HJ36">
            <v>1</v>
          </cell>
          <cell r="HK36">
            <v>2</v>
          </cell>
          <cell r="HL36">
            <v>3</v>
          </cell>
          <cell r="HM36">
            <v>1</v>
          </cell>
          <cell r="HN36">
            <v>1</v>
          </cell>
          <cell r="HO36">
            <v>2</v>
          </cell>
          <cell r="HP36">
            <v>16</v>
          </cell>
          <cell r="HQ36">
            <v>3</v>
          </cell>
          <cell r="HR36">
            <v>24</v>
          </cell>
          <cell r="HT36">
            <v>32</v>
          </cell>
          <cell r="HU36">
            <v>1920</v>
          </cell>
          <cell r="HV36">
            <v>9000</v>
          </cell>
          <cell r="HW36">
            <v>13000</v>
          </cell>
          <cell r="HX36">
            <v>1050</v>
          </cell>
          <cell r="HY36">
            <v>810</v>
          </cell>
          <cell r="HZ36">
            <v>1750</v>
          </cell>
          <cell r="IA36">
            <v>1360</v>
          </cell>
          <cell r="IF36">
            <v>32</v>
          </cell>
          <cell r="IG36">
            <v>149</v>
          </cell>
          <cell r="IH36">
            <v>22.35</v>
          </cell>
        </row>
        <row r="37">
          <cell r="A37">
            <v>33</v>
          </cell>
          <cell r="B37">
            <v>370</v>
          </cell>
          <cell r="C37">
            <v>165</v>
          </cell>
          <cell r="D37">
            <v>33</v>
          </cell>
          <cell r="E37">
            <v>20</v>
          </cell>
          <cell r="F37">
            <v>55</v>
          </cell>
          <cell r="G37">
            <v>47</v>
          </cell>
          <cell r="H37">
            <v>43</v>
          </cell>
          <cell r="I37">
            <v>43</v>
          </cell>
          <cell r="J37">
            <v>47</v>
          </cell>
          <cell r="K37">
            <v>43</v>
          </cell>
          <cell r="L37">
            <v>30</v>
          </cell>
          <cell r="M37">
            <v>47</v>
          </cell>
          <cell r="N37">
            <v>51</v>
          </cell>
          <cell r="O37">
            <v>38</v>
          </cell>
          <cell r="P37">
            <v>51</v>
          </cell>
          <cell r="Q37">
            <v>60</v>
          </cell>
          <cell r="R37">
            <v>42.5</v>
          </cell>
          <cell r="S37">
            <v>47</v>
          </cell>
          <cell r="T37">
            <v>47</v>
          </cell>
          <cell r="U37">
            <v>40.5</v>
          </cell>
          <cell r="V37">
            <v>49</v>
          </cell>
          <cell r="W37">
            <v>51.5</v>
          </cell>
          <cell r="X37">
            <v>55</v>
          </cell>
          <cell r="Y37">
            <v>47</v>
          </cell>
          <cell r="Z37">
            <v>51</v>
          </cell>
          <cell r="AA37">
            <v>43</v>
          </cell>
          <cell r="AB37">
            <v>51</v>
          </cell>
          <cell r="AC37">
            <v>60</v>
          </cell>
          <cell r="AD37">
            <v>118.1</v>
          </cell>
          <cell r="AE37">
            <v>3575</v>
          </cell>
          <cell r="AF37">
            <v>26</v>
          </cell>
          <cell r="AG37">
            <v>52</v>
          </cell>
          <cell r="AH37">
            <v>509.99999999999994</v>
          </cell>
          <cell r="AI37">
            <v>509.99999999999994</v>
          </cell>
          <cell r="AJ37">
            <v>215</v>
          </cell>
          <cell r="AK37">
            <v>341</v>
          </cell>
          <cell r="AL37">
            <v>215</v>
          </cell>
          <cell r="AM37">
            <v>98.1</v>
          </cell>
          <cell r="AN37">
            <v>215</v>
          </cell>
          <cell r="AO37">
            <v>2800</v>
          </cell>
          <cell r="AP37">
            <v>31</v>
          </cell>
          <cell r="AQ37">
            <v>62</v>
          </cell>
          <cell r="AR37">
            <v>1485</v>
          </cell>
          <cell r="AS37">
            <v>1485</v>
          </cell>
          <cell r="AT37">
            <v>11.142857142857142</v>
          </cell>
          <cell r="AU37">
            <v>17.166666666666668</v>
          </cell>
          <cell r="AV37">
            <v>12.285714285714285</v>
          </cell>
          <cell r="AW37">
            <v>18.5</v>
          </cell>
          <cell r="AX37">
            <v>100</v>
          </cell>
          <cell r="AZ37">
            <v>118.1</v>
          </cell>
          <cell r="BA37">
            <v>98.1</v>
          </cell>
          <cell r="BB37">
            <v>108</v>
          </cell>
          <cell r="BC37">
            <v>1728</v>
          </cell>
          <cell r="BD37">
            <v>3928</v>
          </cell>
          <cell r="BR37">
            <v>93</v>
          </cell>
          <cell r="BS37">
            <v>700</v>
          </cell>
          <cell r="BT37">
            <v>140</v>
          </cell>
          <cell r="BU37">
            <v>175</v>
          </cell>
          <cell r="GZ37">
            <v>211</v>
          </cell>
          <cell r="HA37">
            <v>213</v>
          </cell>
          <cell r="HB37">
            <v>156</v>
          </cell>
          <cell r="HC37">
            <v>8</v>
          </cell>
          <cell r="HD37">
            <v>1920</v>
          </cell>
          <cell r="HE37">
            <v>7</v>
          </cell>
          <cell r="HF37">
            <v>7</v>
          </cell>
          <cell r="HG37">
            <v>1</v>
          </cell>
          <cell r="HH37">
            <v>1</v>
          </cell>
          <cell r="HI37">
            <v>1</v>
          </cell>
          <cell r="HJ37">
            <v>1</v>
          </cell>
          <cell r="HK37">
            <v>2</v>
          </cell>
          <cell r="HL37">
            <v>3</v>
          </cell>
          <cell r="HM37">
            <v>1</v>
          </cell>
          <cell r="HN37">
            <v>1</v>
          </cell>
          <cell r="HO37">
            <v>2</v>
          </cell>
          <cell r="HP37">
            <v>16</v>
          </cell>
          <cell r="HQ37">
            <v>3</v>
          </cell>
          <cell r="HR37">
            <v>24</v>
          </cell>
          <cell r="HT37">
            <v>33</v>
          </cell>
          <cell r="HU37">
            <v>1920</v>
          </cell>
          <cell r="HV37">
            <v>9000</v>
          </cell>
          <cell r="HW37">
            <v>13000</v>
          </cell>
          <cell r="HX37">
            <v>1070</v>
          </cell>
          <cell r="HY37">
            <v>840</v>
          </cell>
          <cell r="HZ37">
            <v>1790</v>
          </cell>
          <cell r="IA37">
            <v>1400</v>
          </cell>
          <cell r="IF37">
            <v>33</v>
          </cell>
          <cell r="IG37">
            <v>156</v>
          </cell>
          <cell r="IH37">
            <v>23.4</v>
          </cell>
        </row>
        <row r="38">
          <cell r="A38">
            <v>34</v>
          </cell>
          <cell r="B38">
            <v>380</v>
          </cell>
          <cell r="C38">
            <v>170</v>
          </cell>
          <cell r="D38">
            <v>34</v>
          </cell>
          <cell r="E38">
            <v>20</v>
          </cell>
          <cell r="F38">
            <v>57</v>
          </cell>
          <cell r="G38">
            <v>48</v>
          </cell>
          <cell r="H38">
            <v>44</v>
          </cell>
          <cell r="I38">
            <v>44</v>
          </cell>
          <cell r="J38">
            <v>48</v>
          </cell>
          <cell r="K38">
            <v>44</v>
          </cell>
          <cell r="L38">
            <v>30</v>
          </cell>
          <cell r="M38">
            <v>48</v>
          </cell>
          <cell r="N38">
            <v>52</v>
          </cell>
          <cell r="O38">
            <v>39</v>
          </cell>
          <cell r="P38">
            <v>52</v>
          </cell>
          <cell r="Q38">
            <v>61</v>
          </cell>
          <cell r="R38">
            <v>43.5</v>
          </cell>
          <cell r="S38">
            <v>48</v>
          </cell>
          <cell r="T38">
            <v>48</v>
          </cell>
          <cell r="U38">
            <v>41.5</v>
          </cell>
          <cell r="V38">
            <v>50</v>
          </cell>
          <cell r="W38">
            <v>52.5</v>
          </cell>
          <cell r="X38">
            <v>57</v>
          </cell>
          <cell r="Y38">
            <v>48</v>
          </cell>
          <cell r="Z38">
            <v>52</v>
          </cell>
          <cell r="AA38">
            <v>44</v>
          </cell>
          <cell r="AB38">
            <v>52</v>
          </cell>
          <cell r="AC38">
            <v>61</v>
          </cell>
          <cell r="AD38">
            <v>121.9</v>
          </cell>
          <cell r="AE38">
            <v>3650</v>
          </cell>
          <cell r="AF38">
            <v>27</v>
          </cell>
          <cell r="AG38">
            <v>54</v>
          </cell>
          <cell r="AH38">
            <v>520</v>
          </cell>
          <cell r="AI38">
            <v>520</v>
          </cell>
          <cell r="AJ38">
            <v>220.00000000000003</v>
          </cell>
          <cell r="AK38">
            <v>348</v>
          </cell>
          <cell r="AL38">
            <v>220</v>
          </cell>
          <cell r="AM38">
            <v>100.2</v>
          </cell>
          <cell r="AN38">
            <v>220.00000000000003</v>
          </cell>
          <cell r="AO38">
            <v>2845</v>
          </cell>
          <cell r="AP38">
            <v>31</v>
          </cell>
          <cell r="AQ38">
            <v>62</v>
          </cell>
          <cell r="AR38">
            <v>1530</v>
          </cell>
          <cell r="AS38">
            <v>1530</v>
          </cell>
          <cell r="AT38">
            <v>11.285714285714285</v>
          </cell>
          <cell r="AU38">
            <v>17.333333333333332</v>
          </cell>
          <cell r="AV38">
            <v>12.428571428571429</v>
          </cell>
          <cell r="AW38">
            <v>18.666666666666664</v>
          </cell>
          <cell r="AX38">
            <v>100</v>
          </cell>
          <cell r="AZ38">
            <v>121.9</v>
          </cell>
          <cell r="BA38">
            <v>100.2</v>
          </cell>
          <cell r="BB38">
            <v>111</v>
          </cell>
          <cell r="BC38">
            <v>1776</v>
          </cell>
          <cell r="BD38">
            <v>4011</v>
          </cell>
          <cell r="BR38">
            <v>94</v>
          </cell>
          <cell r="BS38">
            <v>711</v>
          </cell>
          <cell r="BT38">
            <v>142</v>
          </cell>
          <cell r="BU38">
            <v>177</v>
          </cell>
          <cell r="GZ38">
            <v>211</v>
          </cell>
          <cell r="HA38">
            <v>213</v>
          </cell>
          <cell r="HB38">
            <v>163</v>
          </cell>
          <cell r="HC38">
            <v>9</v>
          </cell>
          <cell r="HD38">
            <v>2160</v>
          </cell>
          <cell r="HE38">
            <v>8</v>
          </cell>
          <cell r="HF38">
            <v>8</v>
          </cell>
          <cell r="HG38">
            <v>1</v>
          </cell>
          <cell r="HH38">
            <v>1</v>
          </cell>
          <cell r="HI38">
            <v>1</v>
          </cell>
          <cell r="HJ38">
            <v>1</v>
          </cell>
          <cell r="HK38">
            <v>2</v>
          </cell>
          <cell r="HL38">
            <v>3</v>
          </cell>
          <cell r="HM38">
            <v>1</v>
          </cell>
          <cell r="HN38">
            <v>1</v>
          </cell>
          <cell r="HO38">
            <v>2</v>
          </cell>
          <cell r="HP38">
            <v>18</v>
          </cell>
          <cell r="HQ38">
            <v>3</v>
          </cell>
          <cell r="HR38">
            <v>27</v>
          </cell>
          <cell r="HT38">
            <v>34</v>
          </cell>
          <cell r="HU38">
            <v>2160</v>
          </cell>
          <cell r="HV38">
            <v>10000</v>
          </cell>
          <cell r="HW38">
            <v>15000</v>
          </cell>
          <cell r="HX38">
            <v>1100</v>
          </cell>
          <cell r="HY38">
            <v>850</v>
          </cell>
          <cell r="HZ38">
            <v>1830</v>
          </cell>
          <cell r="IA38">
            <v>1420</v>
          </cell>
          <cell r="IF38">
            <v>34</v>
          </cell>
          <cell r="IG38">
            <v>163</v>
          </cell>
          <cell r="IH38">
            <v>24.45</v>
          </cell>
        </row>
        <row r="39">
          <cell r="A39">
            <v>35</v>
          </cell>
          <cell r="B39">
            <v>390</v>
          </cell>
          <cell r="C39">
            <v>175</v>
          </cell>
          <cell r="D39">
            <v>35</v>
          </cell>
          <cell r="E39">
            <v>20</v>
          </cell>
          <cell r="F39">
            <v>58</v>
          </cell>
          <cell r="G39">
            <v>49</v>
          </cell>
          <cell r="H39">
            <v>45</v>
          </cell>
          <cell r="I39">
            <v>45</v>
          </cell>
          <cell r="J39">
            <v>49</v>
          </cell>
          <cell r="K39">
            <v>45</v>
          </cell>
          <cell r="L39">
            <v>31</v>
          </cell>
          <cell r="M39">
            <v>49</v>
          </cell>
          <cell r="N39">
            <v>54</v>
          </cell>
          <cell r="O39">
            <v>40</v>
          </cell>
          <cell r="P39">
            <v>54</v>
          </cell>
          <cell r="Q39">
            <v>63</v>
          </cell>
          <cell r="R39">
            <v>44.5</v>
          </cell>
          <cell r="S39">
            <v>49</v>
          </cell>
          <cell r="T39">
            <v>49.5</v>
          </cell>
          <cell r="U39">
            <v>42.5</v>
          </cell>
          <cell r="V39">
            <v>51.5</v>
          </cell>
          <cell r="W39">
            <v>54</v>
          </cell>
          <cell r="X39">
            <v>58</v>
          </cell>
          <cell r="Y39">
            <v>49</v>
          </cell>
          <cell r="Z39">
            <v>54</v>
          </cell>
          <cell r="AA39">
            <v>45</v>
          </cell>
          <cell r="AB39">
            <v>54</v>
          </cell>
          <cell r="AC39">
            <v>63</v>
          </cell>
          <cell r="AD39">
            <v>124.4</v>
          </cell>
          <cell r="AE39">
            <v>3725</v>
          </cell>
          <cell r="AF39">
            <v>27</v>
          </cell>
          <cell r="AG39">
            <v>54</v>
          </cell>
          <cell r="AH39">
            <v>540</v>
          </cell>
          <cell r="AI39">
            <v>540</v>
          </cell>
          <cell r="AJ39">
            <v>225</v>
          </cell>
          <cell r="AK39">
            <v>360</v>
          </cell>
          <cell r="AL39">
            <v>225</v>
          </cell>
          <cell r="AM39">
            <v>103.9</v>
          </cell>
          <cell r="AN39">
            <v>225</v>
          </cell>
          <cell r="AO39">
            <v>2935</v>
          </cell>
          <cell r="AP39">
            <v>32</v>
          </cell>
          <cell r="AQ39">
            <v>64</v>
          </cell>
          <cell r="AR39">
            <v>1575</v>
          </cell>
          <cell r="AS39">
            <v>1575</v>
          </cell>
          <cell r="AT39">
            <v>11.428571428571429</v>
          </cell>
          <cell r="AU39">
            <v>17.5</v>
          </cell>
          <cell r="AV39">
            <v>12.714285714285715</v>
          </cell>
          <cell r="AW39">
            <v>19</v>
          </cell>
          <cell r="AX39">
            <v>100</v>
          </cell>
          <cell r="AZ39">
            <v>124.4</v>
          </cell>
          <cell r="BA39">
            <v>103.9</v>
          </cell>
          <cell r="BB39">
            <v>114</v>
          </cell>
          <cell r="BC39">
            <v>1824</v>
          </cell>
          <cell r="BD39">
            <v>4093</v>
          </cell>
          <cell r="BR39">
            <v>97</v>
          </cell>
          <cell r="BS39">
            <v>733</v>
          </cell>
          <cell r="BT39">
            <v>146</v>
          </cell>
          <cell r="BU39">
            <v>183</v>
          </cell>
          <cell r="GZ39">
            <v>211</v>
          </cell>
          <cell r="HA39">
            <v>213</v>
          </cell>
          <cell r="HB39">
            <v>170</v>
          </cell>
          <cell r="HC39">
            <v>9</v>
          </cell>
          <cell r="HD39">
            <v>2160</v>
          </cell>
          <cell r="HE39">
            <v>8</v>
          </cell>
          <cell r="HF39">
            <v>8</v>
          </cell>
          <cell r="HG39">
            <v>1</v>
          </cell>
          <cell r="HH39">
            <v>1</v>
          </cell>
          <cell r="HI39">
            <v>1</v>
          </cell>
          <cell r="HJ39">
            <v>1</v>
          </cell>
          <cell r="HK39">
            <v>2</v>
          </cell>
          <cell r="HL39">
            <v>3</v>
          </cell>
          <cell r="HM39">
            <v>1</v>
          </cell>
          <cell r="HN39">
            <v>1</v>
          </cell>
          <cell r="HO39">
            <v>2</v>
          </cell>
          <cell r="HP39">
            <v>18</v>
          </cell>
          <cell r="HQ39">
            <v>3</v>
          </cell>
          <cell r="HR39">
            <v>27</v>
          </cell>
          <cell r="HT39">
            <v>35</v>
          </cell>
          <cell r="HU39">
            <v>2160</v>
          </cell>
          <cell r="HV39">
            <v>10000</v>
          </cell>
          <cell r="HW39">
            <v>15000</v>
          </cell>
          <cell r="HX39">
            <v>1120</v>
          </cell>
          <cell r="HY39">
            <v>880</v>
          </cell>
          <cell r="HZ39">
            <v>1860</v>
          </cell>
          <cell r="IA39">
            <v>1470</v>
          </cell>
          <cell r="IF39">
            <v>35</v>
          </cell>
          <cell r="IG39">
            <v>170</v>
          </cell>
          <cell r="IH39">
            <v>25.5</v>
          </cell>
        </row>
        <row r="40">
          <cell r="A40">
            <v>36</v>
          </cell>
          <cell r="B40">
            <v>400</v>
          </cell>
          <cell r="C40">
            <v>180</v>
          </cell>
          <cell r="D40">
            <v>36</v>
          </cell>
          <cell r="E40">
            <v>20</v>
          </cell>
          <cell r="F40">
            <v>59</v>
          </cell>
          <cell r="G40">
            <v>50</v>
          </cell>
          <cell r="H40">
            <v>46</v>
          </cell>
          <cell r="I40">
            <v>46</v>
          </cell>
          <cell r="J40">
            <v>50</v>
          </cell>
          <cell r="K40">
            <v>46</v>
          </cell>
          <cell r="L40">
            <v>32</v>
          </cell>
          <cell r="M40">
            <v>50</v>
          </cell>
          <cell r="N40">
            <v>55</v>
          </cell>
          <cell r="O40">
            <v>41</v>
          </cell>
          <cell r="P40">
            <v>55</v>
          </cell>
          <cell r="Q40">
            <v>64</v>
          </cell>
          <cell r="R40">
            <v>45.5</v>
          </cell>
          <cell r="S40">
            <v>50</v>
          </cell>
          <cell r="T40">
            <v>50.5</v>
          </cell>
          <cell r="U40">
            <v>43.5</v>
          </cell>
          <cell r="V40">
            <v>52.5</v>
          </cell>
          <cell r="W40">
            <v>55</v>
          </cell>
          <cell r="X40">
            <v>59</v>
          </cell>
          <cell r="Y40">
            <v>50</v>
          </cell>
          <cell r="Z40">
            <v>55</v>
          </cell>
          <cell r="AA40">
            <v>46</v>
          </cell>
          <cell r="AB40">
            <v>55</v>
          </cell>
          <cell r="AC40">
            <v>64</v>
          </cell>
          <cell r="AD40">
            <v>126.9</v>
          </cell>
          <cell r="AE40">
            <v>3800</v>
          </cell>
          <cell r="AF40">
            <v>28</v>
          </cell>
          <cell r="AG40">
            <v>56</v>
          </cell>
          <cell r="AH40">
            <v>550</v>
          </cell>
          <cell r="AI40">
            <v>550</v>
          </cell>
          <cell r="AJ40">
            <v>229.99999999999997</v>
          </cell>
          <cell r="AK40">
            <v>367</v>
          </cell>
          <cell r="AL40">
            <v>230</v>
          </cell>
          <cell r="AM40">
            <v>106</v>
          </cell>
          <cell r="AN40">
            <v>229.99999999999997</v>
          </cell>
          <cell r="AO40">
            <v>2980</v>
          </cell>
          <cell r="AP40">
            <v>33</v>
          </cell>
          <cell r="AQ40">
            <v>66</v>
          </cell>
          <cell r="AR40">
            <v>1620</v>
          </cell>
          <cell r="AS40">
            <v>1620</v>
          </cell>
          <cell r="AT40">
            <v>11.571428571428571</v>
          </cell>
          <cell r="AU40">
            <v>17.666666666666668</v>
          </cell>
          <cell r="AV40">
            <v>12.857142857142858</v>
          </cell>
          <cell r="AW40">
            <v>19.166666666666664</v>
          </cell>
          <cell r="AX40">
            <v>100</v>
          </cell>
          <cell r="AZ40">
            <v>126.9</v>
          </cell>
          <cell r="BA40">
            <v>106</v>
          </cell>
          <cell r="BB40">
            <v>116</v>
          </cell>
          <cell r="BC40">
            <v>1856</v>
          </cell>
          <cell r="BD40">
            <v>4176</v>
          </cell>
          <cell r="BR40">
            <v>99</v>
          </cell>
          <cell r="BS40">
            <v>745</v>
          </cell>
          <cell r="BT40">
            <v>149</v>
          </cell>
          <cell r="BU40">
            <v>186</v>
          </cell>
          <cell r="GZ40">
            <v>213</v>
          </cell>
          <cell r="HA40">
            <v>215</v>
          </cell>
          <cell r="HB40">
            <v>177</v>
          </cell>
          <cell r="HC40">
            <v>9</v>
          </cell>
          <cell r="HD40">
            <v>2160</v>
          </cell>
          <cell r="HE40">
            <v>8</v>
          </cell>
          <cell r="HF40">
            <v>8</v>
          </cell>
          <cell r="HG40">
            <v>1</v>
          </cell>
          <cell r="HH40">
            <v>1</v>
          </cell>
          <cell r="HI40">
            <v>1</v>
          </cell>
          <cell r="HJ40">
            <v>1</v>
          </cell>
          <cell r="HK40">
            <v>2</v>
          </cell>
          <cell r="HL40">
            <v>3</v>
          </cell>
          <cell r="HM40">
            <v>1</v>
          </cell>
          <cell r="HN40">
            <v>1</v>
          </cell>
          <cell r="HO40">
            <v>2</v>
          </cell>
          <cell r="HP40">
            <v>18</v>
          </cell>
          <cell r="HQ40">
            <v>3</v>
          </cell>
          <cell r="HR40">
            <v>27</v>
          </cell>
          <cell r="HT40">
            <v>36</v>
          </cell>
          <cell r="HU40">
            <v>2160</v>
          </cell>
          <cell r="HV40">
            <v>10000</v>
          </cell>
          <cell r="HW40">
            <v>15000</v>
          </cell>
          <cell r="HX40">
            <v>1140</v>
          </cell>
          <cell r="HY40">
            <v>890</v>
          </cell>
          <cell r="HZ40">
            <v>1900</v>
          </cell>
          <cell r="IA40">
            <v>1490</v>
          </cell>
          <cell r="IF40">
            <v>36</v>
          </cell>
          <cell r="IG40">
            <v>177</v>
          </cell>
          <cell r="IH40">
            <v>26.55</v>
          </cell>
        </row>
        <row r="41">
          <cell r="A41">
            <v>37</v>
          </cell>
          <cell r="B41">
            <v>410</v>
          </cell>
          <cell r="C41">
            <v>185</v>
          </cell>
          <cell r="D41">
            <v>37</v>
          </cell>
          <cell r="E41">
            <v>20</v>
          </cell>
          <cell r="F41">
            <v>61</v>
          </cell>
          <cell r="G41">
            <v>51</v>
          </cell>
          <cell r="H41">
            <v>47</v>
          </cell>
          <cell r="I41">
            <v>47</v>
          </cell>
          <cell r="J41">
            <v>51</v>
          </cell>
          <cell r="K41">
            <v>47</v>
          </cell>
          <cell r="L41">
            <v>32</v>
          </cell>
          <cell r="M41">
            <v>51</v>
          </cell>
          <cell r="N41">
            <v>56</v>
          </cell>
          <cell r="O41">
            <v>42</v>
          </cell>
          <cell r="P41">
            <v>56</v>
          </cell>
          <cell r="Q41">
            <v>65</v>
          </cell>
          <cell r="R41">
            <v>46.5</v>
          </cell>
          <cell r="S41">
            <v>51</v>
          </cell>
          <cell r="T41">
            <v>51.5</v>
          </cell>
          <cell r="U41">
            <v>44.5</v>
          </cell>
          <cell r="V41">
            <v>53.5</v>
          </cell>
          <cell r="W41">
            <v>56</v>
          </cell>
          <cell r="X41">
            <v>61</v>
          </cell>
          <cell r="Y41">
            <v>51</v>
          </cell>
          <cell r="Z41">
            <v>56</v>
          </cell>
          <cell r="AA41">
            <v>47</v>
          </cell>
          <cell r="AB41">
            <v>56</v>
          </cell>
          <cell r="AC41">
            <v>65</v>
          </cell>
          <cell r="AD41">
            <v>130.69999999999999</v>
          </cell>
          <cell r="AE41">
            <v>3875</v>
          </cell>
          <cell r="AF41">
            <v>28</v>
          </cell>
          <cell r="AG41">
            <v>56</v>
          </cell>
          <cell r="AH41">
            <v>560</v>
          </cell>
          <cell r="AI41">
            <v>560</v>
          </cell>
          <cell r="AJ41">
            <v>235</v>
          </cell>
          <cell r="AK41">
            <v>374</v>
          </cell>
          <cell r="AL41">
            <v>235</v>
          </cell>
          <cell r="AM41">
            <v>108.1</v>
          </cell>
          <cell r="AN41">
            <v>235</v>
          </cell>
          <cell r="AO41">
            <v>3025</v>
          </cell>
          <cell r="AP41">
            <v>33</v>
          </cell>
          <cell r="AQ41">
            <v>66</v>
          </cell>
          <cell r="AR41">
            <v>1665</v>
          </cell>
          <cell r="AS41">
            <v>1665</v>
          </cell>
          <cell r="AT41">
            <v>11.714285714285715</v>
          </cell>
          <cell r="AU41">
            <v>17.833333333333332</v>
          </cell>
          <cell r="AV41">
            <v>13</v>
          </cell>
          <cell r="AW41">
            <v>19.333333333333336</v>
          </cell>
          <cell r="AX41">
            <v>100</v>
          </cell>
          <cell r="AZ41">
            <v>130.69999999999999</v>
          </cell>
          <cell r="BA41">
            <v>108.1</v>
          </cell>
          <cell r="BB41">
            <v>119</v>
          </cell>
          <cell r="BC41">
            <v>1904</v>
          </cell>
          <cell r="BD41">
            <v>4258</v>
          </cell>
          <cell r="BR41">
            <v>100</v>
          </cell>
          <cell r="BS41">
            <v>756</v>
          </cell>
          <cell r="BT41">
            <v>151</v>
          </cell>
          <cell r="BU41">
            <v>189</v>
          </cell>
          <cell r="GZ41">
            <v>213</v>
          </cell>
          <cell r="HA41">
            <v>215</v>
          </cell>
          <cell r="HB41">
            <v>184</v>
          </cell>
          <cell r="HC41">
            <v>10</v>
          </cell>
          <cell r="HD41">
            <v>2400</v>
          </cell>
          <cell r="HE41">
            <v>9</v>
          </cell>
          <cell r="HF41">
            <v>9</v>
          </cell>
          <cell r="HG41">
            <v>2</v>
          </cell>
          <cell r="HH41">
            <v>2</v>
          </cell>
          <cell r="HI41">
            <v>1</v>
          </cell>
          <cell r="HJ41">
            <v>1</v>
          </cell>
          <cell r="HK41">
            <v>2</v>
          </cell>
          <cell r="HL41">
            <v>3</v>
          </cell>
          <cell r="HM41">
            <v>1</v>
          </cell>
          <cell r="HN41">
            <v>1</v>
          </cell>
          <cell r="HO41">
            <v>2</v>
          </cell>
          <cell r="HP41">
            <v>20</v>
          </cell>
          <cell r="HQ41">
            <v>3</v>
          </cell>
          <cell r="HR41">
            <v>30</v>
          </cell>
          <cell r="HT41">
            <v>37</v>
          </cell>
          <cell r="HU41">
            <v>2400</v>
          </cell>
          <cell r="HV41">
            <v>11000</v>
          </cell>
          <cell r="HW41">
            <v>17000</v>
          </cell>
          <cell r="HX41">
            <v>1160</v>
          </cell>
          <cell r="HY41">
            <v>910</v>
          </cell>
          <cell r="HZ41">
            <v>1940</v>
          </cell>
          <cell r="IA41">
            <v>1510</v>
          </cell>
          <cell r="IF41">
            <v>37</v>
          </cell>
          <cell r="IG41">
            <v>184</v>
          </cell>
          <cell r="IH41">
            <v>27.6</v>
          </cell>
        </row>
        <row r="42">
          <cell r="A42">
            <v>38</v>
          </cell>
          <cell r="B42">
            <v>420</v>
          </cell>
          <cell r="C42">
            <v>190</v>
          </cell>
          <cell r="D42">
            <v>38</v>
          </cell>
          <cell r="E42">
            <v>20</v>
          </cell>
          <cell r="F42">
            <v>62</v>
          </cell>
          <cell r="G42">
            <v>52</v>
          </cell>
          <cell r="H42">
            <v>48</v>
          </cell>
          <cell r="I42">
            <v>48</v>
          </cell>
          <cell r="J42">
            <v>52</v>
          </cell>
          <cell r="K42">
            <v>48</v>
          </cell>
          <cell r="L42">
            <v>33</v>
          </cell>
          <cell r="M42">
            <v>52</v>
          </cell>
          <cell r="N42">
            <v>57</v>
          </cell>
          <cell r="O42">
            <v>43</v>
          </cell>
          <cell r="P42">
            <v>57</v>
          </cell>
          <cell r="Q42">
            <v>67</v>
          </cell>
          <cell r="R42">
            <v>47.5</v>
          </cell>
          <cell r="S42">
            <v>52</v>
          </cell>
          <cell r="T42">
            <v>52.5</v>
          </cell>
          <cell r="U42">
            <v>45.5</v>
          </cell>
          <cell r="V42">
            <v>54.5</v>
          </cell>
          <cell r="W42">
            <v>57.5</v>
          </cell>
          <cell r="X42">
            <v>62</v>
          </cell>
          <cell r="Y42">
            <v>52</v>
          </cell>
          <cell r="Z42">
            <v>57</v>
          </cell>
          <cell r="AA42">
            <v>48</v>
          </cell>
          <cell r="AB42">
            <v>57</v>
          </cell>
          <cell r="AC42">
            <v>67</v>
          </cell>
          <cell r="AD42">
            <v>133.19999999999999</v>
          </cell>
          <cell r="AE42">
            <v>3950</v>
          </cell>
          <cell r="AF42">
            <v>29</v>
          </cell>
          <cell r="AG42">
            <v>58</v>
          </cell>
          <cell r="AH42">
            <v>570</v>
          </cell>
          <cell r="AI42">
            <v>570</v>
          </cell>
          <cell r="AJ42">
            <v>240</v>
          </cell>
          <cell r="AK42">
            <v>381</v>
          </cell>
          <cell r="AL42">
            <v>240</v>
          </cell>
          <cell r="AM42">
            <v>110.19999999999999</v>
          </cell>
          <cell r="AN42">
            <v>240</v>
          </cell>
          <cell r="AO42">
            <v>3115</v>
          </cell>
          <cell r="AP42">
            <v>34</v>
          </cell>
          <cell r="AQ42">
            <v>68</v>
          </cell>
          <cell r="AR42">
            <v>1710</v>
          </cell>
          <cell r="AS42">
            <v>1710</v>
          </cell>
          <cell r="AT42">
            <v>11.857142857142858</v>
          </cell>
          <cell r="AU42">
            <v>18</v>
          </cell>
          <cell r="AV42">
            <v>13.142857142857142</v>
          </cell>
          <cell r="AW42">
            <v>19.5</v>
          </cell>
          <cell r="AX42">
            <v>100</v>
          </cell>
          <cell r="AZ42">
            <v>133.19999999999999</v>
          </cell>
          <cell r="BA42">
            <v>110.19999999999999</v>
          </cell>
          <cell r="BB42">
            <v>121</v>
          </cell>
          <cell r="BC42">
            <v>1936</v>
          </cell>
          <cell r="BD42">
            <v>4341</v>
          </cell>
          <cell r="BR42">
            <v>103</v>
          </cell>
          <cell r="BS42">
            <v>778</v>
          </cell>
          <cell r="BT42">
            <v>155</v>
          </cell>
          <cell r="BU42">
            <v>194</v>
          </cell>
          <cell r="GZ42">
            <v>213</v>
          </cell>
          <cell r="HA42">
            <v>215</v>
          </cell>
          <cell r="HB42">
            <v>192</v>
          </cell>
          <cell r="HC42">
            <v>10</v>
          </cell>
          <cell r="HD42">
            <v>2400</v>
          </cell>
          <cell r="HE42">
            <v>9</v>
          </cell>
          <cell r="HF42">
            <v>9</v>
          </cell>
          <cell r="HG42">
            <v>2</v>
          </cell>
          <cell r="HH42">
            <v>2</v>
          </cell>
          <cell r="HI42">
            <v>1</v>
          </cell>
          <cell r="HJ42">
            <v>1</v>
          </cell>
          <cell r="HK42">
            <v>2</v>
          </cell>
          <cell r="HL42">
            <v>3</v>
          </cell>
          <cell r="HM42">
            <v>1</v>
          </cell>
          <cell r="HN42">
            <v>1</v>
          </cell>
          <cell r="HO42">
            <v>2</v>
          </cell>
          <cell r="HP42">
            <v>20</v>
          </cell>
          <cell r="HQ42">
            <v>3</v>
          </cell>
          <cell r="HR42">
            <v>30</v>
          </cell>
          <cell r="HT42">
            <v>38</v>
          </cell>
          <cell r="HU42">
            <v>2400</v>
          </cell>
          <cell r="HV42">
            <v>11000</v>
          </cell>
          <cell r="HW42">
            <v>17000</v>
          </cell>
          <cell r="HX42">
            <v>1190</v>
          </cell>
          <cell r="HY42">
            <v>930</v>
          </cell>
          <cell r="HZ42">
            <v>1980</v>
          </cell>
          <cell r="IA42">
            <v>1560</v>
          </cell>
          <cell r="IF42">
            <v>38</v>
          </cell>
          <cell r="IG42">
            <v>192</v>
          </cell>
          <cell r="IH42">
            <v>28.8</v>
          </cell>
        </row>
        <row r="43">
          <cell r="A43">
            <v>39</v>
          </cell>
          <cell r="B43">
            <v>430</v>
          </cell>
          <cell r="C43">
            <v>195</v>
          </cell>
          <cell r="D43">
            <v>39</v>
          </cell>
          <cell r="E43">
            <v>20</v>
          </cell>
          <cell r="F43">
            <v>63</v>
          </cell>
          <cell r="G43">
            <v>53</v>
          </cell>
          <cell r="H43">
            <v>49</v>
          </cell>
          <cell r="I43">
            <v>49</v>
          </cell>
          <cell r="J43">
            <v>53</v>
          </cell>
          <cell r="K43">
            <v>49</v>
          </cell>
          <cell r="L43">
            <v>34</v>
          </cell>
          <cell r="M43">
            <v>53</v>
          </cell>
          <cell r="N43">
            <v>58</v>
          </cell>
          <cell r="O43">
            <v>44</v>
          </cell>
          <cell r="P43">
            <v>58</v>
          </cell>
          <cell r="Q43">
            <v>68</v>
          </cell>
          <cell r="R43">
            <v>48.5</v>
          </cell>
          <cell r="S43">
            <v>53</v>
          </cell>
          <cell r="T43">
            <v>53.5</v>
          </cell>
          <cell r="U43">
            <v>46.5</v>
          </cell>
          <cell r="V43">
            <v>55.5</v>
          </cell>
          <cell r="W43">
            <v>58.5</v>
          </cell>
          <cell r="X43">
            <v>63</v>
          </cell>
          <cell r="Y43">
            <v>53</v>
          </cell>
          <cell r="Z43">
            <v>58</v>
          </cell>
          <cell r="AA43">
            <v>49</v>
          </cell>
          <cell r="AB43">
            <v>58</v>
          </cell>
          <cell r="AC43">
            <v>68</v>
          </cell>
          <cell r="AD43">
            <v>135.69999999999999</v>
          </cell>
          <cell r="AE43">
            <v>4025</v>
          </cell>
          <cell r="AF43">
            <v>29</v>
          </cell>
          <cell r="AG43">
            <v>58</v>
          </cell>
          <cell r="AH43">
            <v>580</v>
          </cell>
          <cell r="AI43">
            <v>580</v>
          </cell>
          <cell r="AJ43">
            <v>245.00000000000003</v>
          </cell>
          <cell r="AK43">
            <v>388</v>
          </cell>
          <cell r="AL43">
            <v>245</v>
          </cell>
          <cell r="AM43">
            <v>112.3</v>
          </cell>
          <cell r="AN43">
            <v>245.00000000000003</v>
          </cell>
          <cell r="AO43">
            <v>3160</v>
          </cell>
          <cell r="AP43">
            <v>35</v>
          </cell>
          <cell r="AQ43">
            <v>70</v>
          </cell>
          <cell r="AR43">
            <v>1755</v>
          </cell>
          <cell r="AS43">
            <v>1755</v>
          </cell>
          <cell r="AT43">
            <v>12</v>
          </cell>
          <cell r="AU43">
            <v>18.166666666666664</v>
          </cell>
          <cell r="AV43">
            <v>13.285714285714286</v>
          </cell>
          <cell r="AW43">
            <v>19.666666666666664</v>
          </cell>
          <cell r="AX43">
            <v>100</v>
          </cell>
          <cell r="AZ43">
            <v>135.69999999999999</v>
          </cell>
          <cell r="BA43">
            <v>112.3</v>
          </cell>
          <cell r="BB43">
            <v>124</v>
          </cell>
          <cell r="BC43">
            <v>1984</v>
          </cell>
          <cell r="BD43">
            <v>4423</v>
          </cell>
          <cell r="BR43">
            <v>105</v>
          </cell>
          <cell r="BS43">
            <v>790</v>
          </cell>
          <cell r="BT43">
            <v>158</v>
          </cell>
          <cell r="BU43">
            <v>197</v>
          </cell>
          <cell r="GZ43">
            <v>213</v>
          </cell>
          <cell r="HA43">
            <v>215</v>
          </cell>
          <cell r="HB43">
            <v>199</v>
          </cell>
          <cell r="HC43">
            <v>11</v>
          </cell>
          <cell r="HD43">
            <v>2640</v>
          </cell>
          <cell r="HE43">
            <v>9</v>
          </cell>
          <cell r="HF43">
            <v>9</v>
          </cell>
          <cell r="HG43">
            <v>2</v>
          </cell>
          <cell r="HH43">
            <v>2</v>
          </cell>
          <cell r="HI43">
            <v>1</v>
          </cell>
          <cell r="HJ43">
            <v>1</v>
          </cell>
          <cell r="HK43">
            <v>4</v>
          </cell>
          <cell r="HL43">
            <v>6</v>
          </cell>
          <cell r="HM43">
            <v>2</v>
          </cell>
          <cell r="HN43">
            <v>2</v>
          </cell>
          <cell r="HO43">
            <v>2</v>
          </cell>
          <cell r="HP43">
            <v>22</v>
          </cell>
          <cell r="HQ43">
            <v>3</v>
          </cell>
          <cell r="HR43">
            <v>33</v>
          </cell>
          <cell r="HT43">
            <v>39</v>
          </cell>
          <cell r="HU43">
            <v>2640</v>
          </cell>
          <cell r="HV43">
            <v>12000</v>
          </cell>
          <cell r="HW43">
            <v>18000</v>
          </cell>
          <cell r="HX43">
            <v>1210</v>
          </cell>
          <cell r="HY43">
            <v>950</v>
          </cell>
          <cell r="HZ43">
            <v>2010</v>
          </cell>
          <cell r="IA43">
            <v>1580</v>
          </cell>
          <cell r="IF43">
            <v>39</v>
          </cell>
          <cell r="IG43">
            <v>199</v>
          </cell>
          <cell r="IH43">
            <v>29.85</v>
          </cell>
        </row>
        <row r="44">
          <cell r="A44">
            <v>40</v>
          </cell>
          <cell r="B44">
            <v>440</v>
          </cell>
          <cell r="C44">
            <v>200</v>
          </cell>
          <cell r="D44">
            <v>40</v>
          </cell>
          <cell r="E44">
            <v>20</v>
          </cell>
          <cell r="F44">
            <v>65</v>
          </cell>
          <cell r="G44">
            <v>55</v>
          </cell>
          <cell r="H44">
            <v>50</v>
          </cell>
          <cell r="I44">
            <v>50</v>
          </cell>
          <cell r="J44">
            <v>55</v>
          </cell>
          <cell r="K44">
            <v>50</v>
          </cell>
          <cell r="L44">
            <v>35</v>
          </cell>
          <cell r="M44">
            <v>55</v>
          </cell>
          <cell r="N44">
            <v>60</v>
          </cell>
          <cell r="O44">
            <v>45</v>
          </cell>
          <cell r="P44">
            <v>60</v>
          </cell>
          <cell r="Q44">
            <v>70</v>
          </cell>
          <cell r="R44">
            <v>50</v>
          </cell>
          <cell r="S44">
            <v>55</v>
          </cell>
          <cell r="T44">
            <v>55</v>
          </cell>
          <cell r="U44">
            <v>47.5</v>
          </cell>
          <cell r="V44">
            <v>57.5</v>
          </cell>
          <cell r="W44">
            <v>60</v>
          </cell>
          <cell r="X44">
            <v>65</v>
          </cell>
          <cell r="Y44">
            <v>55</v>
          </cell>
          <cell r="Z44">
            <v>60</v>
          </cell>
          <cell r="AA44">
            <v>50</v>
          </cell>
          <cell r="AB44">
            <v>60</v>
          </cell>
          <cell r="AC44">
            <v>70</v>
          </cell>
          <cell r="AD44">
            <v>139.5</v>
          </cell>
          <cell r="AE44">
            <v>4175</v>
          </cell>
          <cell r="AF44">
            <v>30</v>
          </cell>
          <cell r="AG44">
            <v>60</v>
          </cell>
          <cell r="AH44">
            <v>600</v>
          </cell>
          <cell r="AI44">
            <v>600</v>
          </cell>
          <cell r="AJ44">
            <v>250</v>
          </cell>
          <cell r="AK44">
            <v>400</v>
          </cell>
          <cell r="AL44">
            <v>250</v>
          </cell>
          <cell r="AM44">
            <v>116</v>
          </cell>
          <cell r="AN44">
            <v>250</v>
          </cell>
          <cell r="AO44">
            <v>3250</v>
          </cell>
          <cell r="AP44">
            <v>36</v>
          </cell>
          <cell r="AQ44">
            <v>72</v>
          </cell>
          <cell r="AR44">
            <v>1800</v>
          </cell>
          <cell r="AS44">
            <v>1800</v>
          </cell>
          <cell r="AT44">
            <v>12.142857142857142</v>
          </cell>
          <cell r="AU44">
            <v>18.333333333333336</v>
          </cell>
          <cell r="AV44">
            <v>13.571428571428571</v>
          </cell>
          <cell r="AW44">
            <v>20</v>
          </cell>
          <cell r="AX44">
            <v>100</v>
          </cell>
          <cell r="AZ44">
            <v>139.5</v>
          </cell>
          <cell r="BA44">
            <v>116</v>
          </cell>
          <cell r="BB44">
            <v>127</v>
          </cell>
          <cell r="BC44">
            <v>2032</v>
          </cell>
          <cell r="BD44">
            <v>4588</v>
          </cell>
          <cell r="BR44">
            <v>108</v>
          </cell>
          <cell r="BS44">
            <v>812</v>
          </cell>
          <cell r="BT44">
            <v>162</v>
          </cell>
          <cell r="BU44">
            <v>203</v>
          </cell>
          <cell r="GZ44">
            <v>213</v>
          </cell>
          <cell r="HA44">
            <v>215</v>
          </cell>
          <cell r="HB44">
            <v>207</v>
          </cell>
          <cell r="HC44">
            <v>11</v>
          </cell>
          <cell r="HD44">
            <v>2640</v>
          </cell>
          <cell r="HE44">
            <v>9</v>
          </cell>
          <cell r="HF44">
            <v>9</v>
          </cell>
          <cell r="HG44">
            <v>2</v>
          </cell>
          <cell r="HH44">
            <v>2</v>
          </cell>
          <cell r="HI44">
            <v>1</v>
          </cell>
          <cell r="HJ44">
            <v>1</v>
          </cell>
          <cell r="HK44">
            <v>4</v>
          </cell>
          <cell r="HL44">
            <v>6</v>
          </cell>
          <cell r="HM44">
            <v>2</v>
          </cell>
          <cell r="HN44">
            <v>2</v>
          </cell>
          <cell r="HO44">
            <v>2</v>
          </cell>
          <cell r="HP44">
            <v>22</v>
          </cell>
          <cell r="HQ44">
            <v>3</v>
          </cell>
          <cell r="HR44">
            <v>33</v>
          </cell>
          <cell r="HT44">
            <v>40</v>
          </cell>
          <cell r="HU44">
            <v>2640</v>
          </cell>
          <cell r="HV44">
            <v>12000</v>
          </cell>
          <cell r="HW44">
            <v>18000</v>
          </cell>
          <cell r="HX44">
            <v>1250</v>
          </cell>
          <cell r="HY44">
            <v>980</v>
          </cell>
          <cell r="HZ44">
            <v>2090</v>
          </cell>
          <cell r="IA44">
            <v>1630</v>
          </cell>
          <cell r="IF44">
            <v>40</v>
          </cell>
          <cell r="IG44">
            <v>207</v>
          </cell>
          <cell r="IH44">
            <v>31.05</v>
          </cell>
        </row>
        <row r="45">
          <cell r="A45">
            <v>41</v>
          </cell>
          <cell r="B45">
            <v>450</v>
          </cell>
          <cell r="C45">
            <v>205</v>
          </cell>
          <cell r="D45">
            <v>41</v>
          </cell>
          <cell r="E45">
            <v>20</v>
          </cell>
          <cell r="F45">
            <v>66</v>
          </cell>
          <cell r="G45">
            <v>56</v>
          </cell>
          <cell r="H45">
            <v>51</v>
          </cell>
          <cell r="I45">
            <v>51</v>
          </cell>
          <cell r="J45">
            <v>56</v>
          </cell>
          <cell r="K45">
            <v>51</v>
          </cell>
          <cell r="L45">
            <v>35</v>
          </cell>
          <cell r="M45">
            <v>56</v>
          </cell>
          <cell r="N45">
            <v>61</v>
          </cell>
          <cell r="O45">
            <v>45</v>
          </cell>
          <cell r="P45">
            <v>61</v>
          </cell>
          <cell r="Q45">
            <v>71</v>
          </cell>
          <cell r="R45">
            <v>50.5</v>
          </cell>
          <cell r="S45">
            <v>56</v>
          </cell>
          <cell r="T45">
            <v>56</v>
          </cell>
          <cell r="U45">
            <v>48</v>
          </cell>
          <cell r="V45">
            <v>58.5</v>
          </cell>
          <cell r="W45">
            <v>61</v>
          </cell>
          <cell r="X45">
            <v>66</v>
          </cell>
          <cell r="Y45">
            <v>56</v>
          </cell>
          <cell r="Z45">
            <v>61</v>
          </cell>
          <cell r="AA45">
            <v>51</v>
          </cell>
          <cell r="AB45">
            <v>61</v>
          </cell>
          <cell r="AC45">
            <v>71</v>
          </cell>
          <cell r="AD45">
            <v>142</v>
          </cell>
          <cell r="AE45">
            <v>4250</v>
          </cell>
          <cell r="AF45">
            <v>31</v>
          </cell>
          <cell r="AG45">
            <v>62</v>
          </cell>
          <cell r="AH45">
            <v>610</v>
          </cell>
          <cell r="AI45">
            <v>610</v>
          </cell>
          <cell r="AJ45">
            <v>254.99999999999997</v>
          </cell>
          <cell r="AK45">
            <v>407</v>
          </cell>
          <cell r="AL45">
            <v>255</v>
          </cell>
          <cell r="AM45">
            <v>118.1</v>
          </cell>
          <cell r="AN45">
            <v>254.99999999999997</v>
          </cell>
          <cell r="AO45">
            <v>3295</v>
          </cell>
          <cell r="AP45">
            <v>36</v>
          </cell>
          <cell r="AQ45">
            <v>72</v>
          </cell>
          <cell r="AR45">
            <v>1845</v>
          </cell>
          <cell r="AS45">
            <v>1845</v>
          </cell>
          <cell r="AT45">
            <v>12.285714285714285</v>
          </cell>
          <cell r="AU45">
            <v>18.5</v>
          </cell>
          <cell r="AV45">
            <v>13.714285714285714</v>
          </cell>
          <cell r="AW45">
            <v>20.166666666666664</v>
          </cell>
          <cell r="AX45">
            <v>100</v>
          </cell>
          <cell r="AZ45">
            <v>142</v>
          </cell>
          <cell r="BA45">
            <v>118.1</v>
          </cell>
          <cell r="BB45">
            <v>130</v>
          </cell>
          <cell r="BC45">
            <v>2080</v>
          </cell>
          <cell r="BD45">
            <v>4671</v>
          </cell>
          <cell r="BR45">
            <v>109</v>
          </cell>
          <cell r="BS45">
            <v>823</v>
          </cell>
          <cell r="BT45">
            <v>164</v>
          </cell>
          <cell r="BU45">
            <v>205</v>
          </cell>
          <cell r="GZ45">
            <v>213</v>
          </cell>
          <cell r="HA45">
            <v>217</v>
          </cell>
          <cell r="HB45">
            <v>215</v>
          </cell>
          <cell r="HC45">
            <v>11</v>
          </cell>
          <cell r="HD45">
            <v>2640</v>
          </cell>
          <cell r="HE45">
            <v>9</v>
          </cell>
          <cell r="HF45">
            <v>9</v>
          </cell>
          <cell r="HG45">
            <v>2</v>
          </cell>
          <cell r="HH45">
            <v>2</v>
          </cell>
          <cell r="HI45">
            <v>1</v>
          </cell>
          <cell r="HJ45">
            <v>1</v>
          </cell>
          <cell r="HK45">
            <v>4</v>
          </cell>
          <cell r="HL45">
            <v>6</v>
          </cell>
          <cell r="HM45">
            <v>2</v>
          </cell>
          <cell r="HN45">
            <v>2</v>
          </cell>
          <cell r="HO45">
            <v>2</v>
          </cell>
          <cell r="HP45">
            <v>22</v>
          </cell>
          <cell r="HQ45">
            <v>3</v>
          </cell>
          <cell r="HR45">
            <v>33</v>
          </cell>
          <cell r="HT45">
            <v>41</v>
          </cell>
          <cell r="HU45">
            <v>2640</v>
          </cell>
          <cell r="HV45">
            <v>12000</v>
          </cell>
          <cell r="HW45">
            <v>18000</v>
          </cell>
          <cell r="HX45">
            <v>1280</v>
          </cell>
          <cell r="HY45">
            <v>990</v>
          </cell>
          <cell r="HZ45">
            <v>2130</v>
          </cell>
          <cell r="IA45">
            <v>1650</v>
          </cell>
          <cell r="IF45">
            <v>41</v>
          </cell>
          <cell r="IG45">
            <v>215</v>
          </cell>
          <cell r="IH45">
            <v>32.25</v>
          </cell>
        </row>
        <row r="46">
          <cell r="A46">
            <v>42</v>
          </cell>
          <cell r="B46">
            <v>460</v>
          </cell>
          <cell r="C46">
            <v>210</v>
          </cell>
          <cell r="D46">
            <v>42</v>
          </cell>
          <cell r="E46">
            <v>20</v>
          </cell>
          <cell r="F46">
            <v>67</v>
          </cell>
          <cell r="G46">
            <v>57</v>
          </cell>
          <cell r="H46">
            <v>52</v>
          </cell>
          <cell r="I46">
            <v>52</v>
          </cell>
          <cell r="J46">
            <v>57</v>
          </cell>
          <cell r="K46">
            <v>52</v>
          </cell>
          <cell r="L46">
            <v>36</v>
          </cell>
          <cell r="M46">
            <v>57</v>
          </cell>
          <cell r="N46">
            <v>62</v>
          </cell>
          <cell r="O46">
            <v>46</v>
          </cell>
          <cell r="P46">
            <v>62</v>
          </cell>
          <cell r="Q46">
            <v>72</v>
          </cell>
          <cell r="R46">
            <v>51.5</v>
          </cell>
          <cell r="S46">
            <v>57</v>
          </cell>
          <cell r="T46">
            <v>57</v>
          </cell>
          <cell r="U46">
            <v>49</v>
          </cell>
          <cell r="V46">
            <v>59.5</v>
          </cell>
          <cell r="W46">
            <v>62</v>
          </cell>
          <cell r="X46">
            <v>67</v>
          </cell>
          <cell r="Y46">
            <v>57</v>
          </cell>
          <cell r="Z46">
            <v>62</v>
          </cell>
          <cell r="AA46">
            <v>52</v>
          </cell>
          <cell r="AB46">
            <v>62</v>
          </cell>
          <cell r="AC46">
            <v>72</v>
          </cell>
          <cell r="AD46">
            <v>144.5</v>
          </cell>
          <cell r="AE46">
            <v>4325</v>
          </cell>
          <cell r="AF46">
            <v>31</v>
          </cell>
          <cell r="AG46">
            <v>62</v>
          </cell>
          <cell r="AH46">
            <v>620</v>
          </cell>
          <cell r="AI46">
            <v>620</v>
          </cell>
          <cell r="AJ46">
            <v>260</v>
          </cell>
          <cell r="AK46">
            <v>414</v>
          </cell>
          <cell r="AL46">
            <v>260</v>
          </cell>
          <cell r="AM46">
            <v>120.19999999999999</v>
          </cell>
          <cell r="AN46">
            <v>260</v>
          </cell>
          <cell r="AO46">
            <v>3340</v>
          </cell>
          <cell r="AP46">
            <v>37</v>
          </cell>
          <cell r="AQ46">
            <v>74</v>
          </cell>
          <cell r="AR46">
            <v>1890</v>
          </cell>
          <cell r="AS46">
            <v>1890</v>
          </cell>
          <cell r="AT46">
            <v>12.428571428571429</v>
          </cell>
          <cell r="AU46">
            <v>18.666666666666664</v>
          </cell>
          <cell r="AV46">
            <v>13.857142857142858</v>
          </cell>
          <cell r="AW46">
            <v>20.333333333333336</v>
          </cell>
          <cell r="AX46">
            <v>100</v>
          </cell>
          <cell r="AZ46">
            <v>144.5</v>
          </cell>
          <cell r="BA46">
            <v>120.19999999999999</v>
          </cell>
          <cell r="BB46">
            <v>132</v>
          </cell>
          <cell r="BC46">
            <v>2112</v>
          </cell>
          <cell r="BD46">
            <v>4753</v>
          </cell>
          <cell r="BR46">
            <v>111</v>
          </cell>
          <cell r="BS46">
            <v>835</v>
          </cell>
          <cell r="BT46">
            <v>167</v>
          </cell>
          <cell r="BU46">
            <v>208</v>
          </cell>
          <cell r="GZ46">
            <v>215</v>
          </cell>
          <cell r="HA46">
            <v>217</v>
          </cell>
          <cell r="HB46">
            <v>223</v>
          </cell>
          <cell r="HC46">
            <v>12</v>
          </cell>
          <cell r="HD46">
            <v>2880</v>
          </cell>
          <cell r="HE46">
            <v>10</v>
          </cell>
          <cell r="HF46">
            <v>10</v>
          </cell>
          <cell r="HG46">
            <v>2</v>
          </cell>
          <cell r="HH46">
            <v>2</v>
          </cell>
          <cell r="HI46">
            <v>1</v>
          </cell>
          <cell r="HJ46">
            <v>1</v>
          </cell>
          <cell r="HK46">
            <v>4</v>
          </cell>
          <cell r="HL46">
            <v>6</v>
          </cell>
          <cell r="HM46">
            <v>2</v>
          </cell>
          <cell r="HN46">
            <v>2</v>
          </cell>
          <cell r="HO46">
            <v>2</v>
          </cell>
          <cell r="HP46">
            <v>24</v>
          </cell>
          <cell r="HQ46">
            <v>3</v>
          </cell>
          <cell r="HR46">
            <v>36</v>
          </cell>
          <cell r="HT46">
            <v>42</v>
          </cell>
          <cell r="HU46">
            <v>2880</v>
          </cell>
          <cell r="HV46">
            <v>13000</v>
          </cell>
          <cell r="HW46">
            <v>20000</v>
          </cell>
          <cell r="HX46">
            <v>1300</v>
          </cell>
          <cell r="HY46">
            <v>1000</v>
          </cell>
          <cell r="HZ46">
            <v>2160</v>
          </cell>
          <cell r="IA46">
            <v>1670</v>
          </cell>
          <cell r="IF46">
            <v>42</v>
          </cell>
          <cell r="IG46">
            <v>223</v>
          </cell>
          <cell r="IH46">
            <v>33.450000000000003</v>
          </cell>
        </row>
        <row r="47">
          <cell r="A47">
            <v>43</v>
          </cell>
          <cell r="B47">
            <v>470</v>
          </cell>
          <cell r="C47">
            <v>215</v>
          </cell>
          <cell r="D47">
            <v>43</v>
          </cell>
          <cell r="E47">
            <v>20</v>
          </cell>
          <cell r="F47">
            <v>68</v>
          </cell>
          <cell r="G47">
            <v>58</v>
          </cell>
          <cell r="H47">
            <v>53</v>
          </cell>
          <cell r="I47">
            <v>53</v>
          </cell>
          <cell r="J47">
            <v>58</v>
          </cell>
          <cell r="K47">
            <v>53</v>
          </cell>
          <cell r="L47">
            <v>37</v>
          </cell>
          <cell r="M47">
            <v>58</v>
          </cell>
          <cell r="N47">
            <v>63</v>
          </cell>
          <cell r="O47">
            <v>47</v>
          </cell>
          <cell r="P47">
            <v>63</v>
          </cell>
          <cell r="Q47">
            <v>74</v>
          </cell>
          <cell r="R47">
            <v>52.5</v>
          </cell>
          <cell r="S47">
            <v>58</v>
          </cell>
          <cell r="T47">
            <v>58</v>
          </cell>
          <cell r="U47">
            <v>50</v>
          </cell>
          <cell r="V47">
            <v>60.5</v>
          </cell>
          <cell r="W47">
            <v>63.5</v>
          </cell>
          <cell r="X47">
            <v>68</v>
          </cell>
          <cell r="Y47">
            <v>58</v>
          </cell>
          <cell r="Z47">
            <v>63</v>
          </cell>
          <cell r="AA47">
            <v>53</v>
          </cell>
          <cell r="AB47">
            <v>63</v>
          </cell>
          <cell r="AC47">
            <v>74</v>
          </cell>
          <cell r="AD47">
            <v>147</v>
          </cell>
          <cell r="AE47">
            <v>4400</v>
          </cell>
          <cell r="AF47">
            <v>32</v>
          </cell>
          <cell r="AG47">
            <v>64</v>
          </cell>
          <cell r="AH47">
            <v>630</v>
          </cell>
          <cell r="AI47">
            <v>630</v>
          </cell>
          <cell r="AJ47">
            <v>265</v>
          </cell>
          <cell r="AK47">
            <v>421</v>
          </cell>
          <cell r="AL47">
            <v>265</v>
          </cell>
          <cell r="AM47">
            <v>122.3</v>
          </cell>
          <cell r="AN47">
            <v>265</v>
          </cell>
          <cell r="AO47">
            <v>3430</v>
          </cell>
          <cell r="AP47">
            <v>38</v>
          </cell>
          <cell r="AQ47">
            <v>76</v>
          </cell>
          <cell r="AR47">
            <v>1935</v>
          </cell>
          <cell r="AS47">
            <v>1935</v>
          </cell>
          <cell r="AT47">
            <v>12.571428571428571</v>
          </cell>
          <cell r="AU47">
            <v>18.833333333333336</v>
          </cell>
          <cell r="AV47">
            <v>14</v>
          </cell>
          <cell r="AW47">
            <v>20.5</v>
          </cell>
          <cell r="AX47">
            <v>100</v>
          </cell>
          <cell r="AZ47">
            <v>147</v>
          </cell>
          <cell r="BA47">
            <v>122.3</v>
          </cell>
          <cell r="BB47">
            <v>134</v>
          </cell>
          <cell r="BC47">
            <v>2144</v>
          </cell>
          <cell r="BD47">
            <v>4836</v>
          </cell>
          <cell r="BR47">
            <v>114</v>
          </cell>
          <cell r="BS47">
            <v>857</v>
          </cell>
          <cell r="BT47">
            <v>171</v>
          </cell>
          <cell r="BU47">
            <v>214</v>
          </cell>
          <cell r="GZ47">
            <v>215</v>
          </cell>
          <cell r="HA47">
            <v>217</v>
          </cell>
          <cell r="HB47">
            <v>231</v>
          </cell>
          <cell r="HC47">
            <v>12</v>
          </cell>
          <cell r="HD47">
            <v>2880</v>
          </cell>
          <cell r="HE47">
            <v>10</v>
          </cell>
          <cell r="HF47">
            <v>10</v>
          </cell>
          <cell r="HG47">
            <v>2</v>
          </cell>
          <cell r="HH47">
            <v>2</v>
          </cell>
          <cell r="HI47">
            <v>1</v>
          </cell>
          <cell r="HJ47">
            <v>1</v>
          </cell>
          <cell r="HK47">
            <v>4</v>
          </cell>
          <cell r="HL47">
            <v>6</v>
          </cell>
          <cell r="HM47">
            <v>2</v>
          </cell>
          <cell r="HN47">
            <v>2</v>
          </cell>
          <cell r="HO47">
            <v>2</v>
          </cell>
          <cell r="HP47">
            <v>24</v>
          </cell>
          <cell r="HQ47">
            <v>3</v>
          </cell>
          <cell r="HR47">
            <v>36</v>
          </cell>
          <cell r="HT47">
            <v>43</v>
          </cell>
          <cell r="HU47">
            <v>2880</v>
          </cell>
          <cell r="HV47">
            <v>13000</v>
          </cell>
          <cell r="HW47">
            <v>20000</v>
          </cell>
          <cell r="HX47">
            <v>1320</v>
          </cell>
          <cell r="HY47">
            <v>1030</v>
          </cell>
          <cell r="HZ47">
            <v>2200</v>
          </cell>
          <cell r="IA47">
            <v>1720</v>
          </cell>
          <cell r="IF47">
            <v>43</v>
          </cell>
          <cell r="IG47">
            <v>231</v>
          </cell>
          <cell r="IH47">
            <v>34.65</v>
          </cell>
        </row>
        <row r="48">
          <cell r="A48">
            <v>44</v>
          </cell>
          <cell r="B48">
            <v>480</v>
          </cell>
          <cell r="C48">
            <v>220</v>
          </cell>
          <cell r="D48">
            <v>44</v>
          </cell>
          <cell r="E48">
            <v>20</v>
          </cell>
          <cell r="F48">
            <v>70</v>
          </cell>
          <cell r="G48">
            <v>59</v>
          </cell>
          <cell r="H48">
            <v>54</v>
          </cell>
          <cell r="I48">
            <v>54</v>
          </cell>
          <cell r="J48">
            <v>59</v>
          </cell>
          <cell r="K48">
            <v>54</v>
          </cell>
          <cell r="L48">
            <v>37</v>
          </cell>
          <cell r="M48">
            <v>59</v>
          </cell>
          <cell r="N48">
            <v>64</v>
          </cell>
          <cell r="O48">
            <v>48</v>
          </cell>
          <cell r="P48">
            <v>64</v>
          </cell>
          <cell r="Q48">
            <v>75</v>
          </cell>
          <cell r="R48">
            <v>53.5</v>
          </cell>
          <cell r="S48">
            <v>59</v>
          </cell>
          <cell r="T48">
            <v>59</v>
          </cell>
          <cell r="U48">
            <v>51</v>
          </cell>
          <cell r="V48">
            <v>61.5</v>
          </cell>
          <cell r="W48">
            <v>64.5</v>
          </cell>
          <cell r="X48">
            <v>70</v>
          </cell>
          <cell r="Y48">
            <v>59</v>
          </cell>
          <cell r="Z48">
            <v>64</v>
          </cell>
          <cell r="AA48">
            <v>54</v>
          </cell>
          <cell r="AB48">
            <v>64</v>
          </cell>
          <cell r="AC48">
            <v>75</v>
          </cell>
          <cell r="AD48">
            <v>150.80000000000001</v>
          </cell>
          <cell r="AE48">
            <v>4475</v>
          </cell>
          <cell r="AF48">
            <v>32</v>
          </cell>
          <cell r="AG48">
            <v>64</v>
          </cell>
          <cell r="AH48">
            <v>640</v>
          </cell>
          <cell r="AI48">
            <v>640</v>
          </cell>
          <cell r="AJ48">
            <v>270</v>
          </cell>
          <cell r="AK48">
            <v>428</v>
          </cell>
          <cell r="AL48">
            <v>270</v>
          </cell>
          <cell r="AM48">
            <v>124.4</v>
          </cell>
          <cell r="AN48">
            <v>270</v>
          </cell>
          <cell r="AO48">
            <v>3475</v>
          </cell>
          <cell r="AP48">
            <v>38</v>
          </cell>
          <cell r="AQ48">
            <v>76</v>
          </cell>
          <cell r="AR48">
            <v>1980</v>
          </cell>
          <cell r="AS48">
            <v>1980</v>
          </cell>
          <cell r="AT48">
            <v>12.714285714285715</v>
          </cell>
          <cell r="AU48">
            <v>19</v>
          </cell>
          <cell r="AV48">
            <v>14.142857142857142</v>
          </cell>
          <cell r="AW48">
            <v>20.666666666666664</v>
          </cell>
          <cell r="AX48">
            <v>100</v>
          </cell>
          <cell r="AZ48">
            <v>150.80000000000001</v>
          </cell>
          <cell r="BA48">
            <v>124.4</v>
          </cell>
          <cell r="BB48">
            <v>137</v>
          </cell>
          <cell r="BC48">
            <v>2192</v>
          </cell>
          <cell r="BD48">
            <v>4918</v>
          </cell>
          <cell r="BR48">
            <v>115</v>
          </cell>
          <cell r="BS48">
            <v>868</v>
          </cell>
          <cell r="BT48">
            <v>173</v>
          </cell>
          <cell r="BU48">
            <v>217</v>
          </cell>
          <cell r="GZ48">
            <v>215</v>
          </cell>
          <cell r="HA48">
            <v>217</v>
          </cell>
          <cell r="HB48">
            <v>239</v>
          </cell>
          <cell r="HC48">
            <v>13</v>
          </cell>
          <cell r="HD48">
            <v>3120</v>
          </cell>
          <cell r="HE48">
            <v>11</v>
          </cell>
          <cell r="HF48">
            <v>11</v>
          </cell>
          <cell r="HG48">
            <v>2</v>
          </cell>
          <cell r="HH48">
            <v>2</v>
          </cell>
          <cell r="HI48">
            <v>1</v>
          </cell>
          <cell r="HJ48">
            <v>1</v>
          </cell>
          <cell r="HK48">
            <v>4</v>
          </cell>
          <cell r="HL48">
            <v>6</v>
          </cell>
          <cell r="HM48">
            <v>2</v>
          </cell>
          <cell r="HN48">
            <v>2</v>
          </cell>
          <cell r="HO48">
            <v>2</v>
          </cell>
          <cell r="HP48">
            <v>26</v>
          </cell>
          <cell r="HQ48">
            <v>3</v>
          </cell>
          <cell r="HR48">
            <v>39</v>
          </cell>
          <cell r="HT48">
            <v>44</v>
          </cell>
          <cell r="HU48">
            <v>3120</v>
          </cell>
          <cell r="HV48">
            <v>15000</v>
          </cell>
          <cell r="HW48">
            <v>22000</v>
          </cell>
          <cell r="HX48">
            <v>1340</v>
          </cell>
          <cell r="HY48">
            <v>1040</v>
          </cell>
          <cell r="HZ48">
            <v>2240</v>
          </cell>
          <cell r="IA48">
            <v>1740</v>
          </cell>
          <cell r="IF48">
            <v>44</v>
          </cell>
          <cell r="IG48">
            <v>239</v>
          </cell>
          <cell r="IH48">
            <v>35.85</v>
          </cell>
        </row>
        <row r="49">
          <cell r="A49">
            <v>45</v>
          </cell>
          <cell r="B49">
            <v>490</v>
          </cell>
          <cell r="C49">
            <v>225</v>
          </cell>
          <cell r="D49">
            <v>45</v>
          </cell>
          <cell r="E49">
            <v>20</v>
          </cell>
          <cell r="F49">
            <v>71</v>
          </cell>
          <cell r="G49">
            <v>60</v>
          </cell>
          <cell r="H49">
            <v>55</v>
          </cell>
          <cell r="I49">
            <v>55</v>
          </cell>
          <cell r="J49">
            <v>60</v>
          </cell>
          <cell r="K49">
            <v>55</v>
          </cell>
          <cell r="L49">
            <v>38</v>
          </cell>
          <cell r="M49">
            <v>60</v>
          </cell>
          <cell r="N49">
            <v>66</v>
          </cell>
          <cell r="O49">
            <v>49</v>
          </cell>
          <cell r="P49">
            <v>66</v>
          </cell>
          <cell r="Q49">
            <v>77</v>
          </cell>
          <cell r="R49">
            <v>54.5</v>
          </cell>
          <cell r="S49">
            <v>60</v>
          </cell>
          <cell r="T49">
            <v>60.5</v>
          </cell>
          <cell r="U49">
            <v>52</v>
          </cell>
          <cell r="V49">
            <v>63</v>
          </cell>
          <cell r="W49">
            <v>66</v>
          </cell>
          <cell r="X49">
            <v>71</v>
          </cell>
          <cell r="Y49">
            <v>60</v>
          </cell>
          <cell r="Z49">
            <v>66</v>
          </cell>
          <cell r="AA49">
            <v>55</v>
          </cell>
          <cell r="AB49">
            <v>66</v>
          </cell>
          <cell r="AC49">
            <v>77</v>
          </cell>
          <cell r="AD49">
            <v>153.30000000000001</v>
          </cell>
          <cell r="AE49">
            <v>4550</v>
          </cell>
          <cell r="AF49">
            <v>33</v>
          </cell>
          <cell r="AG49">
            <v>66</v>
          </cell>
          <cell r="AH49">
            <v>660</v>
          </cell>
          <cell r="AI49">
            <v>660</v>
          </cell>
          <cell r="AJ49">
            <v>275</v>
          </cell>
          <cell r="AK49">
            <v>440</v>
          </cell>
          <cell r="AL49">
            <v>275</v>
          </cell>
          <cell r="AM49">
            <v>128.1</v>
          </cell>
          <cell r="AN49">
            <v>275</v>
          </cell>
          <cell r="AO49">
            <v>3565</v>
          </cell>
          <cell r="AP49">
            <v>39</v>
          </cell>
          <cell r="AQ49">
            <v>78</v>
          </cell>
          <cell r="AR49">
            <v>2025</v>
          </cell>
          <cell r="AS49">
            <v>2025</v>
          </cell>
          <cell r="AT49">
            <v>12.857142857142858</v>
          </cell>
          <cell r="AU49">
            <v>19.166666666666664</v>
          </cell>
          <cell r="AV49">
            <v>14.428571428571429</v>
          </cell>
          <cell r="AW49">
            <v>21</v>
          </cell>
          <cell r="AX49">
            <v>100</v>
          </cell>
          <cell r="AZ49">
            <v>153.30000000000001</v>
          </cell>
          <cell r="BA49">
            <v>128.1</v>
          </cell>
          <cell r="BB49">
            <v>140</v>
          </cell>
          <cell r="BC49">
            <v>2240</v>
          </cell>
          <cell r="BD49">
            <v>5001</v>
          </cell>
          <cell r="BR49">
            <v>118</v>
          </cell>
          <cell r="BS49">
            <v>891</v>
          </cell>
          <cell r="BT49">
            <v>178</v>
          </cell>
          <cell r="BU49">
            <v>222</v>
          </cell>
          <cell r="GZ49">
            <v>215</v>
          </cell>
          <cell r="HA49">
            <v>217</v>
          </cell>
          <cell r="HB49">
            <v>248</v>
          </cell>
          <cell r="HC49">
            <v>13</v>
          </cell>
          <cell r="HD49">
            <v>3120</v>
          </cell>
          <cell r="HE49">
            <v>11</v>
          </cell>
          <cell r="HF49">
            <v>11</v>
          </cell>
          <cell r="HG49">
            <v>2</v>
          </cell>
          <cell r="HH49">
            <v>2</v>
          </cell>
          <cell r="HI49">
            <v>1</v>
          </cell>
          <cell r="HJ49">
            <v>1</v>
          </cell>
          <cell r="HK49">
            <v>4</v>
          </cell>
          <cell r="HL49">
            <v>6</v>
          </cell>
          <cell r="HM49">
            <v>2</v>
          </cell>
          <cell r="HN49">
            <v>2</v>
          </cell>
          <cell r="HO49">
            <v>2</v>
          </cell>
          <cell r="HP49">
            <v>26</v>
          </cell>
          <cell r="HQ49">
            <v>3</v>
          </cell>
          <cell r="HR49">
            <v>39</v>
          </cell>
          <cell r="HT49">
            <v>45</v>
          </cell>
          <cell r="HU49">
            <v>3120</v>
          </cell>
          <cell r="HV49">
            <v>15000</v>
          </cell>
          <cell r="HW49">
            <v>22000</v>
          </cell>
          <cell r="HX49">
            <v>1370</v>
          </cell>
          <cell r="HY49">
            <v>1070</v>
          </cell>
          <cell r="HZ49">
            <v>2280</v>
          </cell>
          <cell r="IA49">
            <v>1780</v>
          </cell>
          <cell r="IF49">
            <v>45</v>
          </cell>
          <cell r="IG49">
            <v>248</v>
          </cell>
          <cell r="IH49">
            <v>37.200000000000003</v>
          </cell>
        </row>
        <row r="50">
          <cell r="A50">
            <v>46</v>
          </cell>
          <cell r="B50">
            <v>500</v>
          </cell>
          <cell r="C50">
            <v>230</v>
          </cell>
          <cell r="D50">
            <v>46</v>
          </cell>
          <cell r="E50">
            <v>20</v>
          </cell>
          <cell r="F50">
            <v>72</v>
          </cell>
          <cell r="G50">
            <v>61</v>
          </cell>
          <cell r="H50">
            <v>56</v>
          </cell>
          <cell r="I50">
            <v>56</v>
          </cell>
          <cell r="J50">
            <v>61</v>
          </cell>
          <cell r="K50">
            <v>56</v>
          </cell>
          <cell r="L50">
            <v>39</v>
          </cell>
          <cell r="M50">
            <v>61</v>
          </cell>
          <cell r="N50">
            <v>67</v>
          </cell>
          <cell r="O50">
            <v>50</v>
          </cell>
          <cell r="P50">
            <v>67</v>
          </cell>
          <cell r="Q50">
            <v>78</v>
          </cell>
          <cell r="R50">
            <v>55.5</v>
          </cell>
          <cell r="S50">
            <v>61</v>
          </cell>
          <cell r="T50">
            <v>61.5</v>
          </cell>
          <cell r="U50">
            <v>53</v>
          </cell>
          <cell r="V50">
            <v>64</v>
          </cell>
          <cell r="W50">
            <v>67</v>
          </cell>
          <cell r="X50">
            <v>72</v>
          </cell>
          <cell r="Y50">
            <v>61</v>
          </cell>
          <cell r="Z50">
            <v>67</v>
          </cell>
          <cell r="AA50">
            <v>56</v>
          </cell>
          <cell r="AB50">
            <v>67</v>
          </cell>
          <cell r="AC50">
            <v>78</v>
          </cell>
          <cell r="AD50">
            <v>155.80000000000001</v>
          </cell>
          <cell r="AE50">
            <v>4625</v>
          </cell>
          <cell r="AF50">
            <v>33</v>
          </cell>
          <cell r="AG50">
            <v>66</v>
          </cell>
          <cell r="AH50">
            <v>670</v>
          </cell>
          <cell r="AI50">
            <v>670</v>
          </cell>
          <cell r="AJ50">
            <v>280</v>
          </cell>
          <cell r="AK50">
            <v>447</v>
          </cell>
          <cell r="AL50">
            <v>280</v>
          </cell>
          <cell r="AM50">
            <v>130.19999999999999</v>
          </cell>
          <cell r="AN50">
            <v>280</v>
          </cell>
          <cell r="AO50">
            <v>3610</v>
          </cell>
          <cell r="AP50">
            <v>40</v>
          </cell>
          <cell r="AQ50">
            <v>80</v>
          </cell>
          <cell r="AR50">
            <v>2070</v>
          </cell>
          <cell r="AS50">
            <v>2070</v>
          </cell>
          <cell r="AT50">
            <v>13</v>
          </cell>
          <cell r="AU50">
            <v>19.333333333333336</v>
          </cell>
          <cell r="AV50">
            <v>14.571428571428571</v>
          </cell>
          <cell r="AW50">
            <v>21.166666666666664</v>
          </cell>
          <cell r="AX50">
            <v>100</v>
          </cell>
          <cell r="AZ50">
            <v>155.80000000000001</v>
          </cell>
          <cell r="BA50">
            <v>130.19999999999999</v>
          </cell>
          <cell r="BB50">
            <v>143</v>
          </cell>
          <cell r="BC50">
            <v>2288</v>
          </cell>
          <cell r="BD50">
            <v>5083</v>
          </cell>
          <cell r="BR50">
            <v>120</v>
          </cell>
          <cell r="BS50">
            <v>902</v>
          </cell>
          <cell r="BT50">
            <v>180</v>
          </cell>
          <cell r="BU50">
            <v>225</v>
          </cell>
          <cell r="GZ50">
            <v>215</v>
          </cell>
          <cell r="HA50">
            <v>219</v>
          </cell>
          <cell r="HB50">
            <v>256</v>
          </cell>
          <cell r="HC50">
            <v>14</v>
          </cell>
          <cell r="HD50">
            <v>3360</v>
          </cell>
          <cell r="HE50">
            <v>12</v>
          </cell>
          <cell r="HF50">
            <v>12</v>
          </cell>
          <cell r="HG50">
            <v>2</v>
          </cell>
          <cell r="HH50">
            <v>2</v>
          </cell>
          <cell r="HI50">
            <v>1</v>
          </cell>
          <cell r="HJ50">
            <v>1</v>
          </cell>
          <cell r="HK50">
            <v>4</v>
          </cell>
          <cell r="HL50">
            <v>6</v>
          </cell>
          <cell r="HM50">
            <v>2</v>
          </cell>
          <cell r="HN50">
            <v>2</v>
          </cell>
          <cell r="HO50">
            <v>2</v>
          </cell>
          <cell r="HP50">
            <v>28</v>
          </cell>
          <cell r="HQ50">
            <v>3</v>
          </cell>
          <cell r="HR50">
            <v>42</v>
          </cell>
          <cell r="HT50">
            <v>46</v>
          </cell>
          <cell r="HU50">
            <v>3360</v>
          </cell>
          <cell r="HV50">
            <v>16000</v>
          </cell>
          <cell r="HW50">
            <v>24000</v>
          </cell>
          <cell r="HX50">
            <v>1390</v>
          </cell>
          <cell r="HY50">
            <v>1080</v>
          </cell>
          <cell r="HZ50">
            <v>2310</v>
          </cell>
          <cell r="IA50">
            <v>1810</v>
          </cell>
          <cell r="IF50">
            <v>46</v>
          </cell>
          <cell r="IG50">
            <v>256</v>
          </cell>
          <cell r="IH50">
            <v>38.4</v>
          </cell>
        </row>
        <row r="51">
          <cell r="A51">
            <v>47</v>
          </cell>
          <cell r="B51">
            <v>510</v>
          </cell>
          <cell r="C51">
            <v>235</v>
          </cell>
          <cell r="D51">
            <v>47</v>
          </cell>
          <cell r="E51">
            <v>20</v>
          </cell>
          <cell r="F51">
            <v>74</v>
          </cell>
          <cell r="G51">
            <v>62</v>
          </cell>
          <cell r="H51">
            <v>57</v>
          </cell>
          <cell r="I51">
            <v>57</v>
          </cell>
          <cell r="J51">
            <v>62</v>
          </cell>
          <cell r="K51">
            <v>57</v>
          </cell>
          <cell r="L51">
            <v>39</v>
          </cell>
          <cell r="M51">
            <v>62</v>
          </cell>
          <cell r="N51">
            <v>68</v>
          </cell>
          <cell r="O51">
            <v>51</v>
          </cell>
          <cell r="P51">
            <v>68</v>
          </cell>
          <cell r="Q51">
            <v>79</v>
          </cell>
          <cell r="R51">
            <v>56.5</v>
          </cell>
          <cell r="S51">
            <v>62</v>
          </cell>
          <cell r="T51">
            <v>62.5</v>
          </cell>
          <cell r="U51">
            <v>54</v>
          </cell>
          <cell r="V51">
            <v>65</v>
          </cell>
          <cell r="W51">
            <v>68</v>
          </cell>
          <cell r="X51">
            <v>74</v>
          </cell>
          <cell r="Y51">
            <v>62</v>
          </cell>
          <cell r="Z51">
            <v>68</v>
          </cell>
          <cell r="AA51">
            <v>57</v>
          </cell>
          <cell r="AB51">
            <v>68</v>
          </cell>
          <cell r="AC51">
            <v>79</v>
          </cell>
          <cell r="AD51">
            <v>159.6</v>
          </cell>
          <cell r="AE51">
            <v>4700</v>
          </cell>
          <cell r="AF51">
            <v>34</v>
          </cell>
          <cell r="AG51">
            <v>68</v>
          </cell>
          <cell r="AH51">
            <v>680</v>
          </cell>
          <cell r="AI51">
            <v>680</v>
          </cell>
          <cell r="AJ51">
            <v>285</v>
          </cell>
          <cell r="AK51">
            <v>454</v>
          </cell>
          <cell r="AL51">
            <v>285</v>
          </cell>
          <cell r="AM51">
            <v>132.30000000000001</v>
          </cell>
          <cell r="AN51">
            <v>285</v>
          </cell>
          <cell r="AO51">
            <v>3655</v>
          </cell>
          <cell r="AP51">
            <v>40</v>
          </cell>
          <cell r="AQ51">
            <v>80</v>
          </cell>
          <cell r="AR51">
            <v>2115</v>
          </cell>
          <cell r="AS51">
            <v>2115</v>
          </cell>
          <cell r="AT51">
            <v>13.142857142857142</v>
          </cell>
          <cell r="AU51">
            <v>19.5</v>
          </cell>
          <cell r="AV51">
            <v>14.714285714285714</v>
          </cell>
          <cell r="AW51">
            <v>21.333333333333336</v>
          </cell>
          <cell r="AX51">
            <v>100</v>
          </cell>
          <cell r="AZ51">
            <v>159.6</v>
          </cell>
          <cell r="BA51">
            <v>132.30000000000001</v>
          </cell>
          <cell r="BB51">
            <v>145</v>
          </cell>
          <cell r="BC51">
            <v>2320</v>
          </cell>
          <cell r="BD51">
            <v>5166</v>
          </cell>
          <cell r="BR51">
            <v>121</v>
          </cell>
          <cell r="BS51">
            <v>913</v>
          </cell>
          <cell r="BT51">
            <v>182</v>
          </cell>
          <cell r="BU51">
            <v>228</v>
          </cell>
          <cell r="GZ51">
            <v>215</v>
          </cell>
          <cell r="HA51">
            <v>219</v>
          </cell>
          <cell r="HB51">
            <v>265</v>
          </cell>
          <cell r="HC51">
            <v>14</v>
          </cell>
          <cell r="HD51">
            <v>3360</v>
          </cell>
          <cell r="HE51">
            <v>12</v>
          </cell>
          <cell r="HF51">
            <v>12</v>
          </cell>
          <cell r="HG51">
            <v>2</v>
          </cell>
          <cell r="HH51">
            <v>2</v>
          </cell>
          <cell r="HI51">
            <v>1</v>
          </cell>
          <cell r="HJ51">
            <v>1</v>
          </cell>
          <cell r="HK51">
            <v>4</v>
          </cell>
          <cell r="HL51">
            <v>6</v>
          </cell>
          <cell r="HM51">
            <v>2</v>
          </cell>
          <cell r="HN51">
            <v>2</v>
          </cell>
          <cell r="HO51">
            <v>2</v>
          </cell>
          <cell r="HP51">
            <v>28</v>
          </cell>
          <cell r="HQ51">
            <v>3</v>
          </cell>
          <cell r="HR51">
            <v>42</v>
          </cell>
          <cell r="HT51">
            <v>47</v>
          </cell>
          <cell r="HU51">
            <v>3360</v>
          </cell>
          <cell r="HV51">
            <v>16000</v>
          </cell>
          <cell r="HW51">
            <v>24000</v>
          </cell>
          <cell r="HX51">
            <v>1410</v>
          </cell>
          <cell r="HY51">
            <v>1100</v>
          </cell>
          <cell r="HZ51">
            <v>2350</v>
          </cell>
          <cell r="IA51">
            <v>1830</v>
          </cell>
          <cell r="IF51">
            <v>47</v>
          </cell>
          <cell r="IG51">
            <v>265</v>
          </cell>
          <cell r="IH51">
            <v>39.75</v>
          </cell>
        </row>
        <row r="52">
          <cell r="A52">
            <v>48</v>
          </cell>
          <cell r="B52">
            <v>520</v>
          </cell>
          <cell r="C52">
            <v>240</v>
          </cell>
          <cell r="D52">
            <v>48</v>
          </cell>
          <cell r="E52">
            <v>20</v>
          </cell>
          <cell r="F52">
            <v>75</v>
          </cell>
          <cell r="G52">
            <v>63</v>
          </cell>
          <cell r="H52">
            <v>58</v>
          </cell>
          <cell r="I52">
            <v>58</v>
          </cell>
          <cell r="J52">
            <v>63</v>
          </cell>
          <cell r="K52">
            <v>58</v>
          </cell>
          <cell r="L52">
            <v>40</v>
          </cell>
          <cell r="M52">
            <v>63</v>
          </cell>
          <cell r="N52">
            <v>69</v>
          </cell>
          <cell r="O52">
            <v>52</v>
          </cell>
          <cell r="P52">
            <v>69</v>
          </cell>
          <cell r="Q52">
            <v>81</v>
          </cell>
          <cell r="R52">
            <v>57.5</v>
          </cell>
          <cell r="S52">
            <v>63</v>
          </cell>
          <cell r="T52">
            <v>63.5</v>
          </cell>
          <cell r="U52">
            <v>55</v>
          </cell>
          <cell r="V52">
            <v>66</v>
          </cell>
          <cell r="W52">
            <v>69.5</v>
          </cell>
          <cell r="X52">
            <v>75</v>
          </cell>
          <cell r="Y52">
            <v>63</v>
          </cell>
          <cell r="Z52">
            <v>69</v>
          </cell>
          <cell r="AA52">
            <v>58</v>
          </cell>
          <cell r="AB52">
            <v>69</v>
          </cell>
          <cell r="AC52">
            <v>81</v>
          </cell>
          <cell r="AD52">
            <v>162.1</v>
          </cell>
          <cell r="AE52">
            <v>4775</v>
          </cell>
          <cell r="AF52">
            <v>34</v>
          </cell>
          <cell r="AG52">
            <v>68</v>
          </cell>
          <cell r="AH52">
            <v>690</v>
          </cell>
          <cell r="AI52">
            <v>690</v>
          </cell>
          <cell r="AJ52">
            <v>290</v>
          </cell>
          <cell r="AK52">
            <v>461</v>
          </cell>
          <cell r="AL52">
            <v>290</v>
          </cell>
          <cell r="AM52">
            <v>134.4</v>
          </cell>
          <cell r="AN52">
            <v>290</v>
          </cell>
          <cell r="AO52">
            <v>3745</v>
          </cell>
          <cell r="AP52">
            <v>41</v>
          </cell>
          <cell r="AQ52">
            <v>82</v>
          </cell>
          <cell r="AR52">
            <v>2160</v>
          </cell>
          <cell r="AS52">
            <v>2160</v>
          </cell>
          <cell r="AT52">
            <v>13.285714285714286</v>
          </cell>
          <cell r="AU52">
            <v>19.666666666666664</v>
          </cell>
          <cell r="AV52">
            <v>14.857142857142858</v>
          </cell>
          <cell r="AW52">
            <v>21.5</v>
          </cell>
          <cell r="AX52">
            <v>100</v>
          </cell>
          <cell r="AZ52">
            <v>162.1</v>
          </cell>
          <cell r="BA52">
            <v>134.4</v>
          </cell>
          <cell r="BB52">
            <v>148</v>
          </cell>
          <cell r="BC52">
            <v>2368</v>
          </cell>
          <cell r="BD52">
            <v>5248</v>
          </cell>
          <cell r="BR52">
            <v>124</v>
          </cell>
          <cell r="BS52">
            <v>936</v>
          </cell>
          <cell r="BT52">
            <v>187</v>
          </cell>
          <cell r="BU52">
            <v>234</v>
          </cell>
          <cell r="GZ52">
            <v>217</v>
          </cell>
          <cell r="HA52">
            <v>219</v>
          </cell>
          <cell r="HB52">
            <v>274</v>
          </cell>
          <cell r="HC52">
            <v>15</v>
          </cell>
          <cell r="HD52">
            <v>3600</v>
          </cell>
          <cell r="HE52">
            <v>13</v>
          </cell>
          <cell r="HF52">
            <v>13</v>
          </cell>
          <cell r="HG52">
            <v>3</v>
          </cell>
          <cell r="HH52">
            <v>3</v>
          </cell>
          <cell r="HI52">
            <v>1</v>
          </cell>
          <cell r="HJ52">
            <v>1</v>
          </cell>
          <cell r="HK52">
            <v>4</v>
          </cell>
          <cell r="HL52">
            <v>6</v>
          </cell>
          <cell r="HM52">
            <v>2</v>
          </cell>
          <cell r="HN52">
            <v>2</v>
          </cell>
          <cell r="HO52">
            <v>2</v>
          </cell>
          <cell r="HP52">
            <v>30</v>
          </cell>
          <cell r="HQ52">
            <v>3</v>
          </cell>
          <cell r="HR52">
            <v>45</v>
          </cell>
          <cell r="HT52">
            <v>48</v>
          </cell>
          <cell r="HU52">
            <v>3600</v>
          </cell>
          <cell r="HV52">
            <v>17000</v>
          </cell>
          <cell r="HW52">
            <v>25000</v>
          </cell>
          <cell r="HX52">
            <v>1430</v>
          </cell>
          <cell r="HY52">
            <v>1120</v>
          </cell>
          <cell r="HZ52">
            <v>2390</v>
          </cell>
          <cell r="IA52">
            <v>1870</v>
          </cell>
          <cell r="IF52">
            <v>48</v>
          </cell>
          <cell r="IG52">
            <v>274</v>
          </cell>
          <cell r="IH52">
            <v>41.1</v>
          </cell>
        </row>
        <row r="53">
          <cell r="A53">
            <v>49</v>
          </cell>
          <cell r="B53">
            <v>530</v>
          </cell>
          <cell r="C53">
            <v>245</v>
          </cell>
          <cell r="D53">
            <v>49</v>
          </cell>
          <cell r="E53">
            <v>20</v>
          </cell>
          <cell r="F53">
            <v>76</v>
          </cell>
          <cell r="G53">
            <v>64</v>
          </cell>
          <cell r="H53">
            <v>59</v>
          </cell>
          <cell r="I53">
            <v>59</v>
          </cell>
          <cell r="J53">
            <v>64</v>
          </cell>
          <cell r="K53">
            <v>59</v>
          </cell>
          <cell r="L53">
            <v>41</v>
          </cell>
          <cell r="M53">
            <v>64</v>
          </cell>
          <cell r="N53">
            <v>70</v>
          </cell>
          <cell r="O53">
            <v>53</v>
          </cell>
          <cell r="P53">
            <v>70</v>
          </cell>
          <cell r="Q53">
            <v>82</v>
          </cell>
          <cell r="R53">
            <v>58.5</v>
          </cell>
          <cell r="S53">
            <v>64</v>
          </cell>
          <cell r="T53">
            <v>64.5</v>
          </cell>
          <cell r="U53">
            <v>56</v>
          </cell>
          <cell r="V53">
            <v>67</v>
          </cell>
          <cell r="W53">
            <v>70.5</v>
          </cell>
          <cell r="X53">
            <v>76</v>
          </cell>
          <cell r="Y53">
            <v>64</v>
          </cell>
          <cell r="Z53">
            <v>70</v>
          </cell>
          <cell r="AA53">
            <v>59</v>
          </cell>
          <cell r="AB53">
            <v>70</v>
          </cell>
          <cell r="AC53">
            <v>82</v>
          </cell>
          <cell r="AD53">
            <v>164.6</v>
          </cell>
          <cell r="AE53">
            <v>4850</v>
          </cell>
          <cell r="AF53">
            <v>35</v>
          </cell>
          <cell r="AG53">
            <v>70</v>
          </cell>
          <cell r="AH53">
            <v>700</v>
          </cell>
          <cell r="AI53">
            <v>700</v>
          </cell>
          <cell r="AJ53">
            <v>295</v>
          </cell>
          <cell r="AK53">
            <v>468</v>
          </cell>
          <cell r="AL53">
            <v>295</v>
          </cell>
          <cell r="AM53">
            <v>136.5</v>
          </cell>
          <cell r="AN53">
            <v>295</v>
          </cell>
          <cell r="AO53">
            <v>3790</v>
          </cell>
          <cell r="AP53">
            <v>42</v>
          </cell>
          <cell r="AQ53">
            <v>84</v>
          </cell>
          <cell r="AR53">
            <v>2205</v>
          </cell>
          <cell r="AS53">
            <v>2205</v>
          </cell>
          <cell r="AT53">
            <v>13.428571428571429</v>
          </cell>
          <cell r="AU53">
            <v>19.833333333333336</v>
          </cell>
          <cell r="AV53">
            <v>15</v>
          </cell>
          <cell r="AW53">
            <v>21.666666666666664</v>
          </cell>
          <cell r="AX53">
            <v>100</v>
          </cell>
          <cell r="AZ53">
            <v>164.6</v>
          </cell>
          <cell r="BA53">
            <v>136.5</v>
          </cell>
          <cell r="BB53">
            <v>150</v>
          </cell>
          <cell r="BC53">
            <v>2400</v>
          </cell>
          <cell r="BD53">
            <v>5331</v>
          </cell>
          <cell r="BR53">
            <v>126</v>
          </cell>
          <cell r="BS53">
            <v>947</v>
          </cell>
          <cell r="BT53">
            <v>189</v>
          </cell>
          <cell r="BU53">
            <v>236</v>
          </cell>
          <cell r="GZ53">
            <v>217</v>
          </cell>
          <cell r="HA53">
            <v>219</v>
          </cell>
          <cell r="HB53">
            <v>283</v>
          </cell>
          <cell r="HC53">
            <v>15</v>
          </cell>
          <cell r="HD53">
            <v>3600</v>
          </cell>
          <cell r="HE53">
            <v>13</v>
          </cell>
          <cell r="HF53">
            <v>13</v>
          </cell>
          <cell r="HG53">
            <v>3</v>
          </cell>
          <cell r="HH53">
            <v>3</v>
          </cell>
          <cell r="HI53">
            <v>1</v>
          </cell>
          <cell r="HJ53">
            <v>1</v>
          </cell>
          <cell r="HK53">
            <v>4</v>
          </cell>
          <cell r="HL53">
            <v>6</v>
          </cell>
          <cell r="HM53">
            <v>2</v>
          </cell>
          <cell r="HN53">
            <v>2</v>
          </cell>
          <cell r="HO53">
            <v>2</v>
          </cell>
          <cell r="HP53">
            <v>30</v>
          </cell>
          <cell r="HQ53">
            <v>3</v>
          </cell>
          <cell r="HR53">
            <v>45</v>
          </cell>
          <cell r="HT53">
            <v>49</v>
          </cell>
          <cell r="HU53">
            <v>3600</v>
          </cell>
          <cell r="HV53">
            <v>17000</v>
          </cell>
          <cell r="HW53">
            <v>25000</v>
          </cell>
          <cell r="HX53">
            <v>1460</v>
          </cell>
          <cell r="HY53">
            <v>1140</v>
          </cell>
          <cell r="HZ53">
            <v>2430</v>
          </cell>
          <cell r="IA53">
            <v>1900</v>
          </cell>
          <cell r="IF53">
            <v>49</v>
          </cell>
          <cell r="IG53">
            <v>283</v>
          </cell>
          <cell r="IH53">
            <v>42.45</v>
          </cell>
        </row>
        <row r="54">
          <cell r="A54">
            <v>50</v>
          </cell>
          <cell r="B54">
            <v>540</v>
          </cell>
          <cell r="C54">
            <v>250</v>
          </cell>
          <cell r="D54">
            <v>50</v>
          </cell>
          <cell r="E54">
            <v>20</v>
          </cell>
          <cell r="F54">
            <v>78</v>
          </cell>
          <cell r="G54">
            <v>66</v>
          </cell>
          <cell r="H54">
            <v>60</v>
          </cell>
          <cell r="I54">
            <v>60</v>
          </cell>
          <cell r="J54">
            <v>66</v>
          </cell>
          <cell r="K54">
            <v>60</v>
          </cell>
          <cell r="L54">
            <v>42</v>
          </cell>
          <cell r="M54">
            <v>66</v>
          </cell>
          <cell r="N54">
            <v>72</v>
          </cell>
          <cell r="O54">
            <v>54</v>
          </cell>
          <cell r="P54">
            <v>72</v>
          </cell>
          <cell r="Q54">
            <v>84</v>
          </cell>
          <cell r="R54">
            <v>60</v>
          </cell>
          <cell r="S54">
            <v>66</v>
          </cell>
          <cell r="T54">
            <v>66</v>
          </cell>
          <cell r="U54">
            <v>57</v>
          </cell>
          <cell r="V54">
            <v>69</v>
          </cell>
          <cell r="W54">
            <v>72</v>
          </cell>
          <cell r="X54">
            <v>78</v>
          </cell>
          <cell r="Y54">
            <v>66</v>
          </cell>
          <cell r="Z54">
            <v>72</v>
          </cell>
          <cell r="AA54">
            <v>60</v>
          </cell>
          <cell r="AB54">
            <v>72</v>
          </cell>
          <cell r="AC54">
            <v>84</v>
          </cell>
          <cell r="AD54">
            <v>168.4</v>
          </cell>
          <cell r="AE54">
            <v>5000</v>
          </cell>
          <cell r="AF54">
            <v>36</v>
          </cell>
          <cell r="AG54">
            <v>72</v>
          </cell>
          <cell r="AH54">
            <v>720</v>
          </cell>
          <cell r="AI54">
            <v>720</v>
          </cell>
          <cell r="AJ54">
            <v>300</v>
          </cell>
          <cell r="AK54">
            <v>480</v>
          </cell>
          <cell r="AL54">
            <v>300</v>
          </cell>
          <cell r="AM54">
            <v>140.19999999999999</v>
          </cell>
          <cell r="AN54">
            <v>300</v>
          </cell>
          <cell r="AO54">
            <v>3880</v>
          </cell>
          <cell r="AP54">
            <v>43</v>
          </cell>
          <cell r="AQ54">
            <v>86</v>
          </cell>
          <cell r="AR54">
            <v>2250</v>
          </cell>
          <cell r="AS54">
            <v>2250</v>
          </cell>
          <cell r="AT54">
            <v>13.571428571428571</v>
          </cell>
          <cell r="AU54">
            <v>20</v>
          </cell>
          <cell r="AV54">
            <v>15.285714285714286</v>
          </cell>
          <cell r="AW54">
            <v>22</v>
          </cell>
          <cell r="AX54">
            <v>100</v>
          </cell>
          <cell r="AZ54">
            <v>168.4</v>
          </cell>
          <cell r="BA54">
            <v>140.19999999999999</v>
          </cell>
          <cell r="BB54">
            <v>154</v>
          </cell>
          <cell r="BC54">
            <v>2464</v>
          </cell>
          <cell r="BD54">
            <v>5496</v>
          </cell>
          <cell r="BR54">
            <v>129</v>
          </cell>
          <cell r="BS54">
            <v>970</v>
          </cell>
          <cell r="BT54">
            <v>194</v>
          </cell>
          <cell r="BU54">
            <v>242</v>
          </cell>
          <cell r="GZ54">
            <v>217</v>
          </cell>
          <cell r="HA54">
            <v>219</v>
          </cell>
          <cell r="HB54">
            <v>293</v>
          </cell>
          <cell r="HC54">
            <v>16</v>
          </cell>
          <cell r="HD54">
            <v>3840</v>
          </cell>
          <cell r="HE54">
            <v>14</v>
          </cell>
          <cell r="HF54">
            <v>14</v>
          </cell>
          <cell r="HG54">
            <v>3</v>
          </cell>
          <cell r="HH54">
            <v>3</v>
          </cell>
          <cell r="HI54">
            <v>1</v>
          </cell>
          <cell r="HJ54">
            <v>1</v>
          </cell>
          <cell r="HK54">
            <v>4</v>
          </cell>
          <cell r="HL54">
            <v>6</v>
          </cell>
          <cell r="HM54">
            <v>2</v>
          </cell>
          <cell r="HN54">
            <v>2</v>
          </cell>
          <cell r="HO54">
            <v>2</v>
          </cell>
          <cell r="HP54">
            <v>32</v>
          </cell>
          <cell r="HQ54">
            <v>3</v>
          </cell>
          <cell r="HR54">
            <v>48</v>
          </cell>
          <cell r="HT54">
            <v>50</v>
          </cell>
          <cell r="HU54">
            <v>3840</v>
          </cell>
          <cell r="HV54">
            <v>18000</v>
          </cell>
          <cell r="HW54">
            <v>27000</v>
          </cell>
          <cell r="HX54">
            <v>1500</v>
          </cell>
          <cell r="HY54">
            <v>1160</v>
          </cell>
          <cell r="HZ54">
            <v>2500</v>
          </cell>
          <cell r="IA54">
            <v>1940</v>
          </cell>
          <cell r="IF54">
            <v>50</v>
          </cell>
          <cell r="IG54">
            <v>293</v>
          </cell>
          <cell r="IH54">
            <v>43.95</v>
          </cell>
        </row>
        <row r="55">
          <cell r="A55">
            <v>51</v>
          </cell>
          <cell r="B55">
            <v>550</v>
          </cell>
          <cell r="C55">
            <v>255</v>
          </cell>
          <cell r="D55">
            <v>51</v>
          </cell>
          <cell r="E55">
            <v>20</v>
          </cell>
          <cell r="F55">
            <v>79</v>
          </cell>
          <cell r="G55">
            <v>67</v>
          </cell>
          <cell r="H55">
            <v>61</v>
          </cell>
          <cell r="I55">
            <v>61</v>
          </cell>
          <cell r="J55">
            <v>67</v>
          </cell>
          <cell r="K55">
            <v>61</v>
          </cell>
          <cell r="L55">
            <v>42</v>
          </cell>
          <cell r="M55">
            <v>67</v>
          </cell>
          <cell r="N55">
            <v>73</v>
          </cell>
          <cell r="O55">
            <v>54</v>
          </cell>
          <cell r="P55">
            <v>73</v>
          </cell>
          <cell r="Q55">
            <v>85</v>
          </cell>
          <cell r="R55">
            <v>60.5</v>
          </cell>
          <cell r="S55">
            <v>67</v>
          </cell>
          <cell r="T55">
            <v>67</v>
          </cell>
          <cell r="U55">
            <v>57.5</v>
          </cell>
          <cell r="V55">
            <v>70</v>
          </cell>
          <cell r="W55">
            <v>73</v>
          </cell>
          <cell r="X55">
            <v>79</v>
          </cell>
          <cell r="Y55">
            <v>67</v>
          </cell>
          <cell r="Z55">
            <v>73</v>
          </cell>
          <cell r="AA55">
            <v>61</v>
          </cell>
          <cell r="AB55">
            <v>73</v>
          </cell>
          <cell r="AC55">
            <v>85</v>
          </cell>
          <cell r="AD55">
            <v>170.89999999999998</v>
          </cell>
          <cell r="AE55">
            <v>5075</v>
          </cell>
          <cell r="AF55">
            <v>36</v>
          </cell>
          <cell r="AG55">
            <v>72</v>
          </cell>
          <cell r="AH55">
            <v>730</v>
          </cell>
          <cell r="AI55">
            <v>730</v>
          </cell>
          <cell r="AJ55">
            <v>305</v>
          </cell>
          <cell r="AK55">
            <v>487</v>
          </cell>
          <cell r="AL55">
            <v>305</v>
          </cell>
          <cell r="AM55">
            <v>142.30000000000001</v>
          </cell>
          <cell r="AN55">
            <v>305</v>
          </cell>
          <cell r="AO55">
            <v>3925</v>
          </cell>
          <cell r="AP55">
            <v>43</v>
          </cell>
          <cell r="AQ55">
            <v>86</v>
          </cell>
          <cell r="AR55">
            <v>2295</v>
          </cell>
          <cell r="AS55">
            <v>2295</v>
          </cell>
          <cell r="AT55">
            <v>13.714285714285714</v>
          </cell>
          <cell r="AU55">
            <v>20.166666666666664</v>
          </cell>
          <cell r="AV55">
            <v>15.428571428571429</v>
          </cell>
          <cell r="AW55">
            <v>22.166666666666664</v>
          </cell>
          <cell r="AX55">
            <v>100</v>
          </cell>
          <cell r="AZ55">
            <v>170.89999999999998</v>
          </cell>
          <cell r="BA55">
            <v>142.30000000000001</v>
          </cell>
          <cell r="BB55">
            <v>156</v>
          </cell>
          <cell r="BC55">
            <v>2496</v>
          </cell>
          <cell r="BD55">
            <v>5578</v>
          </cell>
          <cell r="BR55">
            <v>130</v>
          </cell>
          <cell r="BS55">
            <v>981</v>
          </cell>
          <cell r="BT55">
            <v>196</v>
          </cell>
          <cell r="BU55">
            <v>245</v>
          </cell>
          <cell r="GZ55">
            <v>217</v>
          </cell>
          <cell r="HA55">
            <v>221</v>
          </cell>
          <cell r="HB55">
            <v>302</v>
          </cell>
          <cell r="HC55">
            <v>16</v>
          </cell>
          <cell r="HD55">
            <v>3840</v>
          </cell>
          <cell r="HE55">
            <v>14</v>
          </cell>
          <cell r="HF55">
            <v>14</v>
          </cell>
          <cell r="HG55">
            <v>3</v>
          </cell>
          <cell r="HH55">
            <v>3</v>
          </cell>
          <cell r="HI55">
            <v>1</v>
          </cell>
          <cell r="HJ55">
            <v>1</v>
          </cell>
          <cell r="HK55">
            <v>4</v>
          </cell>
          <cell r="HL55">
            <v>6</v>
          </cell>
          <cell r="HM55">
            <v>2</v>
          </cell>
          <cell r="HN55">
            <v>2</v>
          </cell>
          <cell r="HO55">
            <v>2</v>
          </cell>
          <cell r="HP55">
            <v>32</v>
          </cell>
          <cell r="HQ55">
            <v>3</v>
          </cell>
          <cell r="HR55">
            <v>48</v>
          </cell>
          <cell r="HT55">
            <v>51</v>
          </cell>
          <cell r="HU55">
            <v>3840</v>
          </cell>
          <cell r="HV55">
            <v>18000</v>
          </cell>
          <cell r="HW55">
            <v>27000</v>
          </cell>
          <cell r="HX55">
            <v>1520</v>
          </cell>
          <cell r="HY55">
            <v>1180</v>
          </cell>
          <cell r="HZ55">
            <v>2540</v>
          </cell>
          <cell r="IA55">
            <v>1960</v>
          </cell>
          <cell r="IF55">
            <v>51</v>
          </cell>
          <cell r="IG55">
            <v>302</v>
          </cell>
          <cell r="IH55">
            <v>45.3</v>
          </cell>
        </row>
        <row r="56">
          <cell r="A56">
            <v>52</v>
          </cell>
          <cell r="B56">
            <v>560</v>
          </cell>
          <cell r="C56">
            <v>260</v>
          </cell>
          <cell r="D56">
            <v>52</v>
          </cell>
          <cell r="E56">
            <v>20</v>
          </cell>
          <cell r="F56">
            <v>80</v>
          </cell>
          <cell r="G56">
            <v>68</v>
          </cell>
          <cell r="H56">
            <v>62</v>
          </cell>
          <cell r="I56">
            <v>62</v>
          </cell>
          <cell r="J56">
            <v>68</v>
          </cell>
          <cell r="K56">
            <v>62</v>
          </cell>
          <cell r="L56">
            <v>43</v>
          </cell>
          <cell r="M56">
            <v>68</v>
          </cell>
          <cell r="N56">
            <v>74</v>
          </cell>
          <cell r="O56">
            <v>55</v>
          </cell>
          <cell r="P56">
            <v>74</v>
          </cell>
          <cell r="Q56">
            <v>86</v>
          </cell>
          <cell r="R56">
            <v>61.5</v>
          </cell>
          <cell r="S56">
            <v>68</v>
          </cell>
          <cell r="T56">
            <v>68</v>
          </cell>
          <cell r="U56">
            <v>58.5</v>
          </cell>
          <cell r="V56">
            <v>71</v>
          </cell>
          <cell r="W56">
            <v>74</v>
          </cell>
          <cell r="X56">
            <v>80</v>
          </cell>
          <cell r="Y56">
            <v>68</v>
          </cell>
          <cell r="Z56">
            <v>74</v>
          </cell>
          <cell r="AA56">
            <v>62</v>
          </cell>
          <cell r="AB56">
            <v>74</v>
          </cell>
          <cell r="AC56">
            <v>86</v>
          </cell>
          <cell r="AD56">
            <v>173.4</v>
          </cell>
          <cell r="AE56">
            <v>5150</v>
          </cell>
          <cell r="AF56">
            <v>37</v>
          </cell>
          <cell r="AG56">
            <v>74</v>
          </cell>
          <cell r="AH56">
            <v>740</v>
          </cell>
          <cell r="AI56">
            <v>740</v>
          </cell>
          <cell r="AJ56">
            <v>310</v>
          </cell>
          <cell r="AK56">
            <v>494</v>
          </cell>
          <cell r="AL56">
            <v>310</v>
          </cell>
          <cell r="AM56">
            <v>144.4</v>
          </cell>
          <cell r="AN56">
            <v>310</v>
          </cell>
          <cell r="AO56">
            <v>3970</v>
          </cell>
          <cell r="AP56">
            <v>44</v>
          </cell>
          <cell r="AQ56">
            <v>88</v>
          </cell>
          <cell r="AR56">
            <v>2340</v>
          </cell>
          <cell r="AS56">
            <v>2340</v>
          </cell>
          <cell r="AT56">
            <v>13.857142857142858</v>
          </cell>
          <cell r="AU56">
            <v>20.333333333333336</v>
          </cell>
          <cell r="AV56">
            <v>15.571428571428571</v>
          </cell>
          <cell r="AW56">
            <v>22.333333333333336</v>
          </cell>
          <cell r="AX56">
            <v>100</v>
          </cell>
          <cell r="AZ56">
            <v>173.4</v>
          </cell>
          <cell r="BA56">
            <v>144.4</v>
          </cell>
          <cell r="BB56">
            <v>158</v>
          </cell>
          <cell r="BC56">
            <v>2528</v>
          </cell>
          <cell r="BD56">
            <v>5661</v>
          </cell>
          <cell r="BR56">
            <v>132</v>
          </cell>
          <cell r="BS56">
            <v>992</v>
          </cell>
          <cell r="BT56">
            <v>198</v>
          </cell>
          <cell r="BU56">
            <v>248</v>
          </cell>
          <cell r="GZ56">
            <v>217</v>
          </cell>
          <cell r="HA56">
            <v>221</v>
          </cell>
          <cell r="HB56">
            <v>311</v>
          </cell>
          <cell r="HC56">
            <v>17</v>
          </cell>
          <cell r="HD56">
            <v>4080</v>
          </cell>
          <cell r="HE56">
            <v>15</v>
          </cell>
          <cell r="HF56">
            <v>15</v>
          </cell>
          <cell r="HG56">
            <v>3</v>
          </cell>
          <cell r="HH56">
            <v>3</v>
          </cell>
          <cell r="HI56">
            <v>1</v>
          </cell>
          <cell r="HJ56">
            <v>1</v>
          </cell>
          <cell r="HK56">
            <v>4</v>
          </cell>
          <cell r="HL56">
            <v>6</v>
          </cell>
          <cell r="HM56">
            <v>2</v>
          </cell>
          <cell r="HN56">
            <v>2</v>
          </cell>
          <cell r="HO56">
            <v>2</v>
          </cell>
          <cell r="HP56">
            <v>34</v>
          </cell>
          <cell r="HQ56">
            <v>3</v>
          </cell>
          <cell r="HR56">
            <v>51</v>
          </cell>
          <cell r="HT56">
            <v>52</v>
          </cell>
          <cell r="HU56">
            <v>4080</v>
          </cell>
          <cell r="HV56">
            <v>19000</v>
          </cell>
          <cell r="HW56">
            <v>29000</v>
          </cell>
          <cell r="HX56">
            <v>1550</v>
          </cell>
          <cell r="HY56">
            <v>1190</v>
          </cell>
          <cell r="HZ56">
            <v>2580</v>
          </cell>
          <cell r="IA56">
            <v>1990</v>
          </cell>
          <cell r="IF56">
            <v>52</v>
          </cell>
          <cell r="IG56">
            <v>311</v>
          </cell>
          <cell r="IH56">
            <v>46.65</v>
          </cell>
        </row>
        <row r="57">
          <cell r="A57">
            <v>53</v>
          </cell>
          <cell r="B57">
            <v>570</v>
          </cell>
          <cell r="C57">
            <v>265</v>
          </cell>
          <cell r="D57">
            <v>53</v>
          </cell>
          <cell r="E57">
            <v>20</v>
          </cell>
          <cell r="F57">
            <v>81</v>
          </cell>
          <cell r="G57">
            <v>69</v>
          </cell>
          <cell r="H57">
            <v>63</v>
          </cell>
          <cell r="I57">
            <v>63</v>
          </cell>
          <cell r="J57">
            <v>69</v>
          </cell>
          <cell r="K57">
            <v>63</v>
          </cell>
          <cell r="L57">
            <v>44</v>
          </cell>
          <cell r="M57">
            <v>69</v>
          </cell>
          <cell r="N57">
            <v>75</v>
          </cell>
          <cell r="O57">
            <v>56</v>
          </cell>
          <cell r="P57">
            <v>75</v>
          </cell>
          <cell r="Q57">
            <v>88</v>
          </cell>
          <cell r="R57">
            <v>62.5</v>
          </cell>
          <cell r="S57">
            <v>69</v>
          </cell>
          <cell r="T57">
            <v>69</v>
          </cell>
          <cell r="U57">
            <v>59.5</v>
          </cell>
          <cell r="V57">
            <v>72</v>
          </cell>
          <cell r="W57">
            <v>75.5</v>
          </cell>
          <cell r="X57">
            <v>81</v>
          </cell>
          <cell r="Y57">
            <v>69</v>
          </cell>
          <cell r="Z57">
            <v>75</v>
          </cell>
          <cell r="AA57">
            <v>63</v>
          </cell>
          <cell r="AB57">
            <v>75</v>
          </cell>
          <cell r="AC57">
            <v>88</v>
          </cell>
          <cell r="AD57">
            <v>175.9</v>
          </cell>
          <cell r="AE57">
            <v>5225</v>
          </cell>
          <cell r="AF57">
            <v>37</v>
          </cell>
          <cell r="AG57">
            <v>74</v>
          </cell>
          <cell r="AH57">
            <v>750</v>
          </cell>
          <cell r="AI57">
            <v>750</v>
          </cell>
          <cell r="AJ57">
            <v>315</v>
          </cell>
          <cell r="AK57">
            <v>501</v>
          </cell>
          <cell r="AL57">
            <v>315</v>
          </cell>
          <cell r="AM57">
            <v>146.5</v>
          </cell>
          <cell r="AN57">
            <v>315</v>
          </cell>
          <cell r="AO57">
            <v>4060</v>
          </cell>
          <cell r="AP57">
            <v>45</v>
          </cell>
          <cell r="AQ57">
            <v>90</v>
          </cell>
          <cell r="AR57">
            <v>2385</v>
          </cell>
          <cell r="AS57">
            <v>2385</v>
          </cell>
          <cell r="AT57">
            <v>14</v>
          </cell>
          <cell r="AU57">
            <v>20.5</v>
          </cell>
          <cell r="AV57">
            <v>15.714285714285714</v>
          </cell>
          <cell r="AW57">
            <v>22.5</v>
          </cell>
          <cell r="AX57">
            <v>100</v>
          </cell>
          <cell r="AZ57">
            <v>175.9</v>
          </cell>
          <cell r="BA57">
            <v>146.5</v>
          </cell>
          <cell r="BB57">
            <v>161</v>
          </cell>
          <cell r="BC57">
            <v>2576</v>
          </cell>
          <cell r="BD57">
            <v>5743</v>
          </cell>
          <cell r="BR57">
            <v>135</v>
          </cell>
          <cell r="BS57">
            <v>1015</v>
          </cell>
          <cell r="BT57">
            <v>203</v>
          </cell>
          <cell r="BU57">
            <v>253</v>
          </cell>
          <cell r="GZ57">
            <v>217</v>
          </cell>
          <cell r="HA57">
            <v>221</v>
          </cell>
          <cell r="HB57">
            <v>321</v>
          </cell>
          <cell r="HC57">
            <v>17</v>
          </cell>
          <cell r="HD57">
            <v>4080</v>
          </cell>
          <cell r="HE57">
            <v>15</v>
          </cell>
          <cell r="HF57">
            <v>15</v>
          </cell>
          <cell r="HG57">
            <v>3</v>
          </cell>
          <cell r="HH57">
            <v>3</v>
          </cell>
          <cell r="HI57">
            <v>1</v>
          </cell>
          <cell r="HJ57">
            <v>1</v>
          </cell>
          <cell r="HK57">
            <v>4</v>
          </cell>
          <cell r="HL57">
            <v>6</v>
          </cell>
          <cell r="HM57">
            <v>2</v>
          </cell>
          <cell r="HN57">
            <v>2</v>
          </cell>
          <cell r="HO57">
            <v>2</v>
          </cell>
          <cell r="HP57">
            <v>34</v>
          </cell>
          <cell r="HQ57">
            <v>3</v>
          </cell>
          <cell r="HR57">
            <v>51</v>
          </cell>
          <cell r="HT57">
            <v>53</v>
          </cell>
          <cell r="HU57">
            <v>4080</v>
          </cell>
          <cell r="HV57">
            <v>19000</v>
          </cell>
          <cell r="HW57">
            <v>29000</v>
          </cell>
          <cell r="HX57">
            <v>1570</v>
          </cell>
          <cell r="HY57">
            <v>1220</v>
          </cell>
          <cell r="HZ57">
            <v>2610</v>
          </cell>
          <cell r="IA57">
            <v>2030</v>
          </cell>
          <cell r="IF57">
            <v>53</v>
          </cell>
          <cell r="IG57">
            <v>321</v>
          </cell>
          <cell r="IH57">
            <v>48.15</v>
          </cell>
        </row>
        <row r="58">
          <cell r="A58">
            <v>54</v>
          </cell>
          <cell r="B58">
            <v>580</v>
          </cell>
          <cell r="C58">
            <v>270</v>
          </cell>
          <cell r="D58">
            <v>54</v>
          </cell>
          <cell r="E58">
            <v>20</v>
          </cell>
          <cell r="F58">
            <v>83</v>
          </cell>
          <cell r="G58">
            <v>70</v>
          </cell>
          <cell r="H58">
            <v>64</v>
          </cell>
          <cell r="I58">
            <v>64</v>
          </cell>
          <cell r="J58">
            <v>70</v>
          </cell>
          <cell r="K58">
            <v>64</v>
          </cell>
          <cell r="L58">
            <v>44</v>
          </cell>
          <cell r="M58">
            <v>70</v>
          </cell>
          <cell r="N58">
            <v>76</v>
          </cell>
          <cell r="O58">
            <v>57</v>
          </cell>
          <cell r="P58">
            <v>76</v>
          </cell>
          <cell r="Q58">
            <v>89</v>
          </cell>
          <cell r="R58">
            <v>63.5</v>
          </cell>
          <cell r="S58">
            <v>70</v>
          </cell>
          <cell r="T58">
            <v>70</v>
          </cell>
          <cell r="U58">
            <v>60.5</v>
          </cell>
          <cell r="V58">
            <v>73</v>
          </cell>
          <cell r="W58">
            <v>76.5</v>
          </cell>
          <cell r="X58">
            <v>83</v>
          </cell>
          <cell r="Y58">
            <v>70</v>
          </cell>
          <cell r="Z58">
            <v>76</v>
          </cell>
          <cell r="AA58">
            <v>64</v>
          </cell>
          <cell r="AB58">
            <v>76</v>
          </cell>
          <cell r="AC58">
            <v>89</v>
          </cell>
          <cell r="AD58">
            <v>179.7</v>
          </cell>
          <cell r="AE58">
            <v>5300</v>
          </cell>
          <cell r="AF58">
            <v>38</v>
          </cell>
          <cell r="AG58">
            <v>76</v>
          </cell>
          <cell r="AH58">
            <v>760</v>
          </cell>
          <cell r="AI58">
            <v>760</v>
          </cell>
          <cell r="AJ58">
            <v>320</v>
          </cell>
          <cell r="AK58">
            <v>508</v>
          </cell>
          <cell r="AL58">
            <v>320</v>
          </cell>
          <cell r="AM58">
            <v>148.6</v>
          </cell>
          <cell r="AN58">
            <v>320</v>
          </cell>
          <cell r="AO58">
            <v>4105</v>
          </cell>
          <cell r="AP58">
            <v>45</v>
          </cell>
          <cell r="AQ58">
            <v>90</v>
          </cell>
          <cell r="AR58">
            <v>2430</v>
          </cell>
          <cell r="AS58">
            <v>2430</v>
          </cell>
          <cell r="AT58">
            <v>14.142857142857142</v>
          </cell>
          <cell r="AU58">
            <v>20.666666666666664</v>
          </cell>
          <cell r="AV58">
            <v>15.857142857142858</v>
          </cell>
          <cell r="AW58">
            <v>22.666666666666664</v>
          </cell>
          <cell r="AX58">
            <v>100</v>
          </cell>
          <cell r="AZ58">
            <v>179.7</v>
          </cell>
          <cell r="BA58">
            <v>148.6</v>
          </cell>
          <cell r="BB58">
            <v>164</v>
          </cell>
          <cell r="BC58">
            <v>2624</v>
          </cell>
          <cell r="BD58">
            <v>5826</v>
          </cell>
          <cell r="BR58">
            <v>136</v>
          </cell>
          <cell r="BS58">
            <v>1026</v>
          </cell>
          <cell r="BT58">
            <v>205</v>
          </cell>
          <cell r="BU58">
            <v>256</v>
          </cell>
          <cell r="GZ58">
            <v>219</v>
          </cell>
          <cell r="HA58">
            <v>221</v>
          </cell>
          <cell r="HB58">
            <v>331</v>
          </cell>
          <cell r="HC58">
            <v>18</v>
          </cell>
          <cell r="HD58">
            <v>4320</v>
          </cell>
          <cell r="HE58">
            <v>16</v>
          </cell>
          <cell r="HF58">
            <v>16</v>
          </cell>
          <cell r="HG58">
            <v>3</v>
          </cell>
          <cell r="HH58">
            <v>3</v>
          </cell>
          <cell r="HI58">
            <v>1</v>
          </cell>
          <cell r="HJ58">
            <v>1</v>
          </cell>
          <cell r="HK58">
            <v>4</v>
          </cell>
          <cell r="HL58">
            <v>6</v>
          </cell>
          <cell r="HM58">
            <v>2</v>
          </cell>
          <cell r="HN58">
            <v>2</v>
          </cell>
          <cell r="HO58">
            <v>2</v>
          </cell>
          <cell r="HP58">
            <v>36</v>
          </cell>
          <cell r="HQ58">
            <v>3</v>
          </cell>
          <cell r="HR58">
            <v>54</v>
          </cell>
          <cell r="HT58">
            <v>54</v>
          </cell>
          <cell r="HU58">
            <v>4320</v>
          </cell>
          <cell r="HV58">
            <v>20000</v>
          </cell>
          <cell r="HW58">
            <v>30000</v>
          </cell>
          <cell r="HX58">
            <v>1590</v>
          </cell>
          <cell r="HY58">
            <v>1230</v>
          </cell>
          <cell r="HZ58">
            <v>2650</v>
          </cell>
          <cell r="IA58">
            <v>2050</v>
          </cell>
          <cell r="IF58">
            <v>54</v>
          </cell>
          <cell r="IG58">
            <v>331</v>
          </cell>
          <cell r="IH58">
            <v>49.65</v>
          </cell>
        </row>
        <row r="59">
          <cell r="A59">
            <v>55</v>
          </cell>
          <cell r="B59">
            <v>590</v>
          </cell>
          <cell r="C59">
            <v>275</v>
          </cell>
          <cell r="D59">
            <v>55</v>
          </cell>
          <cell r="E59">
            <v>20</v>
          </cell>
          <cell r="F59">
            <v>84</v>
          </cell>
          <cell r="G59">
            <v>71</v>
          </cell>
          <cell r="H59">
            <v>65</v>
          </cell>
          <cell r="I59">
            <v>65</v>
          </cell>
          <cell r="J59">
            <v>71</v>
          </cell>
          <cell r="K59">
            <v>65</v>
          </cell>
          <cell r="L59">
            <v>45</v>
          </cell>
          <cell r="M59">
            <v>71</v>
          </cell>
          <cell r="N59">
            <v>78</v>
          </cell>
          <cell r="O59">
            <v>58</v>
          </cell>
          <cell r="P59">
            <v>78</v>
          </cell>
          <cell r="Q59">
            <v>91</v>
          </cell>
          <cell r="R59">
            <v>64.5</v>
          </cell>
          <cell r="S59">
            <v>71</v>
          </cell>
          <cell r="T59">
            <v>71.5</v>
          </cell>
          <cell r="U59">
            <v>61.5</v>
          </cell>
          <cell r="V59">
            <v>74.5</v>
          </cell>
          <cell r="W59">
            <v>78</v>
          </cell>
          <cell r="X59">
            <v>84</v>
          </cell>
          <cell r="Y59">
            <v>71</v>
          </cell>
          <cell r="Z59">
            <v>78</v>
          </cell>
          <cell r="AA59">
            <v>65</v>
          </cell>
          <cell r="AB59">
            <v>78</v>
          </cell>
          <cell r="AC59">
            <v>91</v>
          </cell>
          <cell r="AD59">
            <v>182.2</v>
          </cell>
          <cell r="AE59">
            <v>5375</v>
          </cell>
          <cell r="AF59">
            <v>38</v>
          </cell>
          <cell r="AG59">
            <v>76</v>
          </cell>
          <cell r="AH59">
            <v>780</v>
          </cell>
          <cell r="AI59">
            <v>780</v>
          </cell>
          <cell r="AJ59">
            <v>325</v>
          </cell>
          <cell r="AK59">
            <v>520</v>
          </cell>
          <cell r="AL59">
            <v>325</v>
          </cell>
          <cell r="AM59">
            <v>152.30000000000001</v>
          </cell>
          <cell r="AN59">
            <v>325</v>
          </cell>
          <cell r="AO59">
            <v>4195</v>
          </cell>
          <cell r="AP59">
            <v>46</v>
          </cell>
          <cell r="AQ59">
            <v>92</v>
          </cell>
          <cell r="AR59">
            <v>2475</v>
          </cell>
          <cell r="AS59">
            <v>2475</v>
          </cell>
          <cell r="AT59">
            <v>14.285714285714286</v>
          </cell>
          <cell r="AU59">
            <v>20.833333333333336</v>
          </cell>
          <cell r="AV59">
            <v>16.142857142857142</v>
          </cell>
          <cell r="AW59">
            <v>23</v>
          </cell>
          <cell r="AX59">
            <v>100</v>
          </cell>
          <cell r="AZ59">
            <v>182.2</v>
          </cell>
          <cell r="BA59">
            <v>152.30000000000001</v>
          </cell>
          <cell r="BB59">
            <v>167</v>
          </cell>
          <cell r="BC59">
            <v>2672</v>
          </cell>
          <cell r="BD59">
            <v>5908</v>
          </cell>
          <cell r="BR59">
            <v>139</v>
          </cell>
          <cell r="BS59">
            <v>1048</v>
          </cell>
          <cell r="BT59">
            <v>209</v>
          </cell>
          <cell r="BU59">
            <v>262</v>
          </cell>
          <cell r="GZ59">
            <v>219</v>
          </cell>
          <cell r="HA59">
            <v>221</v>
          </cell>
          <cell r="HB59">
            <v>341</v>
          </cell>
          <cell r="HC59">
            <v>18</v>
          </cell>
          <cell r="HD59">
            <v>4320</v>
          </cell>
          <cell r="HE59">
            <v>16</v>
          </cell>
          <cell r="HF59">
            <v>16</v>
          </cell>
          <cell r="HG59">
            <v>3</v>
          </cell>
          <cell r="HH59">
            <v>3</v>
          </cell>
          <cell r="HI59">
            <v>1</v>
          </cell>
          <cell r="HJ59">
            <v>1</v>
          </cell>
          <cell r="HK59">
            <v>4</v>
          </cell>
          <cell r="HL59">
            <v>6</v>
          </cell>
          <cell r="HM59">
            <v>2</v>
          </cell>
          <cell r="HN59">
            <v>2</v>
          </cell>
          <cell r="HO59">
            <v>2</v>
          </cell>
          <cell r="HP59">
            <v>36</v>
          </cell>
          <cell r="HQ59">
            <v>3</v>
          </cell>
          <cell r="HR59">
            <v>54</v>
          </cell>
          <cell r="HT59">
            <v>55</v>
          </cell>
          <cell r="HU59">
            <v>4320</v>
          </cell>
          <cell r="HV59">
            <v>20000</v>
          </cell>
          <cell r="HW59">
            <v>30000</v>
          </cell>
          <cell r="HX59">
            <v>1610</v>
          </cell>
          <cell r="HY59">
            <v>1260</v>
          </cell>
          <cell r="HZ59">
            <v>2690</v>
          </cell>
          <cell r="IA59">
            <v>2100</v>
          </cell>
          <cell r="IF59">
            <v>55</v>
          </cell>
          <cell r="IG59">
            <v>341</v>
          </cell>
          <cell r="IH59">
            <v>51.15</v>
          </cell>
        </row>
        <row r="60">
          <cell r="A60">
            <v>56</v>
          </cell>
          <cell r="B60">
            <v>600</v>
          </cell>
          <cell r="C60">
            <v>280</v>
          </cell>
          <cell r="D60">
            <v>56</v>
          </cell>
          <cell r="E60">
            <v>20</v>
          </cell>
          <cell r="F60">
            <v>85</v>
          </cell>
          <cell r="G60">
            <v>72</v>
          </cell>
          <cell r="H60">
            <v>66</v>
          </cell>
          <cell r="I60">
            <v>66</v>
          </cell>
          <cell r="J60">
            <v>72</v>
          </cell>
          <cell r="K60">
            <v>66</v>
          </cell>
          <cell r="L60">
            <v>46</v>
          </cell>
          <cell r="M60">
            <v>72</v>
          </cell>
          <cell r="N60">
            <v>79</v>
          </cell>
          <cell r="O60">
            <v>59</v>
          </cell>
          <cell r="P60">
            <v>79</v>
          </cell>
          <cell r="Q60">
            <v>92</v>
          </cell>
          <cell r="R60">
            <v>65.5</v>
          </cell>
          <cell r="S60">
            <v>72</v>
          </cell>
          <cell r="T60">
            <v>72.5</v>
          </cell>
          <cell r="U60">
            <v>62.5</v>
          </cell>
          <cell r="V60">
            <v>75.5</v>
          </cell>
          <cell r="W60">
            <v>79</v>
          </cell>
          <cell r="X60">
            <v>85</v>
          </cell>
          <cell r="Y60">
            <v>72</v>
          </cell>
          <cell r="Z60">
            <v>79</v>
          </cell>
          <cell r="AA60">
            <v>66</v>
          </cell>
          <cell r="AB60">
            <v>79</v>
          </cell>
          <cell r="AC60">
            <v>92</v>
          </cell>
          <cell r="AD60">
            <v>184.7</v>
          </cell>
          <cell r="AE60">
            <v>5450</v>
          </cell>
          <cell r="AF60">
            <v>39</v>
          </cell>
          <cell r="AG60">
            <v>78</v>
          </cell>
          <cell r="AH60">
            <v>790</v>
          </cell>
          <cell r="AI60">
            <v>790</v>
          </cell>
          <cell r="AJ60">
            <v>330</v>
          </cell>
          <cell r="AK60">
            <v>527</v>
          </cell>
          <cell r="AL60">
            <v>330</v>
          </cell>
          <cell r="AM60">
            <v>154.4</v>
          </cell>
          <cell r="AN60">
            <v>330</v>
          </cell>
          <cell r="AO60">
            <v>4240</v>
          </cell>
          <cell r="AP60">
            <v>47</v>
          </cell>
          <cell r="AQ60">
            <v>94</v>
          </cell>
          <cell r="AR60">
            <v>2520</v>
          </cell>
          <cell r="AS60">
            <v>2520</v>
          </cell>
          <cell r="AT60">
            <v>14.428571428571429</v>
          </cell>
          <cell r="AU60">
            <v>21</v>
          </cell>
          <cell r="AV60">
            <v>16.285714285714285</v>
          </cell>
          <cell r="AW60">
            <v>23.166666666666664</v>
          </cell>
          <cell r="AX60">
            <v>100</v>
          </cell>
          <cell r="AZ60">
            <v>184.7</v>
          </cell>
          <cell r="BA60">
            <v>154.4</v>
          </cell>
          <cell r="BB60">
            <v>169</v>
          </cell>
          <cell r="BC60">
            <v>2704</v>
          </cell>
          <cell r="BD60">
            <v>5991</v>
          </cell>
          <cell r="BR60">
            <v>141</v>
          </cell>
          <cell r="BS60">
            <v>1060</v>
          </cell>
          <cell r="BT60">
            <v>212</v>
          </cell>
          <cell r="BU60">
            <v>265</v>
          </cell>
          <cell r="GZ60">
            <v>219</v>
          </cell>
          <cell r="HA60">
            <v>223</v>
          </cell>
          <cell r="HB60">
            <v>351</v>
          </cell>
          <cell r="HC60">
            <v>19</v>
          </cell>
          <cell r="HD60">
            <v>4560</v>
          </cell>
          <cell r="HE60">
            <v>17</v>
          </cell>
          <cell r="HF60">
            <v>17</v>
          </cell>
          <cell r="HG60">
            <v>3</v>
          </cell>
          <cell r="HH60">
            <v>3</v>
          </cell>
          <cell r="HI60">
            <v>1</v>
          </cell>
          <cell r="HJ60">
            <v>1</v>
          </cell>
          <cell r="HK60">
            <v>4</v>
          </cell>
          <cell r="HL60">
            <v>6</v>
          </cell>
          <cell r="HM60">
            <v>2</v>
          </cell>
          <cell r="HN60">
            <v>2</v>
          </cell>
          <cell r="HO60">
            <v>2</v>
          </cell>
          <cell r="HP60">
            <v>38</v>
          </cell>
          <cell r="HQ60">
            <v>3</v>
          </cell>
          <cell r="HR60">
            <v>57</v>
          </cell>
          <cell r="HT60">
            <v>56</v>
          </cell>
          <cell r="HU60">
            <v>4560</v>
          </cell>
          <cell r="HV60">
            <v>21000</v>
          </cell>
          <cell r="HW60">
            <v>32000</v>
          </cell>
          <cell r="HX60">
            <v>1640</v>
          </cell>
          <cell r="HY60">
            <v>1270</v>
          </cell>
          <cell r="HZ60">
            <v>2730</v>
          </cell>
          <cell r="IA60">
            <v>2120</v>
          </cell>
          <cell r="IF60">
            <v>56</v>
          </cell>
          <cell r="IG60">
            <v>351</v>
          </cell>
          <cell r="IH60">
            <v>52.65</v>
          </cell>
        </row>
        <row r="61">
          <cell r="A61">
            <v>57</v>
          </cell>
          <cell r="B61">
            <v>610</v>
          </cell>
          <cell r="C61">
            <v>285</v>
          </cell>
          <cell r="D61">
            <v>57</v>
          </cell>
          <cell r="E61">
            <v>20</v>
          </cell>
          <cell r="F61">
            <v>87</v>
          </cell>
          <cell r="G61">
            <v>73</v>
          </cell>
          <cell r="H61">
            <v>67</v>
          </cell>
          <cell r="I61">
            <v>67</v>
          </cell>
          <cell r="J61">
            <v>73</v>
          </cell>
          <cell r="K61">
            <v>67</v>
          </cell>
          <cell r="L61">
            <v>46</v>
          </cell>
          <cell r="M61">
            <v>73</v>
          </cell>
          <cell r="N61">
            <v>80</v>
          </cell>
          <cell r="O61">
            <v>60</v>
          </cell>
          <cell r="P61">
            <v>80</v>
          </cell>
          <cell r="Q61">
            <v>93</v>
          </cell>
          <cell r="R61">
            <v>66.5</v>
          </cell>
          <cell r="S61">
            <v>73</v>
          </cell>
          <cell r="T61">
            <v>73.5</v>
          </cell>
          <cell r="U61">
            <v>63.5</v>
          </cell>
          <cell r="V61">
            <v>76.5</v>
          </cell>
          <cell r="W61">
            <v>80</v>
          </cell>
          <cell r="X61">
            <v>87</v>
          </cell>
          <cell r="Y61">
            <v>73</v>
          </cell>
          <cell r="Z61">
            <v>80</v>
          </cell>
          <cell r="AA61">
            <v>67</v>
          </cell>
          <cell r="AB61">
            <v>80</v>
          </cell>
          <cell r="AC61">
            <v>93</v>
          </cell>
          <cell r="AD61">
            <v>188.50000000000003</v>
          </cell>
          <cell r="AE61">
            <v>5525</v>
          </cell>
          <cell r="AF61">
            <v>39</v>
          </cell>
          <cell r="AG61">
            <v>78</v>
          </cell>
          <cell r="AH61">
            <v>800</v>
          </cell>
          <cell r="AI61">
            <v>800</v>
          </cell>
          <cell r="AJ61">
            <v>335</v>
          </cell>
          <cell r="AK61">
            <v>534</v>
          </cell>
          <cell r="AL61">
            <v>335</v>
          </cell>
          <cell r="AM61">
            <v>156.5</v>
          </cell>
          <cell r="AN61">
            <v>335</v>
          </cell>
          <cell r="AO61">
            <v>4285</v>
          </cell>
          <cell r="AP61">
            <v>47</v>
          </cell>
          <cell r="AQ61">
            <v>94</v>
          </cell>
          <cell r="AR61">
            <v>2565</v>
          </cell>
          <cell r="AS61">
            <v>2565</v>
          </cell>
          <cell r="AT61">
            <v>14.571428571428571</v>
          </cell>
          <cell r="AU61">
            <v>21.166666666666664</v>
          </cell>
          <cell r="AV61">
            <v>16.428571428571431</v>
          </cell>
          <cell r="AW61">
            <v>23.333333333333336</v>
          </cell>
          <cell r="AX61">
            <v>100</v>
          </cell>
          <cell r="AZ61">
            <v>188.50000000000003</v>
          </cell>
          <cell r="BA61">
            <v>156.5</v>
          </cell>
          <cell r="BB61">
            <v>172</v>
          </cell>
          <cell r="BC61">
            <v>2752</v>
          </cell>
          <cell r="BD61">
            <v>6073</v>
          </cell>
          <cell r="BR61">
            <v>142</v>
          </cell>
          <cell r="BS61">
            <v>1071</v>
          </cell>
          <cell r="BT61">
            <v>214</v>
          </cell>
          <cell r="BU61">
            <v>267</v>
          </cell>
          <cell r="GZ61">
            <v>219</v>
          </cell>
          <cell r="HA61">
            <v>223</v>
          </cell>
          <cell r="HB61">
            <v>361</v>
          </cell>
          <cell r="HC61">
            <v>20</v>
          </cell>
          <cell r="HD61">
            <v>4800</v>
          </cell>
          <cell r="HE61">
            <v>18</v>
          </cell>
          <cell r="HF61">
            <v>18</v>
          </cell>
          <cell r="HG61">
            <v>4</v>
          </cell>
          <cell r="HH61">
            <v>4</v>
          </cell>
          <cell r="HI61">
            <v>2</v>
          </cell>
          <cell r="HJ61">
            <v>2</v>
          </cell>
          <cell r="HK61">
            <v>4</v>
          </cell>
          <cell r="HL61">
            <v>6</v>
          </cell>
          <cell r="HM61">
            <v>2</v>
          </cell>
          <cell r="HN61">
            <v>2</v>
          </cell>
          <cell r="HO61">
            <v>4</v>
          </cell>
          <cell r="HP61">
            <v>40</v>
          </cell>
          <cell r="HQ61">
            <v>6</v>
          </cell>
          <cell r="HR61">
            <v>60</v>
          </cell>
          <cell r="HT61">
            <v>57</v>
          </cell>
          <cell r="HU61">
            <v>4800</v>
          </cell>
          <cell r="HV61">
            <v>22000</v>
          </cell>
          <cell r="HW61">
            <v>34000</v>
          </cell>
          <cell r="HX61">
            <v>1660</v>
          </cell>
          <cell r="HY61">
            <v>1290</v>
          </cell>
          <cell r="HZ61">
            <v>2760</v>
          </cell>
          <cell r="IA61">
            <v>2140</v>
          </cell>
          <cell r="IF61">
            <v>57</v>
          </cell>
          <cell r="IG61">
            <v>361</v>
          </cell>
          <cell r="IH61">
            <v>54.15</v>
          </cell>
        </row>
        <row r="62">
          <cell r="A62">
            <v>58</v>
          </cell>
          <cell r="B62">
            <v>620</v>
          </cell>
          <cell r="C62">
            <v>290</v>
          </cell>
          <cell r="D62">
            <v>58</v>
          </cell>
          <cell r="E62">
            <v>20</v>
          </cell>
          <cell r="F62">
            <v>88</v>
          </cell>
          <cell r="G62">
            <v>74</v>
          </cell>
          <cell r="H62">
            <v>68</v>
          </cell>
          <cell r="I62">
            <v>68</v>
          </cell>
          <cell r="J62">
            <v>74</v>
          </cell>
          <cell r="K62">
            <v>68</v>
          </cell>
          <cell r="L62">
            <v>47</v>
          </cell>
          <cell r="M62">
            <v>74</v>
          </cell>
          <cell r="N62">
            <v>81</v>
          </cell>
          <cell r="O62">
            <v>61</v>
          </cell>
          <cell r="P62">
            <v>81</v>
          </cell>
          <cell r="Q62">
            <v>95</v>
          </cell>
          <cell r="R62">
            <v>67.5</v>
          </cell>
          <cell r="S62">
            <v>74</v>
          </cell>
          <cell r="T62">
            <v>74.5</v>
          </cell>
          <cell r="U62">
            <v>64.5</v>
          </cell>
          <cell r="V62">
            <v>77.5</v>
          </cell>
          <cell r="W62">
            <v>81.5</v>
          </cell>
          <cell r="X62">
            <v>88</v>
          </cell>
          <cell r="Y62">
            <v>74</v>
          </cell>
          <cell r="Z62">
            <v>81</v>
          </cell>
          <cell r="AA62">
            <v>68</v>
          </cell>
          <cell r="AB62">
            <v>81</v>
          </cell>
          <cell r="AC62">
            <v>95</v>
          </cell>
          <cell r="AD62">
            <v>191</v>
          </cell>
          <cell r="AE62">
            <v>5600</v>
          </cell>
          <cell r="AF62">
            <v>40</v>
          </cell>
          <cell r="AG62">
            <v>80</v>
          </cell>
          <cell r="AH62">
            <v>810</v>
          </cell>
          <cell r="AI62">
            <v>810</v>
          </cell>
          <cell r="AJ62">
            <v>340</v>
          </cell>
          <cell r="AK62">
            <v>541</v>
          </cell>
          <cell r="AL62">
            <v>340</v>
          </cell>
          <cell r="AM62">
            <v>158.6</v>
          </cell>
          <cell r="AN62">
            <v>340</v>
          </cell>
          <cell r="AO62">
            <v>4375</v>
          </cell>
          <cell r="AP62">
            <v>48</v>
          </cell>
          <cell r="AQ62">
            <v>96</v>
          </cell>
          <cell r="AR62">
            <v>2610</v>
          </cell>
          <cell r="AS62">
            <v>2610</v>
          </cell>
          <cell r="AT62">
            <v>14.714285714285714</v>
          </cell>
          <cell r="AU62">
            <v>21.333333333333336</v>
          </cell>
          <cell r="AV62">
            <v>16.571428571428569</v>
          </cell>
          <cell r="AW62">
            <v>23.5</v>
          </cell>
          <cell r="AX62">
            <v>100</v>
          </cell>
          <cell r="AZ62">
            <v>191</v>
          </cell>
          <cell r="BA62">
            <v>158.6</v>
          </cell>
          <cell r="BB62">
            <v>174</v>
          </cell>
          <cell r="BC62">
            <v>2784</v>
          </cell>
          <cell r="BD62">
            <v>6156</v>
          </cell>
          <cell r="BR62">
            <v>145</v>
          </cell>
          <cell r="BS62">
            <v>1093</v>
          </cell>
          <cell r="BT62">
            <v>218</v>
          </cell>
          <cell r="BU62">
            <v>273</v>
          </cell>
          <cell r="GZ62">
            <v>219</v>
          </cell>
          <cell r="HA62">
            <v>223</v>
          </cell>
          <cell r="HB62">
            <v>372</v>
          </cell>
          <cell r="HC62">
            <v>20</v>
          </cell>
          <cell r="HD62">
            <v>4800</v>
          </cell>
          <cell r="HE62">
            <v>18</v>
          </cell>
          <cell r="HF62">
            <v>18</v>
          </cell>
          <cell r="HG62">
            <v>4</v>
          </cell>
          <cell r="HH62">
            <v>4</v>
          </cell>
          <cell r="HI62">
            <v>2</v>
          </cell>
          <cell r="HJ62">
            <v>2</v>
          </cell>
          <cell r="HK62">
            <v>4</v>
          </cell>
          <cell r="HL62">
            <v>6</v>
          </cell>
          <cell r="HM62">
            <v>2</v>
          </cell>
          <cell r="HN62">
            <v>2</v>
          </cell>
          <cell r="HO62">
            <v>4</v>
          </cell>
          <cell r="HP62">
            <v>40</v>
          </cell>
          <cell r="HQ62">
            <v>6</v>
          </cell>
          <cell r="HR62">
            <v>60</v>
          </cell>
          <cell r="HT62">
            <v>58</v>
          </cell>
          <cell r="HU62">
            <v>4800</v>
          </cell>
          <cell r="HV62">
            <v>22000</v>
          </cell>
          <cell r="HW62">
            <v>34000</v>
          </cell>
          <cell r="HX62">
            <v>1680</v>
          </cell>
          <cell r="HY62">
            <v>1310</v>
          </cell>
          <cell r="HZ62">
            <v>2800</v>
          </cell>
          <cell r="IA62">
            <v>2190</v>
          </cell>
          <cell r="IF62">
            <v>58</v>
          </cell>
          <cell r="IG62">
            <v>372</v>
          </cell>
          <cell r="IH62">
            <v>55.8</v>
          </cell>
        </row>
        <row r="63">
          <cell r="A63">
            <v>59</v>
          </cell>
          <cell r="B63">
            <v>630</v>
          </cell>
          <cell r="C63">
            <v>295</v>
          </cell>
          <cell r="D63">
            <v>59</v>
          </cell>
          <cell r="E63">
            <v>20</v>
          </cell>
          <cell r="F63">
            <v>89</v>
          </cell>
          <cell r="G63">
            <v>75</v>
          </cell>
          <cell r="H63">
            <v>69</v>
          </cell>
          <cell r="I63">
            <v>69</v>
          </cell>
          <cell r="J63">
            <v>75</v>
          </cell>
          <cell r="K63">
            <v>69</v>
          </cell>
          <cell r="L63">
            <v>48</v>
          </cell>
          <cell r="M63">
            <v>75</v>
          </cell>
          <cell r="N63">
            <v>82</v>
          </cell>
          <cell r="O63">
            <v>62</v>
          </cell>
          <cell r="P63">
            <v>82</v>
          </cell>
          <cell r="Q63">
            <v>96</v>
          </cell>
          <cell r="R63">
            <v>68.5</v>
          </cell>
          <cell r="S63">
            <v>75</v>
          </cell>
          <cell r="T63">
            <v>75.5</v>
          </cell>
          <cell r="U63">
            <v>65.5</v>
          </cell>
          <cell r="V63">
            <v>78.5</v>
          </cell>
          <cell r="W63">
            <v>82.5</v>
          </cell>
          <cell r="X63">
            <v>89</v>
          </cell>
          <cell r="Y63">
            <v>75</v>
          </cell>
          <cell r="Z63">
            <v>82</v>
          </cell>
          <cell r="AA63">
            <v>69</v>
          </cell>
          <cell r="AB63">
            <v>82</v>
          </cell>
          <cell r="AC63">
            <v>96</v>
          </cell>
          <cell r="AD63">
            <v>193.5</v>
          </cell>
          <cell r="AE63">
            <v>5675</v>
          </cell>
          <cell r="AF63">
            <v>40</v>
          </cell>
          <cell r="AG63">
            <v>80</v>
          </cell>
          <cell r="AH63">
            <v>819.99999999999989</v>
          </cell>
          <cell r="AI63">
            <v>819.99999999999989</v>
          </cell>
          <cell r="AJ63">
            <v>345</v>
          </cell>
          <cell r="AK63">
            <v>548</v>
          </cell>
          <cell r="AL63">
            <v>345</v>
          </cell>
          <cell r="AM63">
            <v>160.69999999999999</v>
          </cell>
          <cell r="AN63">
            <v>345</v>
          </cell>
          <cell r="AO63">
            <v>4420</v>
          </cell>
          <cell r="AP63">
            <v>49</v>
          </cell>
          <cell r="AQ63">
            <v>98</v>
          </cell>
          <cell r="AR63">
            <v>2655</v>
          </cell>
          <cell r="AS63">
            <v>2655</v>
          </cell>
          <cell r="AT63">
            <v>14.857142857142858</v>
          </cell>
          <cell r="AU63">
            <v>21.5</v>
          </cell>
          <cell r="AV63">
            <v>16.714285714285715</v>
          </cell>
          <cell r="AW63">
            <v>23.666666666666664</v>
          </cell>
          <cell r="AX63">
            <v>100</v>
          </cell>
          <cell r="AZ63">
            <v>193.5</v>
          </cell>
          <cell r="BA63">
            <v>160.69999999999999</v>
          </cell>
          <cell r="BB63">
            <v>177</v>
          </cell>
          <cell r="BC63">
            <v>2832</v>
          </cell>
          <cell r="BD63">
            <v>6238</v>
          </cell>
          <cell r="BR63">
            <v>147</v>
          </cell>
          <cell r="BS63">
            <v>1105</v>
          </cell>
          <cell r="BT63">
            <v>221</v>
          </cell>
          <cell r="BU63">
            <v>276</v>
          </cell>
          <cell r="GZ63">
            <v>219</v>
          </cell>
          <cell r="HA63">
            <v>223</v>
          </cell>
          <cell r="HB63">
            <v>382</v>
          </cell>
          <cell r="HC63">
            <v>21</v>
          </cell>
          <cell r="HD63">
            <v>5040</v>
          </cell>
          <cell r="HE63">
            <v>18</v>
          </cell>
          <cell r="HF63">
            <v>18</v>
          </cell>
          <cell r="HG63">
            <v>4</v>
          </cell>
          <cell r="HH63">
            <v>4</v>
          </cell>
          <cell r="HI63">
            <v>2</v>
          </cell>
          <cell r="HJ63">
            <v>2</v>
          </cell>
          <cell r="HK63">
            <v>6</v>
          </cell>
          <cell r="HL63">
            <v>9</v>
          </cell>
          <cell r="HM63">
            <v>3</v>
          </cell>
          <cell r="HN63">
            <v>3</v>
          </cell>
          <cell r="HO63">
            <v>4</v>
          </cell>
          <cell r="HP63">
            <v>42</v>
          </cell>
          <cell r="HQ63">
            <v>6</v>
          </cell>
          <cell r="HR63">
            <v>63</v>
          </cell>
          <cell r="HT63">
            <v>59</v>
          </cell>
          <cell r="HU63">
            <v>5040</v>
          </cell>
          <cell r="HV63">
            <v>24000</v>
          </cell>
          <cell r="HW63">
            <v>35000</v>
          </cell>
          <cell r="HX63">
            <v>1700</v>
          </cell>
          <cell r="HY63">
            <v>1330</v>
          </cell>
          <cell r="HZ63">
            <v>2840</v>
          </cell>
          <cell r="IA63">
            <v>2210</v>
          </cell>
          <cell r="IF63">
            <v>59</v>
          </cell>
          <cell r="IG63">
            <v>382</v>
          </cell>
          <cell r="IH63">
            <v>57.3</v>
          </cell>
        </row>
        <row r="64">
          <cell r="A64">
            <v>60</v>
          </cell>
          <cell r="B64">
            <v>640</v>
          </cell>
          <cell r="C64">
            <v>300</v>
          </cell>
          <cell r="D64">
            <v>60</v>
          </cell>
          <cell r="E64">
            <v>20</v>
          </cell>
          <cell r="F64">
            <v>91</v>
          </cell>
          <cell r="G64">
            <v>77</v>
          </cell>
          <cell r="H64">
            <v>70</v>
          </cell>
          <cell r="I64">
            <v>70</v>
          </cell>
          <cell r="J64">
            <v>77</v>
          </cell>
          <cell r="K64">
            <v>70</v>
          </cell>
          <cell r="L64">
            <v>49</v>
          </cell>
          <cell r="M64">
            <v>77</v>
          </cell>
          <cell r="N64">
            <v>84</v>
          </cell>
          <cell r="O64">
            <v>63</v>
          </cell>
          <cell r="P64">
            <v>84</v>
          </cell>
          <cell r="Q64">
            <v>98</v>
          </cell>
          <cell r="R64">
            <v>70</v>
          </cell>
          <cell r="S64">
            <v>77</v>
          </cell>
          <cell r="T64">
            <v>77</v>
          </cell>
          <cell r="U64">
            <v>66.5</v>
          </cell>
          <cell r="V64">
            <v>80.5</v>
          </cell>
          <cell r="W64">
            <v>84</v>
          </cell>
          <cell r="X64">
            <v>91</v>
          </cell>
          <cell r="Y64">
            <v>77</v>
          </cell>
          <cell r="Z64">
            <v>84</v>
          </cell>
          <cell r="AA64">
            <v>70</v>
          </cell>
          <cell r="AB64">
            <v>84</v>
          </cell>
          <cell r="AC64">
            <v>98</v>
          </cell>
          <cell r="AD64">
            <v>197.3</v>
          </cell>
          <cell r="AE64">
            <v>5825</v>
          </cell>
          <cell r="AF64">
            <v>41</v>
          </cell>
          <cell r="AG64">
            <v>82</v>
          </cell>
          <cell r="AH64">
            <v>840</v>
          </cell>
          <cell r="AI64">
            <v>840</v>
          </cell>
          <cell r="AJ64">
            <v>350</v>
          </cell>
          <cell r="AK64">
            <v>560</v>
          </cell>
          <cell r="AL64">
            <v>350</v>
          </cell>
          <cell r="AM64">
            <v>164.4</v>
          </cell>
          <cell r="AN64">
            <v>350</v>
          </cell>
          <cell r="AO64">
            <v>4510</v>
          </cell>
          <cell r="AP64">
            <v>50</v>
          </cell>
          <cell r="AQ64">
            <v>100</v>
          </cell>
          <cell r="AR64">
            <v>2700</v>
          </cell>
          <cell r="AS64">
            <v>2700</v>
          </cell>
          <cell r="AT64">
            <v>15</v>
          </cell>
          <cell r="AU64">
            <v>21.666666666666664</v>
          </cell>
          <cell r="AV64">
            <v>17</v>
          </cell>
          <cell r="AW64">
            <v>24</v>
          </cell>
          <cell r="AX64">
            <v>100</v>
          </cell>
          <cell r="AZ64">
            <v>197.3</v>
          </cell>
          <cell r="BA64">
            <v>164.4</v>
          </cell>
          <cell r="BB64">
            <v>180</v>
          </cell>
          <cell r="BC64">
            <v>2880</v>
          </cell>
          <cell r="BD64">
            <v>6403</v>
          </cell>
          <cell r="BR64">
            <v>150</v>
          </cell>
          <cell r="BS64">
            <v>1127</v>
          </cell>
          <cell r="BT64">
            <v>225</v>
          </cell>
          <cell r="BU64">
            <v>281</v>
          </cell>
          <cell r="GZ64">
            <v>221</v>
          </cell>
          <cell r="HA64">
            <v>223</v>
          </cell>
          <cell r="HB64">
            <v>393</v>
          </cell>
          <cell r="HC64">
            <v>21</v>
          </cell>
          <cell r="HD64">
            <v>5040</v>
          </cell>
          <cell r="HE64">
            <v>18</v>
          </cell>
          <cell r="HF64">
            <v>18</v>
          </cell>
          <cell r="HG64">
            <v>4</v>
          </cell>
          <cell r="HH64">
            <v>4</v>
          </cell>
          <cell r="HI64">
            <v>2</v>
          </cell>
          <cell r="HJ64">
            <v>2</v>
          </cell>
          <cell r="HK64">
            <v>6</v>
          </cell>
          <cell r="HL64">
            <v>9</v>
          </cell>
          <cell r="HM64">
            <v>3</v>
          </cell>
          <cell r="HN64">
            <v>3</v>
          </cell>
          <cell r="HO64">
            <v>4</v>
          </cell>
          <cell r="HP64">
            <v>42</v>
          </cell>
          <cell r="HQ64">
            <v>6</v>
          </cell>
          <cell r="HR64">
            <v>63</v>
          </cell>
          <cell r="HT64">
            <v>60</v>
          </cell>
          <cell r="HU64">
            <v>5040</v>
          </cell>
          <cell r="HV64">
            <v>24000</v>
          </cell>
          <cell r="HW64">
            <v>35000</v>
          </cell>
          <cell r="HX64">
            <v>1750</v>
          </cell>
          <cell r="HY64">
            <v>1350</v>
          </cell>
          <cell r="HZ64">
            <v>2910</v>
          </cell>
          <cell r="IA64">
            <v>2260</v>
          </cell>
          <cell r="IF64">
            <v>60</v>
          </cell>
          <cell r="IG64">
            <v>393</v>
          </cell>
          <cell r="IH64">
            <v>58.95</v>
          </cell>
        </row>
        <row r="65">
          <cell r="A65">
            <v>61</v>
          </cell>
          <cell r="B65">
            <v>650</v>
          </cell>
          <cell r="C65">
            <v>305</v>
          </cell>
          <cell r="D65">
            <v>61</v>
          </cell>
          <cell r="E65">
            <v>20</v>
          </cell>
          <cell r="F65">
            <v>92</v>
          </cell>
          <cell r="G65">
            <v>78</v>
          </cell>
          <cell r="H65">
            <v>71</v>
          </cell>
          <cell r="I65">
            <v>71</v>
          </cell>
          <cell r="J65">
            <v>78</v>
          </cell>
          <cell r="K65">
            <v>71</v>
          </cell>
          <cell r="L65">
            <v>49</v>
          </cell>
          <cell r="M65">
            <v>78</v>
          </cell>
          <cell r="N65">
            <v>85</v>
          </cell>
          <cell r="O65">
            <v>63</v>
          </cell>
          <cell r="P65">
            <v>85</v>
          </cell>
          <cell r="Q65">
            <v>99</v>
          </cell>
          <cell r="R65">
            <v>70.5</v>
          </cell>
          <cell r="S65">
            <v>78</v>
          </cell>
          <cell r="T65">
            <v>78</v>
          </cell>
          <cell r="U65">
            <v>67</v>
          </cell>
          <cell r="V65">
            <v>81.5</v>
          </cell>
          <cell r="W65">
            <v>85</v>
          </cell>
          <cell r="X65">
            <v>92</v>
          </cell>
          <cell r="Y65">
            <v>78</v>
          </cell>
          <cell r="Z65">
            <v>85</v>
          </cell>
          <cell r="AA65">
            <v>71</v>
          </cell>
          <cell r="AB65">
            <v>85</v>
          </cell>
          <cell r="AC65">
            <v>99</v>
          </cell>
          <cell r="AD65">
            <v>199.8</v>
          </cell>
          <cell r="AE65">
            <v>5900</v>
          </cell>
          <cell r="AF65">
            <v>42</v>
          </cell>
          <cell r="AG65">
            <v>84</v>
          </cell>
          <cell r="AH65">
            <v>850</v>
          </cell>
          <cell r="AI65">
            <v>850</v>
          </cell>
          <cell r="AJ65">
            <v>355</v>
          </cell>
          <cell r="AK65">
            <v>567</v>
          </cell>
          <cell r="AL65">
            <v>355</v>
          </cell>
          <cell r="AM65">
            <v>166.5</v>
          </cell>
          <cell r="AN65">
            <v>355</v>
          </cell>
          <cell r="AO65">
            <v>4555</v>
          </cell>
          <cell r="AP65">
            <v>50</v>
          </cell>
          <cell r="AQ65">
            <v>100</v>
          </cell>
          <cell r="AR65">
            <v>2745</v>
          </cell>
          <cell r="AS65">
            <v>2745</v>
          </cell>
          <cell r="AT65">
            <v>15.142857142857142</v>
          </cell>
          <cell r="AU65">
            <v>21.833333333333336</v>
          </cell>
          <cell r="AV65">
            <v>17.142857142857142</v>
          </cell>
          <cell r="AW65">
            <v>24.166666666666664</v>
          </cell>
          <cell r="AX65">
            <v>100</v>
          </cell>
          <cell r="AZ65">
            <v>199.8</v>
          </cell>
          <cell r="BA65">
            <v>166.5</v>
          </cell>
          <cell r="BB65">
            <v>183</v>
          </cell>
          <cell r="BC65">
            <v>2928</v>
          </cell>
          <cell r="BD65">
            <v>6486</v>
          </cell>
          <cell r="BR65">
            <v>151</v>
          </cell>
          <cell r="BS65">
            <v>1138</v>
          </cell>
          <cell r="BT65">
            <v>227</v>
          </cell>
          <cell r="BU65">
            <v>284</v>
          </cell>
          <cell r="GZ65">
            <v>221</v>
          </cell>
          <cell r="HA65">
            <v>225</v>
          </cell>
          <cell r="HB65">
            <v>404</v>
          </cell>
          <cell r="HC65">
            <v>22</v>
          </cell>
          <cell r="HD65">
            <v>5280</v>
          </cell>
          <cell r="HE65">
            <v>19</v>
          </cell>
          <cell r="HF65">
            <v>19</v>
          </cell>
          <cell r="HG65">
            <v>4</v>
          </cell>
          <cell r="HH65">
            <v>4</v>
          </cell>
          <cell r="HI65">
            <v>2</v>
          </cell>
          <cell r="HJ65">
            <v>2</v>
          </cell>
          <cell r="HK65">
            <v>6</v>
          </cell>
          <cell r="HL65">
            <v>9</v>
          </cell>
          <cell r="HM65">
            <v>3</v>
          </cell>
          <cell r="HN65">
            <v>3</v>
          </cell>
          <cell r="HO65">
            <v>4</v>
          </cell>
          <cell r="HP65">
            <v>44</v>
          </cell>
          <cell r="HQ65">
            <v>6</v>
          </cell>
          <cell r="HR65">
            <v>66</v>
          </cell>
          <cell r="HT65">
            <v>61</v>
          </cell>
          <cell r="HU65">
            <v>5280</v>
          </cell>
          <cell r="HV65">
            <v>25000</v>
          </cell>
          <cell r="HW65">
            <v>37000</v>
          </cell>
          <cell r="HX65">
            <v>1770</v>
          </cell>
          <cell r="HY65">
            <v>1370</v>
          </cell>
          <cell r="HZ65">
            <v>2950</v>
          </cell>
          <cell r="IA65">
            <v>2280</v>
          </cell>
          <cell r="IF65">
            <v>61</v>
          </cell>
          <cell r="IG65">
            <v>404</v>
          </cell>
          <cell r="IH65">
            <v>60.6</v>
          </cell>
        </row>
        <row r="66">
          <cell r="A66">
            <v>62</v>
          </cell>
          <cell r="B66">
            <v>660</v>
          </cell>
          <cell r="C66">
            <v>310</v>
          </cell>
          <cell r="D66">
            <v>62</v>
          </cell>
          <cell r="E66">
            <v>20</v>
          </cell>
          <cell r="F66">
            <v>93</v>
          </cell>
          <cell r="G66">
            <v>79</v>
          </cell>
          <cell r="H66">
            <v>72</v>
          </cell>
          <cell r="I66">
            <v>72</v>
          </cell>
          <cell r="J66">
            <v>79</v>
          </cell>
          <cell r="K66">
            <v>72</v>
          </cell>
          <cell r="L66">
            <v>50</v>
          </cell>
          <cell r="M66">
            <v>79</v>
          </cell>
          <cell r="N66">
            <v>86</v>
          </cell>
          <cell r="O66">
            <v>64</v>
          </cell>
          <cell r="P66">
            <v>86</v>
          </cell>
          <cell r="Q66">
            <v>100</v>
          </cell>
          <cell r="R66">
            <v>71.5</v>
          </cell>
          <cell r="S66">
            <v>79</v>
          </cell>
          <cell r="T66">
            <v>79</v>
          </cell>
          <cell r="U66">
            <v>68</v>
          </cell>
          <cell r="V66">
            <v>82.5</v>
          </cell>
          <cell r="W66">
            <v>86</v>
          </cell>
          <cell r="X66">
            <v>93</v>
          </cell>
          <cell r="Y66">
            <v>79</v>
          </cell>
          <cell r="Z66">
            <v>86</v>
          </cell>
          <cell r="AA66">
            <v>72</v>
          </cell>
          <cell r="AB66">
            <v>86</v>
          </cell>
          <cell r="AC66">
            <v>100</v>
          </cell>
          <cell r="AD66">
            <v>202.3</v>
          </cell>
          <cell r="AE66">
            <v>5975</v>
          </cell>
          <cell r="AF66">
            <v>42</v>
          </cell>
          <cell r="AG66">
            <v>84</v>
          </cell>
          <cell r="AH66">
            <v>860</v>
          </cell>
          <cell r="AI66">
            <v>860</v>
          </cell>
          <cell r="AJ66">
            <v>360</v>
          </cell>
          <cell r="AK66">
            <v>574</v>
          </cell>
          <cell r="AL66">
            <v>360</v>
          </cell>
          <cell r="AM66">
            <v>168.6</v>
          </cell>
          <cell r="AN66">
            <v>360</v>
          </cell>
          <cell r="AO66">
            <v>4600</v>
          </cell>
          <cell r="AP66">
            <v>51</v>
          </cell>
          <cell r="AQ66">
            <v>102</v>
          </cell>
          <cell r="AR66">
            <v>2790</v>
          </cell>
          <cell r="AS66">
            <v>2790</v>
          </cell>
          <cell r="AT66">
            <v>15.285714285714286</v>
          </cell>
          <cell r="AU66">
            <v>22</v>
          </cell>
          <cell r="AV66">
            <v>17.285714285714285</v>
          </cell>
          <cell r="AW66">
            <v>24.333333333333336</v>
          </cell>
          <cell r="AX66">
            <v>100</v>
          </cell>
          <cell r="AZ66">
            <v>202.3</v>
          </cell>
          <cell r="BA66">
            <v>168.6</v>
          </cell>
          <cell r="BB66">
            <v>185</v>
          </cell>
          <cell r="BC66">
            <v>2960</v>
          </cell>
          <cell r="BD66">
            <v>6568</v>
          </cell>
          <cell r="BR66">
            <v>153</v>
          </cell>
          <cell r="BS66">
            <v>1150</v>
          </cell>
          <cell r="BT66">
            <v>230</v>
          </cell>
          <cell r="BU66">
            <v>287</v>
          </cell>
          <cell r="GZ66">
            <v>221</v>
          </cell>
          <cell r="HA66">
            <v>225</v>
          </cell>
          <cell r="HB66">
            <v>415</v>
          </cell>
          <cell r="HC66">
            <v>23</v>
          </cell>
          <cell r="HD66">
            <v>5520</v>
          </cell>
          <cell r="HE66">
            <v>20</v>
          </cell>
          <cell r="HF66">
            <v>20</v>
          </cell>
          <cell r="HG66">
            <v>4</v>
          </cell>
          <cell r="HH66">
            <v>4</v>
          </cell>
          <cell r="HI66">
            <v>2</v>
          </cell>
          <cell r="HJ66">
            <v>2</v>
          </cell>
          <cell r="HK66">
            <v>6</v>
          </cell>
          <cell r="HL66">
            <v>9</v>
          </cell>
          <cell r="HM66">
            <v>3</v>
          </cell>
          <cell r="HN66">
            <v>3</v>
          </cell>
          <cell r="HO66">
            <v>4</v>
          </cell>
          <cell r="HP66">
            <v>46</v>
          </cell>
          <cell r="HQ66">
            <v>6</v>
          </cell>
          <cell r="HR66">
            <v>69</v>
          </cell>
          <cell r="HT66">
            <v>62</v>
          </cell>
          <cell r="HU66">
            <v>5520</v>
          </cell>
          <cell r="HV66">
            <v>26000</v>
          </cell>
          <cell r="HW66">
            <v>39000</v>
          </cell>
          <cell r="HX66">
            <v>1790</v>
          </cell>
          <cell r="HY66">
            <v>1380</v>
          </cell>
          <cell r="HZ66">
            <v>2990</v>
          </cell>
          <cell r="IA66">
            <v>2300</v>
          </cell>
          <cell r="IF66">
            <v>62</v>
          </cell>
          <cell r="IG66">
            <v>415</v>
          </cell>
          <cell r="IH66">
            <v>62.25</v>
          </cell>
        </row>
        <row r="67">
          <cell r="A67">
            <v>63</v>
          </cell>
          <cell r="B67">
            <v>670</v>
          </cell>
          <cell r="C67">
            <v>315</v>
          </cell>
          <cell r="D67">
            <v>63</v>
          </cell>
          <cell r="E67">
            <v>20</v>
          </cell>
          <cell r="F67">
            <v>94</v>
          </cell>
          <cell r="G67">
            <v>80</v>
          </cell>
          <cell r="H67">
            <v>73</v>
          </cell>
          <cell r="I67">
            <v>73</v>
          </cell>
          <cell r="J67">
            <v>80</v>
          </cell>
          <cell r="K67">
            <v>73</v>
          </cell>
          <cell r="L67">
            <v>51</v>
          </cell>
          <cell r="M67">
            <v>80</v>
          </cell>
          <cell r="N67">
            <v>87</v>
          </cell>
          <cell r="O67">
            <v>65</v>
          </cell>
          <cell r="P67">
            <v>87</v>
          </cell>
          <cell r="Q67">
            <v>102</v>
          </cell>
          <cell r="R67">
            <v>72.5</v>
          </cell>
          <cell r="S67">
            <v>80</v>
          </cell>
          <cell r="T67">
            <v>80</v>
          </cell>
          <cell r="U67">
            <v>69</v>
          </cell>
          <cell r="V67">
            <v>83.5</v>
          </cell>
          <cell r="W67">
            <v>87.5</v>
          </cell>
          <cell r="X67">
            <v>94</v>
          </cell>
          <cell r="Y67">
            <v>80</v>
          </cell>
          <cell r="Z67">
            <v>87</v>
          </cell>
          <cell r="AA67">
            <v>73</v>
          </cell>
          <cell r="AB67">
            <v>87</v>
          </cell>
          <cell r="AC67">
            <v>102</v>
          </cell>
          <cell r="AD67">
            <v>204.79999999999998</v>
          </cell>
          <cell r="AE67">
            <v>6050</v>
          </cell>
          <cell r="AF67">
            <v>43</v>
          </cell>
          <cell r="AG67">
            <v>86</v>
          </cell>
          <cell r="AH67">
            <v>869.99999999999989</v>
          </cell>
          <cell r="AI67">
            <v>869.99999999999989</v>
          </cell>
          <cell r="AJ67">
            <v>365</v>
          </cell>
          <cell r="AK67">
            <v>581</v>
          </cell>
          <cell r="AL67">
            <v>365</v>
          </cell>
          <cell r="AM67">
            <v>170.7</v>
          </cell>
          <cell r="AN67">
            <v>365</v>
          </cell>
          <cell r="AO67">
            <v>4690</v>
          </cell>
          <cell r="AP67">
            <v>52</v>
          </cell>
          <cell r="AQ67">
            <v>104</v>
          </cell>
          <cell r="AR67">
            <v>2835</v>
          </cell>
          <cell r="AS67">
            <v>2835</v>
          </cell>
          <cell r="AT67">
            <v>15.428571428571429</v>
          </cell>
          <cell r="AU67">
            <v>22.166666666666664</v>
          </cell>
          <cell r="AV67">
            <v>17.428571428571431</v>
          </cell>
          <cell r="AW67">
            <v>24.5</v>
          </cell>
          <cell r="AX67">
            <v>100</v>
          </cell>
          <cell r="AZ67">
            <v>204.79999999999998</v>
          </cell>
          <cell r="BA67">
            <v>170.7</v>
          </cell>
          <cell r="BB67">
            <v>187</v>
          </cell>
          <cell r="BC67">
            <v>2992</v>
          </cell>
          <cell r="BD67">
            <v>6651</v>
          </cell>
          <cell r="BR67">
            <v>156</v>
          </cell>
          <cell r="BS67">
            <v>1172</v>
          </cell>
          <cell r="BT67">
            <v>234</v>
          </cell>
          <cell r="BU67">
            <v>293</v>
          </cell>
          <cell r="GZ67">
            <v>221</v>
          </cell>
          <cell r="HA67">
            <v>225</v>
          </cell>
          <cell r="HB67">
            <v>426</v>
          </cell>
          <cell r="HC67">
            <v>23</v>
          </cell>
          <cell r="HD67">
            <v>5520</v>
          </cell>
          <cell r="HE67">
            <v>20</v>
          </cell>
          <cell r="HF67">
            <v>20</v>
          </cell>
          <cell r="HG67">
            <v>4</v>
          </cell>
          <cell r="HH67">
            <v>4</v>
          </cell>
          <cell r="HI67">
            <v>2</v>
          </cell>
          <cell r="HJ67">
            <v>2</v>
          </cell>
          <cell r="HK67">
            <v>6</v>
          </cell>
          <cell r="HL67">
            <v>9</v>
          </cell>
          <cell r="HM67">
            <v>3</v>
          </cell>
          <cell r="HN67">
            <v>3</v>
          </cell>
          <cell r="HO67">
            <v>4</v>
          </cell>
          <cell r="HP67">
            <v>46</v>
          </cell>
          <cell r="HQ67">
            <v>6</v>
          </cell>
          <cell r="HR67">
            <v>69</v>
          </cell>
          <cell r="HT67">
            <v>63</v>
          </cell>
          <cell r="HU67">
            <v>5520</v>
          </cell>
          <cell r="HV67">
            <v>26000</v>
          </cell>
          <cell r="HW67">
            <v>39000</v>
          </cell>
          <cell r="HX67">
            <v>1820</v>
          </cell>
          <cell r="HY67">
            <v>1410</v>
          </cell>
          <cell r="HZ67">
            <v>3030</v>
          </cell>
          <cell r="IA67">
            <v>2350</v>
          </cell>
          <cell r="IF67">
            <v>63</v>
          </cell>
          <cell r="IG67">
            <v>426</v>
          </cell>
          <cell r="IH67">
            <v>63.9</v>
          </cell>
        </row>
        <row r="68">
          <cell r="A68">
            <v>64</v>
          </cell>
          <cell r="B68">
            <v>680</v>
          </cell>
          <cell r="C68">
            <v>320</v>
          </cell>
          <cell r="D68">
            <v>64</v>
          </cell>
          <cell r="E68">
            <v>20</v>
          </cell>
          <cell r="F68">
            <v>96</v>
          </cell>
          <cell r="G68">
            <v>81</v>
          </cell>
          <cell r="H68">
            <v>74</v>
          </cell>
          <cell r="I68">
            <v>74</v>
          </cell>
          <cell r="J68">
            <v>81</v>
          </cell>
          <cell r="K68">
            <v>74</v>
          </cell>
          <cell r="L68">
            <v>51</v>
          </cell>
          <cell r="M68">
            <v>81</v>
          </cell>
          <cell r="N68">
            <v>88</v>
          </cell>
          <cell r="O68">
            <v>66</v>
          </cell>
          <cell r="P68">
            <v>88</v>
          </cell>
          <cell r="Q68">
            <v>103</v>
          </cell>
          <cell r="R68">
            <v>73.5</v>
          </cell>
          <cell r="S68">
            <v>81</v>
          </cell>
          <cell r="T68">
            <v>81</v>
          </cell>
          <cell r="U68">
            <v>70</v>
          </cell>
          <cell r="V68">
            <v>84.5</v>
          </cell>
          <cell r="W68">
            <v>88.5</v>
          </cell>
          <cell r="X68">
            <v>96</v>
          </cell>
          <cell r="Y68">
            <v>81</v>
          </cell>
          <cell r="Z68">
            <v>88</v>
          </cell>
          <cell r="AA68">
            <v>74</v>
          </cell>
          <cell r="AB68">
            <v>88</v>
          </cell>
          <cell r="AC68">
            <v>103</v>
          </cell>
          <cell r="AD68">
            <v>208.60000000000002</v>
          </cell>
          <cell r="AE68">
            <v>6125</v>
          </cell>
          <cell r="AF68">
            <v>43</v>
          </cell>
          <cell r="AG68">
            <v>86</v>
          </cell>
          <cell r="AH68">
            <v>880.00000000000011</v>
          </cell>
          <cell r="AI68">
            <v>880.00000000000011</v>
          </cell>
          <cell r="AJ68">
            <v>370</v>
          </cell>
          <cell r="AK68">
            <v>588</v>
          </cell>
          <cell r="AL68">
            <v>370</v>
          </cell>
          <cell r="AM68">
            <v>172.8</v>
          </cell>
          <cell r="AN68">
            <v>370</v>
          </cell>
          <cell r="AO68">
            <v>4735</v>
          </cell>
          <cell r="AP68">
            <v>52</v>
          </cell>
          <cell r="AQ68">
            <v>104</v>
          </cell>
          <cell r="AR68">
            <v>2880</v>
          </cell>
          <cell r="AS68">
            <v>2880</v>
          </cell>
          <cell r="AT68">
            <v>15.571428571428571</v>
          </cell>
          <cell r="AU68">
            <v>22.333333333333336</v>
          </cell>
          <cell r="AV68">
            <v>17.571428571428569</v>
          </cell>
          <cell r="AW68">
            <v>24.666666666666664</v>
          </cell>
          <cell r="AX68">
            <v>100</v>
          </cell>
          <cell r="AZ68">
            <v>208.60000000000002</v>
          </cell>
          <cell r="BA68">
            <v>172.8</v>
          </cell>
          <cell r="BB68">
            <v>190</v>
          </cell>
          <cell r="BC68">
            <v>3040</v>
          </cell>
          <cell r="BD68">
            <v>6733</v>
          </cell>
          <cell r="BR68">
            <v>157</v>
          </cell>
          <cell r="BS68">
            <v>1183</v>
          </cell>
          <cell r="BT68">
            <v>236</v>
          </cell>
          <cell r="BU68">
            <v>295</v>
          </cell>
          <cell r="GZ68">
            <v>221</v>
          </cell>
          <cell r="HA68">
            <v>225</v>
          </cell>
          <cell r="HB68">
            <v>438</v>
          </cell>
          <cell r="HC68">
            <v>24</v>
          </cell>
          <cell r="HD68">
            <v>5760</v>
          </cell>
          <cell r="HE68">
            <v>21</v>
          </cell>
          <cell r="HF68">
            <v>21</v>
          </cell>
          <cell r="HG68">
            <v>4</v>
          </cell>
          <cell r="HH68">
            <v>4</v>
          </cell>
          <cell r="HI68">
            <v>2</v>
          </cell>
          <cell r="HJ68">
            <v>2</v>
          </cell>
          <cell r="HK68">
            <v>6</v>
          </cell>
          <cell r="HL68">
            <v>9</v>
          </cell>
          <cell r="HM68">
            <v>3</v>
          </cell>
          <cell r="HN68">
            <v>3</v>
          </cell>
          <cell r="HO68">
            <v>4</v>
          </cell>
          <cell r="HP68">
            <v>48</v>
          </cell>
          <cell r="HQ68">
            <v>6</v>
          </cell>
          <cell r="HR68">
            <v>72</v>
          </cell>
          <cell r="HT68">
            <v>64</v>
          </cell>
          <cell r="HU68">
            <v>5760</v>
          </cell>
          <cell r="HV68">
            <v>27000</v>
          </cell>
          <cell r="HW68">
            <v>40000</v>
          </cell>
          <cell r="HX68">
            <v>1840</v>
          </cell>
          <cell r="HY68">
            <v>1420</v>
          </cell>
          <cell r="HZ68">
            <v>3060</v>
          </cell>
          <cell r="IA68">
            <v>2370</v>
          </cell>
          <cell r="IF68">
            <v>64</v>
          </cell>
          <cell r="IG68">
            <v>438</v>
          </cell>
          <cell r="IH68">
            <v>65.7</v>
          </cell>
        </row>
        <row r="69">
          <cell r="A69">
            <v>65</v>
          </cell>
          <cell r="B69">
            <v>690</v>
          </cell>
          <cell r="C69">
            <v>325</v>
          </cell>
          <cell r="D69">
            <v>65</v>
          </cell>
          <cell r="E69">
            <v>20</v>
          </cell>
          <cell r="F69">
            <v>97</v>
          </cell>
          <cell r="G69">
            <v>82</v>
          </cell>
          <cell r="H69">
            <v>75</v>
          </cell>
          <cell r="I69">
            <v>75</v>
          </cell>
          <cell r="J69">
            <v>82</v>
          </cell>
          <cell r="K69">
            <v>75</v>
          </cell>
          <cell r="L69">
            <v>52</v>
          </cell>
          <cell r="M69">
            <v>82</v>
          </cell>
          <cell r="N69">
            <v>90</v>
          </cell>
          <cell r="O69">
            <v>67</v>
          </cell>
          <cell r="P69">
            <v>90</v>
          </cell>
          <cell r="Q69">
            <v>105</v>
          </cell>
          <cell r="R69">
            <v>74.5</v>
          </cell>
          <cell r="S69">
            <v>82</v>
          </cell>
          <cell r="T69">
            <v>82.5</v>
          </cell>
          <cell r="U69">
            <v>71</v>
          </cell>
          <cell r="V69">
            <v>86</v>
          </cell>
          <cell r="W69">
            <v>90</v>
          </cell>
          <cell r="X69">
            <v>97</v>
          </cell>
          <cell r="Y69">
            <v>82</v>
          </cell>
          <cell r="Z69">
            <v>90</v>
          </cell>
          <cell r="AA69">
            <v>75</v>
          </cell>
          <cell r="AB69">
            <v>90</v>
          </cell>
          <cell r="AC69">
            <v>105</v>
          </cell>
          <cell r="AD69">
            <v>211.10000000000002</v>
          </cell>
          <cell r="AE69">
            <v>6200</v>
          </cell>
          <cell r="AF69">
            <v>44</v>
          </cell>
          <cell r="AG69">
            <v>88</v>
          </cell>
          <cell r="AH69">
            <v>900</v>
          </cell>
          <cell r="AI69">
            <v>900</v>
          </cell>
          <cell r="AJ69">
            <v>375</v>
          </cell>
          <cell r="AK69">
            <v>600</v>
          </cell>
          <cell r="AL69">
            <v>375</v>
          </cell>
          <cell r="AM69">
            <v>176.5</v>
          </cell>
          <cell r="AN69">
            <v>375</v>
          </cell>
          <cell r="AO69">
            <v>4825</v>
          </cell>
          <cell r="AP69">
            <v>53</v>
          </cell>
          <cell r="AQ69">
            <v>106</v>
          </cell>
          <cell r="AR69">
            <v>2925</v>
          </cell>
          <cell r="AS69">
            <v>2925</v>
          </cell>
          <cell r="AT69">
            <v>15.714285714285714</v>
          </cell>
          <cell r="AU69">
            <v>22.5</v>
          </cell>
          <cell r="AV69">
            <v>17.857142857142858</v>
          </cell>
          <cell r="AW69">
            <v>25</v>
          </cell>
          <cell r="AX69">
            <v>100</v>
          </cell>
          <cell r="AZ69">
            <v>211.10000000000002</v>
          </cell>
          <cell r="BA69">
            <v>176.5</v>
          </cell>
          <cell r="BB69">
            <v>193</v>
          </cell>
          <cell r="BC69">
            <v>3088</v>
          </cell>
          <cell r="BD69">
            <v>6816</v>
          </cell>
          <cell r="BR69">
            <v>160</v>
          </cell>
          <cell r="BS69">
            <v>1206</v>
          </cell>
          <cell r="BT69">
            <v>241</v>
          </cell>
          <cell r="BU69">
            <v>301</v>
          </cell>
          <cell r="GZ69">
            <v>221</v>
          </cell>
          <cell r="HA69">
            <v>225</v>
          </cell>
          <cell r="HB69">
            <v>449</v>
          </cell>
          <cell r="HC69">
            <v>24</v>
          </cell>
          <cell r="HD69">
            <v>5760</v>
          </cell>
          <cell r="HE69">
            <v>21</v>
          </cell>
          <cell r="HF69">
            <v>21</v>
          </cell>
          <cell r="HG69">
            <v>4</v>
          </cell>
          <cell r="HH69">
            <v>4</v>
          </cell>
          <cell r="HI69">
            <v>2</v>
          </cell>
          <cell r="HJ69">
            <v>2</v>
          </cell>
          <cell r="HK69">
            <v>6</v>
          </cell>
          <cell r="HL69">
            <v>9</v>
          </cell>
          <cell r="HM69">
            <v>3</v>
          </cell>
          <cell r="HN69">
            <v>3</v>
          </cell>
          <cell r="HO69">
            <v>4</v>
          </cell>
          <cell r="HP69">
            <v>48</v>
          </cell>
          <cell r="HQ69">
            <v>6</v>
          </cell>
          <cell r="HR69">
            <v>72</v>
          </cell>
          <cell r="HT69">
            <v>65</v>
          </cell>
          <cell r="HU69">
            <v>5760</v>
          </cell>
          <cell r="HV69">
            <v>27000</v>
          </cell>
          <cell r="HW69">
            <v>40000</v>
          </cell>
          <cell r="HX69">
            <v>1860</v>
          </cell>
          <cell r="HY69">
            <v>1450</v>
          </cell>
          <cell r="HZ69">
            <v>3100</v>
          </cell>
          <cell r="IA69">
            <v>2410</v>
          </cell>
          <cell r="IF69">
            <v>65</v>
          </cell>
          <cell r="IG69">
            <v>449</v>
          </cell>
          <cell r="IH69">
            <v>67.349999999999994</v>
          </cell>
        </row>
        <row r="70">
          <cell r="A70">
            <v>66</v>
          </cell>
          <cell r="B70">
            <v>700</v>
          </cell>
          <cell r="C70">
            <v>330</v>
          </cell>
          <cell r="D70">
            <v>66</v>
          </cell>
          <cell r="E70">
            <v>20</v>
          </cell>
          <cell r="F70">
            <v>98</v>
          </cell>
          <cell r="G70">
            <v>83</v>
          </cell>
          <cell r="H70">
            <v>76</v>
          </cell>
          <cell r="I70">
            <v>76</v>
          </cell>
          <cell r="J70">
            <v>83</v>
          </cell>
          <cell r="K70">
            <v>76</v>
          </cell>
          <cell r="L70">
            <v>53</v>
          </cell>
          <cell r="M70">
            <v>83</v>
          </cell>
          <cell r="N70">
            <v>91</v>
          </cell>
          <cell r="O70">
            <v>68</v>
          </cell>
          <cell r="P70">
            <v>91</v>
          </cell>
          <cell r="Q70">
            <v>106</v>
          </cell>
          <cell r="R70">
            <v>75.5</v>
          </cell>
          <cell r="S70">
            <v>83</v>
          </cell>
          <cell r="T70">
            <v>83.5</v>
          </cell>
          <cell r="U70">
            <v>72</v>
          </cell>
          <cell r="V70">
            <v>87</v>
          </cell>
          <cell r="W70">
            <v>91</v>
          </cell>
          <cell r="X70">
            <v>98</v>
          </cell>
          <cell r="Y70">
            <v>83</v>
          </cell>
          <cell r="Z70">
            <v>91</v>
          </cell>
          <cell r="AA70">
            <v>76</v>
          </cell>
          <cell r="AB70">
            <v>91</v>
          </cell>
          <cell r="AC70">
            <v>106</v>
          </cell>
          <cell r="AD70">
            <v>213.6</v>
          </cell>
          <cell r="AE70">
            <v>6275</v>
          </cell>
          <cell r="AF70">
            <v>44</v>
          </cell>
          <cell r="AG70">
            <v>88</v>
          </cell>
          <cell r="AH70">
            <v>910</v>
          </cell>
          <cell r="AI70">
            <v>910</v>
          </cell>
          <cell r="AJ70">
            <v>380</v>
          </cell>
          <cell r="AK70">
            <v>607</v>
          </cell>
          <cell r="AL70">
            <v>380</v>
          </cell>
          <cell r="AM70">
            <v>178.6</v>
          </cell>
          <cell r="AN70">
            <v>380</v>
          </cell>
          <cell r="AO70">
            <v>4870</v>
          </cell>
          <cell r="AP70">
            <v>54</v>
          </cell>
          <cell r="AQ70">
            <v>108</v>
          </cell>
          <cell r="AR70">
            <v>2970</v>
          </cell>
          <cell r="AS70">
            <v>2970</v>
          </cell>
          <cell r="AT70">
            <v>15.857142857142858</v>
          </cell>
          <cell r="AU70">
            <v>22.666666666666664</v>
          </cell>
          <cell r="AV70">
            <v>18</v>
          </cell>
          <cell r="AW70">
            <v>25.166666666666664</v>
          </cell>
          <cell r="AX70">
            <v>100</v>
          </cell>
          <cell r="AZ70">
            <v>213.6</v>
          </cell>
          <cell r="BA70">
            <v>178.6</v>
          </cell>
          <cell r="BB70">
            <v>196</v>
          </cell>
          <cell r="BC70">
            <v>3136</v>
          </cell>
          <cell r="BD70">
            <v>6898</v>
          </cell>
          <cell r="BR70">
            <v>162</v>
          </cell>
          <cell r="BS70">
            <v>1217</v>
          </cell>
          <cell r="BT70">
            <v>243</v>
          </cell>
          <cell r="BU70">
            <v>304</v>
          </cell>
          <cell r="GZ70">
            <v>223</v>
          </cell>
          <cell r="HA70">
            <v>227</v>
          </cell>
          <cell r="HB70">
            <v>461</v>
          </cell>
          <cell r="HC70">
            <v>25</v>
          </cell>
          <cell r="HD70">
            <v>6000</v>
          </cell>
          <cell r="HE70">
            <v>22</v>
          </cell>
          <cell r="HF70">
            <v>22</v>
          </cell>
          <cell r="HG70">
            <v>5</v>
          </cell>
          <cell r="HH70">
            <v>5</v>
          </cell>
          <cell r="HI70">
            <v>2</v>
          </cell>
          <cell r="HJ70">
            <v>2</v>
          </cell>
          <cell r="HK70">
            <v>6</v>
          </cell>
          <cell r="HL70">
            <v>9</v>
          </cell>
          <cell r="HM70">
            <v>3</v>
          </cell>
          <cell r="HN70">
            <v>3</v>
          </cell>
          <cell r="HO70">
            <v>4</v>
          </cell>
          <cell r="HP70">
            <v>50</v>
          </cell>
          <cell r="HQ70">
            <v>6</v>
          </cell>
          <cell r="HR70">
            <v>75</v>
          </cell>
          <cell r="HT70">
            <v>66</v>
          </cell>
          <cell r="HU70">
            <v>6000</v>
          </cell>
          <cell r="HV70">
            <v>28000</v>
          </cell>
          <cell r="HW70">
            <v>42000</v>
          </cell>
          <cell r="HX70">
            <v>1880</v>
          </cell>
          <cell r="HY70">
            <v>1460</v>
          </cell>
          <cell r="HZ70">
            <v>3140</v>
          </cell>
          <cell r="IA70">
            <v>2440</v>
          </cell>
          <cell r="IF70">
            <v>66</v>
          </cell>
          <cell r="IG70">
            <v>461</v>
          </cell>
          <cell r="IH70">
            <v>69.150000000000006</v>
          </cell>
        </row>
        <row r="71">
          <cell r="A71">
            <v>67</v>
          </cell>
          <cell r="B71">
            <v>710</v>
          </cell>
          <cell r="C71">
            <v>335</v>
          </cell>
          <cell r="D71">
            <v>67</v>
          </cell>
          <cell r="E71">
            <v>20</v>
          </cell>
          <cell r="F71">
            <v>100</v>
          </cell>
          <cell r="G71">
            <v>84</v>
          </cell>
          <cell r="H71">
            <v>77</v>
          </cell>
          <cell r="I71">
            <v>77</v>
          </cell>
          <cell r="J71">
            <v>84</v>
          </cell>
          <cell r="K71">
            <v>77</v>
          </cell>
          <cell r="L71">
            <v>53</v>
          </cell>
          <cell r="M71">
            <v>84</v>
          </cell>
          <cell r="N71">
            <v>92</v>
          </cell>
          <cell r="O71">
            <v>69</v>
          </cell>
          <cell r="P71">
            <v>92</v>
          </cell>
          <cell r="Q71">
            <v>107</v>
          </cell>
          <cell r="R71">
            <v>76.5</v>
          </cell>
          <cell r="S71">
            <v>84</v>
          </cell>
          <cell r="T71">
            <v>84.5</v>
          </cell>
          <cell r="U71">
            <v>73</v>
          </cell>
          <cell r="V71">
            <v>88</v>
          </cell>
          <cell r="W71">
            <v>92</v>
          </cell>
          <cell r="X71">
            <v>100</v>
          </cell>
          <cell r="Y71">
            <v>84</v>
          </cell>
          <cell r="Z71">
            <v>92</v>
          </cell>
          <cell r="AA71">
            <v>77</v>
          </cell>
          <cell r="AB71">
            <v>92</v>
          </cell>
          <cell r="AC71">
            <v>107</v>
          </cell>
          <cell r="AD71">
            <v>217.4</v>
          </cell>
          <cell r="AE71">
            <v>6350</v>
          </cell>
          <cell r="AF71">
            <v>45</v>
          </cell>
          <cell r="AG71">
            <v>90</v>
          </cell>
          <cell r="AH71">
            <v>919.99999999999989</v>
          </cell>
          <cell r="AI71">
            <v>919.99999999999989</v>
          </cell>
          <cell r="AJ71">
            <v>385</v>
          </cell>
          <cell r="AK71">
            <v>614</v>
          </cell>
          <cell r="AL71">
            <v>385</v>
          </cell>
          <cell r="AM71">
            <v>180.7</v>
          </cell>
          <cell r="AN71">
            <v>385</v>
          </cell>
          <cell r="AO71">
            <v>4915</v>
          </cell>
          <cell r="AP71">
            <v>54</v>
          </cell>
          <cell r="AQ71">
            <v>108</v>
          </cell>
          <cell r="AR71">
            <v>3015</v>
          </cell>
          <cell r="AS71">
            <v>3015</v>
          </cell>
          <cell r="AT71">
            <v>16</v>
          </cell>
          <cell r="AU71">
            <v>22.833333333333336</v>
          </cell>
          <cell r="AV71">
            <v>18.142857142857142</v>
          </cell>
          <cell r="AW71">
            <v>25.333333333333336</v>
          </cell>
          <cell r="AX71">
            <v>100</v>
          </cell>
          <cell r="AZ71">
            <v>217.4</v>
          </cell>
          <cell r="BA71">
            <v>180.7</v>
          </cell>
          <cell r="BB71">
            <v>199</v>
          </cell>
          <cell r="BC71">
            <v>3184</v>
          </cell>
          <cell r="BD71">
            <v>6981</v>
          </cell>
          <cell r="BR71">
            <v>163</v>
          </cell>
          <cell r="BS71">
            <v>1228</v>
          </cell>
          <cell r="BT71">
            <v>245</v>
          </cell>
          <cell r="BU71">
            <v>307</v>
          </cell>
          <cell r="GZ71">
            <v>223</v>
          </cell>
          <cell r="HA71">
            <v>227</v>
          </cell>
          <cell r="HB71">
            <v>473</v>
          </cell>
          <cell r="HC71">
            <v>26</v>
          </cell>
          <cell r="HD71">
            <v>6240</v>
          </cell>
          <cell r="HE71">
            <v>23</v>
          </cell>
          <cell r="HF71">
            <v>23</v>
          </cell>
          <cell r="HG71">
            <v>5</v>
          </cell>
          <cell r="HH71">
            <v>5</v>
          </cell>
          <cell r="HI71">
            <v>2</v>
          </cell>
          <cell r="HJ71">
            <v>2</v>
          </cell>
          <cell r="HK71">
            <v>6</v>
          </cell>
          <cell r="HL71">
            <v>9</v>
          </cell>
          <cell r="HM71">
            <v>3</v>
          </cell>
          <cell r="HN71">
            <v>3</v>
          </cell>
          <cell r="HO71">
            <v>4</v>
          </cell>
          <cell r="HP71">
            <v>52</v>
          </cell>
          <cell r="HQ71">
            <v>6</v>
          </cell>
          <cell r="HR71">
            <v>78</v>
          </cell>
          <cell r="HT71">
            <v>67</v>
          </cell>
          <cell r="HU71">
            <v>6240</v>
          </cell>
          <cell r="HV71">
            <v>29000</v>
          </cell>
          <cell r="HW71">
            <v>44000</v>
          </cell>
          <cell r="HX71">
            <v>1910</v>
          </cell>
          <cell r="HY71">
            <v>1470</v>
          </cell>
          <cell r="HZ71">
            <v>3180</v>
          </cell>
          <cell r="IA71">
            <v>2460</v>
          </cell>
          <cell r="IF71">
            <v>67</v>
          </cell>
          <cell r="IG71">
            <v>473</v>
          </cell>
          <cell r="IH71">
            <v>70.95</v>
          </cell>
        </row>
        <row r="72">
          <cell r="A72">
            <v>68</v>
          </cell>
          <cell r="B72">
            <v>720</v>
          </cell>
          <cell r="C72">
            <v>340</v>
          </cell>
          <cell r="D72">
            <v>68</v>
          </cell>
          <cell r="E72">
            <v>20</v>
          </cell>
          <cell r="F72">
            <v>101</v>
          </cell>
          <cell r="G72">
            <v>85</v>
          </cell>
          <cell r="H72">
            <v>78</v>
          </cell>
          <cell r="I72">
            <v>78</v>
          </cell>
          <cell r="J72">
            <v>85</v>
          </cell>
          <cell r="K72">
            <v>78</v>
          </cell>
          <cell r="L72">
            <v>54</v>
          </cell>
          <cell r="M72">
            <v>85</v>
          </cell>
          <cell r="N72">
            <v>93</v>
          </cell>
          <cell r="O72">
            <v>70</v>
          </cell>
          <cell r="P72">
            <v>93</v>
          </cell>
          <cell r="Q72">
            <v>109</v>
          </cell>
          <cell r="R72">
            <v>77.5</v>
          </cell>
          <cell r="S72">
            <v>85</v>
          </cell>
          <cell r="T72">
            <v>85.5</v>
          </cell>
          <cell r="U72">
            <v>74</v>
          </cell>
          <cell r="V72">
            <v>89</v>
          </cell>
          <cell r="W72">
            <v>93.5</v>
          </cell>
          <cell r="X72">
            <v>101</v>
          </cell>
          <cell r="Y72">
            <v>85</v>
          </cell>
          <cell r="Z72">
            <v>93</v>
          </cell>
          <cell r="AA72">
            <v>78</v>
          </cell>
          <cell r="AB72">
            <v>93</v>
          </cell>
          <cell r="AC72">
            <v>109</v>
          </cell>
          <cell r="AD72">
            <v>219.9</v>
          </cell>
          <cell r="AE72">
            <v>6425</v>
          </cell>
          <cell r="AF72">
            <v>45</v>
          </cell>
          <cell r="AG72">
            <v>90</v>
          </cell>
          <cell r="AH72">
            <v>930.00000000000011</v>
          </cell>
          <cell r="AI72">
            <v>930.00000000000011</v>
          </cell>
          <cell r="AJ72">
            <v>390</v>
          </cell>
          <cell r="AK72">
            <v>621</v>
          </cell>
          <cell r="AL72">
            <v>390</v>
          </cell>
          <cell r="AM72">
            <v>182.8</v>
          </cell>
          <cell r="AN72">
            <v>390</v>
          </cell>
          <cell r="AO72">
            <v>5005</v>
          </cell>
          <cell r="AP72">
            <v>55</v>
          </cell>
          <cell r="AQ72">
            <v>110</v>
          </cell>
          <cell r="AR72">
            <v>3060</v>
          </cell>
          <cell r="AS72">
            <v>3060</v>
          </cell>
          <cell r="AT72">
            <v>16.142857142857142</v>
          </cell>
          <cell r="AU72">
            <v>23</v>
          </cell>
          <cell r="AV72">
            <v>18.285714285714285</v>
          </cell>
          <cell r="AW72">
            <v>25.5</v>
          </cell>
          <cell r="AX72">
            <v>100</v>
          </cell>
          <cell r="AZ72">
            <v>219.9</v>
          </cell>
          <cell r="BA72">
            <v>182.8</v>
          </cell>
          <cell r="BB72">
            <v>201</v>
          </cell>
          <cell r="BC72">
            <v>3216</v>
          </cell>
          <cell r="BD72">
            <v>7063</v>
          </cell>
          <cell r="BR72">
            <v>166</v>
          </cell>
          <cell r="BS72">
            <v>1251</v>
          </cell>
          <cell r="BT72">
            <v>250</v>
          </cell>
          <cell r="BU72">
            <v>312</v>
          </cell>
          <cell r="GZ72">
            <v>223</v>
          </cell>
          <cell r="HA72">
            <v>227</v>
          </cell>
          <cell r="HB72">
            <v>485</v>
          </cell>
          <cell r="HC72">
            <v>26</v>
          </cell>
          <cell r="HD72">
            <v>6240</v>
          </cell>
          <cell r="HE72">
            <v>23</v>
          </cell>
          <cell r="HF72">
            <v>23</v>
          </cell>
          <cell r="HG72">
            <v>5</v>
          </cell>
          <cell r="HH72">
            <v>5</v>
          </cell>
          <cell r="HI72">
            <v>2</v>
          </cell>
          <cell r="HJ72">
            <v>2</v>
          </cell>
          <cell r="HK72">
            <v>6</v>
          </cell>
          <cell r="HL72">
            <v>9</v>
          </cell>
          <cell r="HM72">
            <v>3</v>
          </cell>
          <cell r="HN72">
            <v>3</v>
          </cell>
          <cell r="HO72">
            <v>4</v>
          </cell>
          <cell r="HP72">
            <v>52</v>
          </cell>
          <cell r="HQ72">
            <v>6</v>
          </cell>
          <cell r="HR72">
            <v>78</v>
          </cell>
          <cell r="HT72">
            <v>68</v>
          </cell>
          <cell r="HU72">
            <v>6240</v>
          </cell>
          <cell r="HV72">
            <v>29000</v>
          </cell>
          <cell r="HW72">
            <v>44000</v>
          </cell>
          <cell r="HX72">
            <v>1930</v>
          </cell>
          <cell r="HY72">
            <v>1500</v>
          </cell>
          <cell r="HZ72">
            <v>3210</v>
          </cell>
          <cell r="IA72">
            <v>2500</v>
          </cell>
          <cell r="IF72">
            <v>68</v>
          </cell>
          <cell r="IG72">
            <v>485</v>
          </cell>
          <cell r="IH72">
            <v>72.75</v>
          </cell>
        </row>
        <row r="73">
          <cell r="A73">
            <v>69</v>
          </cell>
          <cell r="B73">
            <v>730</v>
          </cell>
          <cell r="C73">
            <v>345</v>
          </cell>
          <cell r="D73">
            <v>69</v>
          </cell>
          <cell r="E73">
            <v>20</v>
          </cell>
          <cell r="F73">
            <v>102</v>
          </cell>
          <cell r="G73">
            <v>86</v>
          </cell>
          <cell r="H73">
            <v>79</v>
          </cell>
          <cell r="I73">
            <v>79</v>
          </cell>
          <cell r="J73">
            <v>86</v>
          </cell>
          <cell r="K73">
            <v>79</v>
          </cell>
          <cell r="L73">
            <v>55</v>
          </cell>
          <cell r="M73">
            <v>86</v>
          </cell>
          <cell r="N73">
            <v>94</v>
          </cell>
          <cell r="O73">
            <v>71</v>
          </cell>
          <cell r="P73">
            <v>94</v>
          </cell>
          <cell r="Q73">
            <v>110</v>
          </cell>
          <cell r="R73">
            <v>78.5</v>
          </cell>
          <cell r="S73">
            <v>86</v>
          </cell>
          <cell r="T73">
            <v>86.5</v>
          </cell>
          <cell r="U73">
            <v>75</v>
          </cell>
          <cell r="V73">
            <v>90</v>
          </cell>
          <cell r="W73">
            <v>94.5</v>
          </cell>
          <cell r="X73">
            <v>102</v>
          </cell>
          <cell r="Y73">
            <v>86</v>
          </cell>
          <cell r="Z73">
            <v>94</v>
          </cell>
          <cell r="AA73">
            <v>79</v>
          </cell>
          <cell r="AB73">
            <v>94</v>
          </cell>
          <cell r="AC73">
            <v>110</v>
          </cell>
          <cell r="AD73">
            <v>222.39999999999998</v>
          </cell>
          <cell r="AE73">
            <v>6500</v>
          </cell>
          <cell r="AF73">
            <v>46</v>
          </cell>
          <cell r="AG73">
            <v>92</v>
          </cell>
          <cell r="AH73">
            <v>940</v>
          </cell>
          <cell r="AI73">
            <v>940</v>
          </cell>
          <cell r="AJ73">
            <v>395</v>
          </cell>
          <cell r="AK73">
            <v>628</v>
          </cell>
          <cell r="AL73">
            <v>395</v>
          </cell>
          <cell r="AM73">
            <v>184.9</v>
          </cell>
          <cell r="AN73">
            <v>395</v>
          </cell>
          <cell r="AO73">
            <v>5050</v>
          </cell>
          <cell r="AP73">
            <v>56</v>
          </cell>
          <cell r="AQ73">
            <v>112</v>
          </cell>
          <cell r="AR73">
            <v>3105</v>
          </cell>
          <cell r="AS73">
            <v>3105</v>
          </cell>
          <cell r="AT73">
            <v>16.285714285714285</v>
          </cell>
          <cell r="AU73">
            <v>23.166666666666664</v>
          </cell>
          <cell r="AV73">
            <v>18.428571428571431</v>
          </cell>
          <cell r="AW73">
            <v>25.666666666666664</v>
          </cell>
          <cell r="AX73">
            <v>100</v>
          </cell>
          <cell r="AZ73">
            <v>222.39999999999998</v>
          </cell>
          <cell r="BA73">
            <v>184.9</v>
          </cell>
          <cell r="BB73">
            <v>203</v>
          </cell>
          <cell r="BC73">
            <v>3248</v>
          </cell>
          <cell r="BD73">
            <v>7146</v>
          </cell>
          <cell r="BR73">
            <v>168</v>
          </cell>
          <cell r="BS73">
            <v>1262</v>
          </cell>
          <cell r="BT73">
            <v>252</v>
          </cell>
          <cell r="BU73">
            <v>315</v>
          </cell>
          <cell r="GZ73">
            <v>223</v>
          </cell>
          <cell r="HA73">
            <v>227</v>
          </cell>
          <cell r="HB73">
            <v>497</v>
          </cell>
          <cell r="HC73">
            <v>27</v>
          </cell>
          <cell r="HD73">
            <v>6480</v>
          </cell>
          <cell r="HE73">
            <v>24</v>
          </cell>
          <cell r="HF73">
            <v>24</v>
          </cell>
          <cell r="HG73">
            <v>5</v>
          </cell>
          <cell r="HH73">
            <v>5</v>
          </cell>
          <cell r="HI73">
            <v>2</v>
          </cell>
          <cell r="HJ73">
            <v>2</v>
          </cell>
          <cell r="HK73">
            <v>6</v>
          </cell>
          <cell r="HL73">
            <v>9</v>
          </cell>
          <cell r="HM73">
            <v>3</v>
          </cell>
          <cell r="HN73">
            <v>3</v>
          </cell>
          <cell r="HO73">
            <v>4</v>
          </cell>
          <cell r="HP73">
            <v>54</v>
          </cell>
          <cell r="HQ73">
            <v>6</v>
          </cell>
          <cell r="HR73">
            <v>81</v>
          </cell>
          <cell r="HT73">
            <v>69</v>
          </cell>
          <cell r="HU73">
            <v>6480</v>
          </cell>
          <cell r="HV73">
            <v>30000</v>
          </cell>
          <cell r="HW73">
            <v>45000</v>
          </cell>
          <cell r="HX73">
            <v>1950</v>
          </cell>
          <cell r="HY73">
            <v>1520</v>
          </cell>
          <cell r="HZ73">
            <v>3250</v>
          </cell>
          <cell r="IA73">
            <v>2530</v>
          </cell>
          <cell r="IF73">
            <v>69</v>
          </cell>
          <cell r="IG73">
            <v>497</v>
          </cell>
          <cell r="IH73">
            <v>74.55</v>
          </cell>
        </row>
        <row r="74">
          <cell r="A74">
            <v>70</v>
          </cell>
          <cell r="B74">
            <v>740</v>
          </cell>
          <cell r="C74">
            <v>350</v>
          </cell>
          <cell r="D74">
            <v>70</v>
          </cell>
          <cell r="E74">
            <v>20</v>
          </cell>
          <cell r="F74">
            <v>104</v>
          </cell>
          <cell r="G74">
            <v>88</v>
          </cell>
          <cell r="H74">
            <v>80</v>
          </cell>
          <cell r="I74">
            <v>80</v>
          </cell>
          <cell r="J74">
            <v>88</v>
          </cell>
          <cell r="K74">
            <v>80</v>
          </cell>
          <cell r="L74">
            <v>56</v>
          </cell>
          <cell r="M74">
            <v>88</v>
          </cell>
          <cell r="N74">
            <v>96</v>
          </cell>
          <cell r="O74">
            <v>72</v>
          </cell>
          <cell r="P74">
            <v>96</v>
          </cell>
          <cell r="Q74">
            <v>112</v>
          </cell>
          <cell r="R74">
            <v>80</v>
          </cell>
          <cell r="S74">
            <v>88</v>
          </cell>
          <cell r="T74">
            <v>88</v>
          </cell>
          <cell r="U74">
            <v>76</v>
          </cell>
          <cell r="V74">
            <v>92</v>
          </cell>
          <cell r="W74">
            <v>96</v>
          </cell>
          <cell r="X74">
            <v>104</v>
          </cell>
          <cell r="Y74">
            <v>88</v>
          </cell>
          <cell r="Z74">
            <v>96</v>
          </cell>
          <cell r="AA74">
            <v>80</v>
          </cell>
          <cell r="AB74">
            <v>96</v>
          </cell>
          <cell r="AC74">
            <v>112</v>
          </cell>
          <cell r="AD74">
            <v>226.20000000000002</v>
          </cell>
          <cell r="AE74">
            <v>6650</v>
          </cell>
          <cell r="AF74">
            <v>47</v>
          </cell>
          <cell r="AG74">
            <v>94</v>
          </cell>
          <cell r="AH74">
            <v>960</v>
          </cell>
          <cell r="AI74">
            <v>960</v>
          </cell>
          <cell r="AJ74">
            <v>400</v>
          </cell>
          <cell r="AK74">
            <v>640</v>
          </cell>
          <cell r="AL74">
            <v>400</v>
          </cell>
          <cell r="AM74">
            <v>188.6</v>
          </cell>
          <cell r="AN74">
            <v>400</v>
          </cell>
          <cell r="AO74">
            <v>5140</v>
          </cell>
          <cell r="AP74">
            <v>57</v>
          </cell>
          <cell r="AQ74">
            <v>114</v>
          </cell>
          <cell r="AR74">
            <v>3150</v>
          </cell>
          <cell r="AS74">
            <v>3150</v>
          </cell>
          <cell r="AT74">
            <v>16.428571428571431</v>
          </cell>
          <cell r="AU74">
            <v>23.333333333333336</v>
          </cell>
          <cell r="AV74">
            <v>18.714285714285715</v>
          </cell>
          <cell r="AW74">
            <v>26</v>
          </cell>
          <cell r="AX74">
            <v>100</v>
          </cell>
          <cell r="AZ74">
            <v>226.20000000000002</v>
          </cell>
          <cell r="BA74">
            <v>188.6</v>
          </cell>
          <cell r="BB74">
            <v>207</v>
          </cell>
          <cell r="BC74">
            <v>3312</v>
          </cell>
          <cell r="BD74">
            <v>7311</v>
          </cell>
          <cell r="BR74">
            <v>171</v>
          </cell>
          <cell r="BS74">
            <v>1285</v>
          </cell>
          <cell r="BT74">
            <v>257</v>
          </cell>
          <cell r="BU74">
            <v>321</v>
          </cell>
          <cell r="GZ74">
            <v>223</v>
          </cell>
          <cell r="HA74">
            <v>227</v>
          </cell>
          <cell r="HB74">
            <v>509</v>
          </cell>
          <cell r="HC74">
            <v>28</v>
          </cell>
          <cell r="HD74">
            <v>6720</v>
          </cell>
          <cell r="HE74">
            <v>25</v>
          </cell>
          <cell r="HF74">
            <v>25</v>
          </cell>
          <cell r="HG74">
            <v>5</v>
          </cell>
          <cell r="HH74">
            <v>5</v>
          </cell>
          <cell r="HI74">
            <v>2</v>
          </cell>
          <cell r="HJ74">
            <v>2</v>
          </cell>
          <cell r="HK74">
            <v>6</v>
          </cell>
          <cell r="HL74">
            <v>9</v>
          </cell>
          <cell r="HM74">
            <v>3</v>
          </cell>
          <cell r="HN74">
            <v>3</v>
          </cell>
          <cell r="HO74">
            <v>4</v>
          </cell>
          <cell r="HP74">
            <v>56</v>
          </cell>
          <cell r="HQ74">
            <v>6</v>
          </cell>
          <cell r="HR74">
            <v>84</v>
          </cell>
          <cell r="HT74">
            <v>70</v>
          </cell>
          <cell r="HU74">
            <v>6720</v>
          </cell>
          <cell r="HV74">
            <v>31000</v>
          </cell>
          <cell r="HW74">
            <v>47000</v>
          </cell>
          <cell r="HX74">
            <v>2000</v>
          </cell>
          <cell r="HY74">
            <v>1540</v>
          </cell>
          <cell r="HZ74">
            <v>3330</v>
          </cell>
          <cell r="IA74">
            <v>2570</v>
          </cell>
          <cell r="IF74">
            <v>70</v>
          </cell>
          <cell r="IG74">
            <v>509</v>
          </cell>
          <cell r="IH74">
            <v>76.349999999999994</v>
          </cell>
        </row>
        <row r="75">
          <cell r="A75">
            <v>71</v>
          </cell>
          <cell r="B75">
            <v>750</v>
          </cell>
          <cell r="C75">
            <v>355</v>
          </cell>
          <cell r="D75">
            <v>71</v>
          </cell>
          <cell r="E75">
            <v>20</v>
          </cell>
          <cell r="F75">
            <v>105</v>
          </cell>
          <cell r="G75">
            <v>89</v>
          </cell>
          <cell r="H75">
            <v>81</v>
          </cell>
          <cell r="I75">
            <v>81</v>
          </cell>
          <cell r="J75">
            <v>89</v>
          </cell>
          <cell r="K75">
            <v>81</v>
          </cell>
          <cell r="L75">
            <v>56</v>
          </cell>
          <cell r="M75">
            <v>89</v>
          </cell>
          <cell r="N75">
            <v>97</v>
          </cell>
          <cell r="O75">
            <v>72</v>
          </cell>
          <cell r="P75">
            <v>97</v>
          </cell>
          <cell r="Q75">
            <v>113</v>
          </cell>
          <cell r="R75">
            <v>80.5</v>
          </cell>
          <cell r="S75">
            <v>89</v>
          </cell>
          <cell r="T75">
            <v>89</v>
          </cell>
          <cell r="U75">
            <v>76.5</v>
          </cell>
          <cell r="V75">
            <v>93</v>
          </cell>
          <cell r="W75">
            <v>97</v>
          </cell>
          <cell r="X75">
            <v>105</v>
          </cell>
          <cell r="Y75">
            <v>89</v>
          </cell>
          <cell r="Z75">
            <v>97</v>
          </cell>
          <cell r="AA75">
            <v>81</v>
          </cell>
          <cell r="AB75">
            <v>97</v>
          </cell>
          <cell r="AC75">
            <v>113</v>
          </cell>
          <cell r="AD75">
            <v>228.7</v>
          </cell>
          <cell r="AE75">
            <v>6725</v>
          </cell>
          <cell r="AF75">
            <v>47</v>
          </cell>
          <cell r="AG75">
            <v>94</v>
          </cell>
          <cell r="AH75">
            <v>969.99999999999989</v>
          </cell>
          <cell r="AI75">
            <v>969.99999999999989</v>
          </cell>
          <cell r="AJ75">
            <v>405</v>
          </cell>
          <cell r="AK75">
            <v>647</v>
          </cell>
          <cell r="AL75">
            <v>405</v>
          </cell>
          <cell r="AM75">
            <v>190.7</v>
          </cell>
          <cell r="AN75">
            <v>405</v>
          </cell>
          <cell r="AO75">
            <v>5185</v>
          </cell>
          <cell r="AP75">
            <v>57</v>
          </cell>
          <cell r="AQ75">
            <v>114</v>
          </cell>
          <cell r="AR75">
            <v>3195</v>
          </cell>
          <cell r="AS75">
            <v>3195</v>
          </cell>
          <cell r="AT75">
            <v>16.571428571428569</v>
          </cell>
          <cell r="AU75">
            <v>23.5</v>
          </cell>
          <cell r="AV75">
            <v>18.857142857142858</v>
          </cell>
          <cell r="AW75">
            <v>26.166666666666668</v>
          </cell>
          <cell r="AX75">
            <v>100</v>
          </cell>
          <cell r="AZ75">
            <v>228.7</v>
          </cell>
          <cell r="BA75">
            <v>190.7</v>
          </cell>
          <cell r="BB75">
            <v>209</v>
          </cell>
          <cell r="BC75">
            <v>3344</v>
          </cell>
          <cell r="BD75">
            <v>7393</v>
          </cell>
          <cell r="BR75">
            <v>172</v>
          </cell>
          <cell r="BS75">
            <v>1296</v>
          </cell>
          <cell r="BT75">
            <v>259</v>
          </cell>
          <cell r="BU75">
            <v>324</v>
          </cell>
          <cell r="GZ75">
            <v>223</v>
          </cell>
          <cell r="HA75">
            <v>229</v>
          </cell>
          <cell r="HB75">
            <v>522</v>
          </cell>
          <cell r="HC75">
            <v>29</v>
          </cell>
          <cell r="HD75">
            <v>6960</v>
          </cell>
          <cell r="HE75">
            <v>26</v>
          </cell>
          <cell r="HF75">
            <v>26</v>
          </cell>
          <cell r="HG75">
            <v>5</v>
          </cell>
          <cell r="HH75">
            <v>5</v>
          </cell>
          <cell r="HI75">
            <v>2</v>
          </cell>
          <cell r="HJ75">
            <v>2</v>
          </cell>
          <cell r="HK75">
            <v>6</v>
          </cell>
          <cell r="HL75">
            <v>9</v>
          </cell>
          <cell r="HM75">
            <v>3</v>
          </cell>
          <cell r="HN75">
            <v>3</v>
          </cell>
          <cell r="HO75">
            <v>4</v>
          </cell>
          <cell r="HP75">
            <v>58</v>
          </cell>
          <cell r="HQ75">
            <v>6</v>
          </cell>
          <cell r="HR75">
            <v>87</v>
          </cell>
          <cell r="HT75">
            <v>71</v>
          </cell>
          <cell r="HU75">
            <v>6960</v>
          </cell>
          <cell r="HV75">
            <v>32000</v>
          </cell>
          <cell r="HW75">
            <v>49000</v>
          </cell>
          <cell r="HX75">
            <v>2020</v>
          </cell>
          <cell r="HY75">
            <v>1560</v>
          </cell>
          <cell r="HZ75">
            <v>3360</v>
          </cell>
          <cell r="IA75">
            <v>2590</v>
          </cell>
          <cell r="IF75">
            <v>71</v>
          </cell>
          <cell r="IG75">
            <v>522</v>
          </cell>
          <cell r="IH75">
            <v>78.3</v>
          </cell>
        </row>
        <row r="76">
          <cell r="A76">
            <v>72</v>
          </cell>
          <cell r="B76">
            <v>760</v>
          </cell>
          <cell r="C76">
            <v>360</v>
          </cell>
          <cell r="D76">
            <v>72</v>
          </cell>
          <cell r="E76">
            <v>20</v>
          </cell>
          <cell r="F76">
            <v>106</v>
          </cell>
          <cell r="G76">
            <v>90</v>
          </cell>
          <cell r="H76">
            <v>82</v>
          </cell>
          <cell r="I76">
            <v>82</v>
          </cell>
          <cell r="J76">
            <v>90</v>
          </cell>
          <cell r="K76">
            <v>82</v>
          </cell>
          <cell r="L76">
            <v>57</v>
          </cell>
          <cell r="M76">
            <v>90</v>
          </cell>
          <cell r="N76">
            <v>98</v>
          </cell>
          <cell r="O76">
            <v>73</v>
          </cell>
          <cell r="P76">
            <v>98</v>
          </cell>
          <cell r="Q76">
            <v>114</v>
          </cell>
          <cell r="R76">
            <v>81.5</v>
          </cell>
          <cell r="S76">
            <v>90</v>
          </cell>
          <cell r="T76">
            <v>90</v>
          </cell>
          <cell r="U76">
            <v>77.5</v>
          </cell>
          <cell r="V76">
            <v>94</v>
          </cell>
          <cell r="W76">
            <v>98</v>
          </cell>
          <cell r="X76">
            <v>106</v>
          </cell>
          <cell r="Y76">
            <v>90</v>
          </cell>
          <cell r="Z76">
            <v>98</v>
          </cell>
          <cell r="AA76">
            <v>82</v>
          </cell>
          <cell r="AB76">
            <v>98</v>
          </cell>
          <cell r="AC76">
            <v>114</v>
          </cell>
          <cell r="AD76">
            <v>231.20000000000002</v>
          </cell>
          <cell r="AE76">
            <v>6800</v>
          </cell>
          <cell r="AF76">
            <v>48</v>
          </cell>
          <cell r="AG76">
            <v>96</v>
          </cell>
          <cell r="AH76">
            <v>980.00000000000011</v>
          </cell>
          <cell r="AI76">
            <v>980.00000000000011</v>
          </cell>
          <cell r="AJ76">
            <v>409.99999999999994</v>
          </cell>
          <cell r="AK76">
            <v>654</v>
          </cell>
          <cell r="AL76">
            <v>410</v>
          </cell>
          <cell r="AM76">
            <v>192.8</v>
          </cell>
          <cell r="AN76">
            <v>409.99999999999994</v>
          </cell>
          <cell r="AO76">
            <v>5230</v>
          </cell>
          <cell r="AP76">
            <v>58</v>
          </cell>
          <cell r="AQ76">
            <v>116</v>
          </cell>
          <cell r="AR76">
            <v>3240</v>
          </cell>
          <cell r="AS76">
            <v>3240</v>
          </cell>
          <cell r="AT76">
            <v>16.714285714285715</v>
          </cell>
          <cell r="AU76">
            <v>23.666666666666664</v>
          </cell>
          <cell r="AV76">
            <v>19</v>
          </cell>
          <cell r="AW76">
            <v>26.333333333333332</v>
          </cell>
          <cell r="AX76">
            <v>100</v>
          </cell>
          <cell r="AZ76">
            <v>231.20000000000002</v>
          </cell>
          <cell r="BA76">
            <v>192.8</v>
          </cell>
          <cell r="BB76">
            <v>212</v>
          </cell>
          <cell r="BC76">
            <v>3392</v>
          </cell>
          <cell r="BD76">
            <v>7476</v>
          </cell>
          <cell r="BR76">
            <v>174</v>
          </cell>
          <cell r="BS76">
            <v>1307</v>
          </cell>
          <cell r="BT76">
            <v>261</v>
          </cell>
          <cell r="BU76">
            <v>326</v>
          </cell>
          <cell r="GZ76">
            <v>225</v>
          </cell>
          <cell r="HA76">
            <v>229</v>
          </cell>
          <cell r="HB76">
            <v>535</v>
          </cell>
          <cell r="HC76">
            <v>29</v>
          </cell>
          <cell r="HD76">
            <v>6960</v>
          </cell>
          <cell r="HE76">
            <v>26</v>
          </cell>
          <cell r="HF76">
            <v>26</v>
          </cell>
          <cell r="HG76">
            <v>5</v>
          </cell>
          <cell r="HH76">
            <v>5</v>
          </cell>
          <cell r="HI76">
            <v>2</v>
          </cell>
          <cell r="HJ76">
            <v>2</v>
          </cell>
          <cell r="HK76">
            <v>6</v>
          </cell>
          <cell r="HL76">
            <v>9</v>
          </cell>
          <cell r="HM76">
            <v>3</v>
          </cell>
          <cell r="HN76">
            <v>3</v>
          </cell>
          <cell r="HO76">
            <v>4</v>
          </cell>
          <cell r="HP76">
            <v>58</v>
          </cell>
          <cell r="HQ76">
            <v>6</v>
          </cell>
          <cell r="HR76">
            <v>87</v>
          </cell>
          <cell r="HT76">
            <v>72</v>
          </cell>
          <cell r="HU76">
            <v>6960</v>
          </cell>
          <cell r="HV76">
            <v>32000</v>
          </cell>
          <cell r="HW76">
            <v>49000</v>
          </cell>
          <cell r="HX76">
            <v>2040</v>
          </cell>
          <cell r="HY76">
            <v>1570</v>
          </cell>
          <cell r="HZ76">
            <v>3400</v>
          </cell>
          <cell r="IA76">
            <v>2620</v>
          </cell>
          <cell r="IF76">
            <v>72</v>
          </cell>
          <cell r="IG76">
            <v>535</v>
          </cell>
          <cell r="IH76">
            <v>80.25</v>
          </cell>
        </row>
        <row r="77">
          <cell r="A77">
            <v>73</v>
          </cell>
          <cell r="B77">
            <v>770</v>
          </cell>
          <cell r="C77">
            <v>365</v>
          </cell>
          <cell r="D77">
            <v>73</v>
          </cell>
          <cell r="E77">
            <v>20</v>
          </cell>
          <cell r="F77">
            <v>107</v>
          </cell>
          <cell r="G77">
            <v>91</v>
          </cell>
          <cell r="H77">
            <v>83</v>
          </cell>
          <cell r="I77">
            <v>83</v>
          </cell>
          <cell r="J77">
            <v>91</v>
          </cell>
          <cell r="K77">
            <v>83</v>
          </cell>
          <cell r="L77">
            <v>58</v>
          </cell>
          <cell r="M77">
            <v>91</v>
          </cell>
          <cell r="N77">
            <v>99</v>
          </cell>
          <cell r="O77">
            <v>74</v>
          </cell>
          <cell r="P77">
            <v>99</v>
          </cell>
          <cell r="Q77">
            <v>116</v>
          </cell>
          <cell r="R77">
            <v>82.5</v>
          </cell>
          <cell r="S77">
            <v>91</v>
          </cell>
          <cell r="T77">
            <v>91</v>
          </cell>
          <cell r="U77">
            <v>78.5</v>
          </cell>
          <cell r="V77">
            <v>95</v>
          </cell>
          <cell r="W77">
            <v>99.5</v>
          </cell>
          <cell r="X77">
            <v>107</v>
          </cell>
          <cell r="Y77">
            <v>91</v>
          </cell>
          <cell r="Z77">
            <v>99</v>
          </cell>
          <cell r="AA77">
            <v>83</v>
          </cell>
          <cell r="AB77">
            <v>99</v>
          </cell>
          <cell r="AC77">
            <v>116</v>
          </cell>
          <cell r="AD77">
            <v>233.7</v>
          </cell>
          <cell r="AE77">
            <v>6875</v>
          </cell>
          <cell r="AF77">
            <v>48</v>
          </cell>
          <cell r="AG77">
            <v>96</v>
          </cell>
          <cell r="AH77">
            <v>990</v>
          </cell>
          <cell r="AI77">
            <v>990</v>
          </cell>
          <cell r="AJ77">
            <v>415.00000000000006</v>
          </cell>
          <cell r="AK77">
            <v>661</v>
          </cell>
          <cell r="AL77">
            <v>415</v>
          </cell>
          <cell r="AM77">
            <v>194.9</v>
          </cell>
          <cell r="AN77">
            <v>415.00000000000006</v>
          </cell>
          <cell r="AO77">
            <v>5320</v>
          </cell>
          <cell r="AP77">
            <v>59</v>
          </cell>
          <cell r="AQ77">
            <v>118</v>
          </cell>
          <cell r="AR77">
            <v>3285</v>
          </cell>
          <cell r="AS77">
            <v>3285</v>
          </cell>
          <cell r="AT77">
            <v>16.857142857142858</v>
          </cell>
          <cell r="AU77">
            <v>23.833333333333336</v>
          </cell>
          <cell r="AV77">
            <v>19.142857142857142</v>
          </cell>
          <cell r="AW77">
            <v>26.5</v>
          </cell>
          <cell r="AX77">
            <v>100</v>
          </cell>
          <cell r="AZ77">
            <v>233.7</v>
          </cell>
          <cell r="BA77">
            <v>194.9</v>
          </cell>
          <cell r="BB77">
            <v>214</v>
          </cell>
          <cell r="BC77">
            <v>3424</v>
          </cell>
          <cell r="BD77">
            <v>7558</v>
          </cell>
          <cell r="BR77">
            <v>177</v>
          </cell>
          <cell r="BS77">
            <v>1330</v>
          </cell>
          <cell r="BT77">
            <v>266</v>
          </cell>
          <cell r="BU77">
            <v>332</v>
          </cell>
          <cell r="GZ77">
            <v>225</v>
          </cell>
          <cell r="HA77">
            <v>229</v>
          </cell>
          <cell r="HB77">
            <v>547</v>
          </cell>
          <cell r="HC77">
            <v>30</v>
          </cell>
          <cell r="HD77">
            <v>7200</v>
          </cell>
          <cell r="HE77">
            <v>27</v>
          </cell>
          <cell r="HF77">
            <v>27</v>
          </cell>
          <cell r="HG77">
            <v>6</v>
          </cell>
          <cell r="HH77">
            <v>6</v>
          </cell>
          <cell r="HI77">
            <v>3</v>
          </cell>
          <cell r="HJ77">
            <v>3</v>
          </cell>
          <cell r="HK77">
            <v>6</v>
          </cell>
          <cell r="HL77">
            <v>9</v>
          </cell>
          <cell r="HM77">
            <v>3</v>
          </cell>
          <cell r="HN77">
            <v>3</v>
          </cell>
          <cell r="HO77">
            <v>6</v>
          </cell>
          <cell r="HP77">
            <v>60</v>
          </cell>
          <cell r="HQ77">
            <v>9</v>
          </cell>
          <cell r="HR77">
            <v>90</v>
          </cell>
          <cell r="HT77">
            <v>73</v>
          </cell>
          <cell r="HU77">
            <v>7200</v>
          </cell>
          <cell r="HV77">
            <v>34000</v>
          </cell>
          <cell r="HW77">
            <v>50000</v>
          </cell>
          <cell r="HX77">
            <v>2060</v>
          </cell>
          <cell r="HY77">
            <v>1600</v>
          </cell>
          <cell r="HZ77">
            <v>3440</v>
          </cell>
          <cell r="IA77">
            <v>2660</v>
          </cell>
          <cell r="IF77">
            <v>73</v>
          </cell>
          <cell r="IG77">
            <v>547</v>
          </cell>
          <cell r="IH77">
            <v>82.05</v>
          </cell>
        </row>
        <row r="78">
          <cell r="A78">
            <v>74</v>
          </cell>
          <cell r="B78">
            <v>780</v>
          </cell>
          <cell r="C78">
            <v>370</v>
          </cell>
          <cell r="D78">
            <v>74</v>
          </cell>
          <cell r="E78">
            <v>20</v>
          </cell>
          <cell r="F78">
            <v>109</v>
          </cell>
          <cell r="G78">
            <v>92</v>
          </cell>
          <cell r="H78">
            <v>84</v>
          </cell>
          <cell r="I78">
            <v>84</v>
          </cell>
          <cell r="J78">
            <v>92</v>
          </cell>
          <cell r="K78">
            <v>84</v>
          </cell>
          <cell r="L78">
            <v>58</v>
          </cell>
          <cell r="M78">
            <v>92</v>
          </cell>
          <cell r="N78">
            <v>100</v>
          </cell>
          <cell r="O78">
            <v>75</v>
          </cell>
          <cell r="P78">
            <v>100</v>
          </cell>
          <cell r="Q78">
            <v>117</v>
          </cell>
          <cell r="R78">
            <v>83.5</v>
          </cell>
          <cell r="S78">
            <v>92</v>
          </cell>
          <cell r="T78">
            <v>92</v>
          </cell>
          <cell r="U78">
            <v>79.5</v>
          </cell>
          <cell r="V78">
            <v>96</v>
          </cell>
          <cell r="W78">
            <v>100.5</v>
          </cell>
          <cell r="X78">
            <v>109</v>
          </cell>
          <cell r="Y78">
            <v>92</v>
          </cell>
          <cell r="Z78">
            <v>100</v>
          </cell>
          <cell r="AA78">
            <v>84</v>
          </cell>
          <cell r="AB78">
            <v>100</v>
          </cell>
          <cell r="AC78">
            <v>117</v>
          </cell>
          <cell r="AD78">
            <v>237.5</v>
          </cell>
          <cell r="AE78">
            <v>6950</v>
          </cell>
          <cell r="AF78">
            <v>49</v>
          </cell>
          <cell r="AG78">
            <v>98</v>
          </cell>
          <cell r="AH78">
            <v>1000</v>
          </cell>
          <cell r="AI78">
            <v>1000</v>
          </cell>
          <cell r="AJ78">
            <v>420</v>
          </cell>
          <cell r="AK78">
            <v>668</v>
          </cell>
          <cell r="AL78">
            <v>420</v>
          </cell>
          <cell r="AM78">
            <v>197</v>
          </cell>
          <cell r="AN78">
            <v>420</v>
          </cell>
          <cell r="AO78">
            <v>5365</v>
          </cell>
          <cell r="AP78">
            <v>59</v>
          </cell>
          <cell r="AQ78">
            <v>118</v>
          </cell>
          <cell r="AR78">
            <v>3330</v>
          </cell>
          <cell r="AS78">
            <v>3330</v>
          </cell>
          <cell r="AT78">
            <v>17</v>
          </cell>
          <cell r="AU78">
            <v>24</v>
          </cell>
          <cell r="AV78">
            <v>19.285714285714285</v>
          </cell>
          <cell r="AW78">
            <v>26.666666666666668</v>
          </cell>
          <cell r="AX78">
            <v>100</v>
          </cell>
          <cell r="AZ78">
            <v>237.5</v>
          </cell>
          <cell r="BA78">
            <v>197</v>
          </cell>
          <cell r="BB78">
            <v>217</v>
          </cell>
          <cell r="BC78">
            <v>3472</v>
          </cell>
          <cell r="BD78">
            <v>7641</v>
          </cell>
          <cell r="BR78">
            <v>178</v>
          </cell>
          <cell r="BS78">
            <v>1341</v>
          </cell>
          <cell r="BT78">
            <v>268</v>
          </cell>
          <cell r="BU78">
            <v>335</v>
          </cell>
          <cell r="GZ78">
            <v>225</v>
          </cell>
          <cell r="HA78">
            <v>229</v>
          </cell>
          <cell r="HB78">
            <v>560</v>
          </cell>
          <cell r="HC78">
            <v>31</v>
          </cell>
          <cell r="HD78">
            <v>7440</v>
          </cell>
          <cell r="HE78">
            <v>27</v>
          </cell>
          <cell r="HF78">
            <v>27</v>
          </cell>
          <cell r="HG78">
            <v>6</v>
          </cell>
          <cell r="HH78">
            <v>6</v>
          </cell>
          <cell r="HI78">
            <v>3</v>
          </cell>
          <cell r="HJ78">
            <v>3</v>
          </cell>
          <cell r="HK78">
            <v>8</v>
          </cell>
          <cell r="HL78">
            <v>12</v>
          </cell>
          <cell r="HM78">
            <v>4</v>
          </cell>
          <cell r="HN78">
            <v>4</v>
          </cell>
          <cell r="HO78">
            <v>6</v>
          </cell>
          <cell r="HP78">
            <v>62</v>
          </cell>
          <cell r="HQ78">
            <v>9</v>
          </cell>
          <cell r="HR78">
            <v>93</v>
          </cell>
          <cell r="HT78">
            <v>74</v>
          </cell>
          <cell r="HU78">
            <v>7440</v>
          </cell>
          <cell r="HV78">
            <v>35000</v>
          </cell>
          <cell r="HW78">
            <v>52000</v>
          </cell>
          <cell r="HX78">
            <v>2090</v>
          </cell>
          <cell r="HY78">
            <v>1610</v>
          </cell>
          <cell r="HZ78">
            <v>3480</v>
          </cell>
          <cell r="IA78">
            <v>2680</v>
          </cell>
          <cell r="IF78">
            <v>74</v>
          </cell>
          <cell r="IG78">
            <v>560</v>
          </cell>
          <cell r="IH78">
            <v>84</v>
          </cell>
        </row>
        <row r="79">
          <cell r="A79">
            <v>75</v>
          </cell>
          <cell r="B79">
            <v>790</v>
          </cell>
          <cell r="C79">
            <v>375</v>
          </cell>
          <cell r="D79">
            <v>75</v>
          </cell>
          <cell r="E79">
            <v>20</v>
          </cell>
          <cell r="F79">
            <v>110</v>
          </cell>
          <cell r="G79">
            <v>93</v>
          </cell>
          <cell r="H79">
            <v>85</v>
          </cell>
          <cell r="I79">
            <v>85</v>
          </cell>
          <cell r="J79">
            <v>93</v>
          </cell>
          <cell r="K79">
            <v>85</v>
          </cell>
          <cell r="L79">
            <v>59</v>
          </cell>
          <cell r="M79">
            <v>93</v>
          </cell>
          <cell r="N79">
            <v>102</v>
          </cell>
          <cell r="O79">
            <v>76</v>
          </cell>
          <cell r="P79">
            <v>102</v>
          </cell>
          <cell r="Q79">
            <v>119</v>
          </cell>
          <cell r="R79">
            <v>84.5</v>
          </cell>
          <cell r="S79">
            <v>93</v>
          </cell>
          <cell r="T79">
            <v>93.5</v>
          </cell>
          <cell r="U79">
            <v>80.5</v>
          </cell>
          <cell r="V79">
            <v>97.5</v>
          </cell>
          <cell r="W79">
            <v>102</v>
          </cell>
          <cell r="X79">
            <v>110</v>
          </cell>
          <cell r="Y79">
            <v>93</v>
          </cell>
          <cell r="Z79">
            <v>102</v>
          </cell>
          <cell r="AA79">
            <v>85</v>
          </cell>
          <cell r="AB79">
            <v>102</v>
          </cell>
          <cell r="AC79">
            <v>119</v>
          </cell>
          <cell r="AD79">
            <v>240</v>
          </cell>
          <cell r="AE79">
            <v>7025</v>
          </cell>
          <cell r="AF79">
            <v>49</v>
          </cell>
          <cell r="AG79">
            <v>98</v>
          </cell>
          <cell r="AH79">
            <v>1019.9999999999999</v>
          </cell>
          <cell r="AI79">
            <v>1019.9999999999999</v>
          </cell>
          <cell r="AJ79">
            <v>425</v>
          </cell>
          <cell r="AK79">
            <v>680</v>
          </cell>
          <cell r="AL79">
            <v>425</v>
          </cell>
          <cell r="AM79">
            <v>200.7</v>
          </cell>
          <cell r="AN79">
            <v>425</v>
          </cell>
          <cell r="AO79">
            <v>5455</v>
          </cell>
          <cell r="AP79">
            <v>60</v>
          </cell>
          <cell r="AQ79">
            <v>120</v>
          </cell>
          <cell r="AR79">
            <v>3375</v>
          </cell>
          <cell r="AS79">
            <v>3375</v>
          </cell>
          <cell r="AT79">
            <v>17.142857142857142</v>
          </cell>
          <cell r="AU79">
            <v>24.166666666666664</v>
          </cell>
          <cell r="AV79">
            <v>19.571428571428569</v>
          </cell>
          <cell r="AW79">
            <v>27</v>
          </cell>
          <cell r="AX79">
            <v>100</v>
          </cell>
          <cell r="AZ79">
            <v>240</v>
          </cell>
          <cell r="BA79">
            <v>200.7</v>
          </cell>
          <cell r="BB79">
            <v>220</v>
          </cell>
          <cell r="BC79">
            <v>3520</v>
          </cell>
          <cell r="BD79">
            <v>7723</v>
          </cell>
          <cell r="BR79">
            <v>181</v>
          </cell>
          <cell r="BS79">
            <v>1363</v>
          </cell>
          <cell r="BT79">
            <v>272</v>
          </cell>
          <cell r="BU79">
            <v>340</v>
          </cell>
          <cell r="GZ79">
            <v>225</v>
          </cell>
          <cell r="HA79">
            <v>229</v>
          </cell>
          <cell r="HB79">
            <v>574</v>
          </cell>
          <cell r="HC79">
            <v>31</v>
          </cell>
          <cell r="HD79">
            <v>7440</v>
          </cell>
          <cell r="HE79">
            <v>27</v>
          </cell>
          <cell r="HF79">
            <v>27</v>
          </cell>
          <cell r="HG79">
            <v>6</v>
          </cell>
          <cell r="HH79">
            <v>6</v>
          </cell>
          <cell r="HI79">
            <v>3</v>
          </cell>
          <cell r="HJ79">
            <v>3</v>
          </cell>
          <cell r="HK79">
            <v>8</v>
          </cell>
          <cell r="HL79">
            <v>12</v>
          </cell>
          <cell r="HM79">
            <v>4</v>
          </cell>
          <cell r="HN79">
            <v>4</v>
          </cell>
          <cell r="HO79">
            <v>6</v>
          </cell>
          <cell r="HP79">
            <v>62</v>
          </cell>
          <cell r="HQ79">
            <v>9</v>
          </cell>
          <cell r="HR79">
            <v>93</v>
          </cell>
          <cell r="HT79">
            <v>75</v>
          </cell>
          <cell r="HU79">
            <v>7440</v>
          </cell>
          <cell r="HV79">
            <v>35000</v>
          </cell>
          <cell r="HW79">
            <v>52000</v>
          </cell>
          <cell r="HX79">
            <v>2110</v>
          </cell>
          <cell r="HY79">
            <v>1640</v>
          </cell>
          <cell r="HZ79">
            <v>3510</v>
          </cell>
          <cell r="IA79">
            <v>2730</v>
          </cell>
          <cell r="IF79">
            <v>75</v>
          </cell>
          <cell r="IG79">
            <v>574</v>
          </cell>
          <cell r="IH79">
            <v>86.1</v>
          </cell>
        </row>
        <row r="80">
          <cell r="A80">
            <v>76</v>
          </cell>
          <cell r="B80">
            <v>800</v>
          </cell>
          <cell r="C80">
            <v>380</v>
          </cell>
          <cell r="D80">
            <v>76</v>
          </cell>
          <cell r="E80">
            <v>20</v>
          </cell>
          <cell r="F80">
            <v>111</v>
          </cell>
          <cell r="G80">
            <v>94</v>
          </cell>
          <cell r="H80">
            <v>86</v>
          </cell>
          <cell r="I80">
            <v>86</v>
          </cell>
          <cell r="J80">
            <v>94</v>
          </cell>
          <cell r="K80">
            <v>86</v>
          </cell>
          <cell r="L80">
            <v>60</v>
          </cell>
          <cell r="M80">
            <v>94</v>
          </cell>
          <cell r="N80">
            <v>103</v>
          </cell>
          <cell r="O80">
            <v>77</v>
          </cell>
          <cell r="P80">
            <v>103</v>
          </cell>
          <cell r="Q80">
            <v>120</v>
          </cell>
          <cell r="R80">
            <v>85.5</v>
          </cell>
          <cell r="S80">
            <v>94</v>
          </cell>
          <cell r="T80">
            <v>94.5</v>
          </cell>
          <cell r="U80">
            <v>81.5</v>
          </cell>
          <cell r="V80">
            <v>98.5</v>
          </cell>
          <cell r="W80">
            <v>103</v>
          </cell>
          <cell r="X80">
            <v>111</v>
          </cell>
          <cell r="Y80">
            <v>94</v>
          </cell>
          <cell r="Z80">
            <v>103</v>
          </cell>
          <cell r="AA80">
            <v>86</v>
          </cell>
          <cell r="AB80">
            <v>103</v>
          </cell>
          <cell r="AC80">
            <v>120</v>
          </cell>
          <cell r="AD80">
            <v>242.5</v>
          </cell>
          <cell r="AE80">
            <v>7100</v>
          </cell>
          <cell r="AF80">
            <v>50</v>
          </cell>
          <cell r="AG80">
            <v>100</v>
          </cell>
          <cell r="AH80">
            <v>1030</v>
          </cell>
          <cell r="AI80">
            <v>1030</v>
          </cell>
          <cell r="AJ80">
            <v>430</v>
          </cell>
          <cell r="AK80">
            <v>687</v>
          </cell>
          <cell r="AL80">
            <v>430</v>
          </cell>
          <cell r="AM80">
            <v>202.8</v>
          </cell>
          <cell r="AN80">
            <v>430</v>
          </cell>
          <cell r="AO80">
            <v>5500</v>
          </cell>
          <cell r="AP80">
            <v>61</v>
          </cell>
          <cell r="AQ80">
            <v>122</v>
          </cell>
          <cell r="AR80">
            <v>3420</v>
          </cell>
          <cell r="AS80">
            <v>3420</v>
          </cell>
          <cell r="AT80">
            <v>17.285714285714285</v>
          </cell>
          <cell r="AU80">
            <v>24.333333333333336</v>
          </cell>
          <cell r="AV80">
            <v>19.714285714285715</v>
          </cell>
          <cell r="AW80">
            <v>27.166666666666668</v>
          </cell>
          <cell r="AX80">
            <v>100</v>
          </cell>
          <cell r="AZ80">
            <v>242.5</v>
          </cell>
          <cell r="BA80">
            <v>202.8</v>
          </cell>
          <cell r="BB80">
            <v>222</v>
          </cell>
          <cell r="BC80">
            <v>3552</v>
          </cell>
          <cell r="BD80">
            <v>7806</v>
          </cell>
          <cell r="BR80">
            <v>183</v>
          </cell>
          <cell r="BS80">
            <v>1375</v>
          </cell>
          <cell r="BT80">
            <v>275</v>
          </cell>
          <cell r="BU80">
            <v>343</v>
          </cell>
          <cell r="GZ80">
            <v>225</v>
          </cell>
          <cell r="HA80">
            <v>231</v>
          </cell>
          <cell r="HB80">
            <v>587</v>
          </cell>
          <cell r="HC80">
            <v>32</v>
          </cell>
          <cell r="HD80">
            <v>7680</v>
          </cell>
          <cell r="HE80">
            <v>28</v>
          </cell>
          <cell r="HF80">
            <v>28</v>
          </cell>
          <cell r="HG80">
            <v>6</v>
          </cell>
          <cell r="HH80">
            <v>6</v>
          </cell>
          <cell r="HI80">
            <v>3</v>
          </cell>
          <cell r="HJ80">
            <v>3</v>
          </cell>
          <cell r="HK80">
            <v>8</v>
          </cell>
          <cell r="HL80">
            <v>12</v>
          </cell>
          <cell r="HM80">
            <v>4</v>
          </cell>
          <cell r="HN80">
            <v>4</v>
          </cell>
          <cell r="HO80">
            <v>6</v>
          </cell>
          <cell r="HP80">
            <v>64</v>
          </cell>
          <cell r="HQ80">
            <v>9</v>
          </cell>
          <cell r="HR80">
            <v>96</v>
          </cell>
          <cell r="HT80">
            <v>76</v>
          </cell>
          <cell r="HU80">
            <v>7680</v>
          </cell>
          <cell r="HV80">
            <v>36000</v>
          </cell>
          <cell r="HW80">
            <v>54000</v>
          </cell>
          <cell r="HX80">
            <v>2130</v>
          </cell>
          <cell r="HY80">
            <v>1650</v>
          </cell>
          <cell r="HZ80">
            <v>3550</v>
          </cell>
          <cell r="IA80">
            <v>2750</v>
          </cell>
          <cell r="IF80">
            <v>76</v>
          </cell>
          <cell r="IG80">
            <v>587</v>
          </cell>
          <cell r="IH80">
            <v>88.05</v>
          </cell>
        </row>
        <row r="81">
          <cell r="A81">
            <v>77</v>
          </cell>
          <cell r="B81">
            <v>810</v>
          </cell>
          <cell r="C81">
            <v>385</v>
          </cell>
          <cell r="D81">
            <v>77</v>
          </cell>
          <cell r="E81">
            <v>20</v>
          </cell>
          <cell r="F81">
            <v>113</v>
          </cell>
          <cell r="G81">
            <v>95</v>
          </cell>
          <cell r="H81">
            <v>87</v>
          </cell>
          <cell r="I81">
            <v>87</v>
          </cell>
          <cell r="J81">
            <v>95</v>
          </cell>
          <cell r="K81">
            <v>87</v>
          </cell>
          <cell r="L81">
            <v>60</v>
          </cell>
          <cell r="M81">
            <v>95</v>
          </cell>
          <cell r="N81">
            <v>104</v>
          </cell>
          <cell r="O81">
            <v>78</v>
          </cell>
          <cell r="P81">
            <v>104</v>
          </cell>
          <cell r="Q81">
            <v>121</v>
          </cell>
          <cell r="R81">
            <v>86.5</v>
          </cell>
          <cell r="S81">
            <v>95</v>
          </cell>
          <cell r="T81">
            <v>95.5</v>
          </cell>
          <cell r="U81">
            <v>82.5</v>
          </cell>
          <cell r="V81">
            <v>99.5</v>
          </cell>
          <cell r="W81">
            <v>104</v>
          </cell>
          <cell r="X81">
            <v>113</v>
          </cell>
          <cell r="Y81">
            <v>95</v>
          </cell>
          <cell r="Z81">
            <v>104</v>
          </cell>
          <cell r="AA81">
            <v>87</v>
          </cell>
          <cell r="AB81">
            <v>104</v>
          </cell>
          <cell r="AC81">
            <v>121</v>
          </cell>
          <cell r="AD81">
            <v>246.3</v>
          </cell>
          <cell r="AE81">
            <v>7175</v>
          </cell>
          <cell r="AF81">
            <v>50</v>
          </cell>
          <cell r="AG81">
            <v>100</v>
          </cell>
          <cell r="AH81">
            <v>1040</v>
          </cell>
          <cell r="AI81">
            <v>1040</v>
          </cell>
          <cell r="AJ81">
            <v>434.99999999999994</v>
          </cell>
          <cell r="AK81">
            <v>694</v>
          </cell>
          <cell r="AL81">
            <v>435</v>
          </cell>
          <cell r="AM81">
            <v>204.9</v>
          </cell>
          <cell r="AN81">
            <v>434.99999999999994</v>
          </cell>
          <cell r="AO81">
            <v>5545</v>
          </cell>
          <cell r="AP81">
            <v>61</v>
          </cell>
          <cell r="AQ81">
            <v>122</v>
          </cell>
          <cell r="AR81">
            <v>3465</v>
          </cell>
          <cell r="AS81">
            <v>3465</v>
          </cell>
          <cell r="AT81">
            <v>17.428571428571431</v>
          </cell>
          <cell r="AU81">
            <v>24.5</v>
          </cell>
          <cell r="AV81">
            <v>19.857142857142858</v>
          </cell>
          <cell r="AW81">
            <v>27.333333333333332</v>
          </cell>
          <cell r="AX81">
            <v>100</v>
          </cell>
          <cell r="AZ81">
            <v>246.3</v>
          </cell>
          <cell r="BA81">
            <v>204.9</v>
          </cell>
          <cell r="BB81">
            <v>225</v>
          </cell>
          <cell r="BC81">
            <v>3600</v>
          </cell>
          <cell r="BD81">
            <v>7888</v>
          </cell>
          <cell r="BR81">
            <v>184</v>
          </cell>
          <cell r="BS81">
            <v>1386</v>
          </cell>
          <cell r="BT81">
            <v>277</v>
          </cell>
          <cell r="BU81">
            <v>346</v>
          </cell>
          <cell r="GZ81">
            <v>225</v>
          </cell>
          <cell r="HA81">
            <v>231</v>
          </cell>
          <cell r="HB81">
            <v>600</v>
          </cell>
          <cell r="HC81">
            <v>33</v>
          </cell>
          <cell r="HD81">
            <v>7920</v>
          </cell>
          <cell r="HE81">
            <v>29</v>
          </cell>
          <cell r="HF81">
            <v>29</v>
          </cell>
          <cell r="HG81">
            <v>6</v>
          </cell>
          <cell r="HH81">
            <v>6</v>
          </cell>
          <cell r="HI81">
            <v>3</v>
          </cell>
          <cell r="HJ81">
            <v>3</v>
          </cell>
          <cell r="HK81">
            <v>8</v>
          </cell>
          <cell r="HL81">
            <v>12</v>
          </cell>
          <cell r="HM81">
            <v>4</v>
          </cell>
          <cell r="HN81">
            <v>4</v>
          </cell>
          <cell r="HO81">
            <v>6</v>
          </cell>
          <cell r="HP81">
            <v>66</v>
          </cell>
          <cell r="HQ81">
            <v>9</v>
          </cell>
          <cell r="HR81">
            <v>99</v>
          </cell>
          <cell r="HT81">
            <v>77</v>
          </cell>
          <cell r="HU81">
            <v>7920</v>
          </cell>
          <cell r="HV81">
            <v>37000</v>
          </cell>
          <cell r="HW81">
            <v>55000</v>
          </cell>
          <cell r="HX81">
            <v>2150</v>
          </cell>
          <cell r="HY81">
            <v>1660</v>
          </cell>
          <cell r="HZ81">
            <v>3590</v>
          </cell>
          <cell r="IA81">
            <v>2770</v>
          </cell>
          <cell r="IF81">
            <v>77</v>
          </cell>
          <cell r="IG81">
            <v>600</v>
          </cell>
          <cell r="IH81">
            <v>90</v>
          </cell>
        </row>
        <row r="82">
          <cell r="A82">
            <v>78</v>
          </cell>
          <cell r="B82">
            <v>820</v>
          </cell>
          <cell r="C82">
            <v>390</v>
          </cell>
          <cell r="D82">
            <v>78</v>
          </cell>
          <cell r="E82">
            <v>20</v>
          </cell>
          <cell r="F82">
            <v>114</v>
          </cell>
          <cell r="G82">
            <v>96</v>
          </cell>
          <cell r="H82">
            <v>88</v>
          </cell>
          <cell r="I82">
            <v>88</v>
          </cell>
          <cell r="J82">
            <v>96</v>
          </cell>
          <cell r="K82">
            <v>88</v>
          </cell>
          <cell r="L82">
            <v>61</v>
          </cell>
          <cell r="M82">
            <v>96</v>
          </cell>
          <cell r="N82">
            <v>105</v>
          </cell>
          <cell r="O82">
            <v>79</v>
          </cell>
          <cell r="P82">
            <v>105</v>
          </cell>
          <cell r="Q82">
            <v>123</v>
          </cell>
          <cell r="R82">
            <v>87.5</v>
          </cell>
          <cell r="S82">
            <v>96</v>
          </cell>
          <cell r="T82">
            <v>96.5</v>
          </cell>
          <cell r="U82">
            <v>83.5</v>
          </cell>
          <cell r="V82">
            <v>100.5</v>
          </cell>
          <cell r="W82">
            <v>105.5</v>
          </cell>
          <cell r="X82">
            <v>114</v>
          </cell>
          <cell r="Y82">
            <v>96</v>
          </cell>
          <cell r="Z82">
            <v>105</v>
          </cell>
          <cell r="AA82">
            <v>88</v>
          </cell>
          <cell r="AB82">
            <v>105</v>
          </cell>
          <cell r="AC82">
            <v>123</v>
          </cell>
          <cell r="AD82">
            <v>248.8</v>
          </cell>
          <cell r="AE82">
            <v>7250</v>
          </cell>
          <cell r="AF82">
            <v>51</v>
          </cell>
          <cell r="AG82">
            <v>102</v>
          </cell>
          <cell r="AH82">
            <v>1050</v>
          </cell>
          <cell r="AI82">
            <v>1050</v>
          </cell>
          <cell r="AJ82">
            <v>440.00000000000006</v>
          </cell>
          <cell r="AK82">
            <v>701</v>
          </cell>
          <cell r="AL82">
            <v>440</v>
          </cell>
          <cell r="AM82">
            <v>207</v>
          </cell>
          <cell r="AN82">
            <v>440.00000000000006</v>
          </cell>
          <cell r="AO82">
            <v>5635</v>
          </cell>
          <cell r="AP82">
            <v>62</v>
          </cell>
          <cell r="AQ82">
            <v>124</v>
          </cell>
          <cell r="AR82">
            <v>3510</v>
          </cell>
          <cell r="AS82">
            <v>3510</v>
          </cell>
          <cell r="AT82">
            <v>17.571428571428569</v>
          </cell>
          <cell r="AU82">
            <v>24.666666666666664</v>
          </cell>
          <cell r="AV82">
            <v>20</v>
          </cell>
          <cell r="AW82">
            <v>27.5</v>
          </cell>
          <cell r="AX82">
            <v>100</v>
          </cell>
          <cell r="AZ82">
            <v>248.8</v>
          </cell>
          <cell r="BA82">
            <v>207</v>
          </cell>
          <cell r="BB82">
            <v>227</v>
          </cell>
          <cell r="BC82">
            <v>3632</v>
          </cell>
          <cell r="BD82">
            <v>7971</v>
          </cell>
          <cell r="BR82">
            <v>187</v>
          </cell>
          <cell r="BS82">
            <v>1408</v>
          </cell>
          <cell r="BT82">
            <v>281</v>
          </cell>
          <cell r="BU82">
            <v>352</v>
          </cell>
          <cell r="GZ82">
            <v>227</v>
          </cell>
          <cell r="HA82">
            <v>231</v>
          </cell>
          <cell r="HB82">
            <v>614</v>
          </cell>
          <cell r="HC82">
            <v>34</v>
          </cell>
          <cell r="HD82">
            <v>8160</v>
          </cell>
          <cell r="HE82">
            <v>30</v>
          </cell>
          <cell r="HF82">
            <v>30</v>
          </cell>
          <cell r="HG82">
            <v>6</v>
          </cell>
          <cell r="HH82">
            <v>6</v>
          </cell>
          <cell r="HI82">
            <v>3</v>
          </cell>
          <cell r="HJ82">
            <v>3</v>
          </cell>
          <cell r="HK82">
            <v>8</v>
          </cell>
          <cell r="HL82">
            <v>12</v>
          </cell>
          <cell r="HM82">
            <v>4</v>
          </cell>
          <cell r="HN82">
            <v>4</v>
          </cell>
          <cell r="HO82">
            <v>6</v>
          </cell>
          <cell r="HP82">
            <v>68</v>
          </cell>
          <cell r="HQ82">
            <v>9</v>
          </cell>
          <cell r="HR82">
            <v>102</v>
          </cell>
          <cell r="HT82">
            <v>78</v>
          </cell>
          <cell r="HU82">
            <v>8160</v>
          </cell>
          <cell r="HV82">
            <v>38000</v>
          </cell>
          <cell r="HW82">
            <v>57000</v>
          </cell>
          <cell r="HX82">
            <v>2180</v>
          </cell>
          <cell r="HY82">
            <v>1690</v>
          </cell>
          <cell r="HZ82">
            <v>3630</v>
          </cell>
          <cell r="IA82">
            <v>2820</v>
          </cell>
          <cell r="IF82">
            <v>78</v>
          </cell>
          <cell r="IG82">
            <v>614</v>
          </cell>
          <cell r="IH82">
            <v>92.1</v>
          </cell>
        </row>
        <row r="83">
          <cell r="A83">
            <v>79</v>
          </cell>
          <cell r="B83">
            <v>830</v>
          </cell>
          <cell r="C83">
            <v>395</v>
          </cell>
          <cell r="D83">
            <v>79</v>
          </cell>
          <cell r="E83">
            <v>20</v>
          </cell>
          <cell r="F83">
            <v>115</v>
          </cell>
          <cell r="G83">
            <v>97</v>
          </cell>
          <cell r="H83">
            <v>89</v>
          </cell>
          <cell r="I83">
            <v>89</v>
          </cell>
          <cell r="J83">
            <v>97</v>
          </cell>
          <cell r="K83">
            <v>89</v>
          </cell>
          <cell r="L83">
            <v>62</v>
          </cell>
          <cell r="M83">
            <v>97</v>
          </cell>
          <cell r="N83">
            <v>106</v>
          </cell>
          <cell r="O83">
            <v>80</v>
          </cell>
          <cell r="P83">
            <v>106</v>
          </cell>
          <cell r="Q83">
            <v>124</v>
          </cell>
          <cell r="R83">
            <v>88.5</v>
          </cell>
          <cell r="S83">
            <v>97</v>
          </cell>
          <cell r="T83">
            <v>97.5</v>
          </cell>
          <cell r="U83">
            <v>84.5</v>
          </cell>
          <cell r="V83">
            <v>101.5</v>
          </cell>
          <cell r="W83">
            <v>106.5</v>
          </cell>
          <cell r="X83">
            <v>115</v>
          </cell>
          <cell r="Y83">
            <v>97</v>
          </cell>
          <cell r="Z83">
            <v>106</v>
          </cell>
          <cell r="AA83">
            <v>89</v>
          </cell>
          <cell r="AB83">
            <v>106</v>
          </cell>
          <cell r="AC83">
            <v>124</v>
          </cell>
          <cell r="AD83">
            <v>251.3</v>
          </cell>
          <cell r="AE83">
            <v>7325</v>
          </cell>
          <cell r="AF83">
            <v>51</v>
          </cell>
          <cell r="AG83">
            <v>102</v>
          </cell>
          <cell r="AH83">
            <v>1060</v>
          </cell>
          <cell r="AI83">
            <v>1060</v>
          </cell>
          <cell r="AJ83">
            <v>445</v>
          </cell>
          <cell r="AK83">
            <v>708</v>
          </cell>
          <cell r="AL83">
            <v>445</v>
          </cell>
          <cell r="AM83">
            <v>209.1</v>
          </cell>
          <cell r="AN83">
            <v>445</v>
          </cell>
          <cell r="AO83">
            <v>5680</v>
          </cell>
          <cell r="AP83">
            <v>63</v>
          </cell>
          <cell r="AQ83">
            <v>126</v>
          </cell>
          <cell r="AR83">
            <v>3555</v>
          </cell>
          <cell r="AS83">
            <v>3555</v>
          </cell>
          <cell r="AT83">
            <v>17.714285714285715</v>
          </cell>
          <cell r="AU83">
            <v>24.833333333333336</v>
          </cell>
          <cell r="AV83">
            <v>20.142857142857142</v>
          </cell>
          <cell r="AW83">
            <v>27.666666666666668</v>
          </cell>
          <cell r="AX83">
            <v>100</v>
          </cell>
          <cell r="AZ83">
            <v>251.3</v>
          </cell>
          <cell r="BA83">
            <v>209.1</v>
          </cell>
          <cell r="BB83">
            <v>230</v>
          </cell>
          <cell r="BC83">
            <v>3680</v>
          </cell>
          <cell r="BD83">
            <v>8053</v>
          </cell>
          <cell r="BR83">
            <v>189</v>
          </cell>
          <cell r="BS83">
            <v>1420</v>
          </cell>
          <cell r="BT83">
            <v>284</v>
          </cell>
          <cell r="BU83">
            <v>355</v>
          </cell>
          <cell r="GZ83">
            <v>227</v>
          </cell>
          <cell r="HA83">
            <v>231</v>
          </cell>
          <cell r="HB83">
            <v>628</v>
          </cell>
          <cell r="HC83">
            <v>34</v>
          </cell>
          <cell r="HD83">
            <v>8160</v>
          </cell>
          <cell r="HE83">
            <v>30</v>
          </cell>
          <cell r="HF83">
            <v>30</v>
          </cell>
          <cell r="HG83">
            <v>6</v>
          </cell>
          <cell r="HH83">
            <v>6</v>
          </cell>
          <cell r="HI83">
            <v>3</v>
          </cell>
          <cell r="HJ83">
            <v>3</v>
          </cell>
          <cell r="HK83">
            <v>8</v>
          </cell>
          <cell r="HL83">
            <v>12</v>
          </cell>
          <cell r="HM83">
            <v>4</v>
          </cell>
          <cell r="HN83">
            <v>4</v>
          </cell>
          <cell r="HO83">
            <v>6</v>
          </cell>
          <cell r="HP83">
            <v>68</v>
          </cell>
          <cell r="HQ83">
            <v>9</v>
          </cell>
          <cell r="HR83">
            <v>102</v>
          </cell>
          <cell r="HT83">
            <v>79</v>
          </cell>
          <cell r="HU83">
            <v>8160</v>
          </cell>
          <cell r="HV83">
            <v>38000</v>
          </cell>
          <cell r="HW83">
            <v>57000</v>
          </cell>
          <cell r="HX83">
            <v>2200</v>
          </cell>
          <cell r="HY83">
            <v>1700</v>
          </cell>
          <cell r="HZ83">
            <v>3660</v>
          </cell>
          <cell r="IA83">
            <v>2840</v>
          </cell>
          <cell r="IF83">
            <v>79</v>
          </cell>
          <cell r="IG83">
            <v>628</v>
          </cell>
          <cell r="IH83">
            <v>94.2</v>
          </cell>
        </row>
        <row r="84">
          <cell r="A84">
            <v>80</v>
          </cell>
          <cell r="B84">
            <v>840</v>
          </cell>
          <cell r="C84">
            <v>400</v>
          </cell>
          <cell r="D84">
            <v>80</v>
          </cell>
          <cell r="E84">
            <v>20</v>
          </cell>
          <cell r="F84">
            <v>117</v>
          </cell>
          <cell r="G84">
            <v>99</v>
          </cell>
          <cell r="H84">
            <v>90</v>
          </cell>
          <cell r="I84">
            <v>90</v>
          </cell>
          <cell r="J84">
            <v>99</v>
          </cell>
          <cell r="K84">
            <v>90</v>
          </cell>
          <cell r="L84">
            <v>63</v>
          </cell>
          <cell r="M84">
            <v>99</v>
          </cell>
          <cell r="N84">
            <v>108</v>
          </cell>
          <cell r="O84">
            <v>81</v>
          </cell>
          <cell r="P84">
            <v>108</v>
          </cell>
          <cell r="Q84">
            <v>126</v>
          </cell>
          <cell r="R84">
            <v>90</v>
          </cell>
          <cell r="S84">
            <v>99</v>
          </cell>
          <cell r="T84">
            <v>99</v>
          </cell>
          <cell r="U84">
            <v>85.5</v>
          </cell>
          <cell r="V84">
            <v>103.5</v>
          </cell>
          <cell r="W84">
            <v>108</v>
          </cell>
          <cell r="X84">
            <v>117</v>
          </cell>
          <cell r="Y84">
            <v>99</v>
          </cell>
          <cell r="Z84">
            <v>108</v>
          </cell>
          <cell r="AA84">
            <v>90</v>
          </cell>
          <cell r="AB84">
            <v>108</v>
          </cell>
          <cell r="AC84">
            <v>126</v>
          </cell>
          <cell r="AD84">
            <v>255.1</v>
          </cell>
          <cell r="AE84">
            <v>7475</v>
          </cell>
          <cell r="AF84">
            <v>52</v>
          </cell>
          <cell r="AG84">
            <v>104</v>
          </cell>
          <cell r="AH84">
            <v>1080</v>
          </cell>
          <cell r="AI84">
            <v>1080</v>
          </cell>
          <cell r="AJ84">
            <v>450</v>
          </cell>
          <cell r="AK84">
            <v>720</v>
          </cell>
          <cell r="AL84">
            <v>450</v>
          </cell>
          <cell r="AM84">
            <v>212.8</v>
          </cell>
          <cell r="AN84">
            <v>450</v>
          </cell>
          <cell r="AO84">
            <v>5770</v>
          </cell>
          <cell r="AP84">
            <v>64</v>
          </cell>
          <cell r="AQ84">
            <v>128</v>
          </cell>
          <cell r="AR84">
            <v>3600</v>
          </cell>
          <cell r="AS84">
            <v>3600</v>
          </cell>
          <cell r="AT84">
            <v>17.857142857142858</v>
          </cell>
          <cell r="AU84">
            <v>25</v>
          </cell>
          <cell r="AV84">
            <v>20.428571428571431</v>
          </cell>
          <cell r="AW84">
            <v>28</v>
          </cell>
          <cell r="AX84">
            <v>100</v>
          </cell>
          <cell r="AZ84">
            <v>255.1</v>
          </cell>
          <cell r="BA84">
            <v>212.8</v>
          </cell>
          <cell r="BB84">
            <v>233</v>
          </cell>
          <cell r="BC84">
            <v>3728</v>
          </cell>
          <cell r="BD84">
            <v>8218</v>
          </cell>
          <cell r="BR84">
            <v>192</v>
          </cell>
          <cell r="BS84">
            <v>1442</v>
          </cell>
          <cell r="BT84">
            <v>288</v>
          </cell>
          <cell r="BU84">
            <v>360</v>
          </cell>
          <cell r="GZ84">
            <v>227</v>
          </cell>
          <cell r="HA84">
            <v>231</v>
          </cell>
          <cell r="HB84">
            <v>642</v>
          </cell>
          <cell r="HC84">
            <v>35</v>
          </cell>
          <cell r="HD84">
            <v>8400</v>
          </cell>
          <cell r="HE84">
            <v>31</v>
          </cell>
          <cell r="HF84">
            <v>31</v>
          </cell>
          <cell r="HG84">
            <v>7</v>
          </cell>
          <cell r="HH84">
            <v>7</v>
          </cell>
          <cell r="HI84">
            <v>3</v>
          </cell>
          <cell r="HJ84">
            <v>3</v>
          </cell>
          <cell r="HK84">
            <v>8</v>
          </cell>
          <cell r="HL84">
            <v>12</v>
          </cell>
          <cell r="HM84">
            <v>4</v>
          </cell>
          <cell r="HN84">
            <v>4</v>
          </cell>
          <cell r="HO84">
            <v>6</v>
          </cell>
          <cell r="HP84">
            <v>70</v>
          </cell>
          <cell r="HQ84">
            <v>9</v>
          </cell>
          <cell r="HR84">
            <v>105</v>
          </cell>
          <cell r="HT84">
            <v>80</v>
          </cell>
          <cell r="HU84">
            <v>8400</v>
          </cell>
          <cell r="HV84">
            <v>39000</v>
          </cell>
          <cell r="HW84">
            <v>59000</v>
          </cell>
          <cell r="HX84">
            <v>2240</v>
          </cell>
          <cell r="HY84">
            <v>1730</v>
          </cell>
          <cell r="HZ84">
            <v>3740</v>
          </cell>
          <cell r="IA84">
            <v>2890</v>
          </cell>
          <cell r="IF84">
            <v>80</v>
          </cell>
          <cell r="IG84">
            <v>642</v>
          </cell>
          <cell r="IH84">
            <v>96.3</v>
          </cell>
        </row>
        <row r="85">
          <cell r="A85">
            <v>81</v>
          </cell>
          <cell r="B85">
            <v>850</v>
          </cell>
          <cell r="C85">
            <v>405</v>
          </cell>
          <cell r="D85">
            <v>81</v>
          </cell>
          <cell r="E85">
            <v>20</v>
          </cell>
          <cell r="F85">
            <v>118</v>
          </cell>
          <cell r="G85">
            <v>100</v>
          </cell>
          <cell r="H85">
            <v>91</v>
          </cell>
          <cell r="I85">
            <v>91</v>
          </cell>
          <cell r="J85">
            <v>100</v>
          </cell>
          <cell r="K85">
            <v>91</v>
          </cell>
          <cell r="L85">
            <v>63</v>
          </cell>
          <cell r="M85">
            <v>100</v>
          </cell>
          <cell r="N85">
            <v>109</v>
          </cell>
          <cell r="O85">
            <v>81</v>
          </cell>
          <cell r="P85">
            <v>109</v>
          </cell>
          <cell r="Q85">
            <v>127</v>
          </cell>
          <cell r="R85">
            <v>90.5</v>
          </cell>
          <cell r="S85">
            <v>100</v>
          </cell>
          <cell r="T85">
            <v>100</v>
          </cell>
          <cell r="U85">
            <v>86</v>
          </cell>
          <cell r="V85">
            <v>104.5</v>
          </cell>
          <cell r="W85">
            <v>109</v>
          </cell>
          <cell r="X85">
            <v>118</v>
          </cell>
          <cell r="Y85">
            <v>100</v>
          </cell>
          <cell r="Z85">
            <v>109</v>
          </cell>
          <cell r="AA85">
            <v>91</v>
          </cell>
          <cell r="AB85">
            <v>109</v>
          </cell>
          <cell r="AC85">
            <v>127</v>
          </cell>
          <cell r="AD85">
            <v>257.60000000000002</v>
          </cell>
          <cell r="AE85">
            <v>7550</v>
          </cell>
          <cell r="AF85">
            <v>53</v>
          </cell>
          <cell r="AG85">
            <v>106</v>
          </cell>
          <cell r="AH85">
            <v>1090</v>
          </cell>
          <cell r="AI85">
            <v>1090</v>
          </cell>
          <cell r="AJ85">
            <v>455</v>
          </cell>
          <cell r="AK85">
            <v>727</v>
          </cell>
          <cell r="AL85">
            <v>455</v>
          </cell>
          <cell r="AM85">
            <v>214.89999999999998</v>
          </cell>
          <cell r="AN85">
            <v>455</v>
          </cell>
          <cell r="AO85">
            <v>5815</v>
          </cell>
          <cell r="AP85">
            <v>64</v>
          </cell>
          <cell r="AQ85">
            <v>128</v>
          </cell>
          <cell r="AR85">
            <v>3645</v>
          </cell>
          <cell r="AS85">
            <v>3645</v>
          </cell>
          <cell r="AT85">
            <v>18</v>
          </cell>
          <cell r="AU85">
            <v>25.166666666666664</v>
          </cell>
          <cell r="AV85">
            <v>20.571428571428569</v>
          </cell>
          <cell r="AW85">
            <v>28.166666666666668</v>
          </cell>
          <cell r="AX85">
            <v>100</v>
          </cell>
          <cell r="AZ85">
            <v>257.60000000000002</v>
          </cell>
          <cell r="BA85">
            <v>214.89999999999998</v>
          </cell>
          <cell r="BB85">
            <v>236</v>
          </cell>
          <cell r="BC85">
            <v>3776</v>
          </cell>
          <cell r="BD85">
            <v>8301</v>
          </cell>
          <cell r="BR85">
            <v>193</v>
          </cell>
          <cell r="BS85">
            <v>1453</v>
          </cell>
          <cell r="BT85">
            <v>290</v>
          </cell>
          <cell r="BU85">
            <v>363</v>
          </cell>
          <cell r="GZ85">
            <v>227</v>
          </cell>
          <cell r="HA85">
            <v>233</v>
          </cell>
          <cell r="HB85">
            <v>656</v>
          </cell>
          <cell r="HC85">
            <v>36</v>
          </cell>
          <cell r="HD85">
            <v>8640</v>
          </cell>
          <cell r="HE85">
            <v>32</v>
          </cell>
          <cell r="HF85">
            <v>32</v>
          </cell>
          <cell r="HG85">
            <v>7</v>
          </cell>
          <cell r="HH85">
            <v>7</v>
          </cell>
          <cell r="HI85">
            <v>3</v>
          </cell>
          <cell r="HJ85">
            <v>3</v>
          </cell>
          <cell r="HK85">
            <v>8</v>
          </cell>
          <cell r="HL85">
            <v>12</v>
          </cell>
          <cell r="HM85">
            <v>4</v>
          </cell>
          <cell r="HN85">
            <v>4</v>
          </cell>
          <cell r="HO85">
            <v>6</v>
          </cell>
          <cell r="HP85">
            <v>72</v>
          </cell>
          <cell r="HQ85">
            <v>9</v>
          </cell>
          <cell r="HR85">
            <v>108</v>
          </cell>
          <cell r="HT85">
            <v>81</v>
          </cell>
          <cell r="HU85">
            <v>8640</v>
          </cell>
          <cell r="HV85">
            <v>40000</v>
          </cell>
          <cell r="HW85">
            <v>60000</v>
          </cell>
          <cell r="HX85">
            <v>2270</v>
          </cell>
          <cell r="HY85">
            <v>1740</v>
          </cell>
          <cell r="HZ85">
            <v>3780</v>
          </cell>
          <cell r="IA85">
            <v>2910</v>
          </cell>
          <cell r="IF85">
            <v>81</v>
          </cell>
          <cell r="IG85">
            <v>656</v>
          </cell>
          <cell r="IH85">
            <v>98.4</v>
          </cell>
        </row>
        <row r="86">
          <cell r="A86">
            <v>82</v>
          </cell>
          <cell r="B86">
            <v>860</v>
          </cell>
          <cell r="C86">
            <v>410</v>
          </cell>
          <cell r="D86">
            <v>82</v>
          </cell>
          <cell r="E86">
            <v>20</v>
          </cell>
          <cell r="F86">
            <v>119</v>
          </cell>
          <cell r="G86">
            <v>101</v>
          </cell>
          <cell r="H86">
            <v>92</v>
          </cell>
          <cell r="I86">
            <v>92</v>
          </cell>
          <cell r="J86">
            <v>101</v>
          </cell>
          <cell r="K86">
            <v>92</v>
          </cell>
          <cell r="L86">
            <v>64</v>
          </cell>
          <cell r="M86">
            <v>101</v>
          </cell>
          <cell r="N86">
            <v>110</v>
          </cell>
          <cell r="O86">
            <v>82</v>
          </cell>
          <cell r="P86">
            <v>110</v>
          </cell>
          <cell r="Q86">
            <v>128</v>
          </cell>
          <cell r="R86">
            <v>91.5</v>
          </cell>
          <cell r="S86">
            <v>101</v>
          </cell>
          <cell r="T86">
            <v>101</v>
          </cell>
          <cell r="U86">
            <v>87</v>
          </cell>
          <cell r="V86">
            <v>105.5</v>
          </cell>
          <cell r="W86">
            <v>110</v>
          </cell>
          <cell r="X86">
            <v>119</v>
          </cell>
          <cell r="Y86">
            <v>101</v>
          </cell>
          <cell r="Z86">
            <v>110</v>
          </cell>
          <cell r="AA86">
            <v>92</v>
          </cell>
          <cell r="AB86">
            <v>110</v>
          </cell>
          <cell r="AC86">
            <v>128</v>
          </cell>
          <cell r="AD86">
            <v>260.10000000000002</v>
          </cell>
          <cell r="AE86">
            <v>7625</v>
          </cell>
          <cell r="AF86">
            <v>53</v>
          </cell>
          <cell r="AG86">
            <v>106</v>
          </cell>
          <cell r="AH86">
            <v>1100</v>
          </cell>
          <cell r="AI86">
            <v>1100</v>
          </cell>
          <cell r="AJ86">
            <v>459.99999999999994</v>
          </cell>
          <cell r="AK86">
            <v>734</v>
          </cell>
          <cell r="AL86">
            <v>460</v>
          </cell>
          <cell r="AM86">
            <v>217</v>
          </cell>
          <cell r="AN86">
            <v>459.99999999999994</v>
          </cell>
          <cell r="AO86">
            <v>5860</v>
          </cell>
          <cell r="AP86">
            <v>65</v>
          </cell>
          <cell r="AQ86">
            <v>130</v>
          </cell>
          <cell r="AR86">
            <v>3690</v>
          </cell>
          <cell r="AS86">
            <v>3690</v>
          </cell>
          <cell r="AT86">
            <v>18.142857142857142</v>
          </cell>
          <cell r="AU86">
            <v>25.333333333333336</v>
          </cell>
          <cell r="AV86">
            <v>20.714285714285715</v>
          </cell>
          <cell r="AW86">
            <v>28.333333333333332</v>
          </cell>
          <cell r="AX86">
            <v>100</v>
          </cell>
          <cell r="AZ86">
            <v>260.10000000000002</v>
          </cell>
          <cell r="BA86">
            <v>217</v>
          </cell>
          <cell r="BB86">
            <v>238</v>
          </cell>
          <cell r="BC86">
            <v>3808</v>
          </cell>
          <cell r="BD86">
            <v>8383</v>
          </cell>
          <cell r="BR86">
            <v>195</v>
          </cell>
          <cell r="BS86">
            <v>1465</v>
          </cell>
          <cell r="BT86">
            <v>293</v>
          </cell>
          <cell r="BU86">
            <v>366</v>
          </cell>
          <cell r="GZ86">
            <v>227</v>
          </cell>
          <cell r="HA86">
            <v>233</v>
          </cell>
          <cell r="HB86">
            <v>670</v>
          </cell>
          <cell r="HC86">
            <v>37</v>
          </cell>
          <cell r="HD86">
            <v>8880</v>
          </cell>
          <cell r="HE86">
            <v>33</v>
          </cell>
          <cell r="HF86">
            <v>33</v>
          </cell>
          <cell r="HG86">
            <v>7</v>
          </cell>
          <cell r="HH86">
            <v>7</v>
          </cell>
          <cell r="HI86">
            <v>3</v>
          </cell>
          <cell r="HJ86">
            <v>3</v>
          </cell>
          <cell r="HK86">
            <v>8</v>
          </cell>
          <cell r="HL86">
            <v>12</v>
          </cell>
          <cell r="HM86">
            <v>4</v>
          </cell>
          <cell r="HN86">
            <v>4</v>
          </cell>
          <cell r="HO86">
            <v>6</v>
          </cell>
          <cell r="HP86">
            <v>74</v>
          </cell>
          <cell r="HQ86">
            <v>9</v>
          </cell>
          <cell r="HR86">
            <v>111</v>
          </cell>
          <cell r="HT86">
            <v>82</v>
          </cell>
          <cell r="HU86">
            <v>8880</v>
          </cell>
          <cell r="HV86">
            <v>41000</v>
          </cell>
          <cell r="HW86">
            <v>62000</v>
          </cell>
          <cell r="HX86">
            <v>2290</v>
          </cell>
          <cell r="HY86">
            <v>1760</v>
          </cell>
          <cell r="HZ86">
            <v>3810</v>
          </cell>
          <cell r="IA86">
            <v>2930</v>
          </cell>
          <cell r="IF86">
            <v>82</v>
          </cell>
          <cell r="IG86">
            <v>670</v>
          </cell>
          <cell r="IH86">
            <v>100.5</v>
          </cell>
        </row>
        <row r="87">
          <cell r="A87">
            <v>83</v>
          </cell>
          <cell r="B87">
            <v>870</v>
          </cell>
          <cell r="C87">
            <v>415</v>
          </cell>
          <cell r="D87">
            <v>83</v>
          </cell>
          <cell r="E87">
            <v>20</v>
          </cell>
          <cell r="F87">
            <v>120</v>
          </cell>
          <cell r="G87">
            <v>102</v>
          </cell>
          <cell r="H87">
            <v>93</v>
          </cell>
          <cell r="I87">
            <v>93</v>
          </cell>
          <cell r="J87">
            <v>102</v>
          </cell>
          <cell r="K87">
            <v>93</v>
          </cell>
          <cell r="L87">
            <v>65</v>
          </cell>
          <cell r="M87">
            <v>102</v>
          </cell>
          <cell r="N87">
            <v>111</v>
          </cell>
          <cell r="O87">
            <v>83</v>
          </cell>
          <cell r="P87">
            <v>111</v>
          </cell>
          <cell r="Q87">
            <v>130</v>
          </cell>
          <cell r="R87">
            <v>92.5</v>
          </cell>
          <cell r="S87">
            <v>102</v>
          </cell>
          <cell r="T87">
            <v>102</v>
          </cell>
          <cell r="U87">
            <v>88</v>
          </cell>
          <cell r="V87">
            <v>106.5</v>
          </cell>
          <cell r="W87">
            <v>111.5</v>
          </cell>
          <cell r="X87">
            <v>120</v>
          </cell>
          <cell r="Y87">
            <v>102</v>
          </cell>
          <cell r="Z87">
            <v>111</v>
          </cell>
          <cell r="AA87">
            <v>93</v>
          </cell>
          <cell r="AB87">
            <v>111</v>
          </cell>
          <cell r="AC87">
            <v>130</v>
          </cell>
          <cell r="AD87">
            <v>262.60000000000002</v>
          </cell>
          <cell r="AE87">
            <v>7700</v>
          </cell>
          <cell r="AF87">
            <v>54</v>
          </cell>
          <cell r="AG87">
            <v>108</v>
          </cell>
          <cell r="AH87">
            <v>1110</v>
          </cell>
          <cell r="AI87">
            <v>1110</v>
          </cell>
          <cell r="AJ87">
            <v>465.00000000000006</v>
          </cell>
          <cell r="AK87">
            <v>741</v>
          </cell>
          <cell r="AL87">
            <v>465</v>
          </cell>
          <cell r="AM87">
            <v>219.1</v>
          </cell>
          <cell r="AN87">
            <v>465.00000000000006</v>
          </cell>
          <cell r="AO87">
            <v>5950</v>
          </cell>
          <cell r="AP87">
            <v>66</v>
          </cell>
          <cell r="AQ87">
            <v>132</v>
          </cell>
          <cell r="AR87">
            <v>3735</v>
          </cell>
          <cell r="AS87">
            <v>3735</v>
          </cell>
          <cell r="AT87">
            <v>18.285714285714285</v>
          </cell>
          <cell r="AU87">
            <v>25.5</v>
          </cell>
          <cell r="AV87">
            <v>20.857142857142858</v>
          </cell>
          <cell r="AW87">
            <v>28.5</v>
          </cell>
          <cell r="AX87">
            <v>100</v>
          </cell>
          <cell r="AZ87">
            <v>262.60000000000002</v>
          </cell>
          <cell r="BA87">
            <v>219.1</v>
          </cell>
          <cell r="BB87">
            <v>240</v>
          </cell>
          <cell r="BC87">
            <v>3840</v>
          </cell>
          <cell r="BD87">
            <v>8466</v>
          </cell>
          <cell r="BR87">
            <v>198</v>
          </cell>
          <cell r="BS87">
            <v>1487</v>
          </cell>
          <cell r="BT87">
            <v>297</v>
          </cell>
          <cell r="BU87">
            <v>371</v>
          </cell>
          <cell r="GZ87">
            <v>227</v>
          </cell>
          <cell r="HA87">
            <v>233</v>
          </cell>
          <cell r="HB87">
            <v>685</v>
          </cell>
          <cell r="HC87">
            <v>38</v>
          </cell>
          <cell r="HD87">
            <v>9120</v>
          </cell>
          <cell r="HE87">
            <v>34</v>
          </cell>
          <cell r="HF87">
            <v>34</v>
          </cell>
          <cell r="HG87">
            <v>7</v>
          </cell>
          <cell r="HH87">
            <v>7</v>
          </cell>
          <cell r="HI87">
            <v>3</v>
          </cell>
          <cell r="HJ87">
            <v>3</v>
          </cell>
          <cell r="HK87">
            <v>8</v>
          </cell>
          <cell r="HL87">
            <v>12</v>
          </cell>
          <cell r="HM87">
            <v>4</v>
          </cell>
          <cell r="HN87">
            <v>4</v>
          </cell>
          <cell r="HO87">
            <v>6</v>
          </cell>
          <cell r="HP87">
            <v>76</v>
          </cell>
          <cell r="HQ87">
            <v>9</v>
          </cell>
          <cell r="HR87">
            <v>114</v>
          </cell>
          <cell r="HT87">
            <v>83</v>
          </cell>
          <cell r="HU87">
            <v>9120</v>
          </cell>
          <cell r="HV87">
            <v>43000</v>
          </cell>
          <cell r="HW87">
            <v>64000</v>
          </cell>
          <cell r="HX87">
            <v>2310</v>
          </cell>
          <cell r="HY87">
            <v>1790</v>
          </cell>
          <cell r="HZ87">
            <v>3850</v>
          </cell>
          <cell r="IA87">
            <v>2980</v>
          </cell>
          <cell r="IF87">
            <v>83</v>
          </cell>
          <cell r="IG87">
            <v>685</v>
          </cell>
          <cell r="IH87">
            <v>102.75</v>
          </cell>
        </row>
        <row r="88">
          <cell r="A88">
            <v>84</v>
          </cell>
          <cell r="B88">
            <v>880</v>
          </cell>
          <cell r="C88">
            <v>420</v>
          </cell>
          <cell r="D88">
            <v>84</v>
          </cell>
          <cell r="E88">
            <v>20</v>
          </cell>
          <cell r="F88">
            <v>122</v>
          </cell>
          <cell r="G88">
            <v>103</v>
          </cell>
          <cell r="H88">
            <v>94</v>
          </cell>
          <cell r="I88">
            <v>94</v>
          </cell>
          <cell r="J88">
            <v>103</v>
          </cell>
          <cell r="K88">
            <v>94</v>
          </cell>
          <cell r="L88">
            <v>65</v>
          </cell>
          <cell r="M88">
            <v>103</v>
          </cell>
          <cell r="N88">
            <v>112</v>
          </cell>
          <cell r="O88">
            <v>84</v>
          </cell>
          <cell r="P88">
            <v>112</v>
          </cell>
          <cell r="Q88">
            <v>131</v>
          </cell>
          <cell r="R88">
            <v>93.5</v>
          </cell>
          <cell r="S88">
            <v>103</v>
          </cell>
          <cell r="T88">
            <v>103</v>
          </cell>
          <cell r="U88">
            <v>89</v>
          </cell>
          <cell r="V88">
            <v>107.5</v>
          </cell>
          <cell r="W88">
            <v>112.5</v>
          </cell>
          <cell r="X88">
            <v>122</v>
          </cell>
          <cell r="Y88">
            <v>103</v>
          </cell>
          <cell r="Z88">
            <v>112</v>
          </cell>
          <cell r="AA88">
            <v>94</v>
          </cell>
          <cell r="AB88">
            <v>112</v>
          </cell>
          <cell r="AC88">
            <v>131</v>
          </cell>
          <cell r="AD88">
            <v>266.39999999999998</v>
          </cell>
          <cell r="AE88">
            <v>7775</v>
          </cell>
          <cell r="AF88">
            <v>54</v>
          </cell>
          <cell r="AG88">
            <v>108</v>
          </cell>
          <cell r="AH88">
            <v>1120</v>
          </cell>
          <cell r="AI88">
            <v>1120</v>
          </cell>
          <cell r="AJ88">
            <v>470</v>
          </cell>
          <cell r="AK88">
            <v>748</v>
          </cell>
          <cell r="AL88">
            <v>470</v>
          </cell>
          <cell r="AM88">
            <v>221.2</v>
          </cell>
          <cell r="AN88">
            <v>470</v>
          </cell>
          <cell r="AO88">
            <v>5995</v>
          </cell>
          <cell r="AP88">
            <v>66</v>
          </cell>
          <cell r="AQ88">
            <v>132</v>
          </cell>
          <cell r="AR88">
            <v>3780</v>
          </cell>
          <cell r="AS88">
            <v>3780</v>
          </cell>
          <cell r="AT88">
            <v>18.428571428571431</v>
          </cell>
          <cell r="AU88">
            <v>25.666666666666664</v>
          </cell>
          <cell r="AV88">
            <v>21</v>
          </cell>
          <cell r="AW88">
            <v>28.666666666666668</v>
          </cell>
          <cell r="AX88">
            <v>100</v>
          </cell>
          <cell r="AZ88">
            <v>266.39999999999998</v>
          </cell>
          <cell r="BA88">
            <v>221.2</v>
          </cell>
          <cell r="BB88">
            <v>243</v>
          </cell>
          <cell r="BC88">
            <v>3888</v>
          </cell>
          <cell r="BD88">
            <v>8548</v>
          </cell>
          <cell r="BR88">
            <v>199</v>
          </cell>
          <cell r="BS88">
            <v>1498</v>
          </cell>
          <cell r="BT88">
            <v>299</v>
          </cell>
          <cell r="BU88">
            <v>374</v>
          </cell>
          <cell r="GZ88">
            <v>229</v>
          </cell>
          <cell r="HA88">
            <v>233</v>
          </cell>
          <cell r="HB88">
            <v>699</v>
          </cell>
          <cell r="HC88">
            <v>38</v>
          </cell>
          <cell r="HD88">
            <v>9120</v>
          </cell>
          <cell r="HE88">
            <v>34</v>
          </cell>
          <cell r="HF88">
            <v>34</v>
          </cell>
          <cell r="HG88">
            <v>7</v>
          </cell>
          <cell r="HH88">
            <v>7</v>
          </cell>
          <cell r="HI88">
            <v>3</v>
          </cell>
          <cell r="HJ88">
            <v>3</v>
          </cell>
          <cell r="HK88">
            <v>8</v>
          </cell>
          <cell r="HL88">
            <v>12</v>
          </cell>
          <cell r="HM88">
            <v>4</v>
          </cell>
          <cell r="HN88">
            <v>4</v>
          </cell>
          <cell r="HO88">
            <v>6</v>
          </cell>
          <cell r="HP88">
            <v>76</v>
          </cell>
          <cell r="HQ88">
            <v>9</v>
          </cell>
          <cell r="HR88">
            <v>114</v>
          </cell>
          <cell r="HT88">
            <v>84</v>
          </cell>
          <cell r="HU88">
            <v>9120</v>
          </cell>
          <cell r="HV88">
            <v>43000</v>
          </cell>
          <cell r="HW88">
            <v>64000</v>
          </cell>
          <cell r="HX88">
            <v>2330</v>
          </cell>
          <cell r="HY88">
            <v>1800</v>
          </cell>
          <cell r="HZ88">
            <v>3890</v>
          </cell>
          <cell r="IA88">
            <v>3000</v>
          </cell>
          <cell r="IF88">
            <v>84</v>
          </cell>
          <cell r="IG88">
            <v>699</v>
          </cell>
          <cell r="IH88">
            <v>104.85</v>
          </cell>
        </row>
        <row r="89">
          <cell r="A89">
            <v>85</v>
          </cell>
          <cell r="B89">
            <v>890</v>
          </cell>
          <cell r="C89">
            <v>425</v>
          </cell>
          <cell r="D89">
            <v>85</v>
          </cell>
          <cell r="E89">
            <v>20</v>
          </cell>
          <cell r="F89">
            <v>123</v>
          </cell>
          <cell r="G89">
            <v>104</v>
          </cell>
          <cell r="H89">
            <v>95</v>
          </cell>
          <cell r="I89">
            <v>95</v>
          </cell>
          <cell r="J89">
            <v>104</v>
          </cell>
          <cell r="K89">
            <v>95</v>
          </cell>
          <cell r="L89">
            <v>66</v>
          </cell>
          <cell r="M89">
            <v>104</v>
          </cell>
          <cell r="N89">
            <v>114</v>
          </cell>
          <cell r="O89">
            <v>85</v>
          </cell>
          <cell r="P89">
            <v>114</v>
          </cell>
          <cell r="Q89">
            <v>133</v>
          </cell>
          <cell r="R89">
            <v>94.5</v>
          </cell>
          <cell r="S89">
            <v>104</v>
          </cell>
          <cell r="T89">
            <v>104.5</v>
          </cell>
          <cell r="U89">
            <v>90</v>
          </cell>
          <cell r="V89">
            <v>109</v>
          </cell>
          <cell r="W89">
            <v>114</v>
          </cell>
          <cell r="X89">
            <v>123</v>
          </cell>
          <cell r="Y89">
            <v>104</v>
          </cell>
          <cell r="Z89">
            <v>114</v>
          </cell>
          <cell r="AA89">
            <v>95</v>
          </cell>
          <cell r="AB89">
            <v>114</v>
          </cell>
          <cell r="AC89">
            <v>133</v>
          </cell>
          <cell r="AD89">
            <v>268.89999999999998</v>
          </cell>
          <cell r="AE89">
            <v>7850</v>
          </cell>
          <cell r="AF89">
            <v>55</v>
          </cell>
          <cell r="AG89">
            <v>110</v>
          </cell>
          <cell r="AH89">
            <v>1140</v>
          </cell>
          <cell r="AI89">
            <v>1140</v>
          </cell>
          <cell r="AJ89">
            <v>475</v>
          </cell>
          <cell r="AK89">
            <v>760</v>
          </cell>
          <cell r="AL89">
            <v>475</v>
          </cell>
          <cell r="AM89">
            <v>224.89999999999998</v>
          </cell>
          <cell r="AN89">
            <v>475</v>
          </cell>
          <cell r="AO89">
            <v>6085</v>
          </cell>
          <cell r="AP89">
            <v>67</v>
          </cell>
          <cell r="AQ89">
            <v>134</v>
          </cell>
          <cell r="AR89">
            <v>3825</v>
          </cell>
          <cell r="AS89">
            <v>3825</v>
          </cell>
          <cell r="AT89">
            <v>18.571428571428569</v>
          </cell>
          <cell r="AU89">
            <v>25.833333333333336</v>
          </cell>
          <cell r="AV89">
            <v>21.285714285714285</v>
          </cell>
          <cell r="AW89">
            <v>29</v>
          </cell>
          <cell r="AX89">
            <v>100</v>
          </cell>
          <cell r="AZ89">
            <v>268.89999999999998</v>
          </cell>
          <cell r="BA89">
            <v>224.89999999999998</v>
          </cell>
          <cell r="BB89">
            <v>246</v>
          </cell>
          <cell r="BC89">
            <v>3936</v>
          </cell>
          <cell r="BD89">
            <v>8631</v>
          </cell>
          <cell r="BR89">
            <v>202</v>
          </cell>
          <cell r="BS89">
            <v>1521</v>
          </cell>
          <cell r="BT89">
            <v>304</v>
          </cell>
          <cell r="BU89">
            <v>380</v>
          </cell>
          <cell r="GZ89">
            <v>229</v>
          </cell>
          <cell r="HA89">
            <v>233</v>
          </cell>
          <cell r="HB89">
            <v>714</v>
          </cell>
          <cell r="HC89">
            <v>39</v>
          </cell>
          <cell r="HD89">
            <v>9360</v>
          </cell>
          <cell r="HE89">
            <v>35</v>
          </cell>
          <cell r="HF89">
            <v>35</v>
          </cell>
          <cell r="HG89">
            <v>7</v>
          </cell>
          <cell r="HH89">
            <v>7</v>
          </cell>
          <cell r="HI89">
            <v>3</v>
          </cell>
          <cell r="HJ89">
            <v>3</v>
          </cell>
          <cell r="HK89">
            <v>8</v>
          </cell>
          <cell r="HL89">
            <v>12</v>
          </cell>
          <cell r="HM89">
            <v>4</v>
          </cell>
          <cell r="HN89">
            <v>4</v>
          </cell>
          <cell r="HO89">
            <v>6</v>
          </cell>
          <cell r="HP89">
            <v>78</v>
          </cell>
          <cell r="HQ89">
            <v>9</v>
          </cell>
          <cell r="HR89">
            <v>117</v>
          </cell>
          <cell r="HT89">
            <v>85</v>
          </cell>
          <cell r="HU89">
            <v>9360</v>
          </cell>
          <cell r="HV89">
            <v>44000</v>
          </cell>
          <cell r="HW89">
            <v>66000</v>
          </cell>
          <cell r="HX89">
            <v>2360</v>
          </cell>
          <cell r="HY89">
            <v>1830</v>
          </cell>
          <cell r="HZ89">
            <v>3930</v>
          </cell>
          <cell r="IA89">
            <v>3040</v>
          </cell>
          <cell r="IF89">
            <v>85</v>
          </cell>
          <cell r="IG89">
            <v>714</v>
          </cell>
          <cell r="IH89">
            <v>107.1</v>
          </cell>
        </row>
        <row r="90">
          <cell r="A90">
            <v>86</v>
          </cell>
          <cell r="B90">
            <v>900</v>
          </cell>
          <cell r="C90">
            <v>430</v>
          </cell>
          <cell r="D90">
            <v>86</v>
          </cell>
          <cell r="E90">
            <v>20</v>
          </cell>
          <cell r="F90">
            <v>124</v>
          </cell>
          <cell r="G90">
            <v>105</v>
          </cell>
          <cell r="H90">
            <v>96</v>
          </cell>
          <cell r="I90">
            <v>96</v>
          </cell>
          <cell r="J90">
            <v>105</v>
          </cell>
          <cell r="K90">
            <v>96</v>
          </cell>
          <cell r="L90">
            <v>67</v>
          </cell>
          <cell r="M90">
            <v>105</v>
          </cell>
          <cell r="N90">
            <v>115</v>
          </cell>
          <cell r="O90">
            <v>86</v>
          </cell>
          <cell r="P90">
            <v>115</v>
          </cell>
          <cell r="Q90">
            <v>134</v>
          </cell>
          <cell r="R90">
            <v>95.5</v>
          </cell>
          <cell r="S90">
            <v>105</v>
          </cell>
          <cell r="T90">
            <v>105.5</v>
          </cell>
          <cell r="U90">
            <v>91</v>
          </cell>
          <cell r="V90">
            <v>110</v>
          </cell>
          <cell r="W90">
            <v>115</v>
          </cell>
          <cell r="X90">
            <v>124</v>
          </cell>
          <cell r="Y90">
            <v>105</v>
          </cell>
          <cell r="Z90">
            <v>115</v>
          </cell>
          <cell r="AA90">
            <v>96</v>
          </cell>
          <cell r="AB90">
            <v>115</v>
          </cell>
          <cell r="AC90">
            <v>134</v>
          </cell>
          <cell r="AD90">
            <v>271.39999999999998</v>
          </cell>
          <cell r="AE90">
            <v>7925</v>
          </cell>
          <cell r="AF90">
            <v>55</v>
          </cell>
          <cell r="AG90">
            <v>110</v>
          </cell>
          <cell r="AH90">
            <v>1150</v>
          </cell>
          <cell r="AI90">
            <v>1150</v>
          </cell>
          <cell r="AJ90">
            <v>480</v>
          </cell>
          <cell r="AK90">
            <v>767</v>
          </cell>
          <cell r="AL90">
            <v>480</v>
          </cell>
          <cell r="AM90">
            <v>227</v>
          </cell>
          <cell r="AN90">
            <v>480</v>
          </cell>
          <cell r="AO90">
            <v>6130</v>
          </cell>
          <cell r="AP90">
            <v>68</v>
          </cell>
          <cell r="AQ90">
            <v>136</v>
          </cell>
          <cell r="AR90">
            <v>3870</v>
          </cell>
          <cell r="AS90">
            <v>3870</v>
          </cell>
          <cell r="AT90">
            <v>18.714285714285715</v>
          </cell>
          <cell r="AU90">
            <v>26</v>
          </cell>
          <cell r="AV90">
            <v>21.428571428571427</v>
          </cell>
          <cell r="AW90">
            <v>29.166666666666668</v>
          </cell>
          <cell r="AX90">
            <v>100</v>
          </cell>
          <cell r="AZ90">
            <v>271.39999999999998</v>
          </cell>
          <cell r="BA90">
            <v>227</v>
          </cell>
          <cell r="BB90">
            <v>249</v>
          </cell>
          <cell r="BC90">
            <v>3984</v>
          </cell>
          <cell r="BD90">
            <v>8713</v>
          </cell>
          <cell r="BR90">
            <v>204</v>
          </cell>
          <cell r="BS90">
            <v>1532</v>
          </cell>
          <cell r="BT90">
            <v>306</v>
          </cell>
          <cell r="BU90">
            <v>383</v>
          </cell>
          <cell r="GZ90">
            <v>229</v>
          </cell>
          <cell r="HA90">
            <v>235</v>
          </cell>
          <cell r="HB90">
            <v>729</v>
          </cell>
          <cell r="HC90">
            <v>40</v>
          </cell>
          <cell r="HD90">
            <v>9600</v>
          </cell>
          <cell r="HE90">
            <v>36</v>
          </cell>
          <cell r="HF90">
            <v>36</v>
          </cell>
          <cell r="HG90">
            <v>8</v>
          </cell>
          <cell r="HH90">
            <v>8</v>
          </cell>
          <cell r="HI90">
            <v>4</v>
          </cell>
          <cell r="HJ90">
            <v>4</v>
          </cell>
          <cell r="HK90">
            <v>8</v>
          </cell>
          <cell r="HL90">
            <v>12</v>
          </cell>
          <cell r="HM90">
            <v>4</v>
          </cell>
          <cell r="HN90">
            <v>4</v>
          </cell>
          <cell r="HO90">
            <v>8</v>
          </cell>
          <cell r="HP90">
            <v>80</v>
          </cell>
          <cell r="HQ90">
            <v>12</v>
          </cell>
          <cell r="HR90">
            <v>120</v>
          </cell>
          <cell r="HT90">
            <v>86</v>
          </cell>
          <cell r="HU90">
            <v>9600</v>
          </cell>
          <cell r="HV90">
            <v>45000</v>
          </cell>
          <cell r="HW90">
            <v>67000</v>
          </cell>
          <cell r="HX90">
            <v>2380</v>
          </cell>
          <cell r="HY90">
            <v>1840</v>
          </cell>
          <cell r="HZ90">
            <v>3960</v>
          </cell>
          <cell r="IA90">
            <v>3070</v>
          </cell>
          <cell r="IF90">
            <v>86</v>
          </cell>
          <cell r="IG90">
            <v>729</v>
          </cell>
          <cell r="IH90">
            <v>109.35</v>
          </cell>
        </row>
        <row r="91">
          <cell r="A91">
            <v>87</v>
          </cell>
          <cell r="B91">
            <v>910</v>
          </cell>
          <cell r="C91">
            <v>435</v>
          </cell>
          <cell r="D91">
            <v>87</v>
          </cell>
          <cell r="E91">
            <v>20</v>
          </cell>
          <cell r="F91">
            <v>126</v>
          </cell>
          <cell r="G91">
            <v>106</v>
          </cell>
          <cell r="H91">
            <v>97</v>
          </cell>
          <cell r="I91">
            <v>97</v>
          </cell>
          <cell r="J91">
            <v>106</v>
          </cell>
          <cell r="K91">
            <v>97</v>
          </cell>
          <cell r="L91">
            <v>67</v>
          </cell>
          <cell r="M91">
            <v>106</v>
          </cell>
          <cell r="N91">
            <v>116</v>
          </cell>
          <cell r="O91">
            <v>87</v>
          </cell>
          <cell r="P91">
            <v>116</v>
          </cell>
          <cell r="Q91">
            <v>135</v>
          </cell>
          <cell r="R91">
            <v>96.5</v>
          </cell>
          <cell r="S91">
            <v>106</v>
          </cell>
          <cell r="T91">
            <v>106.5</v>
          </cell>
          <cell r="U91">
            <v>92</v>
          </cell>
          <cell r="V91">
            <v>111</v>
          </cell>
          <cell r="W91">
            <v>116</v>
          </cell>
          <cell r="X91">
            <v>126</v>
          </cell>
          <cell r="Y91">
            <v>106</v>
          </cell>
          <cell r="Z91">
            <v>116</v>
          </cell>
          <cell r="AA91">
            <v>97</v>
          </cell>
          <cell r="AB91">
            <v>116</v>
          </cell>
          <cell r="AC91">
            <v>135</v>
          </cell>
          <cell r="AD91">
            <v>275.2</v>
          </cell>
          <cell r="AE91">
            <v>8000</v>
          </cell>
          <cell r="AF91">
            <v>56</v>
          </cell>
          <cell r="AG91">
            <v>112</v>
          </cell>
          <cell r="AH91">
            <v>1160</v>
          </cell>
          <cell r="AI91">
            <v>1160</v>
          </cell>
          <cell r="AJ91">
            <v>484.99999999999994</v>
          </cell>
          <cell r="AK91">
            <v>774</v>
          </cell>
          <cell r="AL91">
            <v>485</v>
          </cell>
          <cell r="AM91">
            <v>229.1</v>
          </cell>
          <cell r="AN91">
            <v>484.99999999999994</v>
          </cell>
          <cell r="AO91">
            <v>6175</v>
          </cell>
          <cell r="AP91">
            <v>68</v>
          </cell>
          <cell r="AQ91">
            <v>136</v>
          </cell>
          <cell r="AR91">
            <v>3915</v>
          </cell>
          <cell r="AS91">
            <v>3915</v>
          </cell>
          <cell r="AT91">
            <v>18.857142857142858</v>
          </cell>
          <cell r="AU91">
            <v>26.166666666666668</v>
          </cell>
          <cell r="AV91">
            <v>21.571428571428573</v>
          </cell>
          <cell r="AW91">
            <v>29.333333333333332</v>
          </cell>
          <cell r="AX91">
            <v>100</v>
          </cell>
          <cell r="AZ91">
            <v>275.2</v>
          </cell>
          <cell r="BA91">
            <v>229.1</v>
          </cell>
          <cell r="BB91">
            <v>252</v>
          </cell>
          <cell r="BC91">
            <v>4032</v>
          </cell>
          <cell r="BD91">
            <v>8796</v>
          </cell>
          <cell r="BR91">
            <v>205</v>
          </cell>
          <cell r="BS91">
            <v>1543</v>
          </cell>
          <cell r="BT91">
            <v>308</v>
          </cell>
          <cell r="BU91">
            <v>385</v>
          </cell>
          <cell r="GZ91">
            <v>229</v>
          </cell>
          <cell r="HA91">
            <v>235</v>
          </cell>
          <cell r="HB91">
            <v>744</v>
          </cell>
          <cell r="HC91">
            <v>41</v>
          </cell>
          <cell r="HD91">
            <v>9840</v>
          </cell>
          <cell r="HE91">
            <v>36</v>
          </cell>
          <cell r="HF91">
            <v>36</v>
          </cell>
          <cell r="HG91">
            <v>8</v>
          </cell>
          <cell r="HH91">
            <v>8</v>
          </cell>
          <cell r="HI91">
            <v>4</v>
          </cell>
          <cell r="HJ91">
            <v>4</v>
          </cell>
          <cell r="HK91">
            <v>10</v>
          </cell>
          <cell r="HL91">
            <v>15</v>
          </cell>
          <cell r="HM91">
            <v>5</v>
          </cell>
          <cell r="HN91">
            <v>5</v>
          </cell>
          <cell r="HO91">
            <v>8</v>
          </cell>
          <cell r="HP91">
            <v>82</v>
          </cell>
          <cell r="HQ91">
            <v>12</v>
          </cell>
          <cell r="HR91">
            <v>123</v>
          </cell>
          <cell r="HT91">
            <v>87</v>
          </cell>
          <cell r="HU91">
            <v>9840</v>
          </cell>
          <cell r="HV91">
            <v>46000</v>
          </cell>
          <cell r="HW91">
            <v>69000</v>
          </cell>
          <cell r="HX91">
            <v>2400</v>
          </cell>
          <cell r="HY91">
            <v>1850</v>
          </cell>
          <cell r="HZ91">
            <v>4000</v>
          </cell>
          <cell r="IA91">
            <v>3090</v>
          </cell>
          <cell r="IF91">
            <v>87</v>
          </cell>
          <cell r="IG91">
            <v>744</v>
          </cell>
          <cell r="IH91">
            <v>111.6</v>
          </cell>
        </row>
        <row r="92">
          <cell r="A92">
            <v>88</v>
          </cell>
          <cell r="B92">
            <v>920</v>
          </cell>
          <cell r="C92">
            <v>440</v>
          </cell>
          <cell r="D92">
            <v>88</v>
          </cell>
          <cell r="E92">
            <v>20</v>
          </cell>
          <cell r="F92">
            <v>127</v>
          </cell>
          <cell r="G92">
            <v>107</v>
          </cell>
          <cell r="H92">
            <v>98</v>
          </cell>
          <cell r="I92">
            <v>98</v>
          </cell>
          <cell r="J92">
            <v>107</v>
          </cell>
          <cell r="K92">
            <v>98</v>
          </cell>
          <cell r="L92">
            <v>68</v>
          </cell>
          <cell r="M92">
            <v>107</v>
          </cell>
          <cell r="N92">
            <v>117</v>
          </cell>
          <cell r="O92">
            <v>88</v>
          </cell>
          <cell r="P92">
            <v>117</v>
          </cell>
          <cell r="Q92">
            <v>137</v>
          </cell>
          <cell r="R92">
            <v>97.5</v>
          </cell>
          <cell r="S92">
            <v>107</v>
          </cell>
          <cell r="T92">
            <v>107.5</v>
          </cell>
          <cell r="U92">
            <v>93</v>
          </cell>
          <cell r="V92">
            <v>112</v>
          </cell>
          <cell r="W92">
            <v>117.5</v>
          </cell>
          <cell r="X92">
            <v>127</v>
          </cell>
          <cell r="Y92">
            <v>107</v>
          </cell>
          <cell r="Z92">
            <v>117</v>
          </cell>
          <cell r="AA92">
            <v>98</v>
          </cell>
          <cell r="AB92">
            <v>117</v>
          </cell>
          <cell r="AC92">
            <v>137</v>
          </cell>
          <cell r="AD92">
            <v>277.7</v>
          </cell>
          <cell r="AE92">
            <v>8075</v>
          </cell>
          <cell r="AF92">
            <v>56</v>
          </cell>
          <cell r="AG92">
            <v>112</v>
          </cell>
          <cell r="AH92">
            <v>1170</v>
          </cell>
          <cell r="AI92">
            <v>1170</v>
          </cell>
          <cell r="AJ92">
            <v>490.00000000000006</v>
          </cell>
          <cell r="AK92">
            <v>781</v>
          </cell>
          <cell r="AL92">
            <v>490</v>
          </cell>
          <cell r="AM92">
            <v>231.2</v>
          </cell>
          <cell r="AN92">
            <v>490.00000000000006</v>
          </cell>
          <cell r="AO92">
            <v>6265</v>
          </cell>
          <cell r="AP92">
            <v>69</v>
          </cell>
          <cell r="AQ92">
            <v>138</v>
          </cell>
          <cell r="AR92">
            <v>3960</v>
          </cell>
          <cell r="AS92">
            <v>3960</v>
          </cell>
          <cell r="AT92">
            <v>19</v>
          </cell>
          <cell r="AU92">
            <v>26.333333333333332</v>
          </cell>
          <cell r="AV92">
            <v>21.714285714285715</v>
          </cell>
          <cell r="AW92">
            <v>29.5</v>
          </cell>
          <cell r="AX92">
            <v>100</v>
          </cell>
          <cell r="AZ92">
            <v>277.7</v>
          </cell>
          <cell r="BA92">
            <v>231.2</v>
          </cell>
          <cell r="BB92">
            <v>254</v>
          </cell>
          <cell r="BC92">
            <v>4064</v>
          </cell>
          <cell r="BD92">
            <v>8878</v>
          </cell>
          <cell r="BR92">
            <v>208</v>
          </cell>
          <cell r="BS92">
            <v>1566</v>
          </cell>
          <cell r="BT92">
            <v>313</v>
          </cell>
          <cell r="BU92">
            <v>391</v>
          </cell>
          <cell r="GZ92">
            <v>229</v>
          </cell>
          <cell r="HA92">
            <v>235</v>
          </cell>
          <cell r="HB92">
            <v>759</v>
          </cell>
          <cell r="HC92">
            <v>42</v>
          </cell>
          <cell r="HD92">
            <v>10080</v>
          </cell>
          <cell r="HE92">
            <v>37</v>
          </cell>
          <cell r="HF92">
            <v>37</v>
          </cell>
          <cell r="HG92">
            <v>8</v>
          </cell>
          <cell r="HH92">
            <v>8</v>
          </cell>
          <cell r="HI92">
            <v>4</v>
          </cell>
          <cell r="HJ92">
            <v>4</v>
          </cell>
          <cell r="HK92">
            <v>10</v>
          </cell>
          <cell r="HL92">
            <v>15</v>
          </cell>
          <cell r="HM92">
            <v>5</v>
          </cell>
          <cell r="HN92">
            <v>5</v>
          </cell>
          <cell r="HO92">
            <v>8</v>
          </cell>
          <cell r="HP92">
            <v>84</v>
          </cell>
          <cell r="HQ92">
            <v>12</v>
          </cell>
          <cell r="HR92">
            <v>126</v>
          </cell>
          <cell r="HT92">
            <v>88</v>
          </cell>
          <cell r="HU92">
            <v>10080</v>
          </cell>
          <cell r="HV92">
            <v>47000</v>
          </cell>
          <cell r="HW92">
            <v>71000</v>
          </cell>
          <cell r="HX92">
            <v>2420</v>
          </cell>
          <cell r="HY92">
            <v>1880</v>
          </cell>
          <cell r="HZ92">
            <v>4040</v>
          </cell>
          <cell r="IA92">
            <v>3130</v>
          </cell>
          <cell r="IF92">
            <v>88</v>
          </cell>
          <cell r="IG92">
            <v>759</v>
          </cell>
          <cell r="IH92">
            <v>113.85</v>
          </cell>
        </row>
        <row r="93">
          <cell r="A93">
            <v>89</v>
          </cell>
          <cell r="B93">
            <v>930</v>
          </cell>
          <cell r="C93">
            <v>445</v>
          </cell>
          <cell r="D93">
            <v>89</v>
          </cell>
          <cell r="E93">
            <v>20</v>
          </cell>
          <cell r="F93">
            <v>128</v>
          </cell>
          <cell r="G93">
            <v>108</v>
          </cell>
          <cell r="H93">
            <v>99</v>
          </cell>
          <cell r="I93">
            <v>99</v>
          </cell>
          <cell r="J93">
            <v>108</v>
          </cell>
          <cell r="K93">
            <v>99</v>
          </cell>
          <cell r="L93">
            <v>69</v>
          </cell>
          <cell r="M93">
            <v>108</v>
          </cell>
          <cell r="N93">
            <v>118</v>
          </cell>
          <cell r="O93">
            <v>89</v>
          </cell>
          <cell r="P93">
            <v>118</v>
          </cell>
          <cell r="Q93">
            <v>138</v>
          </cell>
          <cell r="R93">
            <v>98.5</v>
          </cell>
          <cell r="S93">
            <v>108</v>
          </cell>
          <cell r="T93">
            <v>108.5</v>
          </cell>
          <cell r="U93">
            <v>94</v>
          </cell>
          <cell r="V93">
            <v>113</v>
          </cell>
          <cell r="W93">
            <v>118.5</v>
          </cell>
          <cell r="X93">
            <v>128</v>
          </cell>
          <cell r="Y93">
            <v>108</v>
          </cell>
          <cell r="Z93">
            <v>118</v>
          </cell>
          <cell r="AA93">
            <v>99</v>
          </cell>
          <cell r="AB93">
            <v>118</v>
          </cell>
          <cell r="AC93">
            <v>138</v>
          </cell>
          <cell r="AD93">
            <v>280.2</v>
          </cell>
          <cell r="AE93">
            <v>8150</v>
          </cell>
          <cell r="AF93">
            <v>57</v>
          </cell>
          <cell r="AG93">
            <v>114</v>
          </cell>
          <cell r="AH93">
            <v>1180</v>
          </cell>
          <cell r="AI93">
            <v>1180</v>
          </cell>
          <cell r="AJ93">
            <v>495</v>
          </cell>
          <cell r="AK93">
            <v>788</v>
          </cell>
          <cell r="AL93">
            <v>495</v>
          </cell>
          <cell r="AM93">
            <v>233.3</v>
          </cell>
          <cell r="AN93">
            <v>495</v>
          </cell>
          <cell r="AO93">
            <v>6310</v>
          </cell>
          <cell r="AP93">
            <v>70</v>
          </cell>
          <cell r="AQ93">
            <v>140</v>
          </cell>
          <cell r="AR93">
            <v>4005</v>
          </cell>
          <cell r="AS93">
            <v>4005</v>
          </cell>
          <cell r="AT93">
            <v>19.142857142857142</v>
          </cell>
          <cell r="AU93">
            <v>26.5</v>
          </cell>
          <cell r="AV93">
            <v>21.857142857142858</v>
          </cell>
          <cell r="AW93">
            <v>29.666666666666668</v>
          </cell>
          <cell r="AX93">
            <v>100</v>
          </cell>
          <cell r="AZ93">
            <v>280.2</v>
          </cell>
          <cell r="BA93">
            <v>233.3</v>
          </cell>
          <cell r="BB93">
            <v>256</v>
          </cell>
          <cell r="BC93">
            <v>4096</v>
          </cell>
          <cell r="BD93">
            <v>8961</v>
          </cell>
          <cell r="BR93">
            <v>210</v>
          </cell>
          <cell r="BS93">
            <v>1577</v>
          </cell>
          <cell r="BT93">
            <v>315</v>
          </cell>
          <cell r="BU93">
            <v>394</v>
          </cell>
          <cell r="GZ93">
            <v>229</v>
          </cell>
          <cell r="HA93">
            <v>235</v>
          </cell>
          <cell r="HB93">
            <v>775</v>
          </cell>
          <cell r="HC93">
            <v>43</v>
          </cell>
          <cell r="HD93">
            <v>10320</v>
          </cell>
          <cell r="HE93">
            <v>38</v>
          </cell>
          <cell r="HF93">
            <v>38</v>
          </cell>
          <cell r="HG93">
            <v>8</v>
          </cell>
          <cell r="HH93">
            <v>8</v>
          </cell>
          <cell r="HI93">
            <v>4</v>
          </cell>
          <cell r="HJ93">
            <v>4</v>
          </cell>
          <cell r="HK93">
            <v>10</v>
          </cell>
          <cell r="HL93">
            <v>15</v>
          </cell>
          <cell r="HM93">
            <v>5</v>
          </cell>
          <cell r="HN93">
            <v>5</v>
          </cell>
          <cell r="HO93">
            <v>8</v>
          </cell>
          <cell r="HP93">
            <v>86</v>
          </cell>
          <cell r="HQ93">
            <v>12</v>
          </cell>
          <cell r="HR93">
            <v>129</v>
          </cell>
          <cell r="HT93">
            <v>89</v>
          </cell>
          <cell r="HU93">
            <v>10320</v>
          </cell>
          <cell r="HV93">
            <v>48000</v>
          </cell>
          <cell r="HW93">
            <v>72000</v>
          </cell>
          <cell r="HX93">
            <v>2450</v>
          </cell>
          <cell r="HY93">
            <v>1890</v>
          </cell>
          <cell r="HZ93">
            <v>4080</v>
          </cell>
          <cell r="IA93">
            <v>3160</v>
          </cell>
          <cell r="IF93">
            <v>89</v>
          </cell>
          <cell r="IG93">
            <v>775</v>
          </cell>
          <cell r="IH93">
            <v>116.25</v>
          </cell>
        </row>
        <row r="94">
          <cell r="A94">
            <v>90</v>
          </cell>
          <cell r="B94">
            <v>940</v>
          </cell>
          <cell r="C94">
            <v>450</v>
          </cell>
          <cell r="D94">
            <v>90</v>
          </cell>
          <cell r="E94">
            <v>20</v>
          </cell>
          <cell r="F94">
            <v>130</v>
          </cell>
          <cell r="G94">
            <v>110</v>
          </cell>
          <cell r="H94">
            <v>100</v>
          </cell>
          <cell r="I94">
            <v>100</v>
          </cell>
          <cell r="J94">
            <v>110</v>
          </cell>
          <cell r="K94">
            <v>100</v>
          </cell>
          <cell r="L94">
            <v>70</v>
          </cell>
          <cell r="M94">
            <v>110</v>
          </cell>
          <cell r="N94">
            <v>120</v>
          </cell>
          <cell r="O94">
            <v>90</v>
          </cell>
          <cell r="P94">
            <v>120</v>
          </cell>
          <cell r="Q94">
            <v>140</v>
          </cell>
          <cell r="R94">
            <v>100</v>
          </cell>
          <cell r="S94">
            <v>110</v>
          </cell>
          <cell r="T94">
            <v>110</v>
          </cell>
          <cell r="U94">
            <v>95</v>
          </cell>
          <cell r="V94">
            <v>115</v>
          </cell>
          <cell r="W94">
            <v>120</v>
          </cell>
          <cell r="X94">
            <v>130</v>
          </cell>
          <cell r="Y94">
            <v>110</v>
          </cell>
          <cell r="Z94">
            <v>120</v>
          </cell>
          <cell r="AA94">
            <v>100</v>
          </cell>
          <cell r="AB94">
            <v>120</v>
          </cell>
          <cell r="AC94">
            <v>140</v>
          </cell>
          <cell r="AD94">
            <v>284</v>
          </cell>
          <cell r="AE94">
            <v>8300</v>
          </cell>
          <cell r="AF94">
            <v>58</v>
          </cell>
          <cell r="AG94">
            <v>116</v>
          </cell>
          <cell r="AH94">
            <v>1200</v>
          </cell>
          <cell r="AI94">
            <v>1200</v>
          </cell>
          <cell r="AJ94">
            <v>500</v>
          </cell>
          <cell r="AK94">
            <v>800</v>
          </cell>
          <cell r="AL94">
            <v>500</v>
          </cell>
          <cell r="AM94">
            <v>237</v>
          </cell>
          <cell r="AN94">
            <v>500</v>
          </cell>
          <cell r="AO94">
            <v>6400</v>
          </cell>
          <cell r="AP94">
            <v>71</v>
          </cell>
          <cell r="AQ94">
            <v>142</v>
          </cell>
          <cell r="AR94">
            <v>4050</v>
          </cell>
          <cell r="AS94">
            <v>4050</v>
          </cell>
          <cell r="AT94">
            <v>19.285714285714285</v>
          </cell>
          <cell r="AU94">
            <v>26.666666666666668</v>
          </cell>
          <cell r="AV94">
            <v>22.142857142857142</v>
          </cell>
          <cell r="AW94">
            <v>30</v>
          </cell>
          <cell r="AX94">
            <v>100</v>
          </cell>
          <cell r="AZ94">
            <v>284</v>
          </cell>
          <cell r="BA94">
            <v>237</v>
          </cell>
          <cell r="BB94">
            <v>260</v>
          </cell>
          <cell r="BC94">
            <v>4160</v>
          </cell>
          <cell r="BD94">
            <v>9126</v>
          </cell>
          <cell r="BR94">
            <v>213</v>
          </cell>
          <cell r="BS94">
            <v>1600</v>
          </cell>
          <cell r="BT94">
            <v>320</v>
          </cell>
          <cell r="BU94">
            <v>400</v>
          </cell>
          <cell r="GZ94">
            <v>231</v>
          </cell>
          <cell r="HA94">
            <v>235</v>
          </cell>
          <cell r="HB94">
            <v>791</v>
          </cell>
          <cell r="HC94">
            <v>43</v>
          </cell>
          <cell r="HD94">
            <v>10320</v>
          </cell>
          <cell r="HE94">
            <v>38</v>
          </cell>
          <cell r="HF94">
            <v>38</v>
          </cell>
          <cell r="HG94">
            <v>8</v>
          </cell>
          <cell r="HH94">
            <v>8</v>
          </cell>
          <cell r="HI94">
            <v>4</v>
          </cell>
          <cell r="HJ94">
            <v>4</v>
          </cell>
          <cell r="HK94">
            <v>10</v>
          </cell>
          <cell r="HL94">
            <v>15</v>
          </cell>
          <cell r="HM94">
            <v>5</v>
          </cell>
          <cell r="HN94">
            <v>5</v>
          </cell>
          <cell r="HO94">
            <v>8</v>
          </cell>
          <cell r="HP94">
            <v>86</v>
          </cell>
          <cell r="HQ94">
            <v>12</v>
          </cell>
          <cell r="HR94">
            <v>129</v>
          </cell>
          <cell r="HT94">
            <v>90</v>
          </cell>
          <cell r="HU94">
            <v>10320</v>
          </cell>
          <cell r="HV94">
            <v>48000</v>
          </cell>
          <cell r="HW94">
            <v>72000</v>
          </cell>
          <cell r="HX94">
            <v>2490</v>
          </cell>
          <cell r="HY94">
            <v>1920</v>
          </cell>
          <cell r="HZ94">
            <v>4150</v>
          </cell>
          <cell r="IA94">
            <v>3200</v>
          </cell>
          <cell r="IF94">
            <v>90</v>
          </cell>
          <cell r="IG94">
            <v>791</v>
          </cell>
          <cell r="IH94">
            <v>118.65</v>
          </cell>
        </row>
        <row r="95">
          <cell r="A95">
            <v>91</v>
          </cell>
          <cell r="B95">
            <v>950</v>
          </cell>
          <cell r="C95">
            <v>455</v>
          </cell>
          <cell r="D95">
            <v>91</v>
          </cell>
          <cell r="E95">
            <v>20</v>
          </cell>
          <cell r="F95">
            <v>131</v>
          </cell>
          <cell r="G95">
            <v>111</v>
          </cell>
          <cell r="H95">
            <v>101</v>
          </cell>
          <cell r="I95">
            <v>101</v>
          </cell>
          <cell r="J95">
            <v>111</v>
          </cell>
          <cell r="K95">
            <v>101</v>
          </cell>
          <cell r="L95">
            <v>70</v>
          </cell>
          <cell r="M95">
            <v>111</v>
          </cell>
          <cell r="N95">
            <v>121</v>
          </cell>
          <cell r="O95">
            <v>90</v>
          </cell>
          <cell r="P95">
            <v>121</v>
          </cell>
          <cell r="Q95">
            <v>141</v>
          </cell>
          <cell r="R95">
            <v>100.5</v>
          </cell>
          <cell r="S95">
            <v>111</v>
          </cell>
          <cell r="T95">
            <v>111</v>
          </cell>
          <cell r="U95">
            <v>95.5</v>
          </cell>
          <cell r="V95">
            <v>116</v>
          </cell>
          <cell r="W95">
            <v>121</v>
          </cell>
          <cell r="X95">
            <v>131</v>
          </cell>
          <cell r="Y95">
            <v>111</v>
          </cell>
          <cell r="Z95">
            <v>121</v>
          </cell>
          <cell r="AA95">
            <v>101</v>
          </cell>
          <cell r="AB95">
            <v>121</v>
          </cell>
          <cell r="AC95">
            <v>141</v>
          </cell>
          <cell r="AD95">
            <v>286.5</v>
          </cell>
          <cell r="AE95">
            <v>8375</v>
          </cell>
          <cell r="AF95">
            <v>58</v>
          </cell>
          <cell r="AG95">
            <v>116</v>
          </cell>
          <cell r="AH95">
            <v>1210</v>
          </cell>
          <cell r="AI95">
            <v>1210</v>
          </cell>
          <cell r="AJ95">
            <v>505</v>
          </cell>
          <cell r="AK95">
            <v>807</v>
          </cell>
          <cell r="AL95">
            <v>505</v>
          </cell>
          <cell r="AM95">
            <v>239.1</v>
          </cell>
          <cell r="AN95">
            <v>505</v>
          </cell>
          <cell r="AO95">
            <v>6445</v>
          </cell>
          <cell r="AP95">
            <v>71</v>
          </cell>
          <cell r="AQ95">
            <v>142</v>
          </cell>
          <cell r="AR95">
            <v>4095</v>
          </cell>
          <cell r="AS95">
            <v>4095</v>
          </cell>
          <cell r="AT95">
            <v>19.428571428571431</v>
          </cell>
          <cell r="AU95">
            <v>26.833333333333332</v>
          </cell>
          <cell r="AV95">
            <v>22.285714285714285</v>
          </cell>
          <cell r="AW95">
            <v>30.166666666666668</v>
          </cell>
          <cell r="AX95">
            <v>100</v>
          </cell>
          <cell r="AZ95">
            <v>286.5</v>
          </cell>
          <cell r="BA95">
            <v>239.1</v>
          </cell>
          <cell r="BB95">
            <v>262</v>
          </cell>
          <cell r="BC95">
            <v>4192</v>
          </cell>
          <cell r="BD95">
            <v>9208</v>
          </cell>
          <cell r="BR95">
            <v>214</v>
          </cell>
          <cell r="BS95">
            <v>1611</v>
          </cell>
          <cell r="BT95">
            <v>322</v>
          </cell>
          <cell r="BU95">
            <v>402</v>
          </cell>
          <cell r="GZ95">
            <v>231</v>
          </cell>
          <cell r="HA95">
            <v>237</v>
          </cell>
          <cell r="HB95">
            <v>806</v>
          </cell>
          <cell r="HC95">
            <v>44</v>
          </cell>
          <cell r="HD95">
            <v>10560</v>
          </cell>
          <cell r="HE95">
            <v>39</v>
          </cell>
          <cell r="HF95">
            <v>39</v>
          </cell>
          <cell r="HG95">
            <v>8</v>
          </cell>
          <cell r="HH95">
            <v>8</v>
          </cell>
          <cell r="HI95">
            <v>4</v>
          </cell>
          <cell r="HJ95">
            <v>4</v>
          </cell>
          <cell r="HK95">
            <v>10</v>
          </cell>
          <cell r="HL95">
            <v>15</v>
          </cell>
          <cell r="HM95">
            <v>5</v>
          </cell>
          <cell r="HN95">
            <v>5</v>
          </cell>
          <cell r="HO95">
            <v>8</v>
          </cell>
          <cell r="HP95">
            <v>88</v>
          </cell>
          <cell r="HQ95">
            <v>12</v>
          </cell>
          <cell r="HR95">
            <v>132</v>
          </cell>
          <cell r="HT95">
            <v>91</v>
          </cell>
          <cell r="HU95">
            <v>10560</v>
          </cell>
          <cell r="HV95">
            <v>49000</v>
          </cell>
          <cell r="HW95">
            <v>74000</v>
          </cell>
          <cell r="HX95">
            <v>2510</v>
          </cell>
          <cell r="HY95">
            <v>1930</v>
          </cell>
          <cell r="HZ95">
            <v>4190</v>
          </cell>
          <cell r="IA95">
            <v>3220</v>
          </cell>
          <cell r="IF95">
            <v>91</v>
          </cell>
          <cell r="IG95">
            <v>806</v>
          </cell>
          <cell r="IH95">
            <v>120.9</v>
          </cell>
        </row>
        <row r="96">
          <cell r="A96">
            <v>92</v>
          </cell>
          <cell r="B96">
            <v>960</v>
          </cell>
          <cell r="C96">
            <v>460</v>
          </cell>
          <cell r="D96">
            <v>92</v>
          </cell>
          <cell r="E96">
            <v>20</v>
          </cell>
          <cell r="F96">
            <v>132</v>
          </cell>
          <cell r="G96">
            <v>112</v>
          </cell>
          <cell r="H96">
            <v>102</v>
          </cell>
          <cell r="I96">
            <v>102</v>
          </cell>
          <cell r="J96">
            <v>112</v>
          </cell>
          <cell r="K96">
            <v>102</v>
          </cell>
          <cell r="L96">
            <v>71</v>
          </cell>
          <cell r="M96">
            <v>112</v>
          </cell>
          <cell r="N96">
            <v>122</v>
          </cell>
          <cell r="O96">
            <v>91</v>
          </cell>
          <cell r="P96">
            <v>122</v>
          </cell>
          <cell r="Q96">
            <v>142</v>
          </cell>
          <cell r="R96">
            <v>101.5</v>
          </cell>
          <cell r="S96">
            <v>112</v>
          </cell>
          <cell r="T96">
            <v>112</v>
          </cell>
          <cell r="U96">
            <v>96.5</v>
          </cell>
          <cell r="V96">
            <v>117</v>
          </cell>
          <cell r="W96">
            <v>122</v>
          </cell>
          <cell r="X96">
            <v>132</v>
          </cell>
          <cell r="Y96">
            <v>112</v>
          </cell>
          <cell r="Z96">
            <v>122</v>
          </cell>
          <cell r="AA96">
            <v>102</v>
          </cell>
          <cell r="AB96">
            <v>122</v>
          </cell>
          <cell r="AC96">
            <v>142</v>
          </cell>
          <cell r="AD96">
            <v>289</v>
          </cell>
          <cell r="AE96">
            <v>8450</v>
          </cell>
          <cell r="AF96">
            <v>59</v>
          </cell>
          <cell r="AG96">
            <v>118</v>
          </cell>
          <cell r="AH96">
            <v>1220</v>
          </cell>
          <cell r="AI96">
            <v>1220</v>
          </cell>
          <cell r="AJ96">
            <v>509.99999999999994</v>
          </cell>
          <cell r="AK96">
            <v>814</v>
          </cell>
          <cell r="AL96">
            <v>510</v>
          </cell>
          <cell r="AM96">
            <v>241.2</v>
          </cell>
          <cell r="AN96">
            <v>509.99999999999994</v>
          </cell>
          <cell r="AO96">
            <v>6490</v>
          </cell>
          <cell r="AP96">
            <v>72</v>
          </cell>
          <cell r="AQ96">
            <v>144</v>
          </cell>
          <cell r="AR96">
            <v>4140</v>
          </cell>
          <cell r="AS96">
            <v>4140</v>
          </cell>
          <cell r="AT96">
            <v>19.571428571428569</v>
          </cell>
          <cell r="AU96">
            <v>27</v>
          </cell>
          <cell r="AV96">
            <v>22.428571428571427</v>
          </cell>
          <cell r="AW96">
            <v>30.333333333333332</v>
          </cell>
          <cell r="AX96">
            <v>100</v>
          </cell>
          <cell r="AZ96">
            <v>289</v>
          </cell>
          <cell r="BA96">
            <v>241.2</v>
          </cell>
          <cell r="BB96">
            <v>265</v>
          </cell>
          <cell r="BC96">
            <v>4240</v>
          </cell>
          <cell r="BD96">
            <v>9291</v>
          </cell>
          <cell r="BR96">
            <v>216</v>
          </cell>
          <cell r="BS96">
            <v>1622</v>
          </cell>
          <cell r="BT96">
            <v>324</v>
          </cell>
          <cell r="BU96">
            <v>405</v>
          </cell>
          <cell r="GZ96">
            <v>231</v>
          </cell>
          <cell r="HA96">
            <v>237</v>
          </cell>
          <cell r="HB96">
            <v>822</v>
          </cell>
          <cell r="HC96">
            <v>45</v>
          </cell>
          <cell r="HD96">
            <v>10800</v>
          </cell>
          <cell r="HE96">
            <v>40</v>
          </cell>
          <cell r="HF96">
            <v>40</v>
          </cell>
          <cell r="HG96">
            <v>9</v>
          </cell>
          <cell r="HH96">
            <v>9</v>
          </cell>
          <cell r="HI96">
            <v>4</v>
          </cell>
          <cell r="HJ96">
            <v>4</v>
          </cell>
          <cell r="HK96">
            <v>10</v>
          </cell>
          <cell r="HL96">
            <v>15</v>
          </cell>
          <cell r="HM96">
            <v>5</v>
          </cell>
          <cell r="HN96">
            <v>5</v>
          </cell>
          <cell r="HO96">
            <v>8</v>
          </cell>
          <cell r="HP96">
            <v>90</v>
          </cell>
          <cell r="HQ96">
            <v>12</v>
          </cell>
          <cell r="HR96">
            <v>135</v>
          </cell>
          <cell r="HT96">
            <v>92</v>
          </cell>
          <cell r="HU96">
            <v>10800</v>
          </cell>
          <cell r="HV96">
            <v>50000</v>
          </cell>
          <cell r="HW96">
            <v>76000</v>
          </cell>
          <cell r="HX96">
            <v>2540</v>
          </cell>
          <cell r="HY96">
            <v>1950</v>
          </cell>
          <cell r="HZ96">
            <v>4230</v>
          </cell>
          <cell r="IA96">
            <v>3250</v>
          </cell>
          <cell r="IF96">
            <v>92</v>
          </cell>
          <cell r="IG96">
            <v>822</v>
          </cell>
          <cell r="IH96">
            <v>123.3</v>
          </cell>
        </row>
        <row r="97">
          <cell r="A97">
            <v>93</v>
          </cell>
          <cell r="B97">
            <v>970</v>
          </cell>
          <cell r="C97">
            <v>465</v>
          </cell>
          <cell r="D97">
            <v>93</v>
          </cell>
          <cell r="E97">
            <v>20</v>
          </cell>
          <cell r="F97">
            <v>133</v>
          </cell>
          <cell r="G97">
            <v>113</v>
          </cell>
          <cell r="H97">
            <v>103</v>
          </cell>
          <cell r="I97">
            <v>103</v>
          </cell>
          <cell r="J97">
            <v>113</v>
          </cell>
          <cell r="K97">
            <v>103</v>
          </cell>
          <cell r="L97">
            <v>72</v>
          </cell>
          <cell r="M97">
            <v>113</v>
          </cell>
          <cell r="N97">
            <v>123</v>
          </cell>
          <cell r="O97">
            <v>92</v>
          </cell>
          <cell r="P97">
            <v>123</v>
          </cell>
          <cell r="Q97">
            <v>144</v>
          </cell>
          <cell r="R97">
            <v>102.5</v>
          </cell>
          <cell r="S97">
            <v>113</v>
          </cell>
          <cell r="T97">
            <v>113</v>
          </cell>
          <cell r="U97">
            <v>97.5</v>
          </cell>
          <cell r="V97">
            <v>118</v>
          </cell>
          <cell r="W97">
            <v>123.5</v>
          </cell>
          <cell r="X97">
            <v>133</v>
          </cell>
          <cell r="Y97">
            <v>113</v>
          </cell>
          <cell r="Z97">
            <v>123</v>
          </cell>
          <cell r="AA97">
            <v>103</v>
          </cell>
          <cell r="AB97">
            <v>123</v>
          </cell>
          <cell r="AC97">
            <v>144</v>
          </cell>
          <cell r="AD97">
            <v>291.5</v>
          </cell>
          <cell r="AE97">
            <v>8525</v>
          </cell>
          <cell r="AF97">
            <v>59</v>
          </cell>
          <cell r="AG97">
            <v>118</v>
          </cell>
          <cell r="AH97">
            <v>1230</v>
          </cell>
          <cell r="AI97">
            <v>1230</v>
          </cell>
          <cell r="AJ97">
            <v>515</v>
          </cell>
          <cell r="AK97">
            <v>821</v>
          </cell>
          <cell r="AL97">
            <v>515</v>
          </cell>
          <cell r="AM97">
            <v>243.3</v>
          </cell>
          <cell r="AN97">
            <v>515</v>
          </cell>
          <cell r="AO97">
            <v>6580</v>
          </cell>
          <cell r="AP97">
            <v>73</v>
          </cell>
          <cell r="AQ97">
            <v>146</v>
          </cell>
          <cell r="AR97">
            <v>4185</v>
          </cell>
          <cell r="AS97">
            <v>4185</v>
          </cell>
          <cell r="AT97">
            <v>19.714285714285715</v>
          </cell>
          <cell r="AU97">
            <v>27.166666666666668</v>
          </cell>
          <cell r="AV97">
            <v>22.571428571428573</v>
          </cell>
          <cell r="AW97">
            <v>30.5</v>
          </cell>
          <cell r="AX97">
            <v>100</v>
          </cell>
          <cell r="AZ97">
            <v>291.5</v>
          </cell>
          <cell r="BA97">
            <v>243.3</v>
          </cell>
          <cell r="BB97">
            <v>267</v>
          </cell>
          <cell r="BC97">
            <v>4272</v>
          </cell>
          <cell r="BD97">
            <v>9373</v>
          </cell>
          <cell r="BR97">
            <v>219</v>
          </cell>
          <cell r="BS97">
            <v>1645</v>
          </cell>
          <cell r="BT97">
            <v>329</v>
          </cell>
          <cell r="BU97">
            <v>411</v>
          </cell>
          <cell r="GZ97">
            <v>231</v>
          </cell>
          <cell r="HA97">
            <v>237</v>
          </cell>
          <cell r="HB97">
            <v>839</v>
          </cell>
          <cell r="HC97">
            <v>46</v>
          </cell>
          <cell r="HD97">
            <v>11040</v>
          </cell>
          <cell r="HE97">
            <v>41</v>
          </cell>
          <cell r="HF97">
            <v>41</v>
          </cell>
          <cell r="HG97">
            <v>9</v>
          </cell>
          <cell r="HH97">
            <v>9</v>
          </cell>
          <cell r="HI97">
            <v>4</v>
          </cell>
          <cell r="HJ97">
            <v>4</v>
          </cell>
          <cell r="HK97">
            <v>10</v>
          </cell>
          <cell r="HL97">
            <v>15</v>
          </cell>
          <cell r="HM97">
            <v>5</v>
          </cell>
          <cell r="HN97">
            <v>5</v>
          </cell>
          <cell r="HO97">
            <v>8</v>
          </cell>
          <cell r="HP97">
            <v>92</v>
          </cell>
          <cell r="HQ97">
            <v>12</v>
          </cell>
          <cell r="HR97">
            <v>138</v>
          </cell>
          <cell r="HT97">
            <v>93</v>
          </cell>
          <cell r="HU97">
            <v>11040</v>
          </cell>
          <cell r="HV97">
            <v>52000</v>
          </cell>
          <cell r="HW97">
            <v>77000</v>
          </cell>
          <cell r="HX97">
            <v>2560</v>
          </cell>
          <cell r="HY97">
            <v>1970</v>
          </cell>
          <cell r="HZ97">
            <v>4260</v>
          </cell>
          <cell r="IA97">
            <v>3290</v>
          </cell>
          <cell r="IF97">
            <v>93</v>
          </cell>
          <cell r="IG97">
            <v>839</v>
          </cell>
          <cell r="IH97">
            <v>125.85</v>
          </cell>
        </row>
        <row r="98">
          <cell r="A98">
            <v>94</v>
          </cell>
          <cell r="B98">
            <v>980</v>
          </cell>
          <cell r="C98">
            <v>470</v>
          </cell>
          <cell r="D98">
            <v>94</v>
          </cell>
          <cell r="E98">
            <v>20</v>
          </cell>
          <cell r="F98">
            <v>135</v>
          </cell>
          <cell r="G98">
            <v>114</v>
          </cell>
          <cell r="H98">
            <v>104</v>
          </cell>
          <cell r="I98">
            <v>104</v>
          </cell>
          <cell r="J98">
            <v>114</v>
          </cell>
          <cell r="K98">
            <v>104</v>
          </cell>
          <cell r="L98">
            <v>72</v>
          </cell>
          <cell r="M98">
            <v>114</v>
          </cell>
          <cell r="N98">
            <v>124</v>
          </cell>
          <cell r="O98">
            <v>93</v>
          </cell>
          <cell r="P98">
            <v>124</v>
          </cell>
          <cell r="Q98">
            <v>145</v>
          </cell>
          <cell r="R98">
            <v>103.5</v>
          </cell>
          <cell r="S98">
            <v>114</v>
          </cell>
          <cell r="T98">
            <v>114</v>
          </cell>
          <cell r="U98">
            <v>98.5</v>
          </cell>
          <cell r="V98">
            <v>119</v>
          </cell>
          <cell r="W98">
            <v>124.5</v>
          </cell>
          <cell r="X98">
            <v>135</v>
          </cell>
          <cell r="Y98">
            <v>114</v>
          </cell>
          <cell r="Z98">
            <v>124</v>
          </cell>
          <cell r="AA98">
            <v>104</v>
          </cell>
          <cell r="AB98">
            <v>124</v>
          </cell>
          <cell r="AC98">
            <v>145</v>
          </cell>
          <cell r="AD98">
            <v>295.3</v>
          </cell>
          <cell r="AE98">
            <v>8600</v>
          </cell>
          <cell r="AF98">
            <v>60</v>
          </cell>
          <cell r="AG98">
            <v>120</v>
          </cell>
          <cell r="AH98">
            <v>1240</v>
          </cell>
          <cell r="AI98">
            <v>1240</v>
          </cell>
          <cell r="AJ98">
            <v>520</v>
          </cell>
          <cell r="AK98">
            <v>828</v>
          </cell>
          <cell r="AL98">
            <v>520</v>
          </cell>
          <cell r="AM98">
            <v>245.39999999999998</v>
          </cell>
          <cell r="AN98">
            <v>520</v>
          </cell>
          <cell r="AO98">
            <v>6625</v>
          </cell>
          <cell r="AP98">
            <v>73</v>
          </cell>
          <cell r="AQ98">
            <v>146</v>
          </cell>
          <cell r="AR98">
            <v>4230</v>
          </cell>
          <cell r="AS98">
            <v>4230</v>
          </cell>
          <cell r="AT98">
            <v>19.857142857142858</v>
          </cell>
          <cell r="AU98">
            <v>27.333333333333332</v>
          </cell>
          <cell r="AV98">
            <v>22.714285714285715</v>
          </cell>
          <cell r="AW98">
            <v>30.666666666666668</v>
          </cell>
          <cell r="AX98">
            <v>100</v>
          </cell>
          <cell r="AZ98">
            <v>295.3</v>
          </cell>
          <cell r="BA98">
            <v>245.39999999999998</v>
          </cell>
          <cell r="BB98">
            <v>270</v>
          </cell>
          <cell r="BC98">
            <v>4320</v>
          </cell>
          <cell r="BD98">
            <v>9456</v>
          </cell>
          <cell r="BR98">
            <v>220</v>
          </cell>
          <cell r="BS98">
            <v>1656</v>
          </cell>
          <cell r="BT98">
            <v>331</v>
          </cell>
          <cell r="BU98">
            <v>414</v>
          </cell>
          <cell r="GZ98">
            <v>231</v>
          </cell>
          <cell r="HA98">
            <v>237</v>
          </cell>
          <cell r="HB98">
            <v>855</v>
          </cell>
          <cell r="HC98">
            <v>47</v>
          </cell>
          <cell r="HD98">
            <v>11280</v>
          </cell>
          <cell r="HE98">
            <v>42</v>
          </cell>
          <cell r="HF98">
            <v>42</v>
          </cell>
          <cell r="HG98">
            <v>9</v>
          </cell>
          <cell r="HH98">
            <v>9</v>
          </cell>
          <cell r="HI98">
            <v>4</v>
          </cell>
          <cell r="HJ98">
            <v>4</v>
          </cell>
          <cell r="HK98">
            <v>10</v>
          </cell>
          <cell r="HL98">
            <v>15</v>
          </cell>
          <cell r="HM98">
            <v>5</v>
          </cell>
          <cell r="HN98">
            <v>5</v>
          </cell>
          <cell r="HO98">
            <v>8</v>
          </cell>
          <cell r="HP98">
            <v>94</v>
          </cell>
          <cell r="HQ98">
            <v>12</v>
          </cell>
          <cell r="HR98">
            <v>141</v>
          </cell>
          <cell r="HT98">
            <v>94</v>
          </cell>
          <cell r="HU98">
            <v>11280</v>
          </cell>
          <cell r="HV98">
            <v>53000</v>
          </cell>
          <cell r="HW98">
            <v>79000</v>
          </cell>
          <cell r="HX98">
            <v>2580</v>
          </cell>
          <cell r="HY98">
            <v>1990</v>
          </cell>
          <cell r="HZ98">
            <v>4300</v>
          </cell>
          <cell r="IA98">
            <v>3310</v>
          </cell>
          <cell r="IF98">
            <v>94</v>
          </cell>
          <cell r="IG98">
            <v>855</v>
          </cell>
          <cell r="IH98">
            <v>128.25</v>
          </cell>
        </row>
        <row r="99">
          <cell r="A99">
            <v>95</v>
          </cell>
          <cell r="B99">
            <v>990</v>
          </cell>
          <cell r="C99">
            <v>475</v>
          </cell>
          <cell r="D99">
            <v>95</v>
          </cell>
          <cell r="E99">
            <v>20</v>
          </cell>
          <cell r="F99">
            <v>136</v>
          </cell>
          <cell r="G99">
            <v>115</v>
          </cell>
          <cell r="H99">
            <v>105</v>
          </cell>
          <cell r="I99">
            <v>105</v>
          </cell>
          <cell r="J99">
            <v>115</v>
          </cell>
          <cell r="K99">
            <v>105</v>
          </cell>
          <cell r="L99">
            <v>73</v>
          </cell>
          <cell r="M99">
            <v>115</v>
          </cell>
          <cell r="N99">
            <v>126</v>
          </cell>
          <cell r="O99">
            <v>94</v>
          </cell>
          <cell r="P99">
            <v>126</v>
          </cell>
          <cell r="Q99">
            <v>147</v>
          </cell>
          <cell r="R99">
            <v>104.5</v>
          </cell>
          <cell r="S99">
            <v>115</v>
          </cell>
          <cell r="T99">
            <v>115.5</v>
          </cell>
          <cell r="U99">
            <v>99.5</v>
          </cell>
          <cell r="V99">
            <v>120.5</v>
          </cell>
          <cell r="W99">
            <v>126</v>
          </cell>
          <cell r="X99">
            <v>136</v>
          </cell>
          <cell r="Y99">
            <v>115</v>
          </cell>
          <cell r="Z99">
            <v>126</v>
          </cell>
          <cell r="AA99">
            <v>105</v>
          </cell>
          <cell r="AB99">
            <v>126</v>
          </cell>
          <cell r="AC99">
            <v>147</v>
          </cell>
          <cell r="AD99">
            <v>297.8</v>
          </cell>
          <cell r="AE99">
            <v>8675</v>
          </cell>
          <cell r="AF99">
            <v>60</v>
          </cell>
          <cell r="AG99">
            <v>120</v>
          </cell>
          <cell r="AH99">
            <v>1260</v>
          </cell>
          <cell r="AI99">
            <v>1260</v>
          </cell>
          <cell r="AJ99">
            <v>525</v>
          </cell>
          <cell r="AK99">
            <v>840</v>
          </cell>
          <cell r="AL99">
            <v>525</v>
          </cell>
          <cell r="AM99">
            <v>249.1</v>
          </cell>
          <cell r="AN99">
            <v>525</v>
          </cell>
          <cell r="AO99">
            <v>6715</v>
          </cell>
          <cell r="AP99">
            <v>74</v>
          </cell>
          <cell r="AQ99">
            <v>148</v>
          </cell>
          <cell r="AR99">
            <v>4275</v>
          </cell>
          <cell r="AS99">
            <v>4275</v>
          </cell>
          <cell r="AT99">
            <v>20</v>
          </cell>
          <cell r="AU99">
            <v>27.5</v>
          </cell>
          <cell r="AV99">
            <v>23</v>
          </cell>
          <cell r="AW99">
            <v>31</v>
          </cell>
          <cell r="AX99">
            <v>100</v>
          </cell>
          <cell r="AZ99">
            <v>297.8</v>
          </cell>
          <cell r="BA99">
            <v>249.1</v>
          </cell>
          <cell r="BB99">
            <v>273</v>
          </cell>
          <cell r="BC99">
            <v>4368</v>
          </cell>
          <cell r="BD99">
            <v>9538</v>
          </cell>
          <cell r="BR99">
            <v>223</v>
          </cell>
          <cell r="BS99">
            <v>1678</v>
          </cell>
          <cell r="BT99">
            <v>335</v>
          </cell>
          <cell r="BU99">
            <v>419</v>
          </cell>
          <cell r="GZ99">
            <v>231</v>
          </cell>
          <cell r="HA99">
            <v>237</v>
          </cell>
          <cell r="HB99">
            <v>872</v>
          </cell>
          <cell r="HC99">
            <v>48</v>
          </cell>
          <cell r="HD99">
            <v>11520</v>
          </cell>
          <cell r="HE99">
            <v>43</v>
          </cell>
          <cell r="HF99">
            <v>43</v>
          </cell>
          <cell r="HG99">
            <v>9</v>
          </cell>
          <cell r="HH99">
            <v>9</v>
          </cell>
          <cell r="HI99">
            <v>4</v>
          </cell>
          <cell r="HJ99">
            <v>4</v>
          </cell>
          <cell r="HK99">
            <v>10</v>
          </cell>
          <cell r="HL99">
            <v>15</v>
          </cell>
          <cell r="HM99">
            <v>5</v>
          </cell>
          <cell r="HN99">
            <v>5</v>
          </cell>
          <cell r="HO99">
            <v>8</v>
          </cell>
          <cell r="HP99">
            <v>96</v>
          </cell>
          <cell r="HQ99">
            <v>12</v>
          </cell>
          <cell r="HR99">
            <v>144</v>
          </cell>
          <cell r="HT99">
            <v>95</v>
          </cell>
          <cell r="HU99">
            <v>11520</v>
          </cell>
          <cell r="HV99">
            <v>54000</v>
          </cell>
          <cell r="HW99">
            <v>81000</v>
          </cell>
          <cell r="HX99">
            <v>2600</v>
          </cell>
          <cell r="HY99">
            <v>2010</v>
          </cell>
          <cell r="HZ99">
            <v>4340</v>
          </cell>
          <cell r="IA99">
            <v>3360</v>
          </cell>
          <cell r="IF99">
            <v>95</v>
          </cell>
          <cell r="IG99">
            <v>872</v>
          </cell>
          <cell r="IH99">
            <v>130.80000000000001</v>
          </cell>
        </row>
        <row r="100">
          <cell r="A100">
            <v>96</v>
          </cell>
          <cell r="B100">
            <v>1000</v>
          </cell>
          <cell r="C100">
            <v>480</v>
          </cell>
          <cell r="D100">
            <v>96</v>
          </cell>
          <cell r="E100">
            <v>20</v>
          </cell>
          <cell r="F100">
            <v>137</v>
          </cell>
          <cell r="G100">
            <v>116</v>
          </cell>
          <cell r="H100">
            <v>106</v>
          </cell>
          <cell r="I100">
            <v>106</v>
          </cell>
          <cell r="J100">
            <v>116</v>
          </cell>
          <cell r="K100">
            <v>106</v>
          </cell>
          <cell r="L100">
            <v>74</v>
          </cell>
          <cell r="M100">
            <v>116</v>
          </cell>
          <cell r="N100">
            <v>127</v>
          </cell>
          <cell r="O100">
            <v>95</v>
          </cell>
          <cell r="P100">
            <v>127</v>
          </cell>
          <cell r="Q100">
            <v>148</v>
          </cell>
          <cell r="R100">
            <v>105.5</v>
          </cell>
          <cell r="S100">
            <v>116</v>
          </cell>
          <cell r="T100">
            <v>116.5</v>
          </cell>
          <cell r="U100">
            <v>100.5</v>
          </cell>
          <cell r="V100">
            <v>121.5</v>
          </cell>
          <cell r="W100">
            <v>127</v>
          </cell>
          <cell r="X100">
            <v>137</v>
          </cell>
          <cell r="Y100">
            <v>116</v>
          </cell>
          <cell r="Z100">
            <v>127</v>
          </cell>
          <cell r="AA100">
            <v>106</v>
          </cell>
          <cell r="AB100">
            <v>127</v>
          </cell>
          <cell r="AC100">
            <v>148</v>
          </cell>
          <cell r="AD100">
            <v>300.29999999999995</v>
          </cell>
          <cell r="AE100">
            <v>8750</v>
          </cell>
          <cell r="AF100">
            <v>61</v>
          </cell>
          <cell r="AG100">
            <v>122</v>
          </cell>
          <cell r="AH100">
            <v>1270</v>
          </cell>
          <cell r="AI100">
            <v>1270</v>
          </cell>
          <cell r="AJ100">
            <v>530</v>
          </cell>
          <cell r="AK100">
            <v>847</v>
          </cell>
          <cell r="AL100">
            <v>530</v>
          </cell>
          <cell r="AM100">
            <v>251.2</v>
          </cell>
          <cell r="AN100">
            <v>530</v>
          </cell>
          <cell r="AO100">
            <v>6760</v>
          </cell>
          <cell r="AP100">
            <v>75</v>
          </cell>
          <cell r="AQ100">
            <v>150</v>
          </cell>
          <cell r="AR100">
            <v>4320</v>
          </cell>
          <cell r="AS100">
            <v>4320</v>
          </cell>
          <cell r="AT100">
            <v>20.142857142857142</v>
          </cell>
          <cell r="AU100">
            <v>27.666666666666668</v>
          </cell>
          <cell r="AV100">
            <v>23.142857142857142</v>
          </cell>
          <cell r="AW100">
            <v>31.166666666666668</v>
          </cell>
          <cell r="AX100">
            <v>100</v>
          </cell>
          <cell r="AZ100">
            <v>300.29999999999995</v>
          </cell>
          <cell r="BA100">
            <v>251.2</v>
          </cell>
          <cell r="BB100">
            <v>275</v>
          </cell>
          <cell r="BC100">
            <v>4400</v>
          </cell>
          <cell r="BD100">
            <v>9621</v>
          </cell>
          <cell r="BR100">
            <v>225</v>
          </cell>
          <cell r="BS100">
            <v>1690</v>
          </cell>
          <cell r="BT100">
            <v>338</v>
          </cell>
          <cell r="BU100">
            <v>422</v>
          </cell>
          <cell r="GZ100">
            <v>233</v>
          </cell>
          <cell r="HA100">
            <v>239</v>
          </cell>
          <cell r="HB100">
            <v>888</v>
          </cell>
          <cell r="HC100">
            <v>49</v>
          </cell>
          <cell r="HD100">
            <v>11760</v>
          </cell>
          <cell r="HE100">
            <v>44</v>
          </cell>
          <cell r="HF100">
            <v>44</v>
          </cell>
          <cell r="HG100">
            <v>9</v>
          </cell>
          <cell r="HH100">
            <v>9</v>
          </cell>
          <cell r="HI100">
            <v>4</v>
          </cell>
          <cell r="HJ100">
            <v>4</v>
          </cell>
          <cell r="HK100">
            <v>10</v>
          </cell>
          <cell r="HL100">
            <v>15</v>
          </cell>
          <cell r="HM100">
            <v>5</v>
          </cell>
          <cell r="HN100">
            <v>5</v>
          </cell>
          <cell r="HO100">
            <v>8</v>
          </cell>
          <cell r="HP100">
            <v>98</v>
          </cell>
          <cell r="HQ100">
            <v>12</v>
          </cell>
          <cell r="HR100">
            <v>147</v>
          </cell>
          <cell r="HT100">
            <v>96</v>
          </cell>
          <cell r="HU100">
            <v>11760</v>
          </cell>
          <cell r="HV100">
            <v>55000</v>
          </cell>
          <cell r="HW100">
            <v>82000</v>
          </cell>
          <cell r="HX100">
            <v>2630</v>
          </cell>
          <cell r="HY100">
            <v>2030</v>
          </cell>
          <cell r="HZ100">
            <v>4380</v>
          </cell>
          <cell r="IA100">
            <v>3380</v>
          </cell>
          <cell r="IF100">
            <v>96</v>
          </cell>
          <cell r="IG100">
            <v>888</v>
          </cell>
          <cell r="IH100">
            <v>133.19999999999999</v>
          </cell>
        </row>
        <row r="101">
          <cell r="A101">
            <v>97</v>
          </cell>
          <cell r="B101">
            <v>1010</v>
          </cell>
          <cell r="C101">
            <v>485</v>
          </cell>
          <cell r="D101">
            <v>97</v>
          </cell>
          <cell r="E101">
            <v>20</v>
          </cell>
          <cell r="F101">
            <v>139</v>
          </cell>
          <cell r="G101">
            <v>117</v>
          </cell>
          <cell r="H101">
            <v>107</v>
          </cell>
          <cell r="I101">
            <v>107</v>
          </cell>
          <cell r="J101">
            <v>117</v>
          </cell>
          <cell r="K101">
            <v>107</v>
          </cell>
          <cell r="L101">
            <v>74</v>
          </cell>
          <cell r="M101">
            <v>117</v>
          </cell>
          <cell r="N101">
            <v>128</v>
          </cell>
          <cell r="O101">
            <v>96</v>
          </cell>
          <cell r="P101">
            <v>128</v>
          </cell>
          <cell r="Q101">
            <v>149</v>
          </cell>
          <cell r="R101">
            <v>106.5</v>
          </cell>
          <cell r="S101">
            <v>117</v>
          </cell>
          <cell r="T101">
            <v>117.5</v>
          </cell>
          <cell r="U101">
            <v>101.5</v>
          </cell>
          <cell r="V101">
            <v>122.5</v>
          </cell>
          <cell r="W101">
            <v>128</v>
          </cell>
          <cell r="X101">
            <v>139</v>
          </cell>
          <cell r="Y101">
            <v>117</v>
          </cell>
          <cell r="Z101">
            <v>128</v>
          </cell>
          <cell r="AA101">
            <v>107</v>
          </cell>
          <cell r="AB101">
            <v>128</v>
          </cell>
          <cell r="AC101">
            <v>149</v>
          </cell>
          <cell r="AD101">
            <v>304.10000000000002</v>
          </cell>
          <cell r="AE101">
            <v>8825</v>
          </cell>
          <cell r="AF101">
            <v>61</v>
          </cell>
          <cell r="AG101">
            <v>122</v>
          </cell>
          <cell r="AH101">
            <v>1280</v>
          </cell>
          <cell r="AI101">
            <v>1280</v>
          </cell>
          <cell r="AJ101">
            <v>535</v>
          </cell>
          <cell r="AK101">
            <v>854</v>
          </cell>
          <cell r="AL101">
            <v>535</v>
          </cell>
          <cell r="AM101">
            <v>253.3</v>
          </cell>
          <cell r="AN101">
            <v>535</v>
          </cell>
          <cell r="AO101">
            <v>6805</v>
          </cell>
          <cell r="AP101">
            <v>75</v>
          </cell>
          <cell r="AQ101">
            <v>150</v>
          </cell>
          <cell r="AR101">
            <v>4365</v>
          </cell>
          <cell r="AS101">
            <v>4365</v>
          </cell>
          <cell r="AT101">
            <v>20.285714285714285</v>
          </cell>
          <cell r="AU101">
            <v>27.833333333333332</v>
          </cell>
          <cell r="AV101">
            <v>23.285714285714285</v>
          </cell>
          <cell r="AW101">
            <v>31.333333333333332</v>
          </cell>
          <cell r="AX101">
            <v>100</v>
          </cell>
          <cell r="AZ101">
            <v>304.10000000000002</v>
          </cell>
          <cell r="BA101">
            <v>253.3</v>
          </cell>
          <cell r="BB101">
            <v>278</v>
          </cell>
          <cell r="BC101">
            <v>4448</v>
          </cell>
          <cell r="BD101">
            <v>9703</v>
          </cell>
          <cell r="BR101">
            <v>226</v>
          </cell>
          <cell r="BS101">
            <v>1701</v>
          </cell>
          <cell r="BT101">
            <v>340</v>
          </cell>
          <cell r="BU101">
            <v>425</v>
          </cell>
          <cell r="GZ101">
            <v>233</v>
          </cell>
          <cell r="HA101">
            <v>239</v>
          </cell>
          <cell r="HB101">
            <v>905</v>
          </cell>
          <cell r="HC101">
            <v>50</v>
          </cell>
          <cell r="HD101">
            <v>12000</v>
          </cell>
          <cell r="HE101">
            <v>45</v>
          </cell>
          <cell r="HF101">
            <v>45</v>
          </cell>
          <cell r="HG101">
            <v>10</v>
          </cell>
          <cell r="HH101">
            <v>10</v>
          </cell>
          <cell r="HI101">
            <v>5</v>
          </cell>
          <cell r="HJ101">
            <v>5</v>
          </cell>
          <cell r="HK101">
            <v>10</v>
          </cell>
          <cell r="HL101">
            <v>15</v>
          </cell>
          <cell r="HM101">
            <v>5</v>
          </cell>
          <cell r="HN101">
            <v>5</v>
          </cell>
          <cell r="HO101">
            <v>10</v>
          </cell>
          <cell r="HP101">
            <v>100</v>
          </cell>
          <cell r="HQ101">
            <v>15</v>
          </cell>
          <cell r="HR101">
            <v>150</v>
          </cell>
          <cell r="HT101">
            <v>97</v>
          </cell>
          <cell r="HU101">
            <v>12000</v>
          </cell>
          <cell r="HV101">
            <v>56000</v>
          </cell>
          <cell r="HW101">
            <v>84000</v>
          </cell>
          <cell r="HX101">
            <v>2650</v>
          </cell>
          <cell r="HY101">
            <v>2040</v>
          </cell>
          <cell r="HZ101">
            <v>4410</v>
          </cell>
          <cell r="IA101">
            <v>3400</v>
          </cell>
          <cell r="IF101">
            <v>97</v>
          </cell>
          <cell r="IG101">
            <v>905</v>
          </cell>
          <cell r="IH101">
            <v>135.75</v>
          </cell>
        </row>
        <row r="102">
          <cell r="A102">
            <v>98</v>
          </cell>
          <cell r="B102">
            <v>1020</v>
          </cell>
          <cell r="C102">
            <v>490</v>
          </cell>
          <cell r="D102">
            <v>98</v>
          </cell>
          <cell r="E102">
            <v>20</v>
          </cell>
          <cell r="F102">
            <v>140</v>
          </cell>
          <cell r="G102">
            <v>118</v>
          </cell>
          <cell r="H102">
            <v>108</v>
          </cell>
          <cell r="I102">
            <v>108</v>
          </cell>
          <cell r="J102">
            <v>118</v>
          </cell>
          <cell r="K102">
            <v>108</v>
          </cell>
          <cell r="L102">
            <v>75</v>
          </cell>
          <cell r="M102">
            <v>118</v>
          </cell>
          <cell r="N102">
            <v>129</v>
          </cell>
          <cell r="O102">
            <v>97</v>
          </cell>
          <cell r="P102">
            <v>129</v>
          </cell>
          <cell r="Q102">
            <v>151</v>
          </cell>
          <cell r="R102">
            <v>107.5</v>
          </cell>
          <cell r="S102">
            <v>118</v>
          </cell>
          <cell r="T102">
            <v>118.5</v>
          </cell>
          <cell r="U102">
            <v>102.5</v>
          </cell>
          <cell r="V102">
            <v>123.5</v>
          </cell>
          <cell r="W102">
            <v>129.5</v>
          </cell>
          <cell r="X102">
            <v>140</v>
          </cell>
          <cell r="Y102">
            <v>118</v>
          </cell>
          <cell r="Z102">
            <v>129</v>
          </cell>
          <cell r="AA102">
            <v>108</v>
          </cell>
          <cell r="AB102">
            <v>129</v>
          </cell>
          <cell r="AC102">
            <v>151</v>
          </cell>
          <cell r="AD102">
            <v>306.60000000000002</v>
          </cell>
          <cell r="AE102">
            <v>8900</v>
          </cell>
          <cell r="AF102">
            <v>62</v>
          </cell>
          <cell r="AG102">
            <v>124</v>
          </cell>
          <cell r="AH102">
            <v>1290</v>
          </cell>
          <cell r="AI102">
            <v>1290</v>
          </cell>
          <cell r="AJ102">
            <v>540</v>
          </cell>
          <cell r="AK102">
            <v>861</v>
          </cell>
          <cell r="AL102">
            <v>540</v>
          </cell>
          <cell r="AM102">
            <v>255.39999999999998</v>
          </cell>
          <cell r="AN102">
            <v>540</v>
          </cell>
          <cell r="AO102">
            <v>6895</v>
          </cell>
          <cell r="AP102">
            <v>76</v>
          </cell>
          <cell r="AQ102">
            <v>152</v>
          </cell>
          <cell r="AR102">
            <v>4410</v>
          </cell>
          <cell r="AS102">
            <v>4410</v>
          </cell>
          <cell r="AT102">
            <v>20.428571428571431</v>
          </cell>
          <cell r="AU102">
            <v>28</v>
          </cell>
          <cell r="AV102">
            <v>23.428571428571427</v>
          </cell>
          <cell r="AW102">
            <v>31.5</v>
          </cell>
          <cell r="AX102">
            <v>100</v>
          </cell>
          <cell r="AZ102">
            <v>306.60000000000002</v>
          </cell>
          <cell r="BA102">
            <v>255.39999999999998</v>
          </cell>
          <cell r="BB102">
            <v>281</v>
          </cell>
          <cell r="BC102">
            <v>4496</v>
          </cell>
          <cell r="BD102">
            <v>9786</v>
          </cell>
          <cell r="BR102">
            <v>229</v>
          </cell>
          <cell r="BS102">
            <v>1723</v>
          </cell>
          <cell r="BT102">
            <v>344</v>
          </cell>
          <cell r="BU102">
            <v>430</v>
          </cell>
          <cell r="GZ102">
            <v>233</v>
          </cell>
          <cell r="HA102">
            <v>239</v>
          </cell>
          <cell r="HB102">
            <v>922</v>
          </cell>
          <cell r="HC102">
            <v>51</v>
          </cell>
          <cell r="HD102">
            <v>12240</v>
          </cell>
          <cell r="HE102">
            <v>45</v>
          </cell>
          <cell r="HF102">
            <v>45</v>
          </cell>
          <cell r="HG102">
            <v>10</v>
          </cell>
          <cell r="HH102">
            <v>10</v>
          </cell>
          <cell r="HI102">
            <v>5</v>
          </cell>
          <cell r="HJ102">
            <v>5</v>
          </cell>
          <cell r="HK102">
            <v>12</v>
          </cell>
          <cell r="HL102">
            <v>18</v>
          </cell>
          <cell r="HM102">
            <v>6</v>
          </cell>
          <cell r="HN102">
            <v>6</v>
          </cell>
          <cell r="HO102">
            <v>10</v>
          </cell>
          <cell r="HP102">
            <v>102</v>
          </cell>
          <cell r="HQ102">
            <v>15</v>
          </cell>
          <cell r="HR102">
            <v>153</v>
          </cell>
          <cell r="HT102">
            <v>98</v>
          </cell>
          <cell r="HU102">
            <v>12240</v>
          </cell>
          <cell r="HV102">
            <v>57000</v>
          </cell>
          <cell r="HW102">
            <v>86000</v>
          </cell>
          <cell r="HX102">
            <v>2670</v>
          </cell>
          <cell r="HY102">
            <v>2070</v>
          </cell>
          <cell r="HZ102">
            <v>4450</v>
          </cell>
          <cell r="IA102">
            <v>3450</v>
          </cell>
          <cell r="IF102">
            <v>98</v>
          </cell>
          <cell r="IG102">
            <v>922</v>
          </cell>
          <cell r="IH102">
            <v>138.30000000000001</v>
          </cell>
        </row>
        <row r="103">
          <cell r="A103">
            <v>99</v>
          </cell>
          <cell r="B103">
            <v>1030</v>
          </cell>
          <cell r="C103">
            <v>495</v>
          </cell>
          <cell r="D103">
            <v>99</v>
          </cell>
          <cell r="E103">
            <v>20</v>
          </cell>
          <cell r="F103">
            <v>141</v>
          </cell>
          <cell r="G103">
            <v>119</v>
          </cell>
          <cell r="H103">
            <v>109</v>
          </cell>
          <cell r="I103">
            <v>109</v>
          </cell>
          <cell r="J103">
            <v>119</v>
          </cell>
          <cell r="K103">
            <v>109</v>
          </cell>
          <cell r="L103">
            <v>76</v>
          </cell>
          <cell r="M103">
            <v>119</v>
          </cell>
          <cell r="N103">
            <v>130</v>
          </cell>
          <cell r="O103">
            <v>98</v>
          </cell>
          <cell r="P103">
            <v>130</v>
          </cell>
          <cell r="Q103">
            <v>152</v>
          </cell>
          <cell r="R103">
            <v>108.5</v>
          </cell>
          <cell r="S103">
            <v>119</v>
          </cell>
          <cell r="T103">
            <v>119.5</v>
          </cell>
          <cell r="U103">
            <v>103.5</v>
          </cell>
          <cell r="V103">
            <v>124.5</v>
          </cell>
          <cell r="W103">
            <v>130.5</v>
          </cell>
          <cell r="X103">
            <v>141</v>
          </cell>
          <cell r="Y103">
            <v>119</v>
          </cell>
          <cell r="Z103">
            <v>130</v>
          </cell>
          <cell r="AA103">
            <v>109</v>
          </cell>
          <cell r="AB103">
            <v>130</v>
          </cell>
          <cell r="AC103">
            <v>152</v>
          </cell>
          <cell r="AD103">
            <v>309.10000000000002</v>
          </cell>
          <cell r="AE103">
            <v>8975</v>
          </cell>
          <cell r="AF103">
            <v>62</v>
          </cell>
          <cell r="AG103">
            <v>124</v>
          </cell>
          <cell r="AH103">
            <v>1300</v>
          </cell>
          <cell r="AI103">
            <v>1300</v>
          </cell>
          <cell r="AJ103">
            <v>545</v>
          </cell>
          <cell r="AK103">
            <v>868</v>
          </cell>
          <cell r="AL103">
            <v>545</v>
          </cell>
          <cell r="AM103">
            <v>257.5</v>
          </cell>
          <cell r="AN103">
            <v>545</v>
          </cell>
          <cell r="AO103">
            <v>6940</v>
          </cell>
          <cell r="AP103">
            <v>77</v>
          </cell>
          <cell r="AQ103">
            <v>154</v>
          </cell>
          <cell r="AR103">
            <v>4455</v>
          </cell>
          <cell r="AS103">
            <v>4455</v>
          </cell>
          <cell r="AT103">
            <v>20.571428571428569</v>
          </cell>
          <cell r="AU103">
            <v>28.166666666666668</v>
          </cell>
          <cell r="AV103">
            <v>23.571428571428573</v>
          </cell>
          <cell r="AW103">
            <v>31.666666666666668</v>
          </cell>
          <cell r="AX103">
            <v>100</v>
          </cell>
          <cell r="AZ103">
            <v>309.10000000000002</v>
          </cell>
          <cell r="BA103">
            <v>257.5</v>
          </cell>
          <cell r="BB103">
            <v>283</v>
          </cell>
          <cell r="BC103">
            <v>4528</v>
          </cell>
          <cell r="BD103">
            <v>9868</v>
          </cell>
          <cell r="BR103">
            <v>231</v>
          </cell>
          <cell r="BS103">
            <v>1735</v>
          </cell>
          <cell r="BT103">
            <v>347</v>
          </cell>
          <cell r="BU103">
            <v>433</v>
          </cell>
          <cell r="GZ103">
            <v>233</v>
          </cell>
          <cell r="HA103">
            <v>239</v>
          </cell>
          <cell r="HB103">
            <v>939</v>
          </cell>
          <cell r="HC103">
            <v>52</v>
          </cell>
          <cell r="HD103">
            <v>12480</v>
          </cell>
          <cell r="HE103">
            <v>46</v>
          </cell>
          <cell r="HF103">
            <v>46</v>
          </cell>
          <cell r="HG103">
            <v>10</v>
          </cell>
          <cell r="HH103">
            <v>10</v>
          </cell>
          <cell r="HI103">
            <v>5</v>
          </cell>
          <cell r="HJ103">
            <v>5</v>
          </cell>
          <cell r="HK103">
            <v>12</v>
          </cell>
          <cell r="HL103">
            <v>18</v>
          </cell>
          <cell r="HM103">
            <v>6</v>
          </cell>
          <cell r="HN103">
            <v>6</v>
          </cell>
          <cell r="HO103">
            <v>10</v>
          </cell>
          <cell r="HP103">
            <v>104</v>
          </cell>
          <cell r="HQ103">
            <v>15</v>
          </cell>
          <cell r="HR103">
            <v>156</v>
          </cell>
          <cell r="HT103">
            <v>99</v>
          </cell>
          <cell r="HU103">
            <v>12480</v>
          </cell>
          <cell r="HV103">
            <v>58000</v>
          </cell>
          <cell r="HW103">
            <v>87000</v>
          </cell>
          <cell r="HX103">
            <v>2690</v>
          </cell>
          <cell r="HY103">
            <v>2080</v>
          </cell>
          <cell r="HZ103">
            <v>4490</v>
          </cell>
          <cell r="IA103">
            <v>3470</v>
          </cell>
          <cell r="IF103">
            <v>99</v>
          </cell>
          <cell r="IG103">
            <v>939</v>
          </cell>
          <cell r="IH103">
            <v>140.85</v>
          </cell>
        </row>
        <row r="104">
          <cell r="A104">
            <v>100</v>
          </cell>
          <cell r="B104">
            <v>1040</v>
          </cell>
          <cell r="C104">
            <v>500</v>
          </cell>
          <cell r="D104">
            <v>100</v>
          </cell>
          <cell r="E104">
            <v>20</v>
          </cell>
          <cell r="F104">
            <v>143</v>
          </cell>
          <cell r="G104">
            <v>121</v>
          </cell>
          <cell r="H104">
            <v>110</v>
          </cell>
          <cell r="I104">
            <v>110</v>
          </cell>
          <cell r="J104">
            <v>121</v>
          </cell>
          <cell r="K104">
            <v>110</v>
          </cell>
          <cell r="L104">
            <v>77</v>
          </cell>
          <cell r="M104">
            <v>121</v>
          </cell>
          <cell r="N104">
            <v>132</v>
          </cell>
          <cell r="O104">
            <v>99</v>
          </cell>
          <cell r="P104">
            <v>132</v>
          </cell>
          <cell r="Q104">
            <v>154</v>
          </cell>
          <cell r="R104">
            <v>110</v>
          </cell>
          <cell r="S104">
            <v>121</v>
          </cell>
          <cell r="T104">
            <v>121</v>
          </cell>
          <cell r="U104">
            <v>104.5</v>
          </cell>
          <cell r="V104">
            <v>126.5</v>
          </cell>
          <cell r="W104">
            <v>132</v>
          </cell>
          <cell r="X104">
            <v>143</v>
          </cell>
          <cell r="Y104">
            <v>121</v>
          </cell>
          <cell r="Z104">
            <v>132</v>
          </cell>
          <cell r="AA104">
            <v>110</v>
          </cell>
          <cell r="AB104">
            <v>132</v>
          </cell>
          <cell r="AC104">
            <v>154</v>
          </cell>
          <cell r="AD104">
            <v>312.89999999999998</v>
          </cell>
          <cell r="AE104">
            <v>9125</v>
          </cell>
          <cell r="AF104">
            <v>63</v>
          </cell>
          <cell r="AG104">
            <v>126</v>
          </cell>
          <cell r="AH104">
            <v>1320</v>
          </cell>
          <cell r="AI104">
            <v>1320</v>
          </cell>
          <cell r="AJ104">
            <v>550</v>
          </cell>
          <cell r="AK104">
            <v>880</v>
          </cell>
          <cell r="AL104">
            <v>550</v>
          </cell>
          <cell r="AM104">
            <v>261.2</v>
          </cell>
          <cell r="AN104">
            <v>550</v>
          </cell>
          <cell r="AO104">
            <v>7030</v>
          </cell>
          <cell r="AP104">
            <v>78</v>
          </cell>
          <cell r="AQ104">
            <v>156</v>
          </cell>
          <cell r="AR104">
            <v>4500</v>
          </cell>
          <cell r="AS104">
            <v>4500</v>
          </cell>
          <cell r="AT104">
            <v>20.714285714285715</v>
          </cell>
          <cell r="AU104">
            <v>28.333333333333332</v>
          </cell>
          <cell r="AV104">
            <v>23.857142857142858</v>
          </cell>
          <cell r="AW104">
            <v>32</v>
          </cell>
          <cell r="AX104">
            <v>100</v>
          </cell>
          <cell r="AZ104">
            <v>312.89999999999998</v>
          </cell>
          <cell r="BA104">
            <v>261.2</v>
          </cell>
          <cell r="BB104">
            <v>287</v>
          </cell>
          <cell r="BC104">
            <v>4592</v>
          </cell>
          <cell r="BD104">
            <v>10033</v>
          </cell>
          <cell r="BR104">
            <v>234</v>
          </cell>
          <cell r="BS104">
            <v>1757</v>
          </cell>
          <cell r="BT104">
            <v>351</v>
          </cell>
          <cell r="BU104">
            <v>439</v>
          </cell>
          <cell r="GZ104">
            <v>233</v>
          </cell>
          <cell r="HA104">
            <v>239</v>
          </cell>
          <cell r="HB104">
            <v>957</v>
          </cell>
          <cell r="HC104">
            <v>53</v>
          </cell>
          <cell r="HD104">
            <v>12720</v>
          </cell>
          <cell r="HE104">
            <v>47</v>
          </cell>
          <cell r="HF104">
            <v>47</v>
          </cell>
          <cell r="HG104">
            <v>10</v>
          </cell>
          <cell r="HH104">
            <v>10</v>
          </cell>
          <cell r="HI104">
            <v>5</v>
          </cell>
          <cell r="HJ104">
            <v>5</v>
          </cell>
          <cell r="HK104">
            <v>12</v>
          </cell>
          <cell r="HL104">
            <v>18</v>
          </cell>
          <cell r="HM104">
            <v>6</v>
          </cell>
          <cell r="HN104">
            <v>6</v>
          </cell>
          <cell r="HO104">
            <v>10</v>
          </cell>
          <cell r="HP104">
            <v>106</v>
          </cell>
          <cell r="HQ104">
            <v>15</v>
          </cell>
          <cell r="HR104">
            <v>159</v>
          </cell>
          <cell r="HT104">
            <v>100</v>
          </cell>
          <cell r="HU104">
            <v>12720</v>
          </cell>
          <cell r="HV104">
            <v>59000</v>
          </cell>
          <cell r="HW104">
            <v>89000</v>
          </cell>
          <cell r="HX104">
            <v>2740</v>
          </cell>
          <cell r="HY104">
            <v>2110</v>
          </cell>
          <cell r="HZ104">
            <v>4560</v>
          </cell>
          <cell r="IA104">
            <v>3520</v>
          </cell>
          <cell r="IF104">
            <v>100</v>
          </cell>
          <cell r="IG104">
            <v>957</v>
          </cell>
          <cell r="IH104">
            <v>143.55000000000001</v>
          </cell>
        </row>
      </sheetData>
      <sheetData sheetId="1">
        <row r="5">
          <cell r="A5">
            <v>1</v>
          </cell>
          <cell r="B5">
            <v>5.6000000000000005</v>
          </cell>
          <cell r="C5">
            <v>4.8000000000000007</v>
          </cell>
          <cell r="D5">
            <v>5.2</v>
          </cell>
          <cell r="E5">
            <v>4.4000000000000004</v>
          </cell>
          <cell r="F5">
            <v>5.2</v>
          </cell>
          <cell r="G5">
            <v>6</v>
          </cell>
          <cell r="H5">
            <v>10.56</v>
          </cell>
          <cell r="I5">
            <v>380</v>
          </cell>
          <cell r="J5">
            <v>18</v>
          </cell>
          <cell r="K5">
            <v>19.8</v>
          </cell>
          <cell r="L5">
            <v>52</v>
          </cell>
          <cell r="M5">
            <v>18</v>
          </cell>
          <cell r="N5">
            <v>27.500000000000004</v>
          </cell>
          <cell r="O5">
            <v>34.800000000000004</v>
          </cell>
          <cell r="P5">
            <v>22</v>
          </cell>
          <cell r="Q5">
            <v>8.5200000000000014</v>
          </cell>
          <cell r="R5">
            <v>22.000000000000004</v>
          </cell>
          <cell r="S5">
            <v>310</v>
          </cell>
          <cell r="T5">
            <v>16</v>
          </cell>
          <cell r="U5">
            <v>17.600000000000001</v>
          </cell>
          <cell r="V5">
            <v>13.5</v>
          </cell>
          <cell r="W5">
            <v>13.5</v>
          </cell>
          <cell r="X5">
            <v>6.5714285714285712</v>
          </cell>
          <cell r="Y5">
            <v>11.833333333333334</v>
          </cell>
          <cell r="Z5">
            <v>6.8571428571428577</v>
          </cell>
          <cell r="AA5">
            <v>12.166666666666666</v>
          </cell>
          <cell r="AB5">
            <v>4.2240000000000002</v>
          </cell>
          <cell r="AC5">
            <v>4.2240000000000002</v>
          </cell>
          <cell r="AD5">
            <v>20</v>
          </cell>
          <cell r="AE5">
            <v>2</v>
          </cell>
          <cell r="AF5">
            <v>10.56</v>
          </cell>
          <cell r="AG5">
            <v>20</v>
          </cell>
          <cell r="AH5">
            <v>15</v>
          </cell>
          <cell r="AI5">
            <v>20</v>
          </cell>
          <cell r="AJ5">
            <v>10</v>
          </cell>
          <cell r="AK5">
            <v>1</v>
          </cell>
          <cell r="AL5">
            <v>20</v>
          </cell>
          <cell r="AM5">
            <v>10</v>
          </cell>
          <cell r="AN5">
            <v>30</v>
          </cell>
          <cell r="AO5">
            <v>30</v>
          </cell>
          <cell r="AP5">
            <v>30</v>
          </cell>
          <cell r="AQ5">
            <v>26.4</v>
          </cell>
          <cell r="AR5">
            <v>26.4</v>
          </cell>
          <cell r="AS5">
            <v>10</v>
          </cell>
          <cell r="AT5">
            <v>10</v>
          </cell>
        </row>
        <row r="6">
          <cell r="A6">
            <v>2</v>
          </cell>
          <cell r="B6">
            <v>6</v>
          </cell>
          <cell r="C6">
            <v>5.2</v>
          </cell>
          <cell r="D6">
            <v>5.6000000000000005</v>
          </cell>
          <cell r="E6">
            <v>4.8000000000000007</v>
          </cell>
          <cell r="F6">
            <v>5.6000000000000005</v>
          </cell>
          <cell r="G6">
            <v>6.4</v>
          </cell>
          <cell r="H6">
            <v>11.56</v>
          </cell>
          <cell r="I6">
            <v>410</v>
          </cell>
          <cell r="J6">
            <v>18</v>
          </cell>
          <cell r="K6">
            <v>19.8</v>
          </cell>
          <cell r="L6">
            <v>56</v>
          </cell>
          <cell r="M6">
            <v>22</v>
          </cell>
          <cell r="N6">
            <v>30</v>
          </cell>
          <cell r="O6">
            <v>37.6</v>
          </cell>
          <cell r="P6">
            <v>24</v>
          </cell>
          <cell r="Q6">
            <v>9.36</v>
          </cell>
          <cell r="R6">
            <v>24</v>
          </cell>
          <cell r="S6">
            <v>328</v>
          </cell>
          <cell r="T6">
            <v>18</v>
          </cell>
          <cell r="U6">
            <v>19.8</v>
          </cell>
          <cell r="V6">
            <v>27</v>
          </cell>
          <cell r="W6">
            <v>27</v>
          </cell>
          <cell r="X6">
            <v>6.7142857142857144</v>
          </cell>
          <cell r="Y6">
            <v>12</v>
          </cell>
          <cell r="Z6">
            <v>7</v>
          </cell>
          <cell r="AA6">
            <v>12.333333333333334</v>
          </cell>
          <cell r="AB6">
            <v>4.6240000000000006</v>
          </cell>
          <cell r="AC6">
            <v>4.6240000000000006</v>
          </cell>
          <cell r="AD6">
            <v>20</v>
          </cell>
          <cell r="AE6">
            <v>2</v>
          </cell>
          <cell r="AF6">
            <v>11.56</v>
          </cell>
          <cell r="AG6">
            <v>20</v>
          </cell>
          <cell r="AH6">
            <v>15</v>
          </cell>
          <cell r="AI6">
            <v>20</v>
          </cell>
          <cell r="AJ6">
            <v>10</v>
          </cell>
          <cell r="AK6">
            <v>1</v>
          </cell>
          <cell r="AL6">
            <v>20</v>
          </cell>
          <cell r="AM6">
            <v>10</v>
          </cell>
          <cell r="AN6">
            <v>30</v>
          </cell>
          <cell r="AO6">
            <v>30</v>
          </cell>
          <cell r="AP6">
            <v>30</v>
          </cell>
          <cell r="AQ6">
            <v>28.9</v>
          </cell>
          <cell r="AR6">
            <v>28.9</v>
          </cell>
          <cell r="AS6">
            <v>10</v>
          </cell>
          <cell r="AT6">
            <v>10</v>
          </cell>
        </row>
        <row r="7">
          <cell r="A7">
            <v>3</v>
          </cell>
          <cell r="B7">
            <v>6.4</v>
          </cell>
          <cell r="C7">
            <v>5.6000000000000005</v>
          </cell>
          <cell r="D7">
            <v>6</v>
          </cell>
          <cell r="E7">
            <v>5.2</v>
          </cell>
          <cell r="F7">
            <v>6</v>
          </cell>
          <cell r="G7">
            <v>7.2</v>
          </cell>
          <cell r="H7">
            <v>12.56</v>
          </cell>
          <cell r="I7">
            <v>440</v>
          </cell>
          <cell r="J7">
            <v>20</v>
          </cell>
          <cell r="K7">
            <v>22</v>
          </cell>
          <cell r="L7">
            <v>60</v>
          </cell>
          <cell r="M7">
            <v>26</v>
          </cell>
          <cell r="N7">
            <v>32.5</v>
          </cell>
          <cell r="O7">
            <v>40.400000000000006</v>
          </cell>
          <cell r="P7">
            <v>26</v>
          </cell>
          <cell r="Q7">
            <v>10.200000000000001</v>
          </cell>
          <cell r="R7">
            <v>26</v>
          </cell>
          <cell r="S7">
            <v>364</v>
          </cell>
          <cell r="T7">
            <v>20</v>
          </cell>
          <cell r="U7">
            <v>22</v>
          </cell>
          <cell r="V7">
            <v>40.5</v>
          </cell>
          <cell r="W7">
            <v>40.5</v>
          </cell>
          <cell r="X7">
            <v>6.8571428571428577</v>
          </cell>
          <cell r="Y7">
            <v>12.166666666666666</v>
          </cell>
          <cell r="Z7">
            <v>7.1428571428571423</v>
          </cell>
          <cell r="AA7">
            <v>12.5</v>
          </cell>
          <cell r="AB7">
            <v>5.0240000000000009</v>
          </cell>
          <cell r="AC7">
            <v>5.0240000000000009</v>
          </cell>
          <cell r="AD7">
            <v>20</v>
          </cell>
          <cell r="AE7">
            <v>2</v>
          </cell>
          <cell r="AF7">
            <v>12.56</v>
          </cell>
          <cell r="AG7">
            <v>20</v>
          </cell>
          <cell r="AH7">
            <v>15</v>
          </cell>
          <cell r="AI7">
            <v>20</v>
          </cell>
          <cell r="AJ7">
            <v>11</v>
          </cell>
          <cell r="AK7">
            <v>2</v>
          </cell>
          <cell r="AL7">
            <v>20</v>
          </cell>
          <cell r="AM7">
            <v>10</v>
          </cell>
          <cell r="AN7">
            <v>30</v>
          </cell>
          <cell r="AO7">
            <v>30</v>
          </cell>
          <cell r="AP7">
            <v>30</v>
          </cell>
          <cell r="AQ7">
            <v>31.4</v>
          </cell>
          <cell r="AR7">
            <v>31.4</v>
          </cell>
          <cell r="AS7">
            <v>10</v>
          </cell>
          <cell r="AT7">
            <v>10</v>
          </cell>
        </row>
        <row r="8">
          <cell r="A8">
            <v>4</v>
          </cell>
          <cell r="B8">
            <v>7.2</v>
          </cell>
          <cell r="C8">
            <v>6</v>
          </cell>
          <cell r="D8">
            <v>6.4</v>
          </cell>
          <cell r="E8">
            <v>5.6000000000000005</v>
          </cell>
          <cell r="F8">
            <v>6.4</v>
          </cell>
          <cell r="G8">
            <v>7.6000000000000005</v>
          </cell>
          <cell r="H8">
            <v>14.080000000000002</v>
          </cell>
          <cell r="I8">
            <v>470</v>
          </cell>
          <cell r="J8">
            <v>20</v>
          </cell>
          <cell r="K8">
            <v>22</v>
          </cell>
          <cell r="L8">
            <v>64</v>
          </cell>
          <cell r="M8">
            <v>30</v>
          </cell>
          <cell r="N8">
            <v>35</v>
          </cell>
          <cell r="O8">
            <v>43.2</v>
          </cell>
          <cell r="P8">
            <v>28</v>
          </cell>
          <cell r="Q8">
            <v>11.040000000000001</v>
          </cell>
          <cell r="R8">
            <v>28</v>
          </cell>
          <cell r="S8">
            <v>382</v>
          </cell>
          <cell r="T8">
            <v>20</v>
          </cell>
          <cell r="U8">
            <v>22</v>
          </cell>
          <cell r="V8">
            <v>54</v>
          </cell>
          <cell r="W8">
            <v>54</v>
          </cell>
          <cell r="X8">
            <v>7</v>
          </cell>
          <cell r="Y8">
            <v>12.333333333333334</v>
          </cell>
          <cell r="Z8">
            <v>7.2857142857142856</v>
          </cell>
          <cell r="AA8">
            <v>12.666666666666666</v>
          </cell>
          <cell r="AB8">
            <v>5.6320000000000014</v>
          </cell>
          <cell r="AC8">
            <v>5.6320000000000014</v>
          </cell>
          <cell r="AD8">
            <v>20</v>
          </cell>
          <cell r="AE8">
            <v>2</v>
          </cell>
          <cell r="AF8">
            <v>14.080000000000002</v>
          </cell>
          <cell r="AG8">
            <v>20</v>
          </cell>
          <cell r="AH8">
            <v>15</v>
          </cell>
          <cell r="AI8">
            <v>20</v>
          </cell>
          <cell r="AJ8">
            <v>11</v>
          </cell>
          <cell r="AK8">
            <v>2</v>
          </cell>
          <cell r="AL8">
            <v>20</v>
          </cell>
          <cell r="AM8">
            <v>10</v>
          </cell>
          <cell r="AN8">
            <v>30</v>
          </cell>
          <cell r="AO8">
            <v>30</v>
          </cell>
          <cell r="AP8">
            <v>30</v>
          </cell>
          <cell r="AQ8">
            <v>35.200000000000003</v>
          </cell>
          <cell r="AR8">
            <v>35.200000000000003</v>
          </cell>
          <cell r="AS8">
            <v>10</v>
          </cell>
          <cell r="AT8">
            <v>10</v>
          </cell>
        </row>
        <row r="9">
          <cell r="A9">
            <v>5</v>
          </cell>
          <cell r="B9">
            <v>7.6000000000000005</v>
          </cell>
          <cell r="C9">
            <v>6.4</v>
          </cell>
          <cell r="D9">
            <v>7.2</v>
          </cell>
          <cell r="E9">
            <v>6</v>
          </cell>
          <cell r="F9">
            <v>7.2</v>
          </cell>
          <cell r="G9">
            <v>8.4</v>
          </cell>
          <cell r="H9">
            <v>15.080000000000002</v>
          </cell>
          <cell r="I9">
            <v>500</v>
          </cell>
          <cell r="J9">
            <v>22</v>
          </cell>
          <cell r="K9">
            <v>24.200000000000003</v>
          </cell>
          <cell r="L9">
            <v>72</v>
          </cell>
          <cell r="M9">
            <v>38</v>
          </cell>
          <cell r="N9">
            <v>37.5</v>
          </cell>
          <cell r="O9">
            <v>48</v>
          </cell>
          <cell r="P9">
            <v>30</v>
          </cell>
          <cell r="Q9">
            <v>12.52</v>
          </cell>
          <cell r="R9">
            <v>30</v>
          </cell>
          <cell r="S9">
            <v>418</v>
          </cell>
          <cell r="T9">
            <v>22</v>
          </cell>
          <cell r="U9">
            <v>24.200000000000003</v>
          </cell>
          <cell r="V9">
            <v>67.5</v>
          </cell>
          <cell r="W9">
            <v>67.5</v>
          </cell>
          <cell r="X9">
            <v>7.1428571428571423</v>
          </cell>
          <cell r="Y9">
            <v>12.5</v>
          </cell>
          <cell r="Z9">
            <v>7.5714285714285712</v>
          </cell>
          <cell r="AA9">
            <v>13</v>
          </cell>
          <cell r="AB9">
            <v>6.0320000000000009</v>
          </cell>
          <cell r="AC9">
            <v>6.0320000000000009</v>
          </cell>
          <cell r="AD9">
            <v>20</v>
          </cell>
          <cell r="AE9">
            <v>4</v>
          </cell>
          <cell r="AF9">
            <v>15.080000000000002</v>
          </cell>
          <cell r="AG9">
            <v>20</v>
          </cell>
          <cell r="AH9">
            <v>15</v>
          </cell>
          <cell r="AI9">
            <v>20</v>
          </cell>
          <cell r="AJ9">
            <v>11</v>
          </cell>
          <cell r="AK9">
            <v>3</v>
          </cell>
          <cell r="AL9">
            <v>20</v>
          </cell>
          <cell r="AM9">
            <v>10</v>
          </cell>
          <cell r="AN9">
            <v>30</v>
          </cell>
          <cell r="AO9">
            <v>30</v>
          </cell>
          <cell r="AP9">
            <v>30</v>
          </cell>
          <cell r="AQ9">
            <v>37.700000000000003</v>
          </cell>
          <cell r="AR9">
            <v>37.700000000000003</v>
          </cell>
          <cell r="AS9">
            <v>10</v>
          </cell>
          <cell r="AT9">
            <v>10</v>
          </cell>
        </row>
        <row r="10">
          <cell r="A10">
            <v>6</v>
          </cell>
          <cell r="B10">
            <v>8</v>
          </cell>
          <cell r="C10">
            <v>6.8000000000000007</v>
          </cell>
          <cell r="D10">
            <v>7.6000000000000005</v>
          </cell>
          <cell r="E10">
            <v>6.4</v>
          </cell>
          <cell r="F10">
            <v>7.6000000000000005</v>
          </cell>
          <cell r="G10">
            <v>8.8000000000000007</v>
          </cell>
          <cell r="H10">
            <v>16.080000000000002</v>
          </cell>
          <cell r="I10">
            <v>530</v>
          </cell>
          <cell r="J10">
            <v>22</v>
          </cell>
          <cell r="K10">
            <v>24.200000000000003</v>
          </cell>
          <cell r="L10">
            <v>76</v>
          </cell>
          <cell r="M10">
            <v>42</v>
          </cell>
          <cell r="N10">
            <v>40</v>
          </cell>
          <cell r="O10">
            <v>50.800000000000004</v>
          </cell>
          <cell r="P10">
            <v>32</v>
          </cell>
          <cell r="Q10">
            <v>13.36</v>
          </cell>
          <cell r="R10">
            <v>32</v>
          </cell>
          <cell r="S10">
            <v>436</v>
          </cell>
          <cell r="T10">
            <v>24</v>
          </cell>
          <cell r="U10">
            <v>26.400000000000002</v>
          </cell>
          <cell r="V10">
            <v>81</v>
          </cell>
          <cell r="W10">
            <v>81</v>
          </cell>
          <cell r="X10">
            <v>7.2857142857142856</v>
          </cell>
          <cell r="Y10">
            <v>12.666666666666666</v>
          </cell>
          <cell r="Z10">
            <v>7.7142857142857144</v>
          </cell>
          <cell r="AA10">
            <v>13.166666666666666</v>
          </cell>
          <cell r="AB10">
            <v>6.4320000000000013</v>
          </cell>
          <cell r="AC10">
            <v>6.4320000000000013</v>
          </cell>
          <cell r="AD10">
            <v>20</v>
          </cell>
          <cell r="AE10">
            <v>4</v>
          </cell>
          <cell r="AF10">
            <v>16.080000000000002</v>
          </cell>
          <cell r="AG10">
            <v>20</v>
          </cell>
          <cell r="AH10">
            <v>15</v>
          </cell>
          <cell r="AI10">
            <v>20</v>
          </cell>
          <cell r="AJ10">
            <v>12</v>
          </cell>
          <cell r="AK10">
            <v>3</v>
          </cell>
          <cell r="AL10">
            <v>20</v>
          </cell>
          <cell r="AM10">
            <v>10</v>
          </cell>
          <cell r="AN10">
            <v>30</v>
          </cell>
          <cell r="AO10">
            <v>30</v>
          </cell>
          <cell r="AP10">
            <v>30</v>
          </cell>
          <cell r="AQ10">
            <v>40.200000000000003</v>
          </cell>
          <cell r="AR10">
            <v>40.200000000000003</v>
          </cell>
          <cell r="AS10">
            <v>10</v>
          </cell>
          <cell r="AT10">
            <v>10</v>
          </cell>
        </row>
        <row r="11">
          <cell r="A11">
            <v>7</v>
          </cell>
          <cell r="B11">
            <v>8.8000000000000007</v>
          </cell>
          <cell r="C11">
            <v>7.2</v>
          </cell>
          <cell r="D11">
            <v>8</v>
          </cell>
          <cell r="E11">
            <v>6.8000000000000007</v>
          </cell>
          <cell r="F11">
            <v>8</v>
          </cell>
          <cell r="G11">
            <v>9.2000000000000011</v>
          </cell>
          <cell r="H11">
            <v>17.600000000000001</v>
          </cell>
          <cell r="I11">
            <v>560</v>
          </cell>
          <cell r="J11">
            <v>24</v>
          </cell>
          <cell r="K11">
            <v>26.400000000000002</v>
          </cell>
          <cell r="L11">
            <v>80</v>
          </cell>
          <cell r="M11">
            <v>46</v>
          </cell>
          <cell r="N11">
            <v>42.5</v>
          </cell>
          <cell r="O11">
            <v>53.6</v>
          </cell>
          <cell r="P11">
            <v>34</v>
          </cell>
          <cell r="Q11">
            <v>14.200000000000001</v>
          </cell>
          <cell r="R11">
            <v>34</v>
          </cell>
          <cell r="S11">
            <v>454</v>
          </cell>
          <cell r="T11">
            <v>24</v>
          </cell>
          <cell r="U11">
            <v>26.400000000000002</v>
          </cell>
          <cell r="V11">
            <v>94.5</v>
          </cell>
          <cell r="W11">
            <v>94.5</v>
          </cell>
          <cell r="X11">
            <v>7.4285714285714288</v>
          </cell>
          <cell r="Y11">
            <v>12.833333333333334</v>
          </cell>
          <cell r="Z11">
            <v>7.8571428571428577</v>
          </cell>
          <cell r="AA11">
            <v>13.333333333333334</v>
          </cell>
          <cell r="AB11">
            <v>7.0400000000000009</v>
          </cell>
          <cell r="AC11">
            <v>7.0400000000000009</v>
          </cell>
          <cell r="AD11">
            <v>20</v>
          </cell>
          <cell r="AE11">
            <v>4</v>
          </cell>
          <cell r="AF11">
            <v>17.600000000000001</v>
          </cell>
          <cell r="AG11">
            <v>20</v>
          </cell>
          <cell r="AH11">
            <v>15</v>
          </cell>
          <cell r="AI11">
            <v>20</v>
          </cell>
          <cell r="AJ11">
            <v>12</v>
          </cell>
          <cell r="AK11">
            <v>3</v>
          </cell>
          <cell r="AL11">
            <v>20</v>
          </cell>
          <cell r="AM11">
            <v>10</v>
          </cell>
          <cell r="AN11">
            <v>30</v>
          </cell>
          <cell r="AO11">
            <v>30</v>
          </cell>
          <cell r="AP11">
            <v>30</v>
          </cell>
          <cell r="AQ11">
            <v>44</v>
          </cell>
          <cell r="AR11">
            <v>44</v>
          </cell>
          <cell r="AS11">
            <v>10</v>
          </cell>
          <cell r="AT11">
            <v>10</v>
          </cell>
        </row>
        <row r="12">
          <cell r="A12">
            <v>8</v>
          </cell>
          <cell r="B12">
            <v>9.2000000000000011</v>
          </cell>
          <cell r="C12">
            <v>7.6000000000000005</v>
          </cell>
          <cell r="D12">
            <v>8.4</v>
          </cell>
          <cell r="E12">
            <v>7.2</v>
          </cell>
          <cell r="F12">
            <v>8.4</v>
          </cell>
          <cell r="G12">
            <v>10</v>
          </cell>
          <cell r="H12">
            <v>18.600000000000005</v>
          </cell>
          <cell r="I12">
            <v>590</v>
          </cell>
          <cell r="J12">
            <v>24</v>
          </cell>
          <cell r="K12">
            <v>26.400000000000002</v>
          </cell>
          <cell r="L12">
            <v>84</v>
          </cell>
          <cell r="M12">
            <v>50</v>
          </cell>
          <cell r="N12">
            <v>45</v>
          </cell>
          <cell r="O12">
            <v>56.400000000000006</v>
          </cell>
          <cell r="P12">
            <v>36</v>
          </cell>
          <cell r="Q12">
            <v>15.040000000000001</v>
          </cell>
          <cell r="R12">
            <v>36</v>
          </cell>
          <cell r="S12">
            <v>490</v>
          </cell>
          <cell r="T12">
            <v>26</v>
          </cell>
          <cell r="U12">
            <v>28.6</v>
          </cell>
          <cell r="V12">
            <v>108</v>
          </cell>
          <cell r="W12">
            <v>108</v>
          </cell>
          <cell r="X12">
            <v>7.5714285714285712</v>
          </cell>
          <cell r="Y12">
            <v>13</v>
          </cell>
          <cell r="Z12">
            <v>8</v>
          </cell>
          <cell r="AA12">
            <v>13.5</v>
          </cell>
          <cell r="AB12">
            <v>7.4400000000000022</v>
          </cell>
          <cell r="AC12">
            <v>7.4400000000000022</v>
          </cell>
          <cell r="AD12">
            <v>20</v>
          </cell>
          <cell r="AE12">
            <v>4</v>
          </cell>
          <cell r="AF12">
            <v>18.600000000000005</v>
          </cell>
          <cell r="AG12">
            <v>20</v>
          </cell>
          <cell r="AH12">
            <v>15</v>
          </cell>
          <cell r="AI12">
            <v>20</v>
          </cell>
          <cell r="AJ12">
            <v>12</v>
          </cell>
          <cell r="AK12">
            <v>4</v>
          </cell>
          <cell r="AL12">
            <v>20</v>
          </cell>
          <cell r="AM12">
            <v>10</v>
          </cell>
          <cell r="AN12">
            <v>30</v>
          </cell>
          <cell r="AO12">
            <v>30</v>
          </cell>
          <cell r="AP12">
            <v>30</v>
          </cell>
          <cell r="AQ12">
            <v>46.500000000000007</v>
          </cell>
          <cell r="AR12">
            <v>46.500000000000007</v>
          </cell>
          <cell r="AS12">
            <v>10</v>
          </cell>
          <cell r="AT12">
            <v>10</v>
          </cell>
        </row>
        <row r="13">
          <cell r="A13">
            <v>9</v>
          </cell>
          <cell r="B13">
            <v>9.6000000000000014</v>
          </cell>
          <cell r="C13">
            <v>8</v>
          </cell>
          <cell r="D13">
            <v>8.8000000000000007</v>
          </cell>
          <cell r="E13">
            <v>7.6000000000000005</v>
          </cell>
          <cell r="F13">
            <v>8.8000000000000007</v>
          </cell>
          <cell r="G13">
            <v>10.4</v>
          </cell>
          <cell r="H13">
            <v>19.600000000000001</v>
          </cell>
          <cell r="I13">
            <v>620</v>
          </cell>
          <cell r="J13">
            <v>26</v>
          </cell>
          <cell r="K13">
            <v>28.6</v>
          </cell>
          <cell r="L13">
            <v>88.000000000000014</v>
          </cell>
          <cell r="M13">
            <v>54.000000000000014</v>
          </cell>
          <cell r="N13">
            <v>47.5</v>
          </cell>
          <cell r="O13">
            <v>59.2</v>
          </cell>
          <cell r="P13">
            <v>38</v>
          </cell>
          <cell r="Q13">
            <v>15.880000000000003</v>
          </cell>
          <cell r="R13">
            <v>38</v>
          </cell>
          <cell r="S13">
            <v>508</v>
          </cell>
          <cell r="T13">
            <v>28</v>
          </cell>
          <cell r="U13">
            <v>30.800000000000004</v>
          </cell>
          <cell r="V13">
            <v>121.5</v>
          </cell>
          <cell r="W13">
            <v>121.5</v>
          </cell>
          <cell r="X13">
            <v>7.7142857142857144</v>
          </cell>
          <cell r="Y13">
            <v>13.166666666666666</v>
          </cell>
          <cell r="Z13">
            <v>8.1428571428571423</v>
          </cell>
          <cell r="AA13">
            <v>13.666666666666666</v>
          </cell>
          <cell r="AB13">
            <v>7.8400000000000007</v>
          </cell>
          <cell r="AC13">
            <v>7.8400000000000007</v>
          </cell>
          <cell r="AD13">
            <v>20</v>
          </cell>
          <cell r="AE13">
            <v>4</v>
          </cell>
          <cell r="AF13">
            <v>19.600000000000001</v>
          </cell>
          <cell r="AG13">
            <v>20</v>
          </cell>
          <cell r="AH13">
            <v>15</v>
          </cell>
          <cell r="AI13">
            <v>20</v>
          </cell>
          <cell r="AJ13">
            <v>13</v>
          </cell>
          <cell r="AK13">
            <v>4</v>
          </cell>
          <cell r="AL13">
            <v>20</v>
          </cell>
          <cell r="AM13">
            <v>10</v>
          </cell>
          <cell r="AN13">
            <v>30</v>
          </cell>
          <cell r="AO13">
            <v>30</v>
          </cell>
          <cell r="AP13">
            <v>30</v>
          </cell>
          <cell r="AQ13">
            <v>49</v>
          </cell>
          <cell r="AR13">
            <v>49</v>
          </cell>
          <cell r="AS13">
            <v>10</v>
          </cell>
          <cell r="AT13">
            <v>10</v>
          </cell>
        </row>
        <row r="14">
          <cell r="A14">
            <v>10</v>
          </cell>
          <cell r="B14">
            <v>10.4</v>
          </cell>
          <cell r="C14">
            <v>8.8000000000000007</v>
          </cell>
          <cell r="D14">
            <v>9.6000000000000014</v>
          </cell>
          <cell r="E14">
            <v>8</v>
          </cell>
          <cell r="F14">
            <v>9.6000000000000014</v>
          </cell>
          <cell r="G14">
            <v>11.200000000000001</v>
          </cell>
          <cell r="H14">
            <v>21.120000000000005</v>
          </cell>
          <cell r="I14">
            <v>680</v>
          </cell>
          <cell r="J14">
            <v>28</v>
          </cell>
          <cell r="K14">
            <v>30.800000000000004</v>
          </cell>
          <cell r="L14">
            <v>96</v>
          </cell>
          <cell r="M14">
            <v>62</v>
          </cell>
          <cell r="N14">
            <v>50</v>
          </cell>
          <cell r="O14">
            <v>64</v>
          </cell>
          <cell r="P14">
            <v>40</v>
          </cell>
          <cell r="Q14">
            <v>17.36</v>
          </cell>
          <cell r="R14">
            <v>40</v>
          </cell>
          <cell r="S14">
            <v>544</v>
          </cell>
          <cell r="T14">
            <v>30</v>
          </cell>
          <cell r="U14">
            <v>33</v>
          </cell>
          <cell r="V14">
            <v>135</v>
          </cell>
          <cell r="W14">
            <v>135</v>
          </cell>
          <cell r="X14">
            <v>7.8571428571428577</v>
          </cell>
          <cell r="Y14">
            <v>13.333333333333334</v>
          </cell>
          <cell r="Z14">
            <v>8.4285714285714288</v>
          </cell>
          <cell r="AA14">
            <v>14</v>
          </cell>
          <cell r="AB14">
            <v>8.4480000000000022</v>
          </cell>
          <cell r="AC14">
            <v>8.4480000000000022</v>
          </cell>
          <cell r="AD14">
            <v>20</v>
          </cell>
          <cell r="AE14">
            <v>6</v>
          </cell>
          <cell r="AF14">
            <v>21.120000000000005</v>
          </cell>
          <cell r="AG14">
            <v>20</v>
          </cell>
          <cell r="AH14">
            <v>15</v>
          </cell>
          <cell r="AI14">
            <v>20</v>
          </cell>
          <cell r="AJ14">
            <v>13</v>
          </cell>
          <cell r="AK14">
            <v>5</v>
          </cell>
          <cell r="AL14">
            <v>20</v>
          </cell>
          <cell r="AM14">
            <v>10</v>
          </cell>
          <cell r="AN14">
            <v>30</v>
          </cell>
          <cell r="AO14">
            <v>30</v>
          </cell>
          <cell r="AP14">
            <v>30</v>
          </cell>
          <cell r="AQ14">
            <v>52.800000000000004</v>
          </cell>
          <cell r="AR14">
            <v>52.800000000000004</v>
          </cell>
          <cell r="AS14">
            <v>10</v>
          </cell>
          <cell r="AT14">
            <v>10</v>
          </cell>
        </row>
        <row r="15">
          <cell r="A15">
            <v>11</v>
          </cell>
          <cell r="B15">
            <v>10.8</v>
          </cell>
          <cell r="C15">
            <v>9.2000000000000011</v>
          </cell>
          <cell r="D15">
            <v>10</v>
          </cell>
          <cell r="E15">
            <v>8.4</v>
          </cell>
          <cell r="F15">
            <v>10</v>
          </cell>
          <cell r="G15">
            <v>11.600000000000001</v>
          </cell>
          <cell r="H15">
            <v>22.12</v>
          </cell>
          <cell r="I15">
            <v>710</v>
          </cell>
          <cell r="J15">
            <v>28</v>
          </cell>
          <cell r="K15">
            <v>30.800000000000004</v>
          </cell>
          <cell r="L15">
            <v>100</v>
          </cell>
          <cell r="M15">
            <v>66</v>
          </cell>
          <cell r="N15">
            <v>52.5</v>
          </cell>
          <cell r="O15">
            <v>66.8</v>
          </cell>
          <cell r="P15">
            <v>42</v>
          </cell>
          <cell r="Q15">
            <v>18.2</v>
          </cell>
          <cell r="R15">
            <v>42</v>
          </cell>
          <cell r="S15">
            <v>562</v>
          </cell>
          <cell r="T15">
            <v>30</v>
          </cell>
          <cell r="U15">
            <v>33</v>
          </cell>
          <cell r="V15">
            <v>148.5</v>
          </cell>
          <cell r="W15">
            <v>148.5</v>
          </cell>
          <cell r="X15">
            <v>8</v>
          </cell>
          <cell r="Y15">
            <v>13.5</v>
          </cell>
          <cell r="Z15">
            <v>8.5714285714285712</v>
          </cell>
          <cell r="AA15">
            <v>14.166666666666668</v>
          </cell>
          <cell r="AB15">
            <v>8.8480000000000008</v>
          </cell>
          <cell r="AC15">
            <v>8.8480000000000008</v>
          </cell>
          <cell r="AD15">
            <v>20</v>
          </cell>
          <cell r="AE15">
            <v>6</v>
          </cell>
          <cell r="AF15">
            <v>22.12</v>
          </cell>
          <cell r="AG15">
            <v>20</v>
          </cell>
          <cell r="AH15">
            <v>15</v>
          </cell>
          <cell r="AI15">
            <v>20</v>
          </cell>
          <cell r="AJ15">
            <v>13</v>
          </cell>
          <cell r="AK15">
            <v>5</v>
          </cell>
          <cell r="AL15">
            <v>20</v>
          </cell>
          <cell r="AM15">
            <v>10</v>
          </cell>
          <cell r="AN15">
            <v>30</v>
          </cell>
          <cell r="AO15">
            <v>30</v>
          </cell>
          <cell r="AP15">
            <v>30</v>
          </cell>
          <cell r="AQ15">
            <v>55.3</v>
          </cell>
          <cell r="AR15">
            <v>55.3</v>
          </cell>
          <cell r="AS15">
            <v>10</v>
          </cell>
          <cell r="AT15">
            <v>10</v>
          </cell>
        </row>
        <row r="16">
          <cell r="A16">
            <v>12</v>
          </cell>
          <cell r="B16">
            <v>11.200000000000001</v>
          </cell>
          <cell r="C16">
            <v>9.6000000000000014</v>
          </cell>
          <cell r="D16">
            <v>10.4</v>
          </cell>
          <cell r="E16">
            <v>8.8000000000000007</v>
          </cell>
          <cell r="F16">
            <v>10.4</v>
          </cell>
          <cell r="G16">
            <v>12</v>
          </cell>
          <cell r="H16">
            <v>23.12</v>
          </cell>
          <cell r="I16">
            <v>740</v>
          </cell>
          <cell r="J16">
            <v>30</v>
          </cell>
          <cell r="K16">
            <v>33</v>
          </cell>
          <cell r="L16">
            <v>104</v>
          </cell>
          <cell r="M16">
            <v>70</v>
          </cell>
          <cell r="N16">
            <v>55.000000000000007</v>
          </cell>
          <cell r="O16">
            <v>69.600000000000009</v>
          </cell>
          <cell r="P16">
            <v>44</v>
          </cell>
          <cell r="Q16">
            <v>19.040000000000003</v>
          </cell>
          <cell r="R16">
            <v>44.000000000000007</v>
          </cell>
          <cell r="S16">
            <v>580</v>
          </cell>
          <cell r="T16">
            <v>32</v>
          </cell>
          <cell r="U16">
            <v>35.200000000000003</v>
          </cell>
          <cell r="V16">
            <v>162</v>
          </cell>
          <cell r="W16">
            <v>162</v>
          </cell>
          <cell r="X16">
            <v>8.1428571428571423</v>
          </cell>
          <cell r="Y16">
            <v>13.666666666666666</v>
          </cell>
          <cell r="Z16">
            <v>8.7142857142857153</v>
          </cell>
          <cell r="AA16">
            <v>14.333333333333332</v>
          </cell>
          <cell r="AB16">
            <v>9.2480000000000011</v>
          </cell>
          <cell r="AC16">
            <v>9.2480000000000011</v>
          </cell>
          <cell r="AD16">
            <v>20</v>
          </cell>
          <cell r="AE16">
            <v>6</v>
          </cell>
          <cell r="AF16">
            <v>23.12</v>
          </cell>
          <cell r="AG16">
            <v>20</v>
          </cell>
          <cell r="AH16">
            <v>15</v>
          </cell>
          <cell r="AI16">
            <v>20</v>
          </cell>
          <cell r="AJ16">
            <v>14</v>
          </cell>
          <cell r="AK16">
            <v>5</v>
          </cell>
          <cell r="AL16">
            <v>20</v>
          </cell>
          <cell r="AM16">
            <v>10</v>
          </cell>
          <cell r="AN16">
            <v>30</v>
          </cell>
          <cell r="AO16">
            <v>30</v>
          </cell>
          <cell r="AP16">
            <v>30</v>
          </cell>
          <cell r="AQ16">
            <v>57.8</v>
          </cell>
          <cell r="AR16">
            <v>57.8</v>
          </cell>
          <cell r="AS16">
            <v>10</v>
          </cell>
          <cell r="AT16">
            <v>10</v>
          </cell>
        </row>
        <row r="17">
          <cell r="A17">
            <v>13</v>
          </cell>
          <cell r="B17">
            <v>11.600000000000001</v>
          </cell>
          <cell r="C17">
            <v>10</v>
          </cell>
          <cell r="D17">
            <v>10.8</v>
          </cell>
          <cell r="E17">
            <v>9.2000000000000011</v>
          </cell>
          <cell r="F17">
            <v>10.8</v>
          </cell>
          <cell r="G17">
            <v>12.8</v>
          </cell>
          <cell r="H17">
            <v>24.12</v>
          </cell>
          <cell r="I17">
            <v>770</v>
          </cell>
          <cell r="J17">
            <v>30</v>
          </cell>
          <cell r="K17">
            <v>33</v>
          </cell>
          <cell r="L17">
            <v>108</v>
          </cell>
          <cell r="M17">
            <v>74</v>
          </cell>
          <cell r="N17">
            <v>57.499999999999993</v>
          </cell>
          <cell r="O17">
            <v>72.400000000000006</v>
          </cell>
          <cell r="P17">
            <v>46</v>
          </cell>
          <cell r="Q17">
            <v>19.880000000000003</v>
          </cell>
          <cell r="R17">
            <v>46</v>
          </cell>
          <cell r="S17">
            <v>616</v>
          </cell>
          <cell r="T17">
            <v>34</v>
          </cell>
          <cell r="U17">
            <v>37.400000000000006</v>
          </cell>
          <cell r="V17">
            <v>175.5</v>
          </cell>
          <cell r="W17">
            <v>175.5</v>
          </cell>
          <cell r="X17">
            <v>8.2857142857142847</v>
          </cell>
          <cell r="Y17">
            <v>13.833333333333334</v>
          </cell>
          <cell r="Z17">
            <v>8.8571428571428577</v>
          </cell>
          <cell r="AA17">
            <v>14.5</v>
          </cell>
          <cell r="AB17">
            <v>9.6480000000000015</v>
          </cell>
          <cell r="AC17">
            <v>9.6480000000000015</v>
          </cell>
          <cell r="AD17">
            <v>20</v>
          </cell>
          <cell r="AE17">
            <v>6</v>
          </cell>
          <cell r="AF17">
            <v>24.12</v>
          </cell>
          <cell r="AG17">
            <v>20</v>
          </cell>
          <cell r="AH17">
            <v>15</v>
          </cell>
          <cell r="AI17">
            <v>20</v>
          </cell>
          <cell r="AJ17">
            <v>14</v>
          </cell>
          <cell r="AK17">
            <v>6</v>
          </cell>
          <cell r="AL17">
            <v>20</v>
          </cell>
          <cell r="AM17">
            <v>10</v>
          </cell>
          <cell r="AN17">
            <v>30</v>
          </cell>
          <cell r="AO17">
            <v>30</v>
          </cell>
          <cell r="AP17">
            <v>30</v>
          </cell>
          <cell r="AQ17">
            <v>60.3</v>
          </cell>
          <cell r="AR17">
            <v>60.3</v>
          </cell>
          <cell r="AS17">
            <v>10</v>
          </cell>
          <cell r="AT17">
            <v>10</v>
          </cell>
        </row>
        <row r="18">
          <cell r="A18">
            <v>14</v>
          </cell>
          <cell r="B18">
            <v>12.4</v>
          </cell>
          <cell r="C18">
            <v>10.4</v>
          </cell>
          <cell r="D18">
            <v>11.200000000000001</v>
          </cell>
          <cell r="E18">
            <v>9.6000000000000014</v>
          </cell>
          <cell r="F18">
            <v>11.200000000000001</v>
          </cell>
          <cell r="G18">
            <v>13.200000000000001</v>
          </cell>
          <cell r="H18">
            <v>25.64</v>
          </cell>
          <cell r="I18">
            <v>800</v>
          </cell>
          <cell r="J18">
            <v>32</v>
          </cell>
          <cell r="K18">
            <v>35.200000000000003</v>
          </cell>
          <cell r="L18">
            <v>112</v>
          </cell>
          <cell r="M18">
            <v>78</v>
          </cell>
          <cell r="N18">
            <v>60</v>
          </cell>
          <cell r="O18">
            <v>75.2</v>
          </cell>
          <cell r="P18">
            <v>48</v>
          </cell>
          <cell r="Q18">
            <v>20.72</v>
          </cell>
          <cell r="R18">
            <v>48</v>
          </cell>
          <cell r="S18">
            <v>634</v>
          </cell>
          <cell r="T18">
            <v>34</v>
          </cell>
          <cell r="U18">
            <v>37.400000000000006</v>
          </cell>
          <cell r="V18">
            <v>189</v>
          </cell>
          <cell r="W18">
            <v>189</v>
          </cell>
          <cell r="X18">
            <v>8.4285714285714288</v>
          </cell>
          <cell r="Y18">
            <v>14</v>
          </cell>
          <cell r="Z18">
            <v>9</v>
          </cell>
          <cell r="AA18">
            <v>14.666666666666668</v>
          </cell>
          <cell r="AB18">
            <v>10.256</v>
          </cell>
          <cell r="AC18">
            <v>10.256</v>
          </cell>
          <cell r="AD18">
            <v>20</v>
          </cell>
          <cell r="AE18">
            <v>6</v>
          </cell>
          <cell r="AF18">
            <v>25.64</v>
          </cell>
          <cell r="AG18">
            <v>20</v>
          </cell>
          <cell r="AH18">
            <v>15</v>
          </cell>
          <cell r="AI18">
            <v>20</v>
          </cell>
          <cell r="AJ18">
            <v>14</v>
          </cell>
          <cell r="AK18">
            <v>6</v>
          </cell>
          <cell r="AL18">
            <v>20</v>
          </cell>
          <cell r="AM18">
            <v>10</v>
          </cell>
          <cell r="AN18">
            <v>30</v>
          </cell>
          <cell r="AO18">
            <v>30</v>
          </cell>
          <cell r="AP18">
            <v>30</v>
          </cell>
          <cell r="AQ18">
            <v>64.099999999999994</v>
          </cell>
          <cell r="AR18">
            <v>64.099999999999994</v>
          </cell>
          <cell r="AS18">
            <v>10</v>
          </cell>
          <cell r="AT18">
            <v>10</v>
          </cell>
        </row>
        <row r="19">
          <cell r="A19">
            <v>15</v>
          </cell>
          <cell r="B19">
            <v>12.8</v>
          </cell>
          <cell r="C19">
            <v>10.8</v>
          </cell>
          <cell r="D19">
            <v>12</v>
          </cell>
          <cell r="E19">
            <v>10</v>
          </cell>
          <cell r="F19">
            <v>12</v>
          </cell>
          <cell r="G19">
            <v>14</v>
          </cell>
          <cell r="H19">
            <v>26.64</v>
          </cell>
          <cell r="I19">
            <v>830</v>
          </cell>
          <cell r="J19">
            <v>32</v>
          </cell>
          <cell r="K19">
            <v>35.200000000000003</v>
          </cell>
          <cell r="L19">
            <v>120</v>
          </cell>
          <cell r="M19">
            <v>86</v>
          </cell>
          <cell r="N19">
            <v>62.5</v>
          </cell>
          <cell r="O19">
            <v>80</v>
          </cell>
          <cell r="P19">
            <v>50</v>
          </cell>
          <cell r="Q19">
            <v>22.200000000000003</v>
          </cell>
          <cell r="R19">
            <v>50</v>
          </cell>
          <cell r="S19">
            <v>670</v>
          </cell>
          <cell r="T19">
            <v>36</v>
          </cell>
          <cell r="U19">
            <v>39.6</v>
          </cell>
          <cell r="V19">
            <v>202.5</v>
          </cell>
          <cell r="W19">
            <v>202.5</v>
          </cell>
          <cell r="X19">
            <v>8.5714285714285712</v>
          </cell>
          <cell r="Y19">
            <v>14.166666666666668</v>
          </cell>
          <cell r="Z19">
            <v>9.2857142857142847</v>
          </cell>
          <cell r="AA19">
            <v>15</v>
          </cell>
          <cell r="AB19">
            <v>10.656000000000001</v>
          </cell>
          <cell r="AC19">
            <v>10.656000000000001</v>
          </cell>
          <cell r="AD19">
            <v>20</v>
          </cell>
          <cell r="AE19">
            <v>8</v>
          </cell>
          <cell r="AF19">
            <v>26.64</v>
          </cell>
          <cell r="AG19">
            <v>20</v>
          </cell>
          <cell r="AH19">
            <v>15</v>
          </cell>
          <cell r="AI19">
            <v>20</v>
          </cell>
          <cell r="AJ19">
            <v>15</v>
          </cell>
          <cell r="AK19">
            <v>7</v>
          </cell>
          <cell r="AL19">
            <v>20</v>
          </cell>
          <cell r="AM19">
            <v>10</v>
          </cell>
          <cell r="AN19">
            <v>30</v>
          </cell>
          <cell r="AO19">
            <v>30</v>
          </cell>
          <cell r="AP19">
            <v>30</v>
          </cell>
          <cell r="AQ19">
            <v>66.599999999999994</v>
          </cell>
          <cell r="AR19">
            <v>66.599999999999994</v>
          </cell>
          <cell r="AS19">
            <v>10</v>
          </cell>
          <cell r="AT19">
            <v>10</v>
          </cell>
        </row>
        <row r="20">
          <cell r="A20">
            <v>16</v>
          </cell>
          <cell r="B20">
            <v>13.200000000000001</v>
          </cell>
          <cell r="C20">
            <v>11.200000000000001</v>
          </cell>
          <cell r="D20">
            <v>12.4</v>
          </cell>
          <cell r="E20">
            <v>10.4</v>
          </cell>
          <cell r="F20">
            <v>12.4</v>
          </cell>
          <cell r="G20">
            <v>14.4</v>
          </cell>
          <cell r="H20">
            <v>27.64</v>
          </cell>
          <cell r="I20">
            <v>860</v>
          </cell>
          <cell r="J20">
            <v>34</v>
          </cell>
          <cell r="K20">
            <v>37.400000000000006</v>
          </cell>
          <cell r="L20">
            <v>124</v>
          </cell>
          <cell r="M20">
            <v>90</v>
          </cell>
          <cell r="N20">
            <v>65</v>
          </cell>
          <cell r="O20">
            <v>82.800000000000011</v>
          </cell>
          <cell r="P20">
            <v>52</v>
          </cell>
          <cell r="Q20">
            <v>23.04</v>
          </cell>
          <cell r="R20">
            <v>52</v>
          </cell>
          <cell r="S20">
            <v>688</v>
          </cell>
          <cell r="T20">
            <v>38</v>
          </cell>
          <cell r="U20">
            <v>41.800000000000004</v>
          </cell>
          <cell r="V20">
            <v>216</v>
          </cell>
          <cell r="W20">
            <v>216</v>
          </cell>
          <cell r="X20">
            <v>8.7142857142857153</v>
          </cell>
          <cell r="Y20">
            <v>14.333333333333332</v>
          </cell>
          <cell r="Z20">
            <v>9.4285714285714288</v>
          </cell>
          <cell r="AA20">
            <v>15.166666666666668</v>
          </cell>
          <cell r="AB20">
            <v>11.056000000000001</v>
          </cell>
          <cell r="AC20">
            <v>11.056000000000001</v>
          </cell>
          <cell r="AD20">
            <v>20</v>
          </cell>
          <cell r="AE20">
            <v>8</v>
          </cell>
          <cell r="AF20">
            <v>27.64</v>
          </cell>
          <cell r="AG20">
            <v>20</v>
          </cell>
          <cell r="AH20">
            <v>15</v>
          </cell>
          <cell r="AI20">
            <v>20</v>
          </cell>
          <cell r="AJ20">
            <v>15</v>
          </cell>
          <cell r="AK20">
            <v>7</v>
          </cell>
          <cell r="AL20">
            <v>20</v>
          </cell>
          <cell r="AM20">
            <v>10</v>
          </cell>
          <cell r="AN20">
            <v>30</v>
          </cell>
          <cell r="AO20">
            <v>30</v>
          </cell>
          <cell r="AP20">
            <v>30</v>
          </cell>
          <cell r="AQ20">
            <v>69.099999999999994</v>
          </cell>
          <cell r="AR20">
            <v>69.099999999999994</v>
          </cell>
          <cell r="AS20">
            <v>10</v>
          </cell>
          <cell r="AT20">
            <v>10</v>
          </cell>
        </row>
        <row r="21">
          <cell r="A21">
            <v>17</v>
          </cell>
          <cell r="B21">
            <v>14</v>
          </cell>
          <cell r="C21">
            <v>11.600000000000001</v>
          </cell>
          <cell r="D21">
            <v>12.8</v>
          </cell>
          <cell r="E21">
            <v>10.8</v>
          </cell>
          <cell r="F21">
            <v>12.8</v>
          </cell>
          <cell r="G21">
            <v>14.8</v>
          </cell>
          <cell r="H21">
            <v>29.160000000000004</v>
          </cell>
          <cell r="I21">
            <v>890</v>
          </cell>
          <cell r="J21">
            <v>34</v>
          </cell>
          <cell r="K21">
            <v>37.400000000000006</v>
          </cell>
          <cell r="L21">
            <v>128</v>
          </cell>
          <cell r="M21">
            <v>94</v>
          </cell>
          <cell r="N21">
            <v>67.5</v>
          </cell>
          <cell r="O21">
            <v>85.600000000000009</v>
          </cell>
          <cell r="P21">
            <v>54</v>
          </cell>
          <cell r="Q21">
            <v>23.880000000000003</v>
          </cell>
          <cell r="R21">
            <v>54</v>
          </cell>
          <cell r="S21">
            <v>706</v>
          </cell>
          <cell r="T21">
            <v>38</v>
          </cell>
          <cell r="U21">
            <v>41.800000000000004</v>
          </cell>
          <cell r="V21">
            <v>229.5</v>
          </cell>
          <cell r="W21">
            <v>229.5</v>
          </cell>
          <cell r="X21">
            <v>8.8571428571428577</v>
          </cell>
          <cell r="Y21">
            <v>14.5</v>
          </cell>
          <cell r="Z21">
            <v>9.5714285714285712</v>
          </cell>
          <cell r="AA21">
            <v>15.333333333333332</v>
          </cell>
          <cell r="AB21">
            <v>11.664000000000001</v>
          </cell>
          <cell r="AC21">
            <v>11.664000000000001</v>
          </cell>
          <cell r="AD21">
            <v>20</v>
          </cell>
          <cell r="AE21">
            <v>8</v>
          </cell>
          <cell r="AF21">
            <v>29.160000000000004</v>
          </cell>
          <cell r="AG21">
            <v>20</v>
          </cell>
          <cell r="AH21">
            <v>15</v>
          </cell>
          <cell r="AI21">
            <v>20</v>
          </cell>
          <cell r="AJ21">
            <v>15</v>
          </cell>
          <cell r="AK21">
            <v>7</v>
          </cell>
          <cell r="AL21">
            <v>20</v>
          </cell>
          <cell r="AM21">
            <v>10</v>
          </cell>
          <cell r="AN21">
            <v>30</v>
          </cell>
          <cell r="AO21">
            <v>30</v>
          </cell>
          <cell r="AP21">
            <v>30</v>
          </cell>
          <cell r="AQ21">
            <v>72.900000000000006</v>
          </cell>
          <cell r="AR21">
            <v>72.900000000000006</v>
          </cell>
          <cell r="AS21">
            <v>10</v>
          </cell>
          <cell r="AT21">
            <v>10</v>
          </cell>
        </row>
        <row r="22">
          <cell r="A22">
            <v>18</v>
          </cell>
          <cell r="B22">
            <v>14.4</v>
          </cell>
          <cell r="C22">
            <v>12</v>
          </cell>
          <cell r="D22">
            <v>13.200000000000001</v>
          </cell>
          <cell r="E22">
            <v>11.200000000000001</v>
          </cell>
          <cell r="F22">
            <v>13.200000000000001</v>
          </cell>
          <cell r="G22">
            <v>15.600000000000001</v>
          </cell>
          <cell r="H22">
            <v>30.160000000000004</v>
          </cell>
          <cell r="I22">
            <v>920</v>
          </cell>
          <cell r="J22">
            <v>36</v>
          </cell>
          <cell r="K22">
            <v>39.6</v>
          </cell>
          <cell r="L22">
            <v>132</v>
          </cell>
          <cell r="M22">
            <v>98</v>
          </cell>
          <cell r="N22">
            <v>70</v>
          </cell>
          <cell r="O22">
            <v>88.4</v>
          </cell>
          <cell r="P22">
            <v>56</v>
          </cell>
          <cell r="Q22">
            <v>24.72</v>
          </cell>
          <cell r="R22">
            <v>56</v>
          </cell>
          <cell r="S22">
            <v>742</v>
          </cell>
          <cell r="T22">
            <v>40</v>
          </cell>
          <cell r="U22">
            <v>44</v>
          </cell>
          <cell r="V22">
            <v>243</v>
          </cell>
          <cell r="W22">
            <v>243</v>
          </cell>
          <cell r="X22">
            <v>9</v>
          </cell>
          <cell r="Y22">
            <v>14.666666666666668</v>
          </cell>
          <cell r="Z22">
            <v>9.7142857142857153</v>
          </cell>
          <cell r="AA22">
            <v>15.5</v>
          </cell>
          <cell r="AB22">
            <v>12.064000000000002</v>
          </cell>
          <cell r="AC22">
            <v>12.064000000000002</v>
          </cell>
          <cell r="AD22">
            <v>20</v>
          </cell>
          <cell r="AE22">
            <v>8</v>
          </cell>
          <cell r="AF22">
            <v>30.160000000000004</v>
          </cell>
          <cell r="AG22">
            <v>20</v>
          </cell>
          <cell r="AH22">
            <v>15</v>
          </cell>
          <cell r="AI22">
            <v>20</v>
          </cell>
          <cell r="AJ22">
            <v>16</v>
          </cell>
          <cell r="AK22">
            <v>8</v>
          </cell>
          <cell r="AL22">
            <v>20</v>
          </cell>
          <cell r="AM22">
            <v>10</v>
          </cell>
          <cell r="AN22">
            <v>30</v>
          </cell>
          <cell r="AO22">
            <v>30</v>
          </cell>
          <cell r="AP22">
            <v>30</v>
          </cell>
          <cell r="AQ22">
            <v>75.400000000000006</v>
          </cell>
          <cell r="AR22">
            <v>75.400000000000006</v>
          </cell>
          <cell r="AS22">
            <v>10</v>
          </cell>
          <cell r="AT22">
            <v>10</v>
          </cell>
        </row>
        <row r="23">
          <cell r="A23">
            <v>19</v>
          </cell>
          <cell r="B23">
            <v>14.8</v>
          </cell>
          <cell r="C23">
            <v>12.4</v>
          </cell>
          <cell r="D23">
            <v>13.600000000000001</v>
          </cell>
          <cell r="E23">
            <v>11.600000000000001</v>
          </cell>
          <cell r="F23">
            <v>13.600000000000001</v>
          </cell>
          <cell r="G23">
            <v>16</v>
          </cell>
          <cell r="H23">
            <v>31.160000000000004</v>
          </cell>
          <cell r="I23">
            <v>950</v>
          </cell>
          <cell r="J23">
            <v>36</v>
          </cell>
          <cell r="K23">
            <v>39.6</v>
          </cell>
          <cell r="L23">
            <v>136</v>
          </cell>
          <cell r="M23">
            <v>102</v>
          </cell>
          <cell r="N23">
            <v>72.5</v>
          </cell>
          <cell r="O23">
            <v>91.2</v>
          </cell>
          <cell r="P23">
            <v>58</v>
          </cell>
          <cell r="Q23">
            <v>25.560000000000002</v>
          </cell>
          <cell r="R23">
            <v>58</v>
          </cell>
          <cell r="S23">
            <v>760</v>
          </cell>
          <cell r="T23">
            <v>42</v>
          </cell>
          <cell r="U23">
            <v>46.2</v>
          </cell>
          <cell r="V23">
            <v>256.5</v>
          </cell>
          <cell r="W23">
            <v>256.5</v>
          </cell>
          <cell r="X23">
            <v>9.1428571428571423</v>
          </cell>
          <cell r="Y23">
            <v>14.833333333333332</v>
          </cell>
          <cell r="Z23">
            <v>9.8571428571428577</v>
          </cell>
          <cell r="AA23">
            <v>15.666666666666668</v>
          </cell>
          <cell r="AB23">
            <v>12.464000000000002</v>
          </cell>
          <cell r="AC23">
            <v>12.464000000000002</v>
          </cell>
          <cell r="AD23">
            <v>20</v>
          </cell>
          <cell r="AE23">
            <v>8</v>
          </cell>
          <cell r="AF23">
            <v>31.160000000000004</v>
          </cell>
          <cell r="AG23">
            <v>20</v>
          </cell>
          <cell r="AH23">
            <v>15</v>
          </cell>
          <cell r="AI23">
            <v>20</v>
          </cell>
          <cell r="AJ23">
            <v>16</v>
          </cell>
          <cell r="AK23">
            <v>8</v>
          </cell>
          <cell r="AL23">
            <v>20</v>
          </cell>
          <cell r="AM23">
            <v>10</v>
          </cell>
          <cell r="AN23">
            <v>30</v>
          </cell>
          <cell r="AO23">
            <v>30</v>
          </cell>
          <cell r="AP23">
            <v>30</v>
          </cell>
          <cell r="AQ23">
            <v>77.900000000000006</v>
          </cell>
          <cell r="AR23">
            <v>77.900000000000006</v>
          </cell>
          <cell r="AS23">
            <v>10</v>
          </cell>
          <cell r="AT23">
            <v>10</v>
          </cell>
        </row>
        <row r="24">
          <cell r="A24">
            <v>20</v>
          </cell>
          <cell r="B24">
            <v>15.600000000000001</v>
          </cell>
          <cell r="C24">
            <v>13.200000000000001</v>
          </cell>
          <cell r="D24">
            <v>14.4</v>
          </cell>
          <cell r="E24">
            <v>12</v>
          </cell>
          <cell r="F24">
            <v>14.4</v>
          </cell>
          <cell r="G24">
            <v>16.8</v>
          </cell>
          <cell r="H24">
            <v>32.68</v>
          </cell>
          <cell r="I24">
            <v>1010</v>
          </cell>
          <cell r="J24">
            <v>38</v>
          </cell>
          <cell r="K24">
            <v>41.800000000000004</v>
          </cell>
          <cell r="L24">
            <v>144</v>
          </cell>
          <cell r="M24">
            <v>110</v>
          </cell>
          <cell r="N24">
            <v>75</v>
          </cell>
          <cell r="O24">
            <v>96</v>
          </cell>
          <cell r="P24">
            <v>60</v>
          </cell>
          <cell r="Q24">
            <v>27.04</v>
          </cell>
          <cell r="R24">
            <v>60</v>
          </cell>
          <cell r="S24">
            <v>796</v>
          </cell>
          <cell r="T24">
            <v>44</v>
          </cell>
          <cell r="U24">
            <v>48.400000000000006</v>
          </cell>
          <cell r="V24">
            <v>270</v>
          </cell>
          <cell r="W24">
            <v>270</v>
          </cell>
          <cell r="X24">
            <v>9.2857142857142847</v>
          </cell>
          <cell r="Y24">
            <v>15</v>
          </cell>
          <cell r="Z24">
            <v>10.142857142857142</v>
          </cell>
          <cell r="AA24">
            <v>16</v>
          </cell>
          <cell r="AB24">
            <v>13.072000000000001</v>
          </cell>
          <cell r="AC24">
            <v>13.072000000000001</v>
          </cell>
          <cell r="AD24">
            <v>20</v>
          </cell>
          <cell r="AE24">
            <v>10</v>
          </cell>
          <cell r="AF24">
            <v>32.68</v>
          </cell>
          <cell r="AG24">
            <v>20</v>
          </cell>
          <cell r="AH24">
            <v>15</v>
          </cell>
          <cell r="AI24">
            <v>20</v>
          </cell>
          <cell r="AJ24">
            <v>17</v>
          </cell>
          <cell r="AK24">
            <v>9</v>
          </cell>
          <cell r="AL24">
            <v>20</v>
          </cell>
          <cell r="AM24">
            <v>10</v>
          </cell>
          <cell r="AN24">
            <v>30</v>
          </cell>
          <cell r="AO24">
            <v>30</v>
          </cell>
          <cell r="AP24">
            <v>30</v>
          </cell>
          <cell r="AQ24">
            <v>81.7</v>
          </cell>
          <cell r="AR24">
            <v>81.7</v>
          </cell>
          <cell r="AS24">
            <v>10</v>
          </cell>
          <cell r="AT24">
            <v>10</v>
          </cell>
        </row>
        <row r="25">
          <cell r="A25">
            <v>21</v>
          </cell>
          <cell r="B25">
            <v>16</v>
          </cell>
          <cell r="C25">
            <v>13.600000000000001</v>
          </cell>
          <cell r="D25">
            <v>14.8</v>
          </cell>
          <cell r="E25">
            <v>12.4</v>
          </cell>
          <cell r="F25">
            <v>14.8</v>
          </cell>
          <cell r="G25">
            <v>17.2</v>
          </cell>
          <cell r="H25">
            <v>33.68</v>
          </cell>
          <cell r="I25">
            <v>1040</v>
          </cell>
          <cell r="J25">
            <v>40</v>
          </cell>
          <cell r="K25">
            <v>44</v>
          </cell>
          <cell r="L25">
            <v>148</v>
          </cell>
          <cell r="M25">
            <v>114</v>
          </cell>
          <cell r="N25">
            <v>77.5</v>
          </cell>
          <cell r="O25">
            <v>98.800000000000011</v>
          </cell>
          <cell r="P25">
            <v>62</v>
          </cell>
          <cell r="Q25">
            <v>27.880000000000003</v>
          </cell>
          <cell r="R25">
            <v>62</v>
          </cell>
          <cell r="S25">
            <v>814</v>
          </cell>
          <cell r="T25">
            <v>44</v>
          </cell>
          <cell r="U25">
            <v>48.400000000000006</v>
          </cell>
          <cell r="V25">
            <v>283.5</v>
          </cell>
          <cell r="W25">
            <v>283.5</v>
          </cell>
          <cell r="X25">
            <v>9.4285714285714288</v>
          </cell>
          <cell r="Y25">
            <v>15.166666666666668</v>
          </cell>
          <cell r="Z25">
            <v>10.285714285714285</v>
          </cell>
          <cell r="AA25">
            <v>16.166666666666668</v>
          </cell>
          <cell r="AB25">
            <v>13.472000000000001</v>
          </cell>
          <cell r="AC25">
            <v>13.472000000000001</v>
          </cell>
          <cell r="AD25">
            <v>20</v>
          </cell>
          <cell r="AE25">
            <v>10</v>
          </cell>
          <cell r="AF25">
            <v>33.68</v>
          </cell>
          <cell r="AG25">
            <v>20</v>
          </cell>
          <cell r="AH25">
            <v>15</v>
          </cell>
          <cell r="AI25">
            <v>20</v>
          </cell>
          <cell r="AJ25">
            <v>17</v>
          </cell>
          <cell r="AK25">
            <v>9</v>
          </cell>
          <cell r="AL25">
            <v>20</v>
          </cell>
          <cell r="AM25">
            <v>10</v>
          </cell>
          <cell r="AN25">
            <v>30</v>
          </cell>
          <cell r="AO25">
            <v>30</v>
          </cell>
          <cell r="AP25">
            <v>30</v>
          </cell>
          <cell r="AQ25">
            <v>84.2</v>
          </cell>
          <cell r="AR25">
            <v>84.2</v>
          </cell>
          <cell r="AS25">
            <v>10</v>
          </cell>
          <cell r="AT25">
            <v>10</v>
          </cell>
        </row>
        <row r="26">
          <cell r="A26">
            <v>22</v>
          </cell>
          <cell r="B26">
            <v>16.400000000000002</v>
          </cell>
          <cell r="C26">
            <v>14</v>
          </cell>
          <cell r="D26">
            <v>15.200000000000001</v>
          </cell>
          <cell r="E26">
            <v>12.8</v>
          </cell>
          <cell r="F26">
            <v>15.200000000000001</v>
          </cell>
          <cell r="G26">
            <v>17.600000000000001</v>
          </cell>
          <cell r="H26">
            <v>34.680000000000007</v>
          </cell>
          <cell r="I26">
            <v>1070</v>
          </cell>
          <cell r="J26">
            <v>40</v>
          </cell>
          <cell r="K26">
            <v>44</v>
          </cell>
          <cell r="L26">
            <v>152</v>
          </cell>
          <cell r="M26">
            <v>118</v>
          </cell>
          <cell r="N26">
            <v>80</v>
          </cell>
          <cell r="O26">
            <v>101.60000000000001</v>
          </cell>
          <cell r="P26">
            <v>64</v>
          </cell>
          <cell r="Q26">
            <v>28.72</v>
          </cell>
          <cell r="R26">
            <v>64</v>
          </cell>
          <cell r="S26">
            <v>832</v>
          </cell>
          <cell r="T26">
            <v>46</v>
          </cell>
          <cell r="U26">
            <v>50.6</v>
          </cell>
          <cell r="V26">
            <v>297</v>
          </cell>
          <cell r="W26">
            <v>297</v>
          </cell>
          <cell r="X26">
            <v>9.5714285714285712</v>
          </cell>
          <cell r="Y26">
            <v>15.333333333333332</v>
          </cell>
          <cell r="Z26">
            <v>10.428571428571429</v>
          </cell>
          <cell r="AA26">
            <v>16.333333333333332</v>
          </cell>
          <cell r="AB26">
            <v>13.872000000000003</v>
          </cell>
          <cell r="AC26">
            <v>13.872000000000003</v>
          </cell>
          <cell r="AD26">
            <v>20</v>
          </cell>
          <cell r="AE26">
            <v>10</v>
          </cell>
          <cell r="AF26">
            <v>34.680000000000007</v>
          </cell>
          <cell r="AG26">
            <v>20</v>
          </cell>
          <cell r="AH26">
            <v>15</v>
          </cell>
          <cell r="AI26">
            <v>20</v>
          </cell>
          <cell r="AJ26">
            <v>17</v>
          </cell>
          <cell r="AK26">
            <v>9</v>
          </cell>
          <cell r="AL26">
            <v>20</v>
          </cell>
          <cell r="AM26">
            <v>10</v>
          </cell>
          <cell r="AN26">
            <v>30</v>
          </cell>
          <cell r="AO26">
            <v>30</v>
          </cell>
          <cell r="AP26">
            <v>30</v>
          </cell>
          <cell r="AQ26">
            <v>86.700000000000017</v>
          </cell>
          <cell r="AR26">
            <v>86.700000000000017</v>
          </cell>
          <cell r="AS26">
            <v>10</v>
          </cell>
          <cell r="AT26">
            <v>10</v>
          </cell>
        </row>
        <row r="27">
          <cell r="A27">
            <v>23</v>
          </cell>
          <cell r="B27">
            <v>16.8</v>
          </cell>
          <cell r="C27">
            <v>14.4</v>
          </cell>
          <cell r="D27">
            <v>15.600000000000001</v>
          </cell>
          <cell r="E27">
            <v>13.200000000000001</v>
          </cell>
          <cell r="F27">
            <v>15.600000000000001</v>
          </cell>
          <cell r="G27">
            <v>18.400000000000002</v>
          </cell>
          <cell r="H27">
            <v>35.68</v>
          </cell>
          <cell r="I27">
            <v>1100</v>
          </cell>
          <cell r="J27">
            <v>42</v>
          </cell>
          <cell r="K27">
            <v>46.2</v>
          </cell>
          <cell r="L27">
            <v>156</v>
          </cell>
          <cell r="M27">
            <v>122</v>
          </cell>
          <cell r="N27">
            <v>82.5</v>
          </cell>
          <cell r="O27">
            <v>104.4</v>
          </cell>
          <cell r="P27">
            <v>66</v>
          </cell>
          <cell r="Q27">
            <v>29.560000000000002</v>
          </cell>
          <cell r="R27">
            <v>66</v>
          </cell>
          <cell r="S27">
            <v>868</v>
          </cell>
          <cell r="T27">
            <v>48</v>
          </cell>
          <cell r="U27">
            <v>52.800000000000004</v>
          </cell>
          <cell r="V27">
            <v>310.5</v>
          </cell>
          <cell r="W27">
            <v>310.5</v>
          </cell>
          <cell r="X27">
            <v>9.7142857142857153</v>
          </cell>
          <cell r="Y27">
            <v>15.5</v>
          </cell>
          <cell r="Z27">
            <v>10.571428571428571</v>
          </cell>
          <cell r="AA27">
            <v>16.5</v>
          </cell>
          <cell r="AB27">
            <v>14.272</v>
          </cell>
          <cell r="AC27">
            <v>14.272</v>
          </cell>
          <cell r="AD27">
            <v>20</v>
          </cell>
          <cell r="AE27">
            <v>10</v>
          </cell>
          <cell r="AF27">
            <v>35.68</v>
          </cell>
          <cell r="AG27">
            <v>20</v>
          </cell>
          <cell r="AH27">
            <v>15</v>
          </cell>
          <cell r="AI27">
            <v>20</v>
          </cell>
          <cell r="AJ27">
            <v>18</v>
          </cell>
          <cell r="AK27">
            <v>10</v>
          </cell>
          <cell r="AL27">
            <v>20</v>
          </cell>
          <cell r="AM27">
            <v>10</v>
          </cell>
          <cell r="AN27">
            <v>30</v>
          </cell>
          <cell r="AO27">
            <v>30</v>
          </cell>
          <cell r="AP27">
            <v>30</v>
          </cell>
          <cell r="AQ27">
            <v>89.199999999999989</v>
          </cell>
          <cell r="AR27">
            <v>89.199999999999989</v>
          </cell>
          <cell r="AS27">
            <v>10</v>
          </cell>
          <cell r="AT27">
            <v>10</v>
          </cell>
        </row>
        <row r="28">
          <cell r="A28">
            <v>24</v>
          </cell>
          <cell r="B28">
            <v>17.600000000000001</v>
          </cell>
          <cell r="C28">
            <v>14.8</v>
          </cell>
          <cell r="D28">
            <v>16</v>
          </cell>
          <cell r="E28">
            <v>13.600000000000001</v>
          </cell>
          <cell r="F28">
            <v>16</v>
          </cell>
          <cell r="G28">
            <v>18.8</v>
          </cell>
          <cell r="H28">
            <v>37.200000000000003</v>
          </cell>
          <cell r="I28">
            <v>1130</v>
          </cell>
          <cell r="J28">
            <v>42</v>
          </cell>
          <cell r="K28">
            <v>46.2</v>
          </cell>
          <cell r="L28">
            <v>160</v>
          </cell>
          <cell r="M28">
            <v>126</v>
          </cell>
          <cell r="N28">
            <v>85</v>
          </cell>
          <cell r="O28">
            <v>107.2</v>
          </cell>
          <cell r="P28">
            <v>68</v>
          </cell>
          <cell r="Q28">
            <v>30.400000000000002</v>
          </cell>
          <cell r="R28">
            <v>68</v>
          </cell>
          <cell r="S28">
            <v>886</v>
          </cell>
          <cell r="T28">
            <v>48</v>
          </cell>
          <cell r="U28">
            <v>52.800000000000004</v>
          </cell>
          <cell r="V28">
            <v>324</v>
          </cell>
          <cell r="W28">
            <v>324</v>
          </cell>
          <cell r="X28">
            <v>9.8571428571428577</v>
          </cell>
          <cell r="Y28">
            <v>15.666666666666668</v>
          </cell>
          <cell r="Z28">
            <v>10.714285714285715</v>
          </cell>
          <cell r="AA28">
            <v>16.666666666666668</v>
          </cell>
          <cell r="AB28">
            <v>14.880000000000003</v>
          </cell>
          <cell r="AC28">
            <v>14.880000000000003</v>
          </cell>
          <cell r="AD28">
            <v>20</v>
          </cell>
          <cell r="AE28">
            <v>10</v>
          </cell>
          <cell r="AF28">
            <v>37.200000000000003</v>
          </cell>
          <cell r="AG28">
            <v>20</v>
          </cell>
          <cell r="AH28">
            <v>15</v>
          </cell>
          <cell r="AI28">
            <v>20</v>
          </cell>
          <cell r="AJ28">
            <v>18</v>
          </cell>
          <cell r="AK28">
            <v>10</v>
          </cell>
          <cell r="AL28">
            <v>20</v>
          </cell>
          <cell r="AM28">
            <v>10</v>
          </cell>
          <cell r="AN28">
            <v>30</v>
          </cell>
          <cell r="AO28">
            <v>30</v>
          </cell>
          <cell r="AP28">
            <v>30</v>
          </cell>
          <cell r="AQ28">
            <v>93</v>
          </cell>
          <cell r="AR28">
            <v>93</v>
          </cell>
          <cell r="AS28">
            <v>10</v>
          </cell>
          <cell r="AT28">
            <v>10</v>
          </cell>
        </row>
        <row r="29">
          <cell r="A29">
            <v>25</v>
          </cell>
          <cell r="B29">
            <v>18</v>
          </cell>
          <cell r="C29">
            <v>15.200000000000001</v>
          </cell>
          <cell r="D29">
            <v>16.8</v>
          </cell>
          <cell r="E29">
            <v>14</v>
          </cell>
          <cell r="F29">
            <v>16.8</v>
          </cell>
          <cell r="G29">
            <v>19.600000000000001</v>
          </cell>
          <cell r="H29">
            <v>38.200000000000003</v>
          </cell>
          <cell r="I29">
            <v>1160</v>
          </cell>
          <cell r="J29">
            <v>44</v>
          </cell>
          <cell r="K29">
            <v>48.400000000000006</v>
          </cell>
          <cell r="L29">
            <v>168</v>
          </cell>
          <cell r="M29">
            <v>134</v>
          </cell>
          <cell r="N29">
            <v>87.5</v>
          </cell>
          <cell r="O29">
            <v>112</v>
          </cell>
          <cell r="P29">
            <v>70</v>
          </cell>
          <cell r="Q29">
            <v>31.880000000000003</v>
          </cell>
          <cell r="R29">
            <v>70</v>
          </cell>
          <cell r="S29">
            <v>922</v>
          </cell>
          <cell r="T29">
            <v>50</v>
          </cell>
          <cell r="U29">
            <v>55.000000000000007</v>
          </cell>
          <cell r="V29">
            <v>337.5</v>
          </cell>
          <cell r="W29">
            <v>337.5</v>
          </cell>
          <cell r="X29">
            <v>10</v>
          </cell>
          <cell r="Y29">
            <v>15.833333333333332</v>
          </cell>
          <cell r="Z29">
            <v>11</v>
          </cell>
          <cell r="AA29">
            <v>17</v>
          </cell>
          <cell r="AB29">
            <v>15.280000000000001</v>
          </cell>
          <cell r="AC29">
            <v>15.280000000000001</v>
          </cell>
          <cell r="AD29">
            <v>20</v>
          </cell>
          <cell r="AE29">
            <v>12</v>
          </cell>
          <cell r="AF29">
            <v>38.200000000000003</v>
          </cell>
          <cell r="AG29">
            <v>20</v>
          </cell>
          <cell r="AH29">
            <v>15</v>
          </cell>
          <cell r="AI29">
            <v>20</v>
          </cell>
          <cell r="AJ29">
            <v>18</v>
          </cell>
          <cell r="AK29">
            <v>11</v>
          </cell>
          <cell r="AL29">
            <v>20</v>
          </cell>
          <cell r="AM29">
            <v>10</v>
          </cell>
          <cell r="AN29">
            <v>30</v>
          </cell>
          <cell r="AO29">
            <v>30</v>
          </cell>
          <cell r="AP29">
            <v>30</v>
          </cell>
          <cell r="AQ29">
            <v>95.5</v>
          </cell>
          <cell r="AR29">
            <v>95.5</v>
          </cell>
          <cell r="AS29">
            <v>10</v>
          </cell>
          <cell r="AT29">
            <v>10</v>
          </cell>
        </row>
        <row r="30">
          <cell r="A30">
            <v>26</v>
          </cell>
          <cell r="B30">
            <v>18.400000000000002</v>
          </cell>
          <cell r="C30">
            <v>15.600000000000001</v>
          </cell>
          <cell r="D30">
            <v>17.2</v>
          </cell>
          <cell r="E30">
            <v>14.4</v>
          </cell>
          <cell r="F30">
            <v>17.2</v>
          </cell>
          <cell r="G30">
            <v>20</v>
          </cell>
          <cell r="H30">
            <v>39.20000000000001</v>
          </cell>
          <cell r="I30">
            <v>1190</v>
          </cell>
          <cell r="J30">
            <v>44</v>
          </cell>
          <cell r="K30">
            <v>48.400000000000006</v>
          </cell>
          <cell r="L30">
            <v>172</v>
          </cell>
          <cell r="M30">
            <v>138</v>
          </cell>
          <cell r="N30">
            <v>90</v>
          </cell>
          <cell r="O30">
            <v>114.80000000000001</v>
          </cell>
          <cell r="P30">
            <v>72</v>
          </cell>
          <cell r="Q30">
            <v>32.72</v>
          </cell>
          <cell r="R30">
            <v>72</v>
          </cell>
          <cell r="S30">
            <v>940</v>
          </cell>
          <cell r="T30">
            <v>52</v>
          </cell>
          <cell r="U30">
            <v>57.2</v>
          </cell>
          <cell r="V30">
            <v>351</v>
          </cell>
          <cell r="W30">
            <v>351</v>
          </cell>
          <cell r="X30">
            <v>10.142857142857142</v>
          </cell>
          <cell r="Y30">
            <v>16</v>
          </cell>
          <cell r="Z30">
            <v>11.142857142857142</v>
          </cell>
          <cell r="AA30">
            <v>17.166666666666668</v>
          </cell>
          <cell r="AB30">
            <v>15.680000000000005</v>
          </cell>
          <cell r="AC30">
            <v>15.680000000000005</v>
          </cell>
          <cell r="AD30">
            <v>20</v>
          </cell>
          <cell r="AE30">
            <v>12</v>
          </cell>
          <cell r="AF30">
            <v>39.20000000000001</v>
          </cell>
          <cell r="AG30">
            <v>20</v>
          </cell>
          <cell r="AH30">
            <v>15</v>
          </cell>
          <cell r="AI30">
            <v>20</v>
          </cell>
          <cell r="AJ30">
            <v>19</v>
          </cell>
          <cell r="AK30">
            <v>11</v>
          </cell>
          <cell r="AL30">
            <v>20</v>
          </cell>
          <cell r="AM30">
            <v>10</v>
          </cell>
          <cell r="AN30">
            <v>30</v>
          </cell>
          <cell r="AO30">
            <v>30</v>
          </cell>
          <cell r="AP30">
            <v>30</v>
          </cell>
          <cell r="AQ30">
            <v>98.000000000000014</v>
          </cell>
          <cell r="AR30">
            <v>98.000000000000014</v>
          </cell>
          <cell r="AS30">
            <v>10</v>
          </cell>
          <cell r="AT30">
            <v>10</v>
          </cell>
        </row>
        <row r="31">
          <cell r="A31">
            <v>27</v>
          </cell>
          <cell r="B31">
            <v>19.200000000000003</v>
          </cell>
          <cell r="C31">
            <v>16</v>
          </cell>
          <cell r="D31">
            <v>17.600000000000001</v>
          </cell>
          <cell r="E31">
            <v>14.8</v>
          </cell>
          <cell r="F31">
            <v>17.600000000000001</v>
          </cell>
          <cell r="G31">
            <v>20.400000000000002</v>
          </cell>
          <cell r="H31">
            <v>40.720000000000006</v>
          </cell>
          <cell r="I31">
            <v>1220</v>
          </cell>
          <cell r="J31">
            <v>46</v>
          </cell>
          <cell r="K31">
            <v>50.6</v>
          </cell>
          <cell r="L31">
            <v>176.00000000000003</v>
          </cell>
          <cell r="M31">
            <v>142.00000000000003</v>
          </cell>
          <cell r="N31">
            <v>92.5</v>
          </cell>
          <cell r="O31">
            <v>117.60000000000001</v>
          </cell>
          <cell r="P31">
            <v>74</v>
          </cell>
          <cell r="Q31">
            <v>33.56</v>
          </cell>
          <cell r="R31">
            <v>74</v>
          </cell>
          <cell r="S31">
            <v>958</v>
          </cell>
          <cell r="T31">
            <v>52</v>
          </cell>
          <cell r="U31">
            <v>57.2</v>
          </cell>
          <cell r="V31">
            <v>364.5</v>
          </cell>
          <cell r="W31">
            <v>364.5</v>
          </cell>
          <cell r="X31">
            <v>10.285714285714285</v>
          </cell>
          <cell r="Y31">
            <v>16.166666666666668</v>
          </cell>
          <cell r="Z31">
            <v>11.285714285714285</v>
          </cell>
          <cell r="AA31">
            <v>17.333333333333332</v>
          </cell>
          <cell r="AB31">
            <v>16.288000000000004</v>
          </cell>
          <cell r="AC31">
            <v>16.288000000000004</v>
          </cell>
          <cell r="AD31">
            <v>20</v>
          </cell>
          <cell r="AE31">
            <v>12</v>
          </cell>
          <cell r="AF31">
            <v>40.720000000000006</v>
          </cell>
          <cell r="AG31">
            <v>20</v>
          </cell>
          <cell r="AH31">
            <v>15</v>
          </cell>
          <cell r="AI31">
            <v>20</v>
          </cell>
          <cell r="AJ31">
            <v>19</v>
          </cell>
          <cell r="AK31">
            <v>11</v>
          </cell>
          <cell r="AL31">
            <v>20</v>
          </cell>
          <cell r="AM31">
            <v>10</v>
          </cell>
          <cell r="AN31">
            <v>30</v>
          </cell>
          <cell r="AO31">
            <v>30</v>
          </cell>
          <cell r="AP31">
            <v>30</v>
          </cell>
          <cell r="AQ31">
            <v>101.80000000000001</v>
          </cell>
          <cell r="AR31">
            <v>101.80000000000001</v>
          </cell>
          <cell r="AS31">
            <v>10</v>
          </cell>
          <cell r="AT31">
            <v>10</v>
          </cell>
        </row>
        <row r="32">
          <cell r="A32">
            <v>28</v>
          </cell>
          <cell r="B32">
            <v>19.600000000000001</v>
          </cell>
          <cell r="C32">
            <v>16.400000000000002</v>
          </cell>
          <cell r="D32">
            <v>18</v>
          </cell>
          <cell r="E32">
            <v>15.200000000000001</v>
          </cell>
          <cell r="F32">
            <v>18</v>
          </cell>
          <cell r="G32">
            <v>21.200000000000003</v>
          </cell>
          <cell r="H32">
            <v>41.72</v>
          </cell>
          <cell r="I32">
            <v>1250</v>
          </cell>
          <cell r="J32">
            <v>46</v>
          </cell>
          <cell r="K32">
            <v>50.6</v>
          </cell>
          <cell r="L32">
            <v>180</v>
          </cell>
          <cell r="M32">
            <v>146</v>
          </cell>
          <cell r="N32">
            <v>95</v>
          </cell>
          <cell r="O32">
            <v>120.4</v>
          </cell>
          <cell r="P32">
            <v>76</v>
          </cell>
          <cell r="Q32">
            <v>34.4</v>
          </cell>
          <cell r="R32">
            <v>76</v>
          </cell>
          <cell r="S32">
            <v>994</v>
          </cell>
          <cell r="T32">
            <v>54</v>
          </cell>
          <cell r="U32">
            <v>59.400000000000006</v>
          </cell>
          <cell r="V32">
            <v>378</v>
          </cell>
          <cell r="W32">
            <v>378</v>
          </cell>
          <cell r="X32">
            <v>10.428571428571429</v>
          </cell>
          <cell r="Y32">
            <v>16.333333333333332</v>
          </cell>
          <cell r="Z32">
            <v>11.428571428571429</v>
          </cell>
          <cell r="AA32">
            <v>17.5</v>
          </cell>
          <cell r="AB32">
            <v>16.687999999999999</v>
          </cell>
          <cell r="AC32">
            <v>16.687999999999999</v>
          </cell>
          <cell r="AD32">
            <v>20</v>
          </cell>
          <cell r="AE32">
            <v>12</v>
          </cell>
          <cell r="AF32">
            <v>41.72</v>
          </cell>
          <cell r="AG32">
            <v>20</v>
          </cell>
          <cell r="AH32">
            <v>15</v>
          </cell>
          <cell r="AI32">
            <v>20</v>
          </cell>
          <cell r="AJ32">
            <v>19</v>
          </cell>
          <cell r="AK32">
            <v>12</v>
          </cell>
          <cell r="AL32">
            <v>20</v>
          </cell>
          <cell r="AM32">
            <v>10</v>
          </cell>
          <cell r="AN32">
            <v>30</v>
          </cell>
          <cell r="AO32">
            <v>30</v>
          </cell>
          <cell r="AP32">
            <v>30</v>
          </cell>
          <cell r="AQ32">
            <v>104.3</v>
          </cell>
          <cell r="AR32">
            <v>104.3</v>
          </cell>
          <cell r="AS32">
            <v>10</v>
          </cell>
          <cell r="AT32">
            <v>10</v>
          </cell>
        </row>
        <row r="33">
          <cell r="A33">
            <v>29</v>
          </cell>
          <cell r="B33">
            <v>20</v>
          </cell>
          <cell r="C33">
            <v>16.8</v>
          </cell>
          <cell r="D33">
            <v>18.400000000000002</v>
          </cell>
          <cell r="E33">
            <v>15.600000000000001</v>
          </cell>
          <cell r="F33">
            <v>18.400000000000002</v>
          </cell>
          <cell r="G33">
            <v>21.6</v>
          </cell>
          <cell r="H33">
            <v>42.72</v>
          </cell>
          <cell r="I33">
            <v>1280</v>
          </cell>
          <cell r="J33">
            <v>48</v>
          </cell>
          <cell r="K33">
            <v>52.800000000000004</v>
          </cell>
          <cell r="L33">
            <v>184</v>
          </cell>
          <cell r="M33">
            <v>149.99999999999997</v>
          </cell>
          <cell r="N33">
            <v>97.5</v>
          </cell>
          <cell r="O33">
            <v>123.2</v>
          </cell>
          <cell r="P33">
            <v>78</v>
          </cell>
          <cell r="Q33">
            <v>35.24</v>
          </cell>
          <cell r="R33">
            <v>78</v>
          </cell>
          <cell r="S33">
            <v>1012</v>
          </cell>
          <cell r="T33">
            <v>56</v>
          </cell>
          <cell r="U33">
            <v>61.600000000000009</v>
          </cell>
          <cell r="V33">
            <v>391.5</v>
          </cell>
          <cell r="W33">
            <v>391.5</v>
          </cell>
          <cell r="X33">
            <v>10.571428571428571</v>
          </cell>
          <cell r="Y33">
            <v>16.5</v>
          </cell>
          <cell r="Z33">
            <v>11.571428571428571</v>
          </cell>
          <cell r="AA33">
            <v>17.666666666666668</v>
          </cell>
          <cell r="AB33">
            <v>17.088000000000001</v>
          </cell>
          <cell r="AC33">
            <v>17.088000000000001</v>
          </cell>
          <cell r="AD33">
            <v>20</v>
          </cell>
          <cell r="AE33">
            <v>12</v>
          </cell>
          <cell r="AF33">
            <v>42.72</v>
          </cell>
          <cell r="AG33">
            <v>20</v>
          </cell>
          <cell r="AH33">
            <v>15</v>
          </cell>
          <cell r="AI33">
            <v>20</v>
          </cell>
          <cell r="AJ33">
            <v>20</v>
          </cell>
          <cell r="AK33">
            <v>12</v>
          </cell>
          <cell r="AL33">
            <v>20</v>
          </cell>
          <cell r="AM33">
            <v>10</v>
          </cell>
          <cell r="AN33">
            <v>30</v>
          </cell>
          <cell r="AO33">
            <v>30</v>
          </cell>
          <cell r="AP33">
            <v>30</v>
          </cell>
          <cell r="AQ33">
            <v>106.8</v>
          </cell>
          <cell r="AR33">
            <v>106.8</v>
          </cell>
          <cell r="AS33">
            <v>10</v>
          </cell>
          <cell r="AT33">
            <v>10</v>
          </cell>
        </row>
        <row r="34">
          <cell r="A34">
            <v>30</v>
          </cell>
          <cell r="B34">
            <v>20.8</v>
          </cell>
          <cell r="C34">
            <v>17.600000000000001</v>
          </cell>
          <cell r="D34">
            <v>19.200000000000003</v>
          </cell>
          <cell r="E34">
            <v>16</v>
          </cell>
          <cell r="F34">
            <v>19.200000000000003</v>
          </cell>
          <cell r="G34">
            <v>22.400000000000002</v>
          </cell>
          <cell r="H34">
            <v>44.240000000000009</v>
          </cell>
          <cell r="I34">
            <v>1340</v>
          </cell>
          <cell r="J34">
            <v>50</v>
          </cell>
          <cell r="K34">
            <v>55.000000000000007</v>
          </cell>
          <cell r="L34">
            <v>192</v>
          </cell>
          <cell r="M34">
            <v>158</v>
          </cell>
          <cell r="N34">
            <v>100</v>
          </cell>
          <cell r="O34">
            <v>128</v>
          </cell>
          <cell r="P34">
            <v>80</v>
          </cell>
          <cell r="Q34">
            <v>36.72</v>
          </cell>
          <cell r="R34">
            <v>80</v>
          </cell>
          <cell r="S34">
            <v>1048</v>
          </cell>
          <cell r="T34">
            <v>58</v>
          </cell>
          <cell r="U34">
            <v>63.800000000000004</v>
          </cell>
          <cell r="V34">
            <v>405</v>
          </cell>
          <cell r="W34">
            <v>405</v>
          </cell>
          <cell r="X34">
            <v>10.714285714285715</v>
          </cell>
          <cell r="Y34">
            <v>16.666666666666668</v>
          </cell>
          <cell r="Z34">
            <v>11.857142857142858</v>
          </cell>
          <cell r="AA34">
            <v>18</v>
          </cell>
          <cell r="AB34">
            <v>17.696000000000005</v>
          </cell>
          <cell r="AC34">
            <v>17.696000000000005</v>
          </cell>
          <cell r="AD34">
            <v>20</v>
          </cell>
          <cell r="AE34">
            <v>14</v>
          </cell>
          <cell r="AF34">
            <v>44.240000000000009</v>
          </cell>
          <cell r="AG34">
            <v>20</v>
          </cell>
          <cell r="AH34">
            <v>15</v>
          </cell>
          <cell r="AI34">
            <v>20</v>
          </cell>
          <cell r="AJ34">
            <v>20</v>
          </cell>
          <cell r="AK34">
            <v>13</v>
          </cell>
          <cell r="AL34">
            <v>20</v>
          </cell>
          <cell r="AM34">
            <v>10</v>
          </cell>
          <cell r="AN34">
            <v>30</v>
          </cell>
          <cell r="AO34">
            <v>30</v>
          </cell>
          <cell r="AP34">
            <v>30</v>
          </cell>
          <cell r="AQ34">
            <v>110.60000000000001</v>
          </cell>
          <cell r="AR34">
            <v>110.60000000000001</v>
          </cell>
          <cell r="AS34">
            <v>10</v>
          </cell>
          <cell r="AT34">
            <v>10</v>
          </cell>
        </row>
        <row r="35">
          <cell r="A35">
            <v>31</v>
          </cell>
          <cell r="B35">
            <v>21.200000000000003</v>
          </cell>
          <cell r="C35">
            <v>18</v>
          </cell>
          <cell r="D35">
            <v>19.600000000000001</v>
          </cell>
          <cell r="E35">
            <v>16.400000000000002</v>
          </cell>
          <cell r="F35">
            <v>19.600000000000001</v>
          </cell>
          <cell r="G35">
            <v>22.8</v>
          </cell>
          <cell r="H35">
            <v>45.240000000000009</v>
          </cell>
          <cell r="I35">
            <v>1370</v>
          </cell>
          <cell r="J35">
            <v>50</v>
          </cell>
          <cell r="K35">
            <v>55.000000000000007</v>
          </cell>
          <cell r="L35">
            <v>196.00000000000003</v>
          </cell>
          <cell r="M35">
            <v>162.00000000000003</v>
          </cell>
          <cell r="N35">
            <v>102.49999999999999</v>
          </cell>
          <cell r="O35">
            <v>130.80000000000001</v>
          </cell>
          <cell r="P35">
            <v>82</v>
          </cell>
          <cell r="Q35">
            <v>37.56</v>
          </cell>
          <cell r="R35">
            <v>82</v>
          </cell>
          <cell r="S35">
            <v>1066</v>
          </cell>
          <cell r="T35">
            <v>58</v>
          </cell>
          <cell r="U35">
            <v>63.800000000000004</v>
          </cell>
          <cell r="V35">
            <v>418.5</v>
          </cell>
          <cell r="W35">
            <v>418.5</v>
          </cell>
          <cell r="X35">
            <v>10.857142857142858</v>
          </cell>
          <cell r="Y35">
            <v>16.833333333333332</v>
          </cell>
          <cell r="Z35">
            <v>12</v>
          </cell>
          <cell r="AA35">
            <v>18.166666666666664</v>
          </cell>
          <cell r="AB35">
            <v>18.096000000000004</v>
          </cell>
          <cell r="AC35">
            <v>18.096000000000004</v>
          </cell>
          <cell r="AD35">
            <v>20</v>
          </cell>
          <cell r="AE35">
            <v>14</v>
          </cell>
          <cell r="AF35">
            <v>45.240000000000009</v>
          </cell>
          <cell r="AG35">
            <v>20</v>
          </cell>
          <cell r="AH35">
            <v>15</v>
          </cell>
          <cell r="AI35">
            <v>20</v>
          </cell>
          <cell r="AJ35">
            <v>20</v>
          </cell>
          <cell r="AK35">
            <v>13</v>
          </cell>
          <cell r="AL35">
            <v>20</v>
          </cell>
          <cell r="AM35">
            <v>10</v>
          </cell>
          <cell r="AN35">
            <v>30</v>
          </cell>
          <cell r="AO35">
            <v>30</v>
          </cell>
          <cell r="AP35">
            <v>30</v>
          </cell>
          <cell r="AQ35">
            <v>113.10000000000001</v>
          </cell>
          <cell r="AR35">
            <v>113.10000000000001</v>
          </cell>
          <cell r="AS35">
            <v>10</v>
          </cell>
          <cell r="AT35">
            <v>10</v>
          </cell>
        </row>
        <row r="36">
          <cell r="A36">
            <v>32</v>
          </cell>
          <cell r="B36">
            <v>21.6</v>
          </cell>
          <cell r="C36">
            <v>18.400000000000002</v>
          </cell>
          <cell r="D36">
            <v>20</v>
          </cell>
          <cell r="E36">
            <v>16.8</v>
          </cell>
          <cell r="F36">
            <v>20</v>
          </cell>
          <cell r="G36">
            <v>23.200000000000003</v>
          </cell>
          <cell r="H36">
            <v>46.24</v>
          </cell>
          <cell r="I36">
            <v>1400</v>
          </cell>
          <cell r="J36">
            <v>52</v>
          </cell>
          <cell r="K36">
            <v>57.2</v>
          </cell>
          <cell r="L36">
            <v>200</v>
          </cell>
          <cell r="M36">
            <v>166</v>
          </cell>
          <cell r="N36">
            <v>105</v>
          </cell>
          <cell r="O36">
            <v>133.6</v>
          </cell>
          <cell r="P36">
            <v>84</v>
          </cell>
          <cell r="Q36">
            <v>38.400000000000006</v>
          </cell>
          <cell r="R36">
            <v>84</v>
          </cell>
          <cell r="S36">
            <v>1084</v>
          </cell>
          <cell r="T36">
            <v>60</v>
          </cell>
          <cell r="U36">
            <v>66</v>
          </cell>
          <cell r="V36">
            <v>432</v>
          </cell>
          <cell r="W36">
            <v>432</v>
          </cell>
          <cell r="X36">
            <v>11</v>
          </cell>
          <cell r="Y36">
            <v>17</v>
          </cell>
          <cell r="Z36">
            <v>12.142857142857142</v>
          </cell>
          <cell r="AA36">
            <v>18.333333333333336</v>
          </cell>
          <cell r="AB36">
            <v>18.496000000000002</v>
          </cell>
          <cell r="AC36">
            <v>18.496000000000002</v>
          </cell>
          <cell r="AD36">
            <v>20</v>
          </cell>
          <cell r="AE36">
            <v>14</v>
          </cell>
          <cell r="AF36">
            <v>46.24</v>
          </cell>
          <cell r="AG36">
            <v>20</v>
          </cell>
          <cell r="AH36">
            <v>15</v>
          </cell>
          <cell r="AI36">
            <v>20</v>
          </cell>
          <cell r="AJ36">
            <v>21</v>
          </cell>
          <cell r="AK36">
            <v>13</v>
          </cell>
          <cell r="AL36">
            <v>20</v>
          </cell>
          <cell r="AM36">
            <v>10</v>
          </cell>
          <cell r="AN36">
            <v>30</v>
          </cell>
          <cell r="AO36">
            <v>30</v>
          </cell>
          <cell r="AP36">
            <v>30</v>
          </cell>
          <cell r="AQ36">
            <v>115.6</v>
          </cell>
          <cell r="AR36">
            <v>115.6</v>
          </cell>
          <cell r="AS36">
            <v>10</v>
          </cell>
          <cell r="AT36">
            <v>10</v>
          </cell>
        </row>
        <row r="37">
          <cell r="A37">
            <v>33</v>
          </cell>
          <cell r="B37">
            <v>22</v>
          </cell>
          <cell r="C37">
            <v>18.8</v>
          </cell>
          <cell r="D37">
            <v>20.400000000000002</v>
          </cell>
          <cell r="E37">
            <v>17.2</v>
          </cell>
          <cell r="F37">
            <v>20.400000000000002</v>
          </cell>
          <cell r="G37">
            <v>24</v>
          </cell>
          <cell r="H37">
            <v>47.24</v>
          </cell>
          <cell r="I37">
            <v>1430</v>
          </cell>
          <cell r="J37">
            <v>52</v>
          </cell>
          <cell r="K37">
            <v>57.2</v>
          </cell>
          <cell r="L37">
            <v>204</v>
          </cell>
          <cell r="M37">
            <v>170</v>
          </cell>
          <cell r="N37">
            <v>107.5</v>
          </cell>
          <cell r="O37">
            <v>136.4</v>
          </cell>
          <cell r="P37">
            <v>86</v>
          </cell>
          <cell r="Q37">
            <v>39.24</v>
          </cell>
          <cell r="R37">
            <v>86</v>
          </cell>
          <cell r="S37">
            <v>1120</v>
          </cell>
          <cell r="T37">
            <v>62</v>
          </cell>
          <cell r="U37">
            <v>68.2</v>
          </cell>
          <cell r="V37">
            <v>445.5</v>
          </cell>
          <cell r="W37">
            <v>445.5</v>
          </cell>
          <cell r="X37">
            <v>11.142857142857142</v>
          </cell>
          <cell r="Y37">
            <v>17.166666666666668</v>
          </cell>
          <cell r="Z37">
            <v>12.285714285714285</v>
          </cell>
          <cell r="AA37">
            <v>18.5</v>
          </cell>
          <cell r="AB37">
            <v>18.896000000000001</v>
          </cell>
          <cell r="AC37">
            <v>18.896000000000001</v>
          </cell>
          <cell r="AD37">
            <v>20</v>
          </cell>
          <cell r="AE37">
            <v>14</v>
          </cell>
          <cell r="AF37">
            <v>47.24</v>
          </cell>
          <cell r="AG37">
            <v>20</v>
          </cell>
          <cell r="AH37">
            <v>15</v>
          </cell>
          <cell r="AI37">
            <v>20</v>
          </cell>
          <cell r="AJ37">
            <v>21</v>
          </cell>
          <cell r="AK37">
            <v>14</v>
          </cell>
          <cell r="AL37">
            <v>20</v>
          </cell>
          <cell r="AM37">
            <v>10</v>
          </cell>
          <cell r="AN37">
            <v>30</v>
          </cell>
          <cell r="AO37">
            <v>30</v>
          </cell>
          <cell r="AP37">
            <v>30</v>
          </cell>
          <cell r="AQ37">
            <v>118.1</v>
          </cell>
          <cell r="AR37">
            <v>118.1</v>
          </cell>
          <cell r="AS37">
            <v>10</v>
          </cell>
          <cell r="AT37">
            <v>10</v>
          </cell>
        </row>
        <row r="38">
          <cell r="A38">
            <v>34</v>
          </cell>
          <cell r="B38">
            <v>22.8</v>
          </cell>
          <cell r="C38">
            <v>19.200000000000003</v>
          </cell>
          <cell r="D38">
            <v>20.8</v>
          </cell>
          <cell r="E38">
            <v>17.600000000000001</v>
          </cell>
          <cell r="F38">
            <v>20.8</v>
          </cell>
          <cell r="G38">
            <v>24.400000000000002</v>
          </cell>
          <cell r="H38">
            <v>48.760000000000005</v>
          </cell>
          <cell r="I38">
            <v>1460</v>
          </cell>
          <cell r="J38">
            <v>54</v>
          </cell>
          <cell r="K38">
            <v>59.400000000000006</v>
          </cell>
          <cell r="L38">
            <v>208</v>
          </cell>
          <cell r="M38">
            <v>174</v>
          </cell>
          <cell r="N38">
            <v>110.00000000000001</v>
          </cell>
          <cell r="O38">
            <v>139.20000000000002</v>
          </cell>
          <cell r="P38">
            <v>88</v>
          </cell>
          <cell r="Q38">
            <v>40.080000000000005</v>
          </cell>
          <cell r="R38">
            <v>88.000000000000014</v>
          </cell>
          <cell r="S38">
            <v>1138</v>
          </cell>
          <cell r="T38">
            <v>62</v>
          </cell>
          <cell r="U38">
            <v>68.2</v>
          </cell>
          <cell r="V38">
            <v>459</v>
          </cell>
          <cell r="W38">
            <v>459</v>
          </cell>
          <cell r="X38">
            <v>11.285714285714285</v>
          </cell>
          <cell r="Y38">
            <v>17.333333333333332</v>
          </cell>
          <cell r="Z38">
            <v>12.428571428571429</v>
          </cell>
          <cell r="AA38">
            <v>18.666666666666664</v>
          </cell>
          <cell r="AB38">
            <v>19.504000000000005</v>
          </cell>
          <cell r="AC38">
            <v>19.504000000000005</v>
          </cell>
          <cell r="AD38">
            <v>20</v>
          </cell>
          <cell r="AE38">
            <v>14</v>
          </cell>
          <cell r="AF38">
            <v>48.760000000000005</v>
          </cell>
          <cell r="AG38">
            <v>20</v>
          </cell>
          <cell r="AH38">
            <v>15</v>
          </cell>
          <cell r="AI38">
            <v>20</v>
          </cell>
          <cell r="AJ38">
            <v>21</v>
          </cell>
          <cell r="AK38">
            <v>14</v>
          </cell>
          <cell r="AL38">
            <v>20</v>
          </cell>
          <cell r="AM38">
            <v>10</v>
          </cell>
          <cell r="AN38">
            <v>30</v>
          </cell>
          <cell r="AO38">
            <v>30</v>
          </cell>
          <cell r="AP38">
            <v>30</v>
          </cell>
          <cell r="AQ38">
            <v>121.9</v>
          </cell>
          <cell r="AR38">
            <v>121.9</v>
          </cell>
          <cell r="AS38">
            <v>10</v>
          </cell>
          <cell r="AT38">
            <v>10</v>
          </cell>
        </row>
        <row r="39">
          <cell r="A39">
            <v>35</v>
          </cell>
          <cell r="B39">
            <v>23.200000000000003</v>
          </cell>
          <cell r="C39">
            <v>19.600000000000001</v>
          </cell>
          <cell r="D39">
            <v>21.6</v>
          </cell>
          <cell r="E39">
            <v>18</v>
          </cell>
          <cell r="F39">
            <v>21.6</v>
          </cell>
          <cell r="G39">
            <v>25.200000000000003</v>
          </cell>
          <cell r="H39">
            <v>49.760000000000005</v>
          </cell>
          <cell r="I39">
            <v>1490</v>
          </cell>
          <cell r="J39">
            <v>54</v>
          </cell>
          <cell r="K39">
            <v>59.400000000000006</v>
          </cell>
          <cell r="L39">
            <v>216</v>
          </cell>
          <cell r="M39">
            <v>182</v>
          </cell>
          <cell r="N39">
            <v>112.5</v>
          </cell>
          <cell r="O39">
            <v>144</v>
          </cell>
          <cell r="P39">
            <v>90</v>
          </cell>
          <cell r="Q39">
            <v>41.56</v>
          </cell>
          <cell r="R39">
            <v>90</v>
          </cell>
          <cell r="S39">
            <v>1174</v>
          </cell>
          <cell r="T39">
            <v>64</v>
          </cell>
          <cell r="U39">
            <v>70.400000000000006</v>
          </cell>
          <cell r="V39">
            <v>472.5</v>
          </cell>
          <cell r="W39">
            <v>472.5</v>
          </cell>
          <cell r="X39">
            <v>11.428571428571429</v>
          </cell>
          <cell r="Y39">
            <v>17.5</v>
          </cell>
          <cell r="Z39">
            <v>12.714285714285715</v>
          </cell>
          <cell r="AA39">
            <v>19</v>
          </cell>
          <cell r="AB39">
            <v>19.904000000000003</v>
          </cell>
          <cell r="AC39">
            <v>19.904000000000003</v>
          </cell>
          <cell r="AD39">
            <v>20</v>
          </cell>
          <cell r="AE39">
            <v>16</v>
          </cell>
          <cell r="AF39">
            <v>49.760000000000005</v>
          </cell>
          <cell r="AG39">
            <v>20</v>
          </cell>
          <cell r="AH39">
            <v>15</v>
          </cell>
          <cell r="AI39">
            <v>20</v>
          </cell>
          <cell r="AJ39">
            <v>22</v>
          </cell>
          <cell r="AK39">
            <v>15</v>
          </cell>
          <cell r="AL39">
            <v>20</v>
          </cell>
          <cell r="AM39">
            <v>10</v>
          </cell>
          <cell r="AN39">
            <v>30</v>
          </cell>
          <cell r="AO39">
            <v>30</v>
          </cell>
          <cell r="AP39">
            <v>30</v>
          </cell>
          <cell r="AQ39">
            <v>124.4</v>
          </cell>
          <cell r="AR39">
            <v>124.4</v>
          </cell>
          <cell r="AS39">
            <v>10</v>
          </cell>
          <cell r="AT39">
            <v>10</v>
          </cell>
        </row>
        <row r="40">
          <cell r="A40">
            <v>36</v>
          </cell>
          <cell r="B40">
            <v>23.6</v>
          </cell>
          <cell r="C40">
            <v>20</v>
          </cell>
          <cell r="D40">
            <v>22</v>
          </cell>
          <cell r="E40">
            <v>18.400000000000002</v>
          </cell>
          <cell r="F40">
            <v>22</v>
          </cell>
          <cell r="G40">
            <v>25.6</v>
          </cell>
          <cell r="H40">
            <v>50.760000000000005</v>
          </cell>
          <cell r="I40">
            <v>1520</v>
          </cell>
          <cell r="J40">
            <v>56</v>
          </cell>
          <cell r="K40">
            <v>61.600000000000009</v>
          </cell>
          <cell r="L40">
            <v>220</v>
          </cell>
          <cell r="M40">
            <v>186</v>
          </cell>
          <cell r="N40">
            <v>114.99999999999999</v>
          </cell>
          <cell r="O40">
            <v>146.80000000000001</v>
          </cell>
          <cell r="P40">
            <v>92</v>
          </cell>
          <cell r="Q40">
            <v>42.400000000000006</v>
          </cell>
          <cell r="R40">
            <v>92</v>
          </cell>
          <cell r="S40">
            <v>1192</v>
          </cell>
          <cell r="T40">
            <v>66</v>
          </cell>
          <cell r="U40">
            <v>72.600000000000009</v>
          </cell>
          <cell r="V40">
            <v>486</v>
          </cell>
          <cell r="W40">
            <v>486</v>
          </cell>
          <cell r="X40">
            <v>11.571428571428571</v>
          </cell>
          <cell r="Y40">
            <v>17.666666666666668</v>
          </cell>
          <cell r="Z40">
            <v>12.857142857142858</v>
          </cell>
          <cell r="AA40">
            <v>19.166666666666664</v>
          </cell>
          <cell r="AB40">
            <v>20.304000000000002</v>
          </cell>
          <cell r="AC40">
            <v>20.304000000000002</v>
          </cell>
          <cell r="AD40">
            <v>20</v>
          </cell>
          <cell r="AE40">
            <v>16</v>
          </cell>
          <cell r="AF40">
            <v>50.760000000000005</v>
          </cell>
          <cell r="AG40">
            <v>20</v>
          </cell>
          <cell r="AH40">
            <v>15</v>
          </cell>
          <cell r="AI40">
            <v>20</v>
          </cell>
          <cell r="AJ40">
            <v>22</v>
          </cell>
          <cell r="AK40">
            <v>15</v>
          </cell>
          <cell r="AL40">
            <v>20</v>
          </cell>
          <cell r="AM40">
            <v>10</v>
          </cell>
          <cell r="AN40">
            <v>30</v>
          </cell>
          <cell r="AO40">
            <v>30</v>
          </cell>
          <cell r="AP40">
            <v>30</v>
          </cell>
          <cell r="AQ40">
            <v>126.9</v>
          </cell>
          <cell r="AR40">
            <v>126.9</v>
          </cell>
          <cell r="AS40">
            <v>10</v>
          </cell>
          <cell r="AT40">
            <v>10</v>
          </cell>
        </row>
        <row r="41">
          <cell r="A41">
            <v>37</v>
          </cell>
          <cell r="B41">
            <v>24.400000000000002</v>
          </cell>
          <cell r="C41">
            <v>20.400000000000002</v>
          </cell>
          <cell r="D41">
            <v>22.400000000000002</v>
          </cell>
          <cell r="E41">
            <v>18.8</v>
          </cell>
          <cell r="F41">
            <v>22.400000000000002</v>
          </cell>
          <cell r="G41">
            <v>26</v>
          </cell>
          <cell r="H41">
            <v>52.28</v>
          </cell>
          <cell r="I41">
            <v>1550</v>
          </cell>
          <cell r="J41">
            <v>56</v>
          </cell>
          <cell r="K41">
            <v>61.600000000000009</v>
          </cell>
          <cell r="L41">
            <v>224</v>
          </cell>
          <cell r="M41">
            <v>190</v>
          </cell>
          <cell r="N41">
            <v>117.5</v>
          </cell>
          <cell r="O41">
            <v>149.6</v>
          </cell>
          <cell r="P41">
            <v>94</v>
          </cell>
          <cell r="Q41">
            <v>43.24</v>
          </cell>
          <cell r="R41">
            <v>94</v>
          </cell>
          <cell r="S41">
            <v>1210</v>
          </cell>
          <cell r="T41">
            <v>66</v>
          </cell>
          <cell r="U41">
            <v>72.600000000000009</v>
          </cell>
          <cell r="V41">
            <v>499.5</v>
          </cell>
          <cell r="W41">
            <v>499.5</v>
          </cell>
          <cell r="X41">
            <v>11.714285714285715</v>
          </cell>
          <cell r="Y41">
            <v>17.833333333333332</v>
          </cell>
          <cell r="Z41">
            <v>13</v>
          </cell>
          <cell r="AA41">
            <v>19.333333333333336</v>
          </cell>
          <cell r="AB41">
            <v>20.912000000000003</v>
          </cell>
          <cell r="AC41">
            <v>20.912000000000003</v>
          </cell>
          <cell r="AD41">
            <v>20</v>
          </cell>
          <cell r="AE41">
            <v>16</v>
          </cell>
          <cell r="AF41">
            <v>52.28</v>
          </cell>
          <cell r="AG41">
            <v>20</v>
          </cell>
          <cell r="AH41">
            <v>15</v>
          </cell>
          <cell r="AI41">
            <v>20</v>
          </cell>
          <cell r="AJ41">
            <v>22</v>
          </cell>
          <cell r="AK41">
            <v>15</v>
          </cell>
          <cell r="AL41">
            <v>20</v>
          </cell>
          <cell r="AM41">
            <v>10</v>
          </cell>
          <cell r="AN41">
            <v>30</v>
          </cell>
          <cell r="AO41">
            <v>30</v>
          </cell>
          <cell r="AP41">
            <v>30</v>
          </cell>
          <cell r="AQ41">
            <v>130.69999999999999</v>
          </cell>
          <cell r="AR41">
            <v>130.69999999999999</v>
          </cell>
          <cell r="AS41">
            <v>10</v>
          </cell>
          <cell r="AT41">
            <v>10</v>
          </cell>
        </row>
        <row r="42">
          <cell r="A42">
            <v>38</v>
          </cell>
          <cell r="B42">
            <v>24.8</v>
          </cell>
          <cell r="C42">
            <v>20.8</v>
          </cell>
          <cell r="D42">
            <v>22.8</v>
          </cell>
          <cell r="E42">
            <v>19.200000000000003</v>
          </cell>
          <cell r="F42">
            <v>22.8</v>
          </cell>
          <cell r="G42">
            <v>26.8</v>
          </cell>
          <cell r="H42">
            <v>53.28</v>
          </cell>
          <cell r="I42">
            <v>1580</v>
          </cell>
          <cell r="J42">
            <v>58</v>
          </cell>
          <cell r="K42">
            <v>63.800000000000004</v>
          </cell>
          <cell r="L42">
            <v>228</v>
          </cell>
          <cell r="M42">
            <v>194</v>
          </cell>
          <cell r="N42">
            <v>120</v>
          </cell>
          <cell r="O42">
            <v>152.4</v>
          </cell>
          <cell r="P42">
            <v>96</v>
          </cell>
          <cell r="Q42">
            <v>44.08</v>
          </cell>
          <cell r="R42">
            <v>96</v>
          </cell>
          <cell r="S42">
            <v>1246</v>
          </cell>
          <cell r="T42">
            <v>68</v>
          </cell>
          <cell r="U42">
            <v>74.800000000000011</v>
          </cell>
          <cell r="V42">
            <v>513</v>
          </cell>
          <cell r="W42">
            <v>513</v>
          </cell>
          <cell r="X42">
            <v>11.857142857142858</v>
          </cell>
          <cell r="Y42">
            <v>18</v>
          </cell>
          <cell r="Z42">
            <v>13.142857142857142</v>
          </cell>
          <cell r="AA42">
            <v>19.5</v>
          </cell>
          <cell r="AB42">
            <v>21.312000000000001</v>
          </cell>
          <cell r="AC42">
            <v>21.312000000000001</v>
          </cell>
          <cell r="AD42">
            <v>20</v>
          </cell>
          <cell r="AE42">
            <v>16</v>
          </cell>
          <cell r="AF42">
            <v>53.28</v>
          </cell>
          <cell r="AG42">
            <v>20</v>
          </cell>
          <cell r="AH42">
            <v>15</v>
          </cell>
          <cell r="AI42">
            <v>20</v>
          </cell>
          <cell r="AJ42">
            <v>23</v>
          </cell>
          <cell r="AK42">
            <v>16</v>
          </cell>
          <cell r="AL42">
            <v>20</v>
          </cell>
          <cell r="AM42">
            <v>10</v>
          </cell>
          <cell r="AN42">
            <v>30</v>
          </cell>
          <cell r="AO42">
            <v>30</v>
          </cell>
          <cell r="AP42">
            <v>30</v>
          </cell>
          <cell r="AQ42">
            <v>133.19999999999999</v>
          </cell>
          <cell r="AR42">
            <v>133.19999999999999</v>
          </cell>
          <cell r="AS42">
            <v>10</v>
          </cell>
          <cell r="AT42">
            <v>10</v>
          </cell>
        </row>
        <row r="43">
          <cell r="A43">
            <v>39</v>
          </cell>
          <cell r="B43">
            <v>25.200000000000003</v>
          </cell>
          <cell r="C43">
            <v>21.200000000000003</v>
          </cell>
          <cell r="D43">
            <v>23.200000000000003</v>
          </cell>
          <cell r="E43">
            <v>19.600000000000001</v>
          </cell>
          <cell r="F43">
            <v>23.200000000000003</v>
          </cell>
          <cell r="G43">
            <v>27.200000000000003</v>
          </cell>
          <cell r="H43">
            <v>54.28</v>
          </cell>
          <cell r="I43">
            <v>1610</v>
          </cell>
          <cell r="J43">
            <v>58</v>
          </cell>
          <cell r="K43">
            <v>63.800000000000004</v>
          </cell>
          <cell r="L43">
            <v>232</v>
          </cell>
          <cell r="M43">
            <v>198</v>
          </cell>
          <cell r="N43">
            <v>122.50000000000001</v>
          </cell>
          <cell r="O43">
            <v>155.20000000000002</v>
          </cell>
          <cell r="P43">
            <v>98</v>
          </cell>
          <cell r="Q43">
            <v>44.92</v>
          </cell>
          <cell r="R43">
            <v>98.000000000000014</v>
          </cell>
          <cell r="S43">
            <v>1264</v>
          </cell>
          <cell r="T43">
            <v>70</v>
          </cell>
          <cell r="U43">
            <v>77</v>
          </cell>
          <cell r="V43">
            <v>526.5</v>
          </cell>
          <cell r="W43">
            <v>526.5</v>
          </cell>
          <cell r="X43">
            <v>12</v>
          </cell>
          <cell r="Y43">
            <v>18.166666666666664</v>
          </cell>
          <cell r="Z43">
            <v>13.285714285714286</v>
          </cell>
          <cell r="AA43">
            <v>19.666666666666664</v>
          </cell>
          <cell r="AB43">
            <v>21.712000000000003</v>
          </cell>
          <cell r="AC43">
            <v>21.712000000000003</v>
          </cell>
          <cell r="AD43">
            <v>20</v>
          </cell>
          <cell r="AE43">
            <v>16</v>
          </cell>
          <cell r="AF43">
            <v>54.28</v>
          </cell>
          <cell r="AG43">
            <v>20</v>
          </cell>
          <cell r="AH43">
            <v>15</v>
          </cell>
          <cell r="AI43">
            <v>20</v>
          </cell>
          <cell r="AJ43">
            <v>23</v>
          </cell>
          <cell r="AK43">
            <v>16</v>
          </cell>
          <cell r="AL43">
            <v>20</v>
          </cell>
          <cell r="AM43">
            <v>10</v>
          </cell>
          <cell r="AN43">
            <v>30</v>
          </cell>
          <cell r="AO43">
            <v>30</v>
          </cell>
          <cell r="AP43">
            <v>30</v>
          </cell>
          <cell r="AQ43">
            <v>135.69999999999999</v>
          </cell>
          <cell r="AR43">
            <v>135.69999999999999</v>
          </cell>
          <cell r="AS43">
            <v>10</v>
          </cell>
          <cell r="AT43">
            <v>10</v>
          </cell>
        </row>
        <row r="44">
          <cell r="A44">
            <v>40</v>
          </cell>
          <cell r="B44">
            <v>26</v>
          </cell>
          <cell r="C44">
            <v>22</v>
          </cell>
          <cell r="D44">
            <v>24</v>
          </cell>
          <cell r="E44">
            <v>20</v>
          </cell>
          <cell r="F44">
            <v>24</v>
          </cell>
          <cell r="G44">
            <v>28</v>
          </cell>
          <cell r="H44">
            <v>55.800000000000004</v>
          </cell>
          <cell r="I44">
            <v>1670</v>
          </cell>
          <cell r="J44">
            <v>60</v>
          </cell>
          <cell r="K44">
            <v>66</v>
          </cell>
          <cell r="L44">
            <v>240</v>
          </cell>
          <cell r="M44">
            <v>206</v>
          </cell>
          <cell r="N44">
            <v>125</v>
          </cell>
          <cell r="O44">
            <v>160</v>
          </cell>
          <cell r="P44">
            <v>100</v>
          </cell>
          <cell r="Q44">
            <v>46.400000000000006</v>
          </cell>
          <cell r="R44">
            <v>100</v>
          </cell>
          <cell r="S44">
            <v>1300</v>
          </cell>
          <cell r="T44">
            <v>72</v>
          </cell>
          <cell r="U44">
            <v>79.2</v>
          </cell>
          <cell r="V44">
            <v>540</v>
          </cell>
          <cell r="W44">
            <v>540</v>
          </cell>
          <cell r="X44">
            <v>12.142857142857142</v>
          </cell>
          <cell r="Y44">
            <v>18.333333333333336</v>
          </cell>
          <cell r="Z44">
            <v>13.571428571428571</v>
          </cell>
          <cell r="AA44">
            <v>20</v>
          </cell>
          <cell r="AB44">
            <v>22.320000000000004</v>
          </cell>
          <cell r="AC44">
            <v>22.320000000000004</v>
          </cell>
          <cell r="AD44">
            <v>20</v>
          </cell>
          <cell r="AE44">
            <v>18</v>
          </cell>
          <cell r="AF44">
            <v>55.800000000000004</v>
          </cell>
          <cell r="AG44">
            <v>20</v>
          </cell>
          <cell r="AH44">
            <v>15</v>
          </cell>
          <cell r="AI44">
            <v>20</v>
          </cell>
          <cell r="AJ44">
            <v>24</v>
          </cell>
          <cell r="AK44">
            <v>17</v>
          </cell>
          <cell r="AL44">
            <v>20</v>
          </cell>
          <cell r="AM44">
            <v>10</v>
          </cell>
          <cell r="AN44">
            <v>30</v>
          </cell>
          <cell r="AO44">
            <v>30</v>
          </cell>
          <cell r="AP44">
            <v>30</v>
          </cell>
          <cell r="AQ44">
            <v>139.5</v>
          </cell>
          <cell r="AR44">
            <v>139.5</v>
          </cell>
          <cell r="AS44">
            <v>10</v>
          </cell>
          <cell r="AT44">
            <v>10</v>
          </cell>
        </row>
        <row r="45">
          <cell r="A45">
            <v>41</v>
          </cell>
          <cell r="B45">
            <v>26.400000000000002</v>
          </cell>
          <cell r="C45">
            <v>22.400000000000002</v>
          </cell>
          <cell r="D45">
            <v>24.400000000000002</v>
          </cell>
          <cell r="E45">
            <v>20.400000000000002</v>
          </cell>
          <cell r="F45">
            <v>24.400000000000002</v>
          </cell>
          <cell r="G45">
            <v>28.400000000000002</v>
          </cell>
          <cell r="H45">
            <v>56.800000000000004</v>
          </cell>
          <cell r="I45">
            <v>1700</v>
          </cell>
          <cell r="J45">
            <v>62</v>
          </cell>
          <cell r="K45">
            <v>68.2</v>
          </cell>
          <cell r="L45">
            <v>244</v>
          </cell>
          <cell r="M45">
            <v>210</v>
          </cell>
          <cell r="N45">
            <v>127.49999999999999</v>
          </cell>
          <cell r="O45">
            <v>162.80000000000001</v>
          </cell>
          <cell r="P45">
            <v>102</v>
          </cell>
          <cell r="Q45">
            <v>47.24</v>
          </cell>
          <cell r="R45">
            <v>102</v>
          </cell>
          <cell r="S45">
            <v>1318</v>
          </cell>
          <cell r="T45">
            <v>72</v>
          </cell>
          <cell r="U45">
            <v>79.2</v>
          </cell>
          <cell r="V45">
            <v>553.5</v>
          </cell>
          <cell r="W45">
            <v>553.5</v>
          </cell>
          <cell r="X45">
            <v>12.285714285714285</v>
          </cell>
          <cell r="Y45">
            <v>18.5</v>
          </cell>
          <cell r="Z45">
            <v>13.714285714285714</v>
          </cell>
          <cell r="AA45">
            <v>20.166666666666664</v>
          </cell>
          <cell r="AB45">
            <v>22.720000000000002</v>
          </cell>
          <cell r="AC45">
            <v>22.720000000000002</v>
          </cell>
          <cell r="AD45">
            <v>20</v>
          </cell>
          <cell r="AE45">
            <v>18</v>
          </cell>
          <cell r="AF45">
            <v>56.800000000000004</v>
          </cell>
          <cell r="AG45">
            <v>20</v>
          </cell>
          <cell r="AH45">
            <v>15</v>
          </cell>
          <cell r="AI45">
            <v>20</v>
          </cell>
          <cell r="AJ45">
            <v>24</v>
          </cell>
          <cell r="AK45">
            <v>17</v>
          </cell>
          <cell r="AL45">
            <v>20</v>
          </cell>
          <cell r="AM45">
            <v>10</v>
          </cell>
          <cell r="AN45">
            <v>30</v>
          </cell>
          <cell r="AO45">
            <v>30</v>
          </cell>
          <cell r="AP45">
            <v>30</v>
          </cell>
          <cell r="AQ45">
            <v>142</v>
          </cell>
          <cell r="AR45">
            <v>142</v>
          </cell>
          <cell r="AS45">
            <v>10</v>
          </cell>
          <cell r="AT45">
            <v>10</v>
          </cell>
        </row>
        <row r="46">
          <cell r="A46">
            <v>42</v>
          </cell>
          <cell r="B46">
            <v>26.8</v>
          </cell>
          <cell r="C46">
            <v>22.8</v>
          </cell>
          <cell r="D46">
            <v>24.8</v>
          </cell>
          <cell r="E46">
            <v>20.8</v>
          </cell>
          <cell r="F46">
            <v>24.8</v>
          </cell>
          <cell r="G46">
            <v>28.8</v>
          </cell>
          <cell r="H46">
            <v>57.800000000000004</v>
          </cell>
          <cell r="I46">
            <v>1730</v>
          </cell>
          <cell r="J46">
            <v>62</v>
          </cell>
          <cell r="K46">
            <v>68.2</v>
          </cell>
          <cell r="L46">
            <v>248</v>
          </cell>
          <cell r="M46">
            <v>214</v>
          </cell>
          <cell r="N46">
            <v>130</v>
          </cell>
          <cell r="O46">
            <v>165.60000000000002</v>
          </cell>
          <cell r="P46">
            <v>104</v>
          </cell>
          <cell r="Q46">
            <v>48.08</v>
          </cell>
          <cell r="R46">
            <v>104</v>
          </cell>
          <cell r="S46">
            <v>1336</v>
          </cell>
          <cell r="T46">
            <v>74</v>
          </cell>
          <cell r="U46">
            <v>81.400000000000006</v>
          </cell>
          <cell r="V46">
            <v>567</v>
          </cell>
          <cell r="W46">
            <v>567</v>
          </cell>
          <cell r="X46">
            <v>12.428571428571429</v>
          </cell>
          <cell r="Y46">
            <v>18.666666666666664</v>
          </cell>
          <cell r="Z46">
            <v>13.857142857142858</v>
          </cell>
          <cell r="AA46">
            <v>20.333333333333336</v>
          </cell>
          <cell r="AB46">
            <v>23.120000000000005</v>
          </cell>
          <cell r="AC46">
            <v>23.120000000000005</v>
          </cell>
          <cell r="AD46">
            <v>20</v>
          </cell>
          <cell r="AE46">
            <v>18</v>
          </cell>
          <cell r="AF46">
            <v>57.800000000000004</v>
          </cell>
          <cell r="AG46">
            <v>20</v>
          </cell>
          <cell r="AH46">
            <v>15</v>
          </cell>
          <cell r="AI46">
            <v>20</v>
          </cell>
          <cell r="AJ46">
            <v>24</v>
          </cell>
          <cell r="AK46">
            <v>17</v>
          </cell>
          <cell r="AL46">
            <v>20</v>
          </cell>
          <cell r="AM46">
            <v>10</v>
          </cell>
          <cell r="AN46">
            <v>30</v>
          </cell>
          <cell r="AO46">
            <v>30</v>
          </cell>
          <cell r="AP46">
            <v>30</v>
          </cell>
          <cell r="AQ46">
            <v>144.5</v>
          </cell>
          <cell r="AR46">
            <v>144.5</v>
          </cell>
          <cell r="AS46">
            <v>10</v>
          </cell>
          <cell r="AT46">
            <v>10</v>
          </cell>
        </row>
        <row r="47">
          <cell r="A47">
            <v>43</v>
          </cell>
          <cell r="B47">
            <v>27.200000000000003</v>
          </cell>
          <cell r="C47">
            <v>23.200000000000003</v>
          </cell>
          <cell r="D47">
            <v>25.200000000000003</v>
          </cell>
          <cell r="E47">
            <v>21.200000000000003</v>
          </cell>
          <cell r="F47">
            <v>25.200000000000003</v>
          </cell>
          <cell r="G47">
            <v>29.6</v>
          </cell>
          <cell r="H47">
            <v>58.800000000000004</v>
          </cell>
          <cell r="I47">
            <v>1760</v>
          </cell>
          <cell r="J47">
            <v>64</v>
          </cell>
          <cell r="K47">
            <v>70.400000000000006</v>
          </cell>
          <cell r="L47">
            <v>252</v>
          </cell>
          <cell r="M47">
            <v>218</v>
          </cell>
          <cell r="N47">
            <v>132.5</v>
          </cell>
          <cell r="O47">
            <v>168.4</v>
          </cell>
          <cell r="P47">
            <v>106</v>
          </cell>
          <cell r="Q47">
            <v>48.92</v>
          </cell>
          <cell r="R47">
            <v>106</v>
          </cell>
          <cell r="S47">
            <v>1372</v>
          </cell>
          <cell r="T47">
            <v>76</v>
          </cell>
          <cell r="U47">
            <v>83.600000000000009</v>
          </cell>
          <cell r="V47">
            <v>580.5</v>
          </cell>
          <cell r="W47">
            <v>580.5</v>
          </cell>
          <cell r="X47">
            <v>12.571428571428571</v>
          </cell>
          <cell r="Y47">
            <v>18.833333333333336</v>
          </cell>
          <cell r="Z47">
            <v>14</v>
          </cell>
          <cell r="AA47">
            <v>20.5</v>
          </cell>
          <cell r="AB47">
            <v>23.520000000000003</v>
          </cell>
          <cell r="AC47">
            <v>23.520000000000003</v>
          </cell>
          <cell r="AD47">
            <v>20</v>
          </cell>
          <cell r="AE47">
            <v>18</v>
          </cell>
          <cell r="AF47">
            <v>58.800000000000004</v>
          </cell>
          <cell r="AG47">
            <v>20</v>
          </cell>
          <cell r="AH47">
            <v>15</v>
          </cell>
          <cell r="AI47">
            <v>20</v>
          </cell>
          <cell r="AJ47">
            <v>25</v>
          </cell>
          <cell r="AK47">
            <v>18</v>
          </cell>
          <cell r="AL47">
            <v>20</v>
          </cell>
          <cell r="AM47">
            <v>10</v>
          </cell>
          <cell r="AN47">
            <v>30</v>
          </cell>
          <cell r="AO47">
            <v>30</v>
          </cell>
          <cell r="AP47">
            <v>30</v>
          </cell>
          <cell r="AQ47">
            <v>147</v>
          </cell>
          <cell r="AR47">
            <v>147</v>
          </cell>
          <cell r="AS47">
            <v>10</v>
          </cell>
          <cell r="AT47">
            <v>10</v>
          </cell>
        </row>
        <row r="48">
          <cell r="A48">
            <v>44</v>
          </cell>
          <cell r="B48">
            <v>28</v>
          </cell>
          <cell r="C48">
            <v>23.6</v>
          </cell>
          <cell r="D48">
            <v>25.6</v>
          </cell>
          <cell r="E48">
            <v>21.6</v>
          </cell>
          <cell r="F48">
            <v>25.6</v>
          </cell>
          <cell r="G48">
            <v>30</v>
          </cell>
          <cell r="H48">
            <v>60.320000000000007</v>
          </cell>
          <cell r="I48">
            <v>1790</v>
          </cell>
          <cell r="J48">
            <v>64</v>
          </cell>
          <cell r="K48">
            <v>70.400000000000006</v>
          </cell>
          <cell r="L48">
            <v>256</v>
          </cell>
          <cell r="M48">
            <v>222</v>
          </cell>
          <cell r="N48">
            <v>135</v>
          </cell>
          <cell r="O48">
            <v>171.20000000000002</v>
          </cell>
          <cell r="P48">
            <v>108</v>
          </cell>
          <cell r="Q48">
            <v>49.760000000000005</v>
          </cell>
          <cell r="R48">
            <v>108</v>
          </cell>
          <cell r="S48">
            <v>1390</v>
          </cell>
          <cell r="T48">
            <v>76</v>
          </cell>
          <cell r="U48">
            <v>83.600000000000009</v>
          </cell>
          <cell r="V48">
            <v>594</v>
          </cell>
          <cell r="W48">
            <v>594</v>
          </cell>
          <cell r="X48">
            <v>12.714285714285715</v>
          </cell>
          <cell r="Y48">
            <v>19</v>
          </cell>
          <cell r="Z48">
            <v>14.142857142857142</v>
          </cell>
          <cell r="AA48">
            <v>20.666666666666664</v>
          </cell>
          <cell r="AB48">
            <v>24.128000000000004</v>
          </cell>
          <cell r="AC48">
            <v>24.128000000000004</v>
          </cell>
          <cell r="AD48">
            <v>20</v>
          </cell>
          <cell r="AE48">
            <v>18</v>
          </cell>
          <cell r="AF48">
            <v>60.320000000000007</v>
          </cell>
          <cell r="AG48">
            <v>20</v>
          </cell>
          <cell r="AH48">
            <v>15</v>
          </cell>
          <cell r="AI48">
            <v>20</v>
          </cell>
          <cell r="AJ48">
            <v>25</v>
          </cell>
          <cell r="AK48">
            <v>18</v>
          </cell>
          <cell r="AL48">
            <v>20</v>
          </cell>
          <cell r="AM48">
            <v>10</v>
          </cell>
          <cell r="AN48">
            <v>30</v>
          </cell>
          <cell r="AO48">
            <v>30</v>
          </cell>
          <cell r="AP48">
            <v>30</v>
          </cell>
          <cell r="AQ48">
            <v>150.80000000000001</v>
          </cell>
          <cell r="AR48">
            <v>150.80000000000001</v>
          </cell>
          <cell r="AS48">
            <v>10</v>
          </cell>
          <cell r="AT48">
            <v>10</v>
          </cell>
        </row>
        <row r="49">
          <cell r="A49">
            <v>45</v>
          </cell>
          <cell r="B49">
            <v>28.400000000000002</v>
          </cell>
          <cell r="C49">
            <v>24</v>
          </cell>
          <cell r="D49">
            <v>26.400000000000002</v>
          </cell>
          <cell r="E49">
            <v>22</v>
          </cell>
          <cell r="F49">
            <v>26.400000000000002</v>
          </cell>
          <cell r="G49">
            <v>30.8</v>
          </cell>
          <cell r="H49">
            <v>61.320000000000007</v>
          </cell>
          <cell r="I49">
            <v>1820</v>
          </cell>
          <cell r="J49">
            <v>66</v>
          </cell>
          <cell r="K49">
            <v>72.600000000000009</v>
          </cell>
          <cell r="L49">
            <v>264</v>
          </cell>
          <cell r="M49">
            <v>230</v>
          </cell>
          <cell r="N49">
            <v>137.5</v>
          </cell>
          <cell r="O49">
            <v>176</v>
          </cell>
          <cell r="P49">
            <v>110</v>
          </cell>
          <cell r="Q49">
            <v>51.24</v>
          </cell>
          <cell r="R49">
            <v>110</v>
          </cell>
          <cell r="S49">
            <v>1426</v>
          </cell>
          <cell r="T49">
            <v>78</v>
          </cell>
          <cell r="U49">
            <v>85.800000000000011</v>
          </cell>
          <cell r="V49">
            <v>607.5</v>
          </cell>
          <cell r="W49">
            <v>607.5</v>
          </cell>
          <cell r="X49">
            <v>12.857142857142858</v>
          </cell>
          <cell r="Y49">
            <v>19.166666666666664</v>
          </cell>
          <cell r="Z49">
            <v>14.428571428571429</v>
          </cell>
          <cell r="AA49">
            <v>21</v>
          </cell>
          <cell r="AB49">
            <v>24.528000000000006</v>
          </cell>
          <cell r="AC49">
            <v>24.528000000000006</v>
          </cell>
          <cell r="AD49">
            <v>20</v>
          </cell>
          <cell r="AE49">
            <v>20</v>
          </cell>
          <cell r="AF49">
            <v>61.320000000000007</v>
          </cell>
          <cell r="AG49">
            <v>20</v>
          </cell>
          <cell r="AH49">
            <v>15</v>
          </cell>
          <cell r="AI49">
            <v>20</v>
          </cell>
          <cell r="AJ49">
            <v>25</v>
          </cell>
          <cell r="AK49">
            <v>19</v>
          </cell>
          <cell r="AL49">
            <v>20</v>
          </cell>
          <cell r="AM49">
            <v>10</v>
          </cell>
          <cell r="AN49">
            <v>30</v>
          </cell>
          <cell r="AO49">
            <v>30</v>
          </cell>
          <cell r="AP49">
            <v>30</v>
          </cell>
          <cell r="AQ49">
            <v>153.30000000000001</v>
          </cell>
          <cell r="AR49">
            <v>153.30000000000001</v>
          </cell>
          <cell r="AS49">
            <v>10</v>
          </cell>
          <cell r="AT49">
            <v>10</v>
          </cell>
        </row>
        <row r="50">
          <cell r="A50">
            <v>46</v>
          </cell>
          <cell r="B50">
            <v>28.8</v>
          </cell>
          <cell r="C50">
            <v>24.400000000000002</v>
          </cell>
          <cell r="D50">
            <v>26.8</v>
          </cell>
          <cell r="E50">
            <v>22.400000000000002</v>
          </cell>
          <cell r="F50">
            <v>26.8</v>
          </cell>
          <cell r="G50">
            <v>31.200000000000003</v>
          </cell>
          <cell r="H50">
            <v>62.320000000000007</v>
          </cell>
          <cell r="I50">
            <v>1850</v>
          </cell>
          <cell r="J50">
            <v>66</v>
          </cell>
          <cell r="K50">
            <v>72.600000000000009</v>
          </cell>
          <cell r="L50">
            <v>268</v>
          </cell>
          <cell r="M50">
            <v>234</v>
          </cell>
          <cell r="N50">
            <v>140</v>
          </cell>
          <cell r="O50">
            <v>178.8</v>
          </cell>
          <cell r="P50">
            <v>112</v>
          </cell>
          <cell r="Q50">
            <v>52.08</v>
          </cell>
          <cell r="R50">
            <v>112</v>
          </cell>
          <cell r="S50">
            <v>1444</v>
          </cell>
          <cell r="T50">
            <v>80</v>
          </cell>
          <cell r="U50">
            <v>88</v>
          </cell>
          <cell r="V50">
            <v>621</v>
          </cell>
          <cell r="W50">
            <v>621</v>
          </cell>
          <cell r="X50">
            <v>13</v>
          </cell>
          <cell r="Y50">
            <v>19.333333333333336</v>
          </cell>
          <cell r="Z50">
            <v>14.571428571428571</v>
          </cell>
          <cell r="AA50">
            <v>21.166666666666664</v>
          </cell>
          <cell r="AB50">
            <v>24.928000000000004</v>
          </cell>
          <cell r="AC50">
            <v>24.928000000000004</v>
          </cell>
          <cell r="AD50">
            <v>20</v>
          </cell>
          <cell r="AE50">
            <v>20</v>
          </cell>
          <cell r="AF50">
            <v>62.320000000000007</v>
          </cell>
          <cell r="AG50">
            <v>20</v>
          </cell>
          <cell r="AH50">
            <v>15</v>
          </cell>
          <cell r="AI50">
            <v>20</v>
          </cell>
          <cell r="AJ50">
            <v>26</v>
          </cell>
          <cell r="AK50">
            <v>19</v>
          </cell>
          <cell r="AL50">
            <v>20</v>
          </cell>
          <cell r="AM50">
            <v>10</v>
          </cell>
          <cell r="AN50">
            <v>30</v>
          </cell>
          <cell r="AO50">
            <v>30</v>
          </cell>
          <cell r="AP50">
            <v>30</v>
          </cell>
          <cell r="AQ50">
            <v>155.80000000000001</v>
          </cell>
          <cell r="AR50">
            <v>155.80000000000001</v>
          </cell>
          <cell r="AS50">
            <v>10</v>
          </cell>
          <cell r="AT50">
            <v>10</v>
          </cell>
        </row>
        <row r="51">
          <cell r="A51">
            <v>47</v>
          </cell>
          <cell r="B51">
            <v>29.6</v>
          </cell>
          <cell r="C51">
            <v>24.8</v>
          </cell>
          <cell r="D51">
            <v>27.200000000000003</v>
          </cell>
          <cell r="E51">
            <v>22.8</v>
          </cell>
          <cell r="F51">
            <v>27.200000000000003</v>
          </cell>
          <cell r="G51">
            <v>31.6</v>
          </cell>
          <cell r="H51">
            <v>63.84</v>
          </cell>
          <cell r="I51">
            <v>1880</v>
          </cell>
          <cell r="J51">
            <v>68</v>
          </cell>
          <cell r="K51">
            <v>74.800000000000011</v>
          </cell>
          <cell r="L51">
            <v>272</v>
          </cell>
          <cell r="M51">
            <v>238</v>
          </cell>
          <cell r="N51">
            <v>142.5</v>
          </cell>
          <cell r="O51">
            <v>181.60000000000002</v>
          </cell>
          <cell r="P51">
            <v>114</v>
          </cell>
          <cell r="Q51">
            <v>52.920000000000009</v>
          </cell>
          <cell r="R51">
            <v>114</v>
          </cell>
          <cell r="S51">
            <v>1462</v>
          </cell>
          <cell r="T51">
            <v>80</v>
          </cell>
          <cell r="U51">
            <v>88</v>
          </cell>
          <cell r="V51">
            <v>634.5</v>
          </cell>
          <cell r="W51">
            <v>634.5</v>
          </cell>
          <cell r="X51">
            <v>13.142857142857142</v>
          </cell>
          <cell r="Y51">
            <v>19.5</v>
          </cell>
          <cell r="Z51">
            <v>14.714285714285714</v>
          </cell>
          <cell r="AA51">
            <v>21.333333333333336</v>
          </cell>
          <cell r="AB51">
            <v>25.536000000000001</v>
          </cell>
          <cell r="AC51">
            <v>25.536000000000001</v>
          </cell>
          <cell r="AD51">
            <v>20</v>
          </cell>
          <cell r="AE51">
            <v>20</v>
          </cell>
          <cell r="AF51">
            <v>63.84</v>
          </cell>
          <cell r="AG51">
            <v>20</v>
          </cell>
          <cell r="AH51">
            <v>15</v>
          </cell>
          <cell r="AI51">
            <v>20</v>
          </cell>
          <cell r="AJ51">
            <v>26</v>
          </cell>
          <cell r="AK51">
            <v>19</v>
          </cell>
          <cell r="AL51">
            <v>20</v>
          </cell>
          <cell r="AM51">
            <v>10</v>
          </cell>
          <cell r="AN51">
            <v>30</v>
          </cell>
          <cell r="AO51">
            <v>30</v>
          </cell>
          <cell r="AP51">
            <v>30</v>
          </cell>
          <cell r="AQ51">
            <v>159.6</v>
          </cell>
          <cell r="AR51">
            <v>159.6</v>
          </cell>
          <cell r="AS51">
            <v>10</v>
          </cell>
          <cell r="AT51">
            <v>10</v>
          </cell>
        </row>
        <row r="52">
          <cell r="A52">
            <v>48</v>
          </cell>
          <cell r="B52">
            <v>30</v>
          </cell>
          <cell r="C52">
            <v>25.200000000000003</v>
          </cell>
          <cell r="D52">
            <v>27.6</v>
          </cell>
          <cell r="E52">
            <v>23.200000000000003</v>
          </cell>
          <cell r="F52">
            <v>27.6</v>
          </cell>
          <cell r="G52">
            <v>32.4</v>
          </cell>
          <cell r="H52">
            <v>64.84</v>
          </cell>
          <cell r="I52">
            <v>1910</v>
          </cell>
          <cell r="J52">
            <v>68</v>
          </cell>
          <cell r="K52">
            <v>74.800000000000011</v>
          </cell>
          <cell r="L52">
            <v>276</v>
          </cell>
          <cell r="M52">
            <v>242</v>
          </cell>
          <cell r="N52">
            <v>145</v>
          </cell>
          <cell r="O52">
            <v>184.4</v>
          </cell>
          <cell r="P52">
            <v>116</v>
          </cell>
          <cell r="Q52">
            <v>53.760000000000005</v>
          </cell>
          <cell r="R52">
            <v>116</v>
          </cell>
          <cell r="S52">
            <v>1498</v>
          </cell>
          <cell r="T52">
            <v>82</v>
          </cell>
          <cell r="U52">
            <v>90.2</v>
          </cell>
          <cell r="V52">
            <v>648</v>
          </cell>
          <cell r="W52">
            <v>648</v>
          </cell>
          <cell r="X52">
            <v>13.285714285714286</v>
          </cell>
          <cell r="Y52">
            <v>19.666666666666664</v>
          </cell>
          <cell r="Z52">
            <v>14.857142857142858</v>
          </cell>
          <cell r="AA52">
            <v>21.5</v>
          </cell>
          <cell r="AB52">
            <v>25.936000000000003</v>
          </cell>
          <cell r="AC52">
            <v>25.936000000000003</v>
          </cell>
          <cell r="AD52">
            <v>20</v>
          </cell>
          <cell r="AE52">
            <v>20</v>
          </cell>
          <cell r="AF52">
            <v>64.84</v>
          </cell>
          <cell r="AG52">
            <v>20</v>
          </cell>
          <cell r="AH52">
            <v>15</v>
          </cell>
          <cell r="AI52">
            <v>20</v>
          </cell>
          <cell r="AJ52">
            <v>26</v>
          </cell>
          <cell r="AK52">
            <v>20</v>
          </cell>
          <cell r="AL52">
            <v>20</v>
          </cell>
          <cell r="AM52">
            <v>10</v>
          </cell>
          <cell r="AN52">
            <v>30</v>
          </cell>
          <cell r="AO52">
            <v>30</v>
          </cell>
          <cell r="AP52">
            <v>30</v>
          </cell>
          <cell r="AQ52">
            <v>162.1</v>
          </cell>
          <cell r="AR52">
            <v>162.1</v>
          </cell>
          <cell r="AS52">
            <v>10</v>
          </cell>
          <cell r="AT52">
            <v>10</v>
          </cell>
        </row>
        <row r="53">
          <cell r="A53">
            <v>49</v>
          </cell>
          <cell r="B53">
            <v>30.400000000000002</v>
          </cell>
          <cell r="C53">
            <v>25.6</v>
          </cell>
          <cell r="D53">
            <v>28</v>
          </cell>
          <cell r="E53">
            <v>23.6</v>
          </cell>
          <cell r="F53">
            <v>28</v>
          </cell>
          <cell r="G53">
            <v>32.800000000000004</v>
          </cell>
          <cell r="H53">
            <v>65.84</v>
          </cell>
          <cell r="I53">
            <v>1940</v>
          </cell>
          <cell r="J53">
            <v>70</v>
          </cell>
          <cell r="K53">
            <v>77</v>
          </cell>
          <cell r="L53">
            <v>280</v>
          </cell>
          <cell r="M53">
            <v>246</v>
          </cell>
          <cell r="N53">
            <v>147.5</v>
          </cell>
          <cell r="O53">
            <v>187.20000000000002</v>
          </cell>
          <cell r="P53">
            <v>118</v>
          </cell>
          <cell r="Q53">
            <v>54.6</v>
          </cell>
          <cell r="R53">
            <v>118</v>
          </cell>
          <cell r="S53">
            <v>1516</v>
          </cell>
          <cell r="T53">
            <v>84</v>
          </cell>
          <cell r="U53">
            <v>92.4</v>
          </cell>
          <cell r="V53">
            <v>661.5</v>
          </cell>
          <cell r="W53">
            <v>661.5</v>
          </cell>
          <cell r="X53">
            <v>13.428571428571429</v>
          </cell>
          <cell r="Y53">
            <v>19.833333333333336</v>
          </cell>
          <cell r="Z53">
            <v>15</v>
          </cell>
          <cell r="AA53">
            <v>21.666666666666664</v>
          </cell>
          <cell r="AB53">
            <v>26.336000000000002</v>
          </cell>
          <cell r="AC53">
            <v>26.336000000000002</v>
          </cell>
          <cell r="AD53">
            <v>20</v>
          </cell>
          <cell r="AE53">
            <v>20</v>
          </cell>
          <cell r="AF53">
            <v>65.84</v>
          </cell>
          <cell r="AG53">
            <v>20</v>
          </cell>
          <cell r="AH53">
            <v>15</v>
          </cell>
          <cell r="AI53">
            <v>20</v>
          </cell>
          <cell r="AJ53">
            <v>27</v>
          </cell>
          <cell r="AK53">
            <v>20</v>
          </cell>
          <cell r="AL53">
            <v>20</v>
          </cell>
          <cell r="AM53">
            <v>10</v>
          </cell>
          <cell r="AN53">
            <v>30</v>
          </cell>
          <cell r="AO53">
            <v>30</v>
          </cell>
          <cell r="AP53">
            <v>30</v>
          </cell>
          <cell r="AQ53">
            <v>164.6</v>
          </cell>
          <cell r="AR53">
            <v>164.6</v>
          </cell>
          <cell r="AS53">
            <v>10</v>
          </cell>
          <cell r="AT53">
            <v>10</v>
          </cell>
        </row>
        <row r="54">
          <cell r="A54">
            <v>50</v>
          </cell>
          <cell r="B54">
            <v>31.200000000000003</v>
          </cell>
          <cell r="C54">
            <v>26.400000000000002</v>
          </cell>
          <cell r="D54">
            <v>28.8</v>
          </cell>
          <cell r="E54">
            <v>24</v>
          </cell>
          <cell r="F54">
            <v>28.8</v>
          </cell>
          <cell r="G54">
            <v>33.6</v>
          </cell>
          <cell r="H54">
            <v>67.36</v>
          </cell>
          <cell r="I54">
            <v>2000</v>
          </cell>
          <cell r="J54">
            <v>72</v>
          </cell>
          <cell r="K54">
            <v>79.2</v>
          </cell>
          <cell r="L54">
            <v>288</v>
          </cell>
          <cell r="M54">
            <v>254</v>
          </cell>
          <cell r="N54">
            <v>150</v>
          </cell>
          <cell r="O54">
            <v>192</v>
          </cell>
          <cell r="P54">
            <v>120</v>
          </cell>
          <cell r="Q54">
            <v>56.08</v>
          </cell>
          <cell r="R54">
            <v>120</v>
          </cell>
          <cell r="S54">
            <v>1552</v>
          </cell>
          <cell r="T54">
            <v>86</v>
          </cell>
          <cell r="U54">
            <v>94.600000000000009</v>
          </cell>
          <cell r="V54">
            <v>675</v>
          </cell>
          <cell r="W54">
            <v>675</v>
          </cell>
          <cell r="X54">
            <v>13.571428571428571</v>
          </cell>
          <cell r="Y54">
            <v>20</v>
          </cell>
          <cell r="Z54">
            <v>15.285714285714286</v>
          </cell>
          <cell r="AA54">
            <v>22</v>
          </cell>
          <cell r="AB54">
            <v>26.944000000000003</v>
          </cell>
          <cell r="AC54">
            <v>26.944000000000003</v>
          </cell>
          <cell r="AD54">
            <v>20</v>
          </cell>
          <cell r="AE54">
            <v>22</v>
          </cell>
          <cell r="AF54">
            <v>67.36</v>
          </cell>
          <cell r="AG54">
            <v>20</v>
          </cell>
          <cell r="AH54">
            <v>15</v>
          </cell>
          <cell r="AI54">
            <v>20</v>
          </cell>
          <cell r="AJ54">
            <v>27</v>
          </cell>
          <cell r="AK54">
            <v>21</v>
          </cell>
          <cell r="AL54">
            <v>20</v>
          </cell>
          <cell r="AM54">
            <v>10</v>
          </cell>
          <cell r="AN54">
            <v>30</v>
          </cell>
          <cell r="AO54">
            <v>30</v>
          </cell>
          <cell r="AP54">
            <v>30</v>
          </cell>
          <cell r="AQ54">
            <v>168.4</v>
          </cell>
          <cell r="AR54">
            <v>168.4</v>
          </cell>
          <cell r="AS54">
            <v>10</v>
          </cell>
          <cell r="AT54">
            <v>10</v>
          </cell>
        </row>
        <row r="55">
          <cell r="A55">
            <v>51</v>
          </cell>
          <cell r="B55">
            <v>31.6</v>
          </cell>
          <cell r="C55">
            <v>26.8</v>
          </cell>
          <cell r="D55">
            <v>29.200000000000003</v>
          </cell>
          <cell r="E55">
            <v>24.400000000000002</v>
          </cell>
          <cell r="F55">
            <v>29.200000000000003</v>
          </cell>
          <cell r="G55">
            <v>34</v>
          </cell>
          <cell r="H55">
            <v>68.36</v>
          </cell>
          <cell r="I55">
            <v>2030</v>
          </cell>
          <cell r="J55">
            <v>72</v>
          </cell>
          <cell r="K55">
            <v>79.2</v>
          </cell>
          <cell r="L55">
            <v>292</v>
          </cell>
          <cell r="M55">
            <v>258</v>
          </cell>
          <cell r="N55">
            <v>152.5</v>
          </cell>
          <cell r="O55">
            <v>194.8</v>
          </cell>
          <cell r="P55">
            <v>122</v>
          </cell>
          <cell r="Q55">
            <v>56.920000000000009</v>
          </cell>
          <cell r="R55">
            <v>122</v>
          </cell>
          <cell r="S55">
            <v>1570</v>
          </cell>
          <cell r="T55">
            <v>86</v>
          </cell>
          <cell r="U55">
            <v>94.600000000000009</v>
          </cell>
          <cell r="V55">
            <v>688.5</v>
          </cell>
          <cell r="W55">
            <v>688.5</v>
          </cell>
          <cell r="X55">
            <v>13.714285714285714</v>
          </cell>
          <cell r="Y55">
            <v>20.166666666666664</v>
          </cell>
          <cell r="Z55">
            <v>15.428571428571429</v>
          </cell>
          <cell r="AA55">
            <v>22.166666666666664</v>
          </cell>
          <cell r="AB55">
            <v>27.344000000000001</v>
          </cell>
          <cell r="AC55">
            <v>27.344000000000001</v>
          </cell>
          <cell r="AD55">
            <v>20</v>
          </cell>
          <cell r="AE55">
            <v>22</v>
          </cell>
          <cell r="AF55">
            <v>68.36</v>
          </cell>
          <cell r="AG55">
            <v>20</v>
          </cell>
          <cell r="AH55">
            <v>15</v>
          </cell>
          <cell r="AI55">
            <v>20</v>
          </cell>
          <cell r="AJ55">
            <v>27</v>
          </cell>
          <cell r="AK55">
            <v>21</v>
          </cell>
          <cell r="AL55">
            <v>20</v>
          </cell>
          <cell r="AM55">
            <v>10</v>
          </cell>
          <cell r="AN55">
            <v>30</v>
          </cell>
          <cell r="AO55">
            <v>30</v>
          </cell>
          <cell r="AP55">
            <v>30</v>
          </cell>
          <cell r="AQ55">
            <v>170.89999999999998</v>
          </cell>
          <cell r="AR55">
            <v>170.89999999999998</v>
          </cell>
          <cell r="AS55">
            <v>10</v>
          </cell>
          <cell r="AT55">
            <v>10</v>
          </cell>
        </row>
        <row r="56">
          <cell r="A56">
            <v>52</v>
          </cell>
          <cell r="B56">
            <v>32</v>
          </cell>
          <cell r="C56">
            <v>27.200000000000003</v>
          </cell>
          <cell r="D56">
            <v>29.6</v>
          </cell>
          <cell r="E56">
            <v>24.8</v>
          </cell>
          <cell r="F56">
            <v>29.6</v>
          </cell>
          <cell r="G56">
            <v>34.4</v>
          </cell>
          <cell r="H56">
            <v>69.36</v>
          </cell>
          <cell r="I56">
            <v>2060</v>
          </cell>
          <cell r="J56">
            <v>74</v>
          </cell>
          <cell r="K56">
            <v>81.400000000000006</v>
          </cell>
          <cell r="L56">
            <v>296</v>
          </cell>
          <cell r="M56">
            <v>262</v>
          </cell>
          <cell r="N56">
            <v>155</v>
          </cell>
          <cell r="O56">
            <v>197.60000000000002</v>
          </cell>
          <cell r="P56">
            <v>124</v>
          </cell>
          <cell r="Q56">
            <v>57.760000000000005</v>
          </cell>
          <cell r="R56">
            <v>124</v>
          </cell>
          <cell r="S56">
            <v>1588</v>
          </cell>
          <cell r="T56">
            <v>88</v>
          </cell>
          <cell r="U56">
            <v>96.800000000000011</v>
          </cell>
          <cell r="V56">
            <v>702</v>
          </cell>
          <cell r="W56">
            <v>702</v>
          </cell>
          <cell r="X56">
            <v>13.857142857142858</v>
          </cell>
          <cell r="Y56">
            <v>20.333333333333336</v>
          </cell>
          <cell r="Z56">
            <v>15.571428571428571</v>
          </cell>
          <cell r="AA56">
            <v>22.333333333333336</v>
          </cell>
          <cell r="AB56">
            <v>27.744</v>
          </cell>
          <cell r="AC56">
            <v>27.744</v>
          </cell>
          <cell r="AD56">
            <v>20</v>
          </cell>
          <cell r="AE56">
            <v>22</v>
          </cell>
          <cell r="AF56">
            <v>69.36</v>
          </cell>
          <cell r="AG56">
            <v>20</v>
          </cell>
          <cell r="AH56">
            <v>15</v>
          </cell>
          <cell r="AI56">
            <v>20</v>
          </cell>
          <cell r="AJ56">
            <v>28</v>
          </cell>
          <cell r="AK56">
            <v>21</v>
          </cell>
          <cell r="AL56">
            <v>20</v>
          </cell>
          <cell r="AM56">
            <v>10</v>
          </cell>
          <cell r="AN56">
            <v>30</v>
          </cell>
          <cell r="AO56">
            <v>30</v>
          </cell>
          <cell r="AP56">
            <v>30</v>
          </cell>
          <cell r="AQ56">
            <v>173.4</v>
          </cell>
          <cell r="AR56">
            <v>173.4</v>
          </cell>
          <cell r="AS56">
            <v>10</v>
          </cell>
          <cell r="AT56">
            <v>10</v>
          </cell>
        </row>
        <row r="57">
          <cell r="A57">
            <v>53</v>
          </cell>
          <cell r="B57">
            <v>32.4</v>
          </cell>
          <cell r="C57">
            <v>27.6</v>
          </cell>
          <cell r="D57">
            <v>30</v>
          </cell>
          <cell r="E57">
            <v>25.200000000000003</v>
          </cell>
          <cell r="F57">
            <v>30</v>
          </cell>
          <cell r="G57">
            <v>35.200000000000003</v>
          </cell>
          <cell r="H57">
            <v>70.36</v>
          </cell>
          <cell r="I57">
            <v>2090</v>
          </cell>
          <cell r="J57">
            <v>74</v>
          </cell>
          <cell r="K57">
            <v>81.400000000000006</v>
          </cell>
          <cell r="L57">
            <v>300</v>
          </cell>
          <cell r="M57">
            <v>266</v>
          </cell>
          <cell r="N57">
            <v>157.5</v>
          </cell>
          <cell r="O57">
            <v>200.4</v>
          </cell>
          <cell r="P57">
            <v>126</v>
          </cell>
          <cell r="Q57">
            <v>58.6</v>
          </cell>
          <cell r="R57">
            <v>126</v>
          </cell>
          <cell r="S57">
            <v>1624</v>
          </cell>
          <cell r="T57">
            <v>90</v>
          </cell>
          <cell r="U57">
            <v>99.000000000000014</v>
          </cell>
          <cell r="V57">
            <v>715.5</v>
          </cell>
          <cell r="W57">
            <v>715.5</v>
          </cell>
          <cell r="X57">
            <v>14</v>
          </cell>
          <cell r="Y57">
            <v>20.5</v>
          </cell>
          <cell r="Z57">
            <v>15.714285714285714</v>
          </cell>
          <cell r="AA57">
            <v>22.5</v>
          </cell>
          <cell r="AB57">
            <v>28.144000000000002</v>
          </cell>
          <cell r="AC57">
            <v>28.144000000000002</v>
          </cell>
          <cell r="AD57">
            <v>20</v>
          </cell>
          <cell r="AE57">
            <v>22</v>
          </cell>
          <cell r="AF57">
            <v>70.36</v>
          </cell>
          <cell r="AG57">
            <v>20</v>
          </cell>
          <cell r="AH57">
            <v>15</v>
          </cell>
          <cell r="AI57">
            <v>20</v>
          </cell>
          <cell r="AJ57">
            <v>28</v>
          </cell>
          <cell r="AK57">
            <v>22</v>
          </cell>
          <cell r="AL57">
            <v>20</v>
          </cell>
          <cell r="AM57">
            <v>10</v>
          </cell>
          <cell r="AN57">
            <v>30</v>
          </cell>
          <cell r="AO57">
            <v>30</v>
          </cell>
          <cell r="AP57">
            <v>30</v>
          </cell>
          <cell r="AQ57">
            <v>175.9</v>
          </cell>
          <cell r="AR57">
            <v>175.9</v>
          </cell>
          <cell r="AS57">
            <v>10</v>
          </cell>
          <cell r="AT57">
            <v>10</v>
          </cell>
        </row>
        <row r="58">
          <cell r="A58">
            <v>54</v>
          </cell>
          <cell r="B58">
            <v>33.200000000000003</v>
          </cell>
          <cell r="C58">
            <v>28</v>
          </cell>
          <cell r="D58">
            <v>30.400000000000002</v>
          </cell>
          <cell r="E58">
            <v>25.6</v>
          </cell>
          <cell r="F58">
            <v>30.400000000000002</v>
          </cell>
          <cell r="G58">
            <v>35.6</v>
          </cell>
          <cell r="H58">
            <v>71.88</v>
          </cell>
          <cell r="I58">
            <v>2120</v>
          </cell>
          <cell r="J58">
            <v>76</v>
          </cell>
          <cell r="K58">
            <v>83.600000000000009</v>
          </cell>
          <cell r="L58">
            <v>304</v>
          </cell>
          <cell r="M58">
            <v>270</v>
          </cell>
          <cell r="N58">
            <v>160</v>
          </cell>
          <cell r="O58">
            <v>203.20000000000002</v>
          </cell>
          <cell r="P58">
            <v>128</v>
          </cell>
          <cell r="Q58">
            <v>59.44</v>
          </cell>
          <cell r="R58">
            <v>128</v>
          </cell>
          <cell r="S58">
            <v>1642</v>
          </cell>
          <cell r="T58">
            <v>90</v>
          </cell>
          <cell r="U58">
            <v>99.000000000000014</v>
          </cell>
          <cell r="V58">
            <v>729</v>
          </cell>
          <cell r="W58">
            <v>729</v>
          </cell>
          <cell r="X58">
            <v>14.142857142857142</v>
          </cell>
          <cell r="Y58">
            <v>20.666666666666664</v>
          </cell>
          <cell r="Z58">
            <v>15.857142857142858</v>
          </cell>
          <cell r="AA58">
            <v>22.666666666666664</v>
          </cell>
          <cell r="AB58">
            <v>28.751999999999999</v>
          </cell>
          <cell r="AC58">
            <v>28.751999999999999</v>
          </cell>
          <cell r="AD58">
            <v>20</v>
          </cell>
          <cell r="AE58">
            <v>22</v>
          </cell>
          <cell r="AF58">
            <v>71.88</v>
          </cell>
          <cell r="AG58">
            <v>20</v>
          </cell>
          <cell r="AH58">
            <v>15</v>
          </cell>
          <cell r="AI58">
            <v>20</v>
          </cell>
          <cell r="AJ58">
            <v>28</v>
          </cell>
          <cell r="AK58">
            <v>22</v>
          </cell>
          <cell r="AL58">
            <v>20</v>
          </cell>
          <cell r="AM58">
            <v>10</v>
          </cell>
          <cell r="AN58">
            <v>30</v>
          </cell>
          <cell r="AO58">
            <v>30</v>
          </cell>
          <cell r="AP58">
            <v>30</v>
          </cell>
          <cell r="AQ58">
            <v>179.7</v>
          </cell>
          <cell r="AR58">
            <v>179.7</v>
          </cell>
          <cell r="AS58">
            <v>10</v>
          </cell>
          <cell r="AT58">
            <v>10</v>
          </cell>
        </row>
        <row r="59">
          <cell r="A59">
            <v>55</v>
          </cell>
          <cell r="B59">
            <v>33.6</v>
          </cell>
          <cell r="C59">
            <v>28.400000000000002</v>
          </cell>
          <cell r="D59">
            <v>31.200000000000003</v>
          </cell>
          <cell r="E59">
            <v>26</v>
          </cell>
          <cell r="F59">
            <v>31.200000000000003</v>
          </cell>
          <cell r="G59">
            <v>36.4</v>
          </cell>
          <cell r="H59">
            <v>72.88</v>
          </cell>
          <cell r="I59">
            <v>2150</v>
          </cell>
          <cell r="J59">
            <v>76</v>
          </cell>
          <cell r="K59">
            <v>83.600000000000009</v>
          </cell>
          <cell r="L59">
            <v>312</v>
          </cell>
          <cell r="M59">
            <v>278</v>
          </cell>
          <cell r="N59">
            <v>162.5</v>
          </cell>
          <cell r="O59">
            <v>208</v>
          </cell>
          <cell r="P59">
            <v>130</v>
          </cell>
          <cell r="Q59">
            <v>60.920000000000009</v>
          </cell>
          <cell r="R59">
            <v>130</v>
          </cell>
          <cell r="S59">
            <v>1678</v>
          </cell>
          <cell r="T59">
            <v>92</v>
          </cell>
          <cell r="U59">
            <v>101.2</v>
          </cell>
          <cell r="V59">
            <v>742.5</v>
          </cell>
          <cell r="W59">
            <v>742.5</v>
          </cell>
          <cell r="X59">
            <v>14.285714285714286</v>
          </cell>
          <cell r="Y59">
            <v>20.833333333333336</v>
          </cell>
          <cell r="Z59">
            <v>16.142857142857142</v>
          </cell>
          <cell r="AA59">
            <v>23</v>
          </cell>
          <cell r="AB59">
            <v>29.152000000000001</v>
          </cell>
          <cell r="AC59">
            <v>29.152000000000001</v>
          </cell>
          <cell r="AD59">
            <v>20</v>
          </cell>
          <cell r="AE59">
            <v>24</v>
          </cell>
          <cell r="AF59">
            <v>72.88</v>
          </cell>
          <cell r="AG59">
            <v>20</v>
          </cell>
          <cell r="AH59">
            <v>15</v>
          </cell>
          <cell r="AI59">
            <v>20</v>
          </cell>
          <cell r="AJ59">
            <v>29</v>
          </cell>
          <cell r="AK59">
            <v>23</v>
          </cell>
          <cell r="AL59">
            <v>20</v>
          </cell>
          <cell r="AM59">
            <v>10</v>
          </cell>
          <cell r="AN59">
            <v>30</v>
          </cell>
          <cell r="AO59">
            <v>30</v>
          </cell>
          <cell r="AP59">
            <v>30</v>
          </cell>
          <cell r="AQ59">
            <v>182.2</v>
          </cell>
          <cell r="AR59">
            <v>182.2</v>
          </cell>
          <cell r="AS59">
            <v>10</v>
          </cell>
          <cell r="AT59">
            <v>10</v>
          </cell>
        </row>
        <row r="60">
          <cell r="A60">
            <v>56</v>
          </cell>
          <cell r="B60">
            <v>34</v>
          </cell>
          <cell r="C60">
            <v>28.8</v>
          </cell>
          <cell r="D60">
            <v>31.6</v>
          </cell>
          <cell r="E60">
            <v>26.400000000000002</v>
          </cell>
          <cell r="F60">
            <v>31.6</v>
          </cell>
          <cell r="G60">
            <v>36.800000000000004</v>
          </cell>
          <cell r="H60">
            <v>73.88</v>
          </cell>
          <cell r="I60">
            <v>2180</v>
          </cell>
          <cell r="J60">
            <v>78</v>
          </cell>
          <cell r="K60">
            <v>85.800000000000011</v>
          </cell>
          <cell r="L60">
            <v>316</v>
          </cell>
          <cell r="M60">
            <v>282</v>
          </cell>
          <cell r="N60">
            <v>165</v>
          </cell>
          <cell r="O60">
            <v>210.8</v>
          </cell>
          <cell r="P60">
            <v>132</v>
          </cell>
          <cell r="Q60">
            <v>61.760000000000005</v>
          </cell>
          <cell r="R60">
            <v>132</v>
          </cell>
          <cell r="S60">
            <v>1696</v>
          </cell>
          <cell r="T60">
            <v>94</v>
          </cell>
          <cell r="U60">
            <v>103.4</v>
          </cell>
          <cell r="V60">
            <v>756</v>
          </cell>
          <cell r="W60">
            <v>756</v>
          </cell>
          <cell r="X60">
            <v>14.428571428571429</v>
          </cell>
          <cell r="Y60">
            <v>21</v>
          </cell>
          <cell r="Z60">
            <v>16.285714285714285</v>
          </cell>
          <cell r="AA60">
            <v>23.166666666666664</v>
          </cell>
          <cell r="AB60">
            <v>29.552</v>
          </cell>
          <cell r="AC60">
            <v>29.552</v>
          </cell>
          <cell r="AD60">
            <v>20</v>
          </cell>
          <cell r="AE60">
            <v>24</v>
          </cell>
          <cell r="AF60">
            <v>73.88</v>
          </cell>
          <cell r="AG60">
            <v>20</v>
          </cell>
          <cell r="AH60">
            <v>15</v>
          </cell>
          <cell r="AI60">
            <v>20</v>
          </cell>
          <cell r="AJ60">
            <v>29</v>
          </cell>
          <cell r="AK60">
            <v>23</v>
          </cell>
          <cell r="AL60">
            <v>20</v>
          </cell>
          <cell r="AM60">
            <v>10</v>
          </cell>
          <cell r="AN60">
            <v>30</v>
          </cell>
          <cell r="AO60">
            <v>30</v>
          </cell>
          <cell r="AP60">
            <v>30</v>
          </cell>
          <cell r="AQ60">
            <v>184.7</v>
          </cell>
          <cell r="AR60">
            <v>184.7</v>
          </cell>
          <cell r="AS60">
            <v>10</v>
          </cell>
          <cell r="AT60">
            <v>10</v>
          </cell>
        </row>
        <row r="61">
          <cell r="A61">
            <v>57</v>
          </cell>
          <cell r="B61">
            <v>34.800000000000004</v>
          </cell>
          <cell r="C61">
            <v>29.200000000000003</v>
          </cell>
          <cell r="D61">
            <v>32</v>
          </cell>
          <cell r="E61">
            <v>26.8</v>
          </cell>
          <cell r="F61">
            <v>32</v>
          </cell>
          <cell r="G61">
            <v>37.200000000000003</v>
          </cell>
          <cell r="H61">
            <v>75.40000000000002</v>
          </cell>
          <cell r="I61">
            <v>2210</v>
          </cell>
          <cell r="J61">
            <v>78</v>
          </cell>
          <cell r="K61">
            <v>85.800000000000011</v>
          </cell>
          <cell r="L61">
            <v>320</v>
          </cell>
          <cell r="M61">
            <v>286</v>
          </cell>
          <cell r="N61">
            <v>167.5</v>
          </cell>
          <cell r="O61">
            <v>213.60000000000002</v>
          </cell>
          <cell r="P61">
            <v>134</v>
          </cell>
          <cell r="Q61">
            <v>62.6</v>
          </cell>
          <cell r="R61">
            <v>134</v>
          </cell>
          <cell r="S61">
            <v>1714</v>
          </cell>
          <cell r="T61">
            <v>94</v>
          </cell>
          <cell r="U61">
            <v>103.4</v>
          </cell>
          <cell r="V61">
            <v>769.5</v>
          </cell>
          <cell r="W61">
            <v>769.5</v>
          </cell>
          <cell r="X61">
            <v>14.571428571428571</v>
          </cell>
          <cell r="Y61">
            <v>21.166666666666664</v>
          </cell>
          <cell r="Z61">
            <v>16.428571428571431</v>
          </cell>
          <cell r="AA61">
            <v>23.333333333333336</v>
          </cell>
          <cell r="AB61">
            <v>30.160000000000011</v>
          </cell>
          <cell r="AC61">
            <v>30.160000000000011</v>
          </cell>
          <cell r="AD61">
            <v>20</v>
          </cell>
          <cell r="AE61">
            <v>24</v>
          </cell>
          <cell r="AF61">
            <v>75.40000000000002</v>
          </cell>
          <cell r="AG61">
            <v>20</v>
          </cell>
          <cell r="AH61">
            <v>15</v>
          </cell>
          <cell r="AI61">
            <v>20</v>
          </cell>
          <cell r="AJ61">
            <v>29</v>
          </cell>
          <cell r="AK61">
            <v>23</v>
          </cell>
          <cell r="AL61">
            <v>20</v>
          </cell>
          <cell r="AM61">
            <v>10</v>
          </cell>
          <cell r="AN61">
            <v>30</v>
          </cell>
          <cell r="AO61">
            <v>30</v>
          </cell>
          <cell r="AP61">
            <v>30</v>
          </cell>
          <cell r="AQ61">
            <v>188.50000000000003</v>
          </cell>
          <cell r="AR61">
            <v>188.50000000000003</v>
          </cell>
          <cell r="AS61">
            <v>10</v>
          </cell>
          <cell r="AT61">
            <v>10</v>
          </cell>
        </row>
        <row r="62">
          <cell r="A62">
            <v>58</v>
          </cell>
          <cell r="B62">
            <v>35.200000000000003</v>
          </cell>
          <cell r="C62">
            <v>29.6</v>
          </cell>
          <cell r="D62">
            <v>32.4</v>
          </cell>
          <cell r="E62">
            <v>27.200000000000003</v>
          </cell>
          <cell r="F62">
            <v>32.4</v>
          </cell>
          <cell r="G62">
            <v>38</v>
          </cell>
          <cell r="H62">
            <v>76.400000000000006</v>
          </cell>
          <cell r="I62">
            <v>2240</v>
          </cell>
          <cell r="J62">
            <v>80</v>
          </cell>
          <cell r="K62">
            <v>88</v>
          </cell>
          <cell r="L62">
            <v>324</v>
          </cell>
          <cell r="M62">
            <v>290</v>
          </cell>
          <cell r="N62">
            <v>170</v>
          </cell>
          <cell r="O62">
            <v>216.4</v>
          </cell>
          <cell r="P62">
            <v>136</v>
          </cell>
          <cell r="Q62">
            <v>63.44</v>
          </cell>
          <cell r="R62">
            <v>136</v>
          </cell>
          <cell r="S62">
            <v>1750</v>
          </cell>
          <cell r="T62">
            <v>96</v>
          </cell>
          <cell r="U62">
            <v>105.60000000000001</v>
          </cell>
          <cell r="V62">
            <v>783</v>
          </cell>
          <cell r="W62">
            <v>783</v>
          </cell>
          <cell r="X62">
            <v>14.714285714285714</v>
          </cell>
          <cell r="Y62">
            <v>21.333333333333336</v>
          </cell>
          <cell r="Z62">
            <v>16.571428571428569</v>
          </cell>
          <cell r="AA62">
            <v>23.5</v>
          </cell>
          <cell r="AB62">
            <v>30.560000000000002</v>
          </cell>
          <cell r="AC62">
            <v>30.560000000000002</v>
          </cell>
          <cell r="AD62">
            <v>20</v>
          </cell>
          <cell r="AE62">
            <v>24</v>
          </cell>
          <cell r="AF62">
            <v>76.400000000000006</v>
          </cell>
          <cell r="AG62">
            <v>20</v>
          </cell>
          <cell r="AH62">
            <v>15</v>
          </cell>
          <cell r="AI62">
            <v>20</v>
          </cell>
          <cell r="AJ62">
            <v>30</v>
          </cell>
          <cell r="AK62">
            <v>24</v>
          </cell>
          <cell r="AL62">
            <v>20</v>
          </cell>
          <cell r="AM62">
            <v>10</v>
          </cell>
          <cell r="AN62">
            <v>30</v>
          </cell>
          <cell r="AO62">
            <v>30</v>
          </cell>
          <cell r="AP62">
            <v>30</v>
          </cell>
          <cell r="AQ62">
            <v>191</v>
          </cell>
          <cell r="AR62">
            <v>191</v>
          </cell>
          <cell r="AS62">
            <v>10</v>
          </cell>
          <cell r="AT62">
            <v>10</v>
          </cell>
        </row>
        <row r="63">
          <cell r="A63">
            <v>59</v>
          </cell>
          <cell r="B63">
            <v>35.6</v>
          </cell>
          <cell r="C63">
            <v>30</v>
          </cell>
          <cell r="D63">
            <v>32.800000000000004</v>
          </cell>
          <cell r="E63">
            <v>27.6</v>
          </cell>
          <cell r="F63">
            <v>32.800000000000004</v>
          </cell>
          <cell r="G63">
            <v>38.400000000000006</v>
          </cell>
          <cell r="H63">
            <v>77.400000000000006</v>
          </cell>
          <cell r="I63">
            <v>2270</v>
          </cell>
          <cell r="J63">
            <v>80</v>
          </cell>
          <cell r="K63">
            <v>88</v>
          </cell>
          <cell r="L63">
            <v>328</v>
          </cell>
          <cell r="M63">
            <v>293.99999999999994</v>
          </cell>
          <cell r="N63">
            <v>172.5</v>
          </cell>
          <cell r="O63">
            <v>219.20000000000002</v>
          </cell>
          <cell r="P63">
            <v>138</v>
          </cell>
          <cell r="Q63">
            <v>64.28</v>
          </cell>
          <cell r="R63">
            <v>138</v>
          </cell>
          <cell r="S63">
            <v>1768</v>
          </cell>
          <cell r="T63">
            <v>98</v>
          </cell>
          <cell r="U63">
            <v>107.80000000000001</v>
          </cell>
          <cell r="V63">
            <v>796.5</v>
          </cell>
          <cell r="W63">
            <v>796.5</v>
          </cell>
          <cell r="X63">
            <v>14.857142857142858</v>
          </cell>
          <cell r="Y63">
            <v>21.5</v>
          </cell>
          <cell r="Z63">
            <v>16.714285714285715</v>
          </cell>
          <cell r="AA63">
            <v>23.666666666666664</v>
          </cell>
          <cell r="AB63">
            <v>30.960000000000004</v>
          </cell>
          <cell r="AC63">
            <v>30.960000000000004</v>
          </cell>
          <cell r="AD63">
            <v>20</v>
          </cell>
          <cell r="AE63">
            <v>24</v>
          </cell>
          <cell r="AF63">
            <v>77.400000000000006</v>
          </cell>
          <cell r="AG63">
            <v>20</v>
          </cell>
          <cell r="AH63">
            <v>15</v>
          </cell>
          <cell r="AI63">
            <v>20</v>
          </cell>
          <cell r="AJ63">
            <v>30</v>
          </cell>
          <cell r="AK63">
            <v>24</v>
          </cell>
          <cell r="AL63">
            <v>20</v>
          </cell>
          <cell r="AM63">
            <v>10</v>
          </cell>
          <cell r="AN63">
            <v>30</v>
          </cell>
          <cell r="AO63">
            <v>30</v>
          </cell>
          <cell r="AP63">
            <v>30</v>
          </cell>
          <cell r="AQ63">
            <v>193.5</v>
          </cell>
          <cell r="AR63">
            <v>193.5</v>
          </cell>
          <cell r="AS63">
            <v>10</v>
          </cell>
          <cell r="AT63">
            <v>10</v>
          </cell>
        </row>
        <row r="64">
          <cell r="A64">
            <v>60</v>
          </cell>
          <cell r="B64">
            <v>36.4</v>
          </cell>
          <cell r="C64">
            <v>30.8</v>
          </cell>
          <cell r="D64">
            <v>33.6</v>
          </cell>
          <cell r="E64">
            <v>28</v>
          </cell>
          <cell r="F64">
            <v>33.6</v>
          </cell>
          <cell r="G64">
            <v>39.200000000000003</v>
          </cell>
          <cell r="H64">
            <v>78.920000000000016</v>
          </cell>
          <cell r="I64">
            <v>2330</v>
          </cell>
          <cell r="J64">
            <v>82</v>
          </cell>
          <cell r="K64">
            <v>90.2</v>
          </cell>
          <cell r="L64">
            <v>336</v>
          </cell>
          <cell r="M64">
            <v>302</v>
          </cell>
          <cell r="N64">
            <v>175</v>
          </cell>
          <cell r="O64">
            <v>224</v>
          </cell>
          <cell r="P64">
            <v>140</v>
          </cell>
          <cell r="Q64">
            <v>65.760000000000005</v>
          </cell>
          <cell r="R64">
            <v>140</v>
          </cell>
          <cell r="S64">
            <v>1804</v>
          </cell>
          <cell r="T64">
            <v>100</v>
          </cell>
          <cell r="U64">
            <v>110.00000000000001</v>
          </cell>
          <cell r="V64">
            <v>810</v>
          </cell>
          <cell r="W64">
            <v>810</v>
          </cell>
          <cell r="X64">
            <v>15</v>
          </cell>
          <cell r="Y64">
            <v>21.666666666666664</v>
          </cell>
          <cell r="Z64">
            <v>17</v>
          </cell>
          <cell r="AA64">
            <v>24</v>
          </cell>
          <cell r="AB64">
            <v>31.568000000000008</v>
          </cell>
          <cell r="AC64">
            <v>31.568000000000008</v>
          </cell>
          <cell r="AD64">
            <v>20</v>
          </cell>
          <cell r="AE64">
            <v>26</v>
          </cell>
          <cell r="AF64">
            <v>78.920000000000016</v>
          </cell>
          <cell r="AG64">
            <v>20</v>
          </cell>
          <cell r="AH64">
            <v>15</v>
          </cell>
          <cell r="AI64">
            <v>20</v>
          </cell>
          <cell r="AJ64">
            <v>31</v>
          </cell>
          <cell r="AK64">
            <v>25</v>
          </cell>
          <cell r="AL64">
            <v>20</v>
          </cell>
          <cell r="AM64">
            <v>10</v>
          </cell>
          <cell r="AN64">
            <v>30</v>
          </cell>
          <cell r="AO64">
            <v>30</v>
          </cell>
          <cell r="AP64">
            <v>30</v>
          </cell>
          <cell r="AQ64">
            <v>197.3</v>
          </cell>
          <cell r="AR64">
            <v>197.3</v>
          </cell>
          <cell r="AS64">
            <v>10</v>
          </cell>
          <cell r="AT64">
            <v>10</v>
          </cell>
        </row>
        <row r="65">
          <cell r="A65">
            <v>61</v>
          </cell>
          <cell r="B65">
            <v>36.800000000000004</v>
          </cell>
          <cell r="C65">
            <v>31.200000000000003</v>
          </cell>
          <cell r="D65">
            <v>34</v>
          </cell>
          <cell r="E65">
            <v>28.400000000000002</v>
          </cell>
          <cell r="F65">
            <v>34</v>
          </cell>
          <cell r="G65">
            <v>39.6</v>
          </cell>
          <cell r="H65">
            <v>79.920000000000016</v>
          </cell>
          <cell r="I65">
            <v>2360</v>
          </cell>
          <cell r="J65">
            <v>84</v>
          </cell>
          <cell r="K65">
            <v>92.4</v>
          </cell>
          <cell r="L65">
            <v>340</v>
          </cell>
          <cell r="M65">
            <v>306</v>
          </cell>
          <cell r="N65">
            <v>177.5</v>
          </cell>
          <cell r="O65">
            <v>226.8</v>
          </cell>
          <cell r="P65">
            <v>142</v>
          </cell>
          <cell r="Q65">
            <v>66.600000000000009</v>
          </cell>
          <cell r="R65">
            <v>142</v>
          </cell>
          <cell r="S65">
            <v>1822</v>
          </cell>
          <cell r="T65">
            <v>100</v>
          </cell>
          <cell r="U65">
            <v>110.00000000000001</v>
          </cell>
          <cell r="V65">
            <v>823.5</v>
          </cell>
          <cell r="W65">
            <v>823.5</v>
          </cell>
          <cell r="X65">
            <v>15.142857142857142</v>
          </cell>
          <cell r="Y65">
            <v>21.833333333333336</v>
          </cell>
          <cell r="Z65">
            <v>17.142857142857142</v>
          </cell>
          <cell r="AA65">
            <v>24.166666666666664</v>
          </cell>
          <cell r="AB65">
            <v>31.968000000000007</v>
          </cell>
          <cell r="AC65">
            <v>31.968000000000007</v>
          </cell>
          <cell r="AD65">
            <v>20</v>
          </cell>
          <cell r="AE65">
            <v>26</v>
          </cell>
          <cell r="AF65">
            <v>79.920000000000016</v>
          </cell>
          <cell r="AG65">
            <v>20</v>
          </cell>
          <cell r="AH65">
            <v>15</v>
          </cell>
          <cell r="AI65">
            <v>20</v>
          </cell>
          <cell r="AJ65">
            <v>31</v>
          </cell>
          <cell r="AK65">
            <v>25</v>
          </cell>
          <cell r="AL65">
            <v>20</v>
          </cell>
          <cell r="AM65">
            <v>10</v>
          </cell>
          <cell r="AN65">
            <v>30</v>
          </cell>
          <cell r="AO65">
            <v>30</v>
          </cell>
          <cell r="AP65">
            <v>30</v>
          </cell>
          <cell r="AQ65">
            <v>199.8</v>
          </cell>
          <cell r="AR65">
            <v>199.8</v>
          </cell>
          <cell r="AS65">
            <v>10</v>
          </cell>
          <cell r="AT65">
            <v>10</v>
          </cell>
        </row>
        <row r="66">
          <cell r="A66">
            <v>62</v>
          </cell>
          <cell r="B66">
            <v>37.200000000000003</v>
          </cell>
          <cell r="C66">
            <v>31.6</v>
          </cell>
          <cell r="D66">
            <v>34.4</v>
          </cell>
          <cell r="E66">
            <v>28.8</v>
          </cell>
          <cell r="F66">
            <v>34.4</v>
          </cell>
          <cell r="G66">
            <v>40</v>
          </cell>
          <cell r="H66">
            <v>80.920000000000016</v>
          </cell>
          <cell r="I66">
            <v>2390</v>
          </cell>
          <cell r="J66">
            <v>84</v>
          </cell>
          <cell r="K66">
            <v>92.4</v>
          </cell>
          <cell r="L66">
            <v>344</v>
          </cell>
          <cell r="M66">
            <v>310</v>
          </cell>
          <cell r="N66">
            <v>180</v>
          </cell>
          <cell r="O66">
            <v>229.60000000000002</v>
          </cell>
          <cell r="P66">
            <v>144</v>
          </cell>
          <cell r="Q66">
            <v>67.44</v>
          </cell>
          <cell r="R66">
            <v>144</v>
          </cell>
          <cell r="S66">
            <v>1840</v>
          </cell>
          <cell r="T66">
            <v>102</v>
          </cell>
          <cell r="U66">
            <v>112.2</v>
          </cell>
          <cell r="V66">
            <v>837</v>
          </cell>
          <cell r="W66">
            <v>837</v>
          </cell>
          <cell r="X66">
            <v>15.285714285714286</v>
          </cell>
          <cell r="Y66">
            <v>22</v>
          </cell>
          <cell r="Z66">
            <v>17.285714285714285</v>
          </cell>
          <cell r="AA66">
            <v>24.333333333333336</v>
          </cell>
          <cell r="AB66">
            <v>32.368000000000009</v>
          </cell>
          <cell r="AC66">
            <v>32.368000000000009</v>
          </cell>
          <cell r="AD66">
            <v>20</v>
          </cell>
          <cell r="AE66">
            <v>26</v>
          </cell>
          <cell r="AF66">
            <v>80.920000000000016</v>
          </cell>
          <cell r="AG66">
            <v>20</v>
          </cell>
          <cell r="AH66">
            <v>15</v>
          </cell>
          <cell r="AI66">
            <v>20</v>
          </cell>
          <cell r="AJ66">
            <v>31</v>
          </cell>
          <cell r="AK66">
            <v>25</v>
          </cell>
          <cell r="AL66">
            <v>20</v>
          </cell>
          <cell r="AM66">
            <v>10</v>
          </cell>
          <cell r="AN66">
            <v>30</v>
          </cell>
          <cell r="AO66">
            <v>30</v>
          </cell>
          <cell r="AP66">
            <v>30</v>
          </cell>
          <cell r="AQ66">
            <v>202.3</v>
          </cell>
          <cell r="AR66">
            <v>202.3</v>
          </cell>
          <cell r="AS66">
            <v>10</v>
          </cell>
          <cell r="AT66">
            <v>10</v>
          </cell>
        </row>
        <row r="67">
          <cell r="A67">
            <v>63</v>
          </cell>
          <cell r="B67">
            <v>37.6</v>
          </cell>
          <cell r="C67">
            <v>32</v>
          </cell>
          <cell r="D67">
            <v>34.800000000000004</v>
          </cell>
          <cell r="E67">
            <v>29.200000000000003</v>
          </cell>
          <cell r="F67">
            <v>34.800000000000004</v>
          </cell>
          <cell r="G67">
            <v>40.800000000000004</v>
          </cell>
          <cell r="H67">
            <v>81.92</v>
          </cell>
          <cell r="I67">
            <v>2420</v>
          </cell>
          <cell r="J67">
            <v>86</v>
          </cell>
          <cell r="K67">
            <v>94.600000000000009</v>
          </cell>
          <cell r="L67">
            <v>348</v>
          </cell>
          <cell r="M67">
            <v>314</v>
          </cell>
          <cell r="N67">
            <v>182.5</v>
          </cell>
          <cell r="O67">
            <v>232.4</v>
          </cell>
          <cell r="P67">
            <v>146</v>
          </cell>
          <cell r="Q67">
            <v>68.28</v>
          </cell>
          <cell r="R67">
            <v>146</v>
          </cell>
          <cell r="S67">
            <v>1876</v>
          </cell>
          <cell r="T67">
            <v>104</v>
          </cell>
          <cell r="U67">
            <v>114.4</v>
          </cell>
          <cell r="V67">
            <v>850.5</v>
          </cell>
          <cell r="W67">
            <v>850.5</v>
          </cell>
          <cell r="X67">
            <v>15.428571428571429</v>
          </cell>
          <cell r="Y67">
            <v>22.166666666666664</v>
          </cell>
          <cell r="Z67">
            <v>17.428571428571431</v>
          </cell>
          <cell r="AA67">
            <v>24.5</v>
          </cell>
          <cell r="AB67">
            <v>32.768000000000001</v>
          </cell>
          <cell r="AC67">
            <v>32.768000000000001</v>
          </cell>
          <cell r="AD67">
            <v>20</v>
          </cell>
          <cell r="AE67">
            <v>26</v>
          </cell>
          <cell r="AF67">
            <v>81.92</v>
          </cell>
          <cell r="AG67">
            <v>20</v>
          </cell>
          <cell r="AH67">
            <v>15</v>
          </cell>
          <cell r="AI67">
            <v>20</v>
          </cell>
          <cell r="AJ67">
            <v>32</v>
          </cell>
          <cell r="AK67">
            <v>26</v>
          </cell>
          <cell r="AL67">
            <v>20</v>
          </cell>
          <cell r="AM67">
            <v>10</v>
          </cell>
          <cell r="AN67">
            <v>30</v>
          </cell>
          <cell r="AO67">
            <v>30</v>
          </cell>
          <cell r="AP67">
            <v>30</v>
          </cell>
          <cell r="AQ67">
            <v>204.79999999999998</v>
          </cell>
          <cell r="AR67">
            <v>204.79999999999998</v>
          </cell>
          <cell r="AS67">
            <v>10</v>
          </cell>
          <cell r="AT67">
            <v>10</v>
          </cell>
        </row>
        <row r="68">
          <cell r="A68">
            <v>64</v>
          </cell>
          <cell r="B68">
            <v>38.400000000000006</v>
          </cell>
          <cell r="C68">
            <v>32.4</v>
          </cell>
          <cell r="D68">
            <v>35.200000000000003</v>
          </cell>
          <cell r="E68">
            <v>29.6</v>
          </cell>
          <cell r="F68">
            <v>35.200000000000003</v>
          </cell>
          <cell r="G68">
            <v>41.2</v>
          </cell>
          <cell r="H68">
            <v>83.440000000000012</v>
          </cell>
          <cell r="I68">
            <v>2450</v>
          </cell>
          <cell r="J68">
            <v>86</v>
          </cell>
          <cell r="K68">
            <v>94.600000000000009</v>
          </cell>
          <cell r="L68">
            <v>352.00000000000006</v>
          </cell>
          <cell r="M68">
            <v>318.00000000000006</v>
          </cell>
          <cell r="N68">
            <v>185</v>
          </cell>
          <cell r="O68">
            <v>235.20000000000002</v>
          </cell>
          <cell r="P68">
            <v>148</v>
          </cell>
          <cell r="Q68">
            <v>69.12</v>
          </cell>
          <cell r="R68">
            <v>148</v>
          </cell>
          <cell r="S68">
            <v>1894</v>
          </cell>
          <cell r="T68">
            <v>104</v>
          </cell>
          <cell r="U68">
            <v>114.4</v>
          </cell>
          <cell r="V68">
            <v>864</v>
          </cell>
          <cell r="W68">
            <v>864</v>
          </cell>
          <cell r="X68">
            <v>15.571428571428571</v>
          </cell>
          <cell r="Y68">
            <v>22.333333333333336</v>
          </cell>
          <cell r="Z68">
            <v>17.571428571428569</v>
          </cell>
          <cell r="AA68">
            <v>24.666666666666664</v>
          </cell>
          <cell r="AB68">
            <v>33.376000000000005</v>
          </cell>
          <cell r="AC68">
            <v>33.376000000000005</v>
          </cell>
          <cell r="AD68">
            <v>20</v>
          </cell>
          <cell r="AE68">
            <v>26</v>
          </cell>
          <cell r="AF68">
            <v>83.440000000000012</v>
          </cell>
          <cell r="AG68">
            <v>20</v>
          </cell>
          <cell r="AH68">
            <v>15</v>
          </cell>
          <cell r="AI68">
            <v>20</v>
          </cell>
          <cell r="AJ68">
            <v>32</v>
          </cell>
          <cell r="AK68">
            <v>26</v>
          </cell>
          <cell r="AL68">
            <v>20</v>
          </cell>
          <cell r="AM68">
            <v>10</v>
          </cell>
          <cell r="AN68">
            <v>30</v>
          </cell>
          <cell r="AO68">
            <v>30</v>
          </cell>
          <cell r="AP68">
            <v>30</v>
          </cell>
          <cell r="AQ68">
            <v>208.60000000000002</v>
          </cell>
          <cell r="AR68">
            <v>208.60000000000002</v>
          </cell>
          <cell r="AS68">
            <v>10</v>
          </cell>
          <cell r="AT68">
            <v>10</v>
          </cell>
        </row>
        <row r="69">
          <cell r="A69">
            <v>65</v>
          </cell>
          <cell r="B69">
            <v>38.800000000000004</v>
          </cell>
          <cell r="C69">
            <v>32.800000000000004</v>
          </cell>
          <cell r="D69">
            <v>36</v>
          </cell>
          <cell r="E69">
            <v>30</v>
          </cell>
          <cell r="F69">
            <v>36</v>
          </cell>
          <cell r="G69">
            <v>42</v>
          </cell>
          <cell r="H69">
            <v>84.440000000000012</v>
          </cell>
          <cell r="I69">
            <v>2480</v>
          </cell>
          <cell r="J69">
            <v>88</v>
          </cell>
          <cell r="K69">
            <v>96.800000000000011</v>
          </cell>
          <cell r="L69">
            <v>360</v>
          </cell>
          <cell r="M69">
            <v>326</v>
          </cell>
          <cell r="N69">
            <v>187.5</v>
          </cell>
          <cell r="O69">
            <v>240</v>
          </cell>
          <cell r="P69">
            <v>150</v>
          </cell>
          <cell r="Q69">
            <v>70.600000000000009</v>
          </cell>
          <cell r="R69">
            <v>150</v>
          </cell>
          <cell r="S69">
            <v>1930</v>
          </cell>
          <cell r="T69">
            <v>106</v>
          </cell>
          <cell r="U69">
            <v>116.60000000000001</v>
          </cell>
          <cell r="V69">
            <v>877.5</v>
          </cell>
          <cell r="W69">
            <v>877.5</v>
          </cell>
          <cell r="X69">
            <v>15.714285714285714</v>
          </cell>
          <cell r="Y69">
            <v>22.5</v>
          </cell>
          <cell r="Z69">
            <v>17.857142857142858</v>
          </cell>
          <cell r="AA69">
            <v>25</v>
          </cell>
          <cell r="AB69">
            <v>33.776000000000003</v>
          </cell>
          <cell r="AC69">
            <v>33.776000000000003</v>
          </cell>
          <cell r="AD69">
            <v>20</v>
          </cell>
          <cell r="AE69">
            <v>28</v>
          </cell>
          <cell r="AF69">
            <v>84.440000000000012</v>
          </cell>
          <cell r="AG69">
            <v>20</v>
          </cell>
          <cell r="AH69">
            <v>15</v>
          </cell>
          <cell r="AI69">
            <v>20</v>
          </cell>
          <cell r="AJ69">
            <v>32</v>
          </cell>
          <cell r="AK69">
            <v>27</v>
          </cell>
          <cell r="AL69">
            <v>20</v>
          </cell>
          <cell r="AM69">
            <v>10</v>
          </cell>
          <cell r="AN69">
            <v>30</v>
          </cell>
          <cell r="AO69">
            <v>30</v>
          </cell>
          <cell r="AP69">
            <v>30</v>
          </cell>
          <cell r="AQ69">
            <v>211.10000000000002</v>
          </cell>
          <cell r="AR69">
            <v>211.10000000000002</v>
          </cell>
          <cell r="AS69">
            <v>10</v>
          </cell>
          <cell r="AT69">
            <v>10</v>
          </cell>
        </row>
        <row r="70">
          <cell r="A70">
            <v>66</v>
          </cell>
          <cell r="B70">
            <v>39.200000000000003</v>
          </cell>
          <cell r="C70">
            <v>33.200000000000003</v>
          </cell>
          <cell r="D70">
            <v>36.4</v>
          </cell>
          <cell r="E70">
            <v>30.400000000000002</v>
          </cell>
          <cell r="F70">
            <v>36.4</v>
          </cell>
          <cell r="G70">
            <v>42.400000000000006</v>
          </cell>
          <cell r="H70">
            <v>85.44</v>
          </cell>
          <cell r="I70">
            <v>2510</v>
          </cell>
          <cell r="J70">
            <v>88</v>
          </cell>
          <cell r="K70">
            <v>96.800000000000011</v>
          </cell>
          <cell r="L70">
            <v>364</v>
          </cell>
          <cell r="M70">
            <v>330</v>
          </cell>
          <cell r="N70">
            <v>190</v>
          </cell>
          <cell r="O70">
            <v>242.8</v>
          </cell>
          <cell r="P70">
            <v>152</v>
          </cell>
          <cell r="Q70">
            <v>71.44</v>
          </cell>
          <cell r="R70">
            <v>152</v>
          </cell>
          <cell r="S70">
            <v>1948</v>
          </cell>
          <cell r="T70">
            <v>108</v>
          </cell>
          <cell r="U70">
            <v>118.80000000000001</v>
          </cell>
          <cell r="V70">
            <v>891</v>
          </cell>
          <cell r="W70">
            <v>891</v>
          </cell>
          <cell r="X70">
            <v>15.857142857142858</v>
          </cell>
          <cell r="Y70">
            <v>22.666666666666664</v>
          </cell>
          <cell r="Z70">
            <v>18</v>
          </cell>
          <cell r="AA70">
            <v>25.166666666666664</v>
          </cell>
          <cell r="AB70">
            <v>34.176000000000002</v>
          </cell>
          <cell r="AC70">
            <v>34.176000000000002</v>
          </cell>
          <cell r="AD70">
            <v>20</v>
          </cell>
          <cell r="AE70">
            <v>28</v>
          </cell>
          <cell r="AF70">
            <v>85.44</v>
          </cell>
          <cell r="AG70">
            <v>20</v>
          </cell>
          <cell r="AH70">
            <v>15</v>
          </cell>
          <cell r="AI70">
            <v>20</v>
          </cell>
          <cell r="AJ70">
            <v>33</v>
          </cell>
          <cell r="AK70">
            <v>27</v>
          </cell>
          <cell r="AL70">
            <v>20</v>
          </cell>
          <cell r="AM70">
            <v>10</v>
          </cell>
          <cell r="AN70">
            <v>30</v>
          </cell>
          <cell r="AO70">
            <v>30</v>
          </cell>
          <cell r="AP70">
            <v>30</v>
          </cell>
          <cell r="AQ70">
            <v>213.6</v>
          </cell>
          <cell r="AR70">
            <v>213.6</v>
          </cell>
          <cell r="AS70">
            <v>10</v>
          </cell>
          <cell r="AT70">
            <v>10</v>
          </cell>
        </row>
        <row r="71">
          <cell r="A71">
            <v>67</v>
          </cell>
          <cell r="B71">
            <v>40</v>
          </cell>
          <cell r="C71">
            <v>33.6</v>
          </cell>
          <cell r="D71">
            <v>36.800000000000004</v>
          </cell>
          <cell r="E71">
            <v>30.8</v>
          </cell>
          <cell r="F71">
            <v>36.800000000000004</v>
          </cell>
          <cell r="G71">
            <v>42.800000000000004</v>
          </cell>
          <cell r="H71">
            <v>86.960000000000008</v>
          </cell>
          <cell r="I71">
            <v>2540</v>
          </cell>
          <cell r="J71">
            <v>90</v>
          </cell>
          <cell r="K71">
            <v>99.000000000000014</v>
          </cell>
          <cell r="L71">
            <v>368</v>
          </cell>
          <cell r="M71">
            <v>334</v>
          </cell>
          <cell r="N71">
            <v>192.5</v>
          </cell>
          <cell r="O71">
            <v>245.60000000000002</v>
          </cell>
          <cell r="P71">
            <v>154</v>
          </cell>
          <cell r="Q71">
            <v>72.28</v>
          </cell>
          <cell r="R71">
            <v>154</v>
          </cell>
          <cell r="S71">
            <v>1966</v>
          </cell>
          <cell r="T71">
            <v>108</v>
          </cell>
          <cell r="U71">
            <v>118.80000000000001</v>
          </cell>
          <cell r="V71">
            <v>904.5</v>
          </cell>
          <cell r="W71">
            <v>904.5</v>
          </cell>
          <cell r="X71">
            <v>16</v>
          </cell>
          <cell r="Y71">
            <v>22.833333333333336</v>
          </cell>
          <cell r="Z71">
            <v>18.142857142857142</v>
          </cell>
          <cell r="AA71">
            <v>25.333333333333336</v>
          </cell>
          <cell r="AB71">
            <v>34.784000000000006</v>
          </cell>
          <cell r="AC71">
            <v>34.784000000000006</v>
          </cell>
          <cell r="AD71">
            <v>20</v>
          </cell>
          <cell r="AE71">
            <v>28</v>
          </cell>
          <cell r="AF71">
            <v>86.960000000000008</v>
          </cell>
          <cell r="AG71">
            <v>20</v>
          </cell>
          <cell r="AH71">
            <v>15</v>
          </cell>
          <cell r="AI71">
            <v>20</v>
          </cell>
          <cell r="AJ71">
            <v>33</v>
          </cell>
          <cell r="AK71">
            <v>27</v>
          </cell>
          <cell r="AL71">
            <v>20</v>
          </cell>
          <cell r="AM71">
            <v>10</v>
          </cell>
          <cell r="AN71">
            <v>30</v>
          </cell>
          <cell r="AO71">
            <v>30</v>
          </cell>
          <cell r="AP71">
            <v>30</v>
          </cell>
          <cell r="AQ71">
            <v>217.4</v>
          </cell>
          <cell r="AR71">
            <v>217.4</v>
          </cell>
          <cell r="AS71">
            <v>10</v>
          </cell>
          <cell r="AT71">
            <v>10</v>
          </cell>
        </row>
        <row r="72">
          <cell r="A72">
            <v>68</v>
          </cell>
          <cell r="B72">
            <v>40.400000000000006</v>
          </cell>
          <cell r="C72">
            <v>34</v>
          </cell>
          <cell r="D72">
            <v>37.200000000000003</v>
          </cell>
          <cell r="E72">
            <v>31.200000000000003</v>
          </cell>
          <cell r="F72">
            <v>37.200000000000003</v>
          </cell>
          <cell r="G72">
            <v>43.6</v>
          </cell>
          <cell r="H72">
            <v>87.960000000000008</v>
          </cell>
          <cell r="I72">
            <v>2570</v>
          </cell>
          <cell r="J72">
            <v>90</v>
          </cell>
          <cell r="K72">
            <v>99.000000000000014</v>
          </cell>
          <cell r="L72">
            <v>372.00000000000006</v>
          </cell>
          <cell r="M72">
            <v>338.00000000000006</v>
          </cell>
          <cell r="N72">
            <v>195</v>
          </cell>
          <cell r="O72">
            <v>248.4</v>
          </cell>
          <cell r="P72">
            <v>156</v>
          </cell>
          <cell r="Q72">
            <v>73.12</v>
          </cell>
          <cell r="R72">
            <v>156</v>
          </cell>
          <cell r="S72">
            <v>2002</v>
          </cell>
          <cell r="T72">
            <v>110</v>
          </cell>
          <cell r="U72">
            <v>121.00000000000001</v>
          </cell>
          <cell r="V72">
            <v>918</v>
          </cell>
          <cell r="W72">
            <v>918</v>
          </cell>
          <cell r="X72">
            <v>16.142857142857142</v>
          </cell>
          <cell r="Y72">
            <v>23</v>
          </cell>
          <cell r="Z72">
            <v>18.285714285714285</v>
          </cell>
          <cell r="AA72">
            <v>25.5</v>
          </cell>
          <cell r="AB72">
            <v>35.184000000000005</v>
          </cell>
          <cell r="AC72">
            <v>35.184000000000005</v>
          </cell>
          <cell r="AD72">
            <v>20</v>
          </cell>
          <cell r="AE72">
            <v>28</v>
          </cell>
          <cell r="AF72">
            <v>87.960000000000008</v>
          </cell>
          <cell r="AG72">
            <v>20</v>
          </cell>
          <cell r="AH72">
            <v>15</v>
          </cell>
          <cell r="AI72">
            <v>20</v>
          </cell>
          <cell r="AJ72">
            <v>33</v>
          </cell>
          <cell r="AK72">
            <v>28</v>
          </cell>
          <cell r="AL72">
            <v>20</v>
          </cell>
          <cell r="AM72">
            <v>10</v>
          </cell>
          <cell r="AN72">
            <v>30</v>
          </cell>
          <cell r="AO72">
            <v>30</v>
          </cell>
          <cell r="AP72">
            <v>30</v>
          </cell>
          <cell r="AQ72">
            <v>219.9</v>
          </cell>
          <cell r="AR72">
            <v>219.9</v>
          </cell>
          <cell r="AS72">
            <v>10</v>
          </cell>
          <cell r="AT72">
            <v>10</v>
          </cell>
        </row>
        <row r="73">
          <cell r="A73">
            <v>69</v>
          </cell>
          <cell r="B73">
            <v>40.800000000000004</v>
          </cell>
          <cell r="C73">
            <v>34.4</v>
          </cell>
          <cell r="D73">
            <v>37.6</v>
          </cell>
          <cell r="E73">
            <v>31.6</v>
          </cell>
          <cell r="F73">
            <v>37.6</v>
          </cell>
          <cell r="G73">
            <v>44</v>
          </cell>
          <cell r="H73">
            <v>88.96</v>
          </cell>
          <cell r="I73">
            <v>2600</v>
          </cell>
          <cell r="J73">
            <v>92</v>
          </cell>
          <cell r="K73">
            <v>101.2</v>
          </cell>
          <cell r="L73">
            <v>376</v>
          </cell>
          <cell r="M73">
            <v>342</v>
          </cell>
          <cell r="N73">
            <v>197.5</v>
          </cell>
          <cell r="O73">
            <v>251.20000000000002</v>
          </cell>
          <cell r="P73">
            <v>158</v>
          </cell>
          <cell r="Q73">
            <v>73.960000000000008</v>
          </cell>
          <cell r="R73">
            <v>158</v>
          </cell>
          <cell r="S73">
            <v>2020</v>
          </cell>
          <cell r="T73">
            <v>112</v>
          </cell>
          <cell r="U73">
            <v>123.20000000000002</v>
          </cell>
          <cell r="V73">
            <v>931.5</v>
          </cell>
          <cell r="W73">
            <v>931.5</v>
          </cell>
          <cell r="X73">
            <v>16.285714285714285</v>
          </cell>
          <cell r="Y73">
            <v>23.166666666666664</v>
          </cell>
          <cell r="Z73">
            <v>18.428571428571431</v>
          </cell>
          <cell r="AA73">
            <v>25.666666666666664</v>
          </cell>
          <cell r="AB73">
            <v>35.583999999999996</v>
          </cell>
          <cell r="AC73">
            <v>35.583999999999996</v>
          </cell>
          <cell r="AD73">
            <v>20</v>
          </cell>
          <cell r="AE73">
            <v>28</v>
          </cell>
          <cell r="AF73">
            <v>88.96</v>
          </cell>
          <cell r="AG73">
            <v>20</v>
          </cell>
          <cell r="AH73">
            <v>15</v>
          </cell>
          <cell r="AI73">
            <v>20</v>
          </cell>
          <cell r="AJ73">
            <v>34</v>
          </cell>
          <cell r="AK73">
            <v>28</v>
          </cell>
          <cell r="AL73">
            <v>20</v>
          </cell>
          <cell r="AM73">
            <v>10</v>
          </cell>
          <cell r="AN73">
            <v>30</v>
          </cell>
          <cell r="AO73">
            <v>30</v>
          </cell>
          <cell r="AP73">
            <v>30</v>
          </cell>
          <cell r="AQ73">
            <v>222.39999999999998</v>
          </cell>
          <cell r="AR73">
            <v>222.39999999999998</v>
          </cell>
          <cell r="AS73">
            <v>10</v>
          </cell>
          <cell r="AT73">
            <v>10</v>
          </cell>
        </row>
        <row r="74">
          <cell r="A74">
            <v>70</v>
          </cell>
          <cell r="B74">
            <v>41.6</v>
          </cell>
          <cell r="C74">
            <v>35.200000000000003</v>
          </cell>
          <cell r="D74">
            <v>38.400000000000006</v>
          </cell>
          <cell r="E74">
            <v>32</v>
          </cell>
          <cell r="F74">
            <v>38.400000000000006</v>
          </cell>
          <cell r="G74">
            <v>44.800000000000004</v>
          </cell>
          <cell r="H74">
            <v>90.480000000000018</v>
          </cell>
          <cell r="I74">
            <v>2660</v>
          </cell>
          <cell r="J74">
            <v>94</v>
          </cell>
          <cell r="K74">
            <v>103.4</v>
          </cell>
          <cell r="L74">
            <v>384</v>
          </cell>
          <cell r="M74">
            <v>350</v>
          </cell>
          <cell r="N74">
            <v>200</v>
          </cell>
          <cell r="O74">
            <v>256</v>
          </cell>
          <cell r="P74">
            <v>160</v>
          </cell>
          <cell r="Q74">
            <v>75.44</v>
          </cell>
          <cell r="R74">
            <v>160</v>
          </cell>
          <cell r="S74">
            <v>2056</v>
          </cell>
          <cell r="T74">
            <v>114</v>
          </cell>
          <cell r="U74">
            <v>125.4</v>
          </cell>
          <cell r="V74">
            <v>945</v>
          </cell>
          <cell r="W74">
            <v>945</v>
          </cell>
          <cell r="X74">
            <v>16.428571428571431</v>
          </cell>
          <cell r="Y74">
            <v>23.333333333333336</v>
          </cell>
          <cell r="Z74">
            <v>18.714285714285715</v>
          </cell>
          <cell r="AA74">
            <v>26</v>
          </cell>
          <cell r="AB74">
            <v>36.192000000000007</v>
          </cell>
          <cell r="AC74">
            <v>36.192000000000007</v>
          </cell>
          <cell r="AD74">
            <v>20</v>
          </cell>
          <cell r="AE74">
            <v>30</v>
          </cell>
          <cell r="AF74">
            <v>90.480000000000018</v>
          </cell>
          <cell r="AG74">
            <v>20</v>
          </cell>
          <cell r="AH74">
            <v>15</v>
          </cell>
          <cell r="AI74">
            <v>20</v>
          </cell>
          <cell r="AJ74">
            <v>34</v>
          </cell>
          <cell r="AK74">
            <v>29</v>
          </cell>
          <cell r="AL74">
            <v>20</v>
          </cell>
          <cell r="AM74">
            <v>10</v>
          </cell>
          <cell r="AN74">
            <v>30</v>
          </cell>
          <cell r="AO74">
            <v>30</v>
          </cell>
          <cell r="AP74">
            <v>30</v>
          </cell>
          <cell r="AQ74">
            <v>226.20000000000002</v>
          </cell>
          <cell r="AR74">
            <v>226.20000000000002</v>
          </cell>
          <cell r="AS74">
            <v>10</v>
          </cell>
          <cell r="AT74">
            <v>10</v>
          </cell>
        </row>
        <row r="75">
          <cell r="A75">
            <v>71</v>
          </cell>
          <cell r="B75">
            <v>42</v>
          </cell>
          <cell r="C75">
            <v>35.6</v>
          </cell>
          <cell r="D75">
            <v>38.800000000000004</v>
          </cell>
          <cell r="E75">
            <v>32.4</v>
          </cell>
          <cell r="F75">
            <v>38.800000000000004</v>
          </cell>
          <cell r="G75">
            <v>45.2</v>
          </cell>
          <cell r="H75">
            <v>91.48</v>
          </cell>
          <cell r="I75">
            <v>2690</v>
          </cell>
          <cell r="J75">
            <v>94</v>
          </cell>
          <cell r="K75">
            <v>103.4</v>
          </cell>
          <cell r="L75">
            <v>388</v>
          </cell>
          <cell r="M75">
            <v>354</v>
          </cell>
          <cell r="N75">
            <v>202.5</v>
          </cell>
          <cell r="O75">
            <v>258.8</v>
          </cell>
          <cell r="P75">
            <v>162</v>
          </cell>
          <cell r="Q75">
            <v>76.28</v>
          </cell>
          <cell r="R75">
            <v>162</v>
          </cell>
          <cell r="S75">
            <v>2074</v>
          </cell>
          <cell r="T75">
            <v>114</v>
          </cell>
          <cell r="U75">
            <v>125.4</v>
          </cell>
          <cell r="V75">
            <v>958.5</v>
          </cell>
          <cell r="W75">
            <v>958.5</v>
          </cell>
          <cell r="X75">
            <v>16.571428571428569</v>
          </cell>
          <cell r="Y75">
            <v>23.5</v>
          </cell>
          <cell r="Z75">
            <v>18.857142857142858</v>
          </cell>
          <cell r="AA75">
            <v>26.166666666666668</v>
          </cell>
          <cell r="AB75">
            <v>36.592000000000006</v>
          </cell>
          <cell r="AC75">
            <v>36.592000000000006</v>
          </cell>
          <cell r="AD75">
            <v>20</v>
          </cell>
          <cell r="AE75">
            <v>30</v>
          </cell>
          <cell r="AF75">
            <v>91.48</v>
          </cell>
          <cell r="AG75">
            <v>20</v>
          </cell>
          <cell r="AH75">
            <v>15</v>
          </cell>
          <cell r="AI75">
            <v>20</v>
          </cell>
          <cell r="AJ75">
            <v>34</v>
          </cell>
          <cell r="AK75">
            <v>29</v>
          </cell>
          <cell r="AL75">
            <v>20</v>
          </cell>
          <cell r="AM75">
            <v>10</v>
          </cell>
          <cell r="AN75">
            <v>30</v>
          </cell>
          <cell r="AO75">
            <v>30</v>
          </cell>
          <cell r="AP75">
            <v>30</v>
          </cell>
          <cell r="AQ75">
            <v>228.7</v>
          </cell>
          <cell r="AR75">
            <v>228.7</v>
          </cell>
          <cell r="AS75">
            <v>10</v>
          </cell>
          <cell r="AT75">
            <v>10</v>
          </cell>
        </row>
        <row r="76">
          <cell r="A76">
            <v>72</v>
          </cell>
          <cell r="B76">
            <v>42.400000000000006</v>
          </cell>
          <cell r="C76">
            <v>36</v>
          </cell>
          <cell r="D76">
            <v>39.200000000000003</v>
          </cell>
          <cell r="E76">
            <v>32.800000000000004</v>
          </cell>
          <cell r="F76">
            <v>39.200000000000003</v>
          </cell>
          <cell r="G76">
            <v>45.6</v>
          </cell>
          <cell r="H76">
            <v>92.480000000000018</v>
          </cell>
          <cell r="I76">
            <v>2720</v>
          </cell>
          <cell r="J76">
            <v>96</v>
          </cell>
          <cell r="K76">
            <v>105.60000000000001</v>
          </cell>
          <cell r="L76">
            <v>392.00000000000006</v>
          </cell>
          <cell r="M76">
            <v>358.00000000000006</v>
          </cell>
          <cell r="N76">
            <v>204.99999999999997</v>
          </cell>
          <cell r="O76">
            <v>261.60000000000002</v>
          </cell>
          <cell r="P76">
            <v>164</v>
          </cell>
          <cell r="Q76">
            <v>77.12</v>
          </cell>
          <cell r="R76">
            <v>164</v>
          </cell>
          <cell r="S76">
            <v>2092</v>
          </cell>
          <cell r="T76">
            <v>116</v>
          </cell>
          <cell r="U76">
            <v>127.60000000000001</v>
          </cell>
          <cell r="V76">
            <v>972</v>
          </cell>
          <cell r="W76">
            <v>972</v>
          </cell>
          <cell r="X76">
            <v>16.714285714285715</v>
          </cell>
          <cell r="Y76">
            <v>23.666666666666664</v>
          </cell>
          <cell r="Z76">
            <v>19</v>
          </cell>
          <cell r="AA76">
            <v>26.333333333333332</v>
          </cell>
          <cell r="AB76">
            <v>36.992000000000012</v>
          </cell>
          <cell r="AC76">
            <v>36.992000000000012</v>
          </cell>
          <cell r="AD76">
            <v>20</v>
          </cell>
          <cell r="AE76">
            <v>30</v>
          </cell>
          <cell r="AF76">
            <v>92.480000000000018</v>
          </cell>
          <cell r="AG76">
            <v>20</v>
          </cell>
          <cell r="AH76">
            <v>15</v>
          </cell>
          <cell r="AI76">
            <v>20</v>
          </cell>
          <cell r="AJ76">
            <v>35</v>
          </cell>
          <cell r="AK76">
            <v>29</v>
          </cell>
          <cell r="AL76">
            <v>20</v>
          </cell>
          <cell r="AM76">
            <v>10</v>
          </cell>
          <cell r="AN76">
            <v>30</v>
          </cell>
          <cell r="AO76">
            <v>30</v>
          </cell>
          <cell r="AP76">
            <v>30</v>
          </cell>
          <cell r="AQ76">
            <v>231.20000000000002</v>
          </cell>
          <cell r="AR76">
            <v>231.20000000000002</v>
          </cell>
          <cell r="AS76">
            <v>10</v>
          </cell>
          <cell r="AT76">
            <v>10</v>
          </cell>
        </row>
        <row r="77">
          <cell r="A77">
            <v>73</v>
          </cell>
          <cell r="B77">
            <v>42.800000000000004</v>
          </cell>
          <cell r="C77">
            <v>36.4</v>
          </cell>
          <cell r="D77">
            <v>39.6</v>
          </cell>
          <cell r="E77">
            <v>33.200000000000003</v>
          </cell>
          <cell r="F77">
            <v>39.6</v>
          </cell>
          <cell r="G77">
            <v>46.400000000000006</v>
          </cell>
          <cell r="H77">
            <v>93.48</v>
          </cell>
          <cell r="I77">
            <v>2750</v>
          </cell>
          <cell r="J77">
            <v>96</v>
          </cell>
          <cell r="K77">
            <v>105.60000000000001</v>
          </cell>
          <cell r="L77">
            <v>396</v>
          </cell>
          <cell r="M77">
            <v>362</v>
          </cell>
          <cell r="N77">
            <v>207.50000000000003</v>
          </cell>
          <cell r="O77">
            <v>264.40000000000003</v>
          </cell>
          <cell r="P77">
            <v>166</v>
          </cell>
          <cell r="Q77">
            <v>77.960000000000008</v>
          </cell>
          <cell r="R77">
            <v>166.00000000000003</v>
          </cell>
          <cell r="S77">
            <v>2128</v>
          </cell>
          <cell r="T77">
            <v>118</v>
          </cell>
          <cell r="U77">
            <v>129.80000000000001</v>
          </cell>
          <cell r="V77">
            <v>985.5</v>
          </cell>
          <cell r="W77">
            <v>985.5</v>
          </cell>
          <cell r="X77">
            <v>16.857142857142858</v>
          </cell>
          <cell r="Y77">
            <v>23.833333333333336</v>
          </cell>
          <cell r="Z77">
            <v>19.142857142857142</v>
          </cell>
          <cell r="AA77">
            <v>26.5</v>
          </cell>
          <cell r="AB77">
            <v>37.392000000000003</v>
          </cell>
          <cell r="AC77">
            <v>37.392000000000003</v>
          </cell>
          <cell r="AD77">
            <v>20</v>
          </cell>
          <cell r="AE77">
            <v>30</v>
          </cell>
          <cell r="AF77">
            <v>93.48</v>
          </cell>
          <cell r="AG77">
            <v>20</v>
          </cell>
          <cell r="AH77">
            <v>15</v>
          </cell>
          <cell r="AI77">
            <v>20</v>
          </cell>
          <cell r="AJ77">
            <v>35</v>
          </cell>
          <cell r="AK77">
            <v>30</v>
          </cell>
          <cell r="AL77">
            <v>20</v>
          </cell>
          <cell r="AM77">
            <v>10</v>
          </cell>
          <cell r="AN77">
            <v>30</v>
          </cell>
          <cell r="AO77">
            <v>30</v>
          </cell>
          <cell r="AP77">
            <v>30</v>
          </cell>
          <cell r="AQ77">
            <v>233.7</v>
          </cell>
          <cell r="AR77">
            <v>233.7</v>
          </cell>
          <cell r="AS77">
            <v>10</v>
          </cell>
          <cell r="AT77">
            <v>10</v>
          </cell>
        </row>
        <row r="78">
          <cell r="A78">
            <v>74</v>
          </cell>
          <cell r="B78">
            <v>43.6</v>
          </cell>
          <cell r="C78">
            <v>36.800000000000004</v>
          </cell>
          <cell r="D78">
            <v>40</v>
          </cell>
          <cell r="E78">
            <v>33.6</v>
          </cell>
          <cell r="F78">
            <v>40</v>
          </cell>
          <cell r="G78">
            <v>46.800000000000004</v>
          </cell>
          <cell r="H78">
            <v>95</v>
          </cell>
          <cell r="I78">
            <v>2780</v>
          </cell>
          <cell r="J78">
            <v>98</v>
          </cell>
          <cell r="K78">
            <v>107.80000000000001</v>
          </cell>
          <cell r="L78">
            <v>400</v>
          </cell>
          <cell r="M78">
            <v>366</v>
          </cell>
          <cell r="N78">
            <v>210</v>
          </cell>
          <cell r="O78">
            <v>267.2</v>
          </cell>
          <cell r="P78">
            <v>168</v>
          </cell>
          <cell r="Q78">
            <v>78.800000000000011</v>
          </cell>
          <cell r="R78">
            <v>168</v>
          </cell>
          <cell r="S78">
            <v>2146</v>
          </cell>
          <cell r="T78">
            <v>118</v>
          </cell>
          <cell r="U78">
            <v>129.80000000000001</v>
          </cell>
          <cell r="V78">
            <v>999</v>
          </cell>
          <cell r="W78">
            <v>999</v>
          </cell>
          <cell r="X78">
            <v>17</v>
          </cell>
          <cell r="Y78">
            <v>24</v>
          </cell>
          <cell r="Z78">
            <v>19.285714285714285</v>
          </cell>
          <cell r="AA78">
            <v>26.666666666666668</v>
          </cell>
          <cell r="AB78">
            <v>38</v>
          </cell>
          <cell r="AC78">
            <v>38</v>
          </cell>
          <cell r="AD78">
            <v>20</v>
          </cell>
          <cell r="AE78">
            <v>30</v>
          </cell>
          <cell r="AF78">
            <v>95</v>
          </cell>
          <cell r="AG78">
            <v>20</v>
          </cell>
          <cell r="AH78">
            <v>15</v>
          </cell>
          <cell r="AI78">
            <v>20</v>
          </cell>
          <cell r="AJ78">
            <v>35</v>
          </cell>
          <cell r="AK78">
            <v>30</v>
          </cell>
          <cell r="AL78">
            <v>20</v>
          </cell>
          <cell r="AM78">
            <v>10</v>
          </cell>
          <cell r="AN78">
            <v>30</v>
          </cell>
          <cell r="AO78">
            <v>30</v>
          </cell>
          <cell r="AP78">
            <v>30</v>
          </cell>
          <cell r="AQ78">
            <v>237.5</v>
          </cell>
          <cell r="AR78">
            <v>237.5</v>
          </cell>
          <cell r="AS78">
            <v>10</v>
          </cell>
          <cell r="AT78">
            <v>10</v>
          </cell>
        </row>
        <row r="79">
          <cell r="A79">
            <v>75</v>
          </cell>
          <cell r="B79">
            <v>44</v>
          </cell>
          <cell r="C79">
            <v>37.200000000000003</v>
          </cell>
          <cell r="D79">
            <v>40.800000000000004</v>
          </cell>
          <cell r="E79">
            <v>34</v>
          </cell>
          <cell r="F79">
            <v>40.800000000000004</v>
          </cell>
          <cell r="G79">
            <v>47.6</v>
          </cell>
          <cell r="H79">
            <v>96</v>
          </cell>
          <cell r="I79">
            <v>2810</v>
          </cell>
          <cell r="J79">
            <v>98</v>
          </cell>
          <cell r="K79">
            <v>107.80000000000001</v>
          </cell>
          <cell r="L79">
            <v>408</v>
          </cell>
          <cell r="M79">
            <v>374</v>
          </cell>
          <cell r="N79">
            <v>212.5</v>
          </cell>
          <cell r="O79">
            <v>272</v>
          </cell>
          <cell r="P79">
            <v>170</v>
          </cell>
          <cell r="Q79">
            <v>80.28</v>
          </cell>
          <cell r="R79">
            <v>170</v>
          </cell>
          <cell r="S79">
            <v>2182</v>
          </cell>
          <cell r="T79">
            <v>120</v>
          </cell>
          <cell r="U79">
            <v>132</v>
          </cell>
          <cell r="V79">
            <v>1012.5</v>
          </cell>
          <cell r="W79">
            <v>1012.5</v>
          </cell>
          <cell r="X79">
            <v>17.142857142857142</v>
          </cell>
          <cell r="Y79">
            <v>24.166666666666664</v>
          </cell>
          <cell r="Z79">
            <v>19.571428571428569</v>
          </cell>
          <cell r="AA79">
            <v>27</v>
          </cell>
          <cell r="AB79">
            <v>38.400000000000006</v>
          </cell>
          <cell r="AC79">
            <v>38.400000000000006</v>
          </cell>
          <cell r="AD79">
            <v>20</v>
          </cell>
          <cell r="AE79">
            <v>32</v>
          </cell>
          <cell r="AF79">
            <v>96</v>
          </cell>
          <cell r="AG79">
            <v>20</v>
          </cell>
          <cell r="AH79">
            <v>15</v>
          </cell>
          <cell r="AI79">
            <v>20</v>
          </cell>
          <cell r="AJ79">
            <v>36</v>
          </cell>
          <cell r="AK79">
            <v>31</v>
          </cell>
          <cell r="AL79">
            <v>20</v>
          </cell>
          <cell r="AM79">
            <v>10</v>
          </cell>
          <cell r="AN79">
            <v>30</v>
          </cell>
          <cell r="AO79">
            <v>30</v>
          </cell>
          <cell r="AP79">
            <v>30</v>
          </cell>
          <cell r="AQ79">
            <v>240</v>
          </cell>
          <cell r="AR79">
            <v>240</v>
          </cell>
          <cell r="AS79">
            <v>10</v>
          </cell>
          <cell r="AT79">
            <v>10</v>
          </cell>
        </row>
        <row r="80">
          <cell r="A80">
            <v>76</v>
          </cell>
          <cell r="B80">
            <v>44.400000000000006</v>
          </cell>
          <cell r="C80">
            <v>37.6</v>
          </cell>
          <cell r="D80">
            <v>41.2</v>
          </cell>
          <cell r="E80">
            <v>34.4</v>
          </cell>
          <cell r="F80">
            <v>41.2</v>
          </cell>
          <cell r="G80">
            <v>48</v>
          </cell>
          <cell r="H80">
            <v>97</v>
          </cell>
          <cell r="I80">
            <v>2840</v>
          </cell>
          <cell r="J80">
            <v>100</v>
          </cell>
          <cell r="K80">
            <v>110.00000000000001</v>
          </cell>
          <cell r="L80">
            <v>412</v>
          </cell>
          <cell r="M80">
            <v>378</v>
          </cell>
          <cell r="N80">
            <v>215</v>
          </cell>
          <cell r="O80">
            <v>274.8</v>
          </cell>
          <cell r="P80">
            <v>172</v>
          </cell>
          <cell r="Q80">
            <v>81.12</v>
          </cell>
          <cell r="R80">
            <v>172</v>
          </cell>
          <cell r="S80">
            <v>2200</v>
          </cell>
          <cell r="T80">
            <v>122</v>
          </cell>
          <cell r="U80">
            <v>134.20000000000002</v>
          </cell>
          <cell r="V80">
            <v>1026</v>
          </cell>
          <cell r="W80">
            <v>1026</v>
          </cell>
          <cell r="X80">
            <v>17.285714285714285</v>
          </cell>
          <cell r="Y80">
            <v>24.333333333333336</v>
          </cell>
          <cell r="Z80">
            <v>19.714285714285715</v>
          </cell>
          <cell r="AA80">
            <v>27.166666666666668</v>
          </cell>
          <cell r="AB80">
            <v>38.800000000000004</v>
          </cell>
          <cell r="AC80">
            <v>38.800000000000004</v>
          </cell>
          <cell r="AD80">
            <v>20</v>
          </cell>
          <cell r="AE80">
            <v>32</v>
          </cell>
          <cell r="AF80">
            <v>97</v>
          </cell>
          <cell r="AG80">
            <v>20</v>
          </cell>
          <cell r="AH80">
            <v>15</v>
          </cell>
          <cell r="AI80">
            <v>20</v>
          </cell>
          <cell r="AJ80">
            <v>36</v>
          </cell>
          <cell r="AK80">
            <v>31</v>
          </cell>
          <cell r="AL80">
            <v>20</v>
          </cell>
          <cell r="AM80">
            <v>10</v>
          </cell>
          <cell r="AN80">
            <v>30</v>
          </cell>
          <cell r="AO80">
            <v>30</v>
          </cell>
          <cell r="AP80">
            <v>30</v>
          </cell>
          <cell r="AQ80">
            <v>242.5</v>
          </cell>
          <cell r="AR80">
            <v>242.5</v>
          </cell>
          <cell r="AS80">
            <v>10</v>
          </cell>
          <cell r="AT80">
            <v>10</v>
          </cell>
        </row>
        <row r="81">
          <cell r="A81">
            <v>77</v>
          </cell>
          <cell r="B81">
            <v>45.2</v>
          </cell>
          <cell r="C81">
            <v>38</v>
          </cell>
          <cell r="D81">
            <v>41.6</v>
          </cell>
          <cell r="E81">
            <v>34.800000000000004</v>
          </cell>
          <cell r="F81">
            <v>41.6</v>
          </cell>
          <cell r="G81">
            <v>48.400000000000006</v>
          </cell>
          <cell r="H81">
            <v>98.52000000000001</v>
          </cell>
          <cell r="I81">
            <v>2870</v>
          </cell>
          <cell r="J81">
            <v>100</v>
          </cell>
          <cell r="K81">
            <v>110.00000000000001</v>
          </cell>
          <cell r="L81">
            <v>416</v>
          </cell>
          <cell r="M81">
            <v>382</v>
          </cell>
          <cell r="N81">
            <v>217.49999999999997</v>
          </cell>
          <cell r="O81">
            <v>277.60000000000002</v>
          </cell>
          <cell r="P81">
            <v>174</v>
          </cell>
          <cell r="Q81">
            <v>81.960000000000008</v>
          </cell>
          <cell r="R81">
            <v>174</v>
          </cell>
          <cell r="S81">
            <v>2218</v>
          </cell>
          <cell r="T81">
            <v>122</v>
          </cell>
          <cell r="U81">
            <v>134.20000000000002</v>
          </cell>
          <cell r="V81">
            <v>1039.5</v>
          </cell>
          <cell r="W81">
            <v>1039.5</v>
          </cell>
          <cell r="X81">
            <v>17.428571428571431</v>
          </cell>
          <cell r="Y81">
            <v>24.5</v>
          </cell>
          <cell r="Z81">
            <v>19.857142857142858</v>
          </cell>
          <cell r="AA81">
            <v>27.333333333333332</v>
          </cell>
          <cell r="AB81">
            <v>39.408000000000008</v>
          </cell>
          <cell r="AC81">
            <v>39.408000000000008</v>
          </cell>
          <cell r="AD81">
            <v>20</v>
          </cell>
          <cell r="AE81">
            <v>32</v>
          </cell>
          <cell r="AF81">
            <v>98.52000000000001</v>
          </cell>
          <cell r="AG81">
            <v>20</v>
          </cell>
          <cell r="AH81">
            <v>15</v>
          </cell>
          <cell r="AI81">
            <v>20</v>
          </cell>
          <cell r="AJ81">
            <v>36</v>
          </cell>
          <cell r="AK81">
            <v>31</v>
          </cell>
          <cell r="AL81">
            <v>20</v>
          </cell>
          <cell r="AM81">
            <v>10</v>
          </cell>
          <cell r="AN81">
            <v>30</v>
          </cell>
          <cell r="AO81">
            <v>30</v>
          </cell>
          <cell r="AP81">
            <v>30</v>
          </cell>
          <cell r="AQ81">
            <v>246.3</v>
          </cell>
          <cell r="AR81">
            <v>246.3</v>
          </cell>
          <cell r="AS81">
            <v>10</v>
          </cell>
          <cell r="AT81">
            <v>10</v>
          </cell>
        </row>
        <row r="82">
          <cell r="A82">
            <v>78</v>
          </cell>
          <cell r="B82">
            <v>45.6</v>
          </cell>
          <cell r="C82">
            <v>38.400000000000006</v>
          </cell>
          <cell r="D82">
            <v>42</v>
          </cell>
          <cell r="E82">
            <v>35.200000000000003</v>
          </cell>
          <cell r="F82">
            <v>42</v>
          </cell>
          <cell r="G82">
            <v>49.2</v>
          </cell>
          <cell r="H82">
            <v>99.52000000000001</v>
          </cell>
          <cell r="I82">
            <v>2900</v>
          </cell>
          <cell r="J82">
            <v>102</v>
          </cell>
          <cell r="K82">
            <v>112.2</v>
          </cell>
          <cell r="L82">
            <v>420</v>
          </cell>
          <cell r="M82">
            <v>386</v>
          </cell>
          <cell r="N82">
            <v>220.00000000000003</v>
          </cell>
          <cell r="O82">
            <v>280.40000000000003</v>
          </cell>
          <cell r="P82">
            <v>176</v>
          </cell>
          <cell r="Q82">
            <v>82.800000000000011</v>
          </cell>
          <cell r="R82">
            <v>176.00000000000003</v>
          </cell>
          <cell r="S82">
            <v>2254</v>
          </cell>
          <cell r="T82">
            <v>124</v>
          </cell>
          <cell r="U82">
            <v>136.4</v>
          </cell>
          <cell r="V82">
            <v>1053</v>
          </cell>
          <cell r="W82">
            <v>1053</v>
          </cell>
          <cell r="X82">
            <v>17.571428571428569</v>
          </cell>
          <cell r="Y82">
            <v>24.666666666666664</v>
          </cell>
          <cell r="Z82">
            <v>20</v>
          </cell>
          <cell r="AA82">
            <v>27.5</v>
          </cell>
          <cell r="AB82">
            <v>39.808000000000007</v>
          </cell>
          <cell r="AC82">
            <v>39.808000000000007</v>
          </cell>
          <cell r="AD82">
            <v>20</v>
          </cell>
          <cell r="AE82">
            <v>32</v>
          </cell>
          <cell r="AF82">
            <v>99.52000000000001</v>
          </cell>
          <cell r="AG82">
            <v>20</v>
          </cell>
          <cell r="AH82">
            <v>15</v>
          </cell>
          <cell r="AI82">
            <v>20</v>
          </cell>
          <cell r="AJ82">
            <v>37</v>
          </cell>
          <cell r="AK82">
            <v>32</v>
          </cell>
          <cell r="AL82">
            <v>20</v>
          </cell>
          <cell r="AM82">
            <v>10</v>
          </cell>
          <cell r="AN82">
            <v>30</v>
          </cell>
          <cell r="AO82">
            <v>30</v>
          </cell>
          <cell r="AP82">
            <v>30</v>
          </cell>
          <cell r="AQ82">
            <v>248.8</v>
          </cell>
          <cell r="AR82">
            <v>248.8</v>
          </cell>
          <cell r="AS82">
            <v>10</v>
          </cell>
          <cell r="AT82">
            <v>10</v>
          </cell>
        </row>
        <row r="83">
          <cell r="A83">
            <v>79</v>
          </cell>
          <cell r="B83">
            <v>46</v>
          </cell>
          <cell r="C83">
            <v>38.800000000000004</v>
          </cell>
          <cell r="D83">
            <v>42.400000000000006</v>
          </cell>
          <cell r="E83">
            <v>35.6</v>
          </cell>
          <cell r="F83">
            <v>42.400000000000006</v>
          </cell>
          <cell r="G83">
            <v>49.6</v>
          </cell>
          <cell r="H83">
            <v>100.52000000000001</v>
          </cell>
          <cell r="I83">
            <v>2930</v>
          </cell>
          <cell r="J83">
            <v>102</v>
          </cell>
          <cell r="K83">
            <v>112.2</v>
          </cell>
          <cell r="L83">
            <v>424</v>
          </cell>
          <cell r="M83">
            <v>390</v>
          </cell>
          <cell r="N83">
            <v>222.5</v>
          </cell>
          <cell r="O83">
            <v>283.2</v>
          </cell>
          <cell r="P83">
            <v>178</v>
          </cell>
          <cell r="Q83">
            <v>83.64</v>
          </cell>
          <cell r="R83">
            <v>178</v>
          </cell>
          <cell r="S83">
            <v>2272</v>
          </cell>
          <cell r="T83">
            <v>126</v>
          </cell>
          <cell r="U83">
            <v>138.60000000000002</v>
          </cell>
          <cell r="V83">
            <v>1066.5</v>
          </cell>
          <cell r="W83">
            <v>1066.5</v>
          </cell>
          <cell r="X83">
            <v>17.714285714285715</v>
          </cell>
          <cell r="Y83">
            <v>24.833333333333336</v>
          </cell>
          <cell r="Z83">
            <v>20.142857142857142</v>
          </cell>
          <cell r="AA83">
            <v>27.666666666666668</v>
          </cell>
          <cell r="AB83">
            <v>40.208000000000006</v>
          </cell>
          <cell r="AC83">
            <v>40.208000000000006</v>
          </cell>
          <cell r="AD83">
            <v>20</v>
          </cell>
          <cell r="AE83">
            <v>32</v>
          </cell>
          <cell r="AF83">
            <v>100.52000000000001</v>
          </cell>
          <cell r="AG83">
            <v>20</v>
          </cell>
          <cell r="AH83">
            <v>15</v>
          </cell>
          <cell r="AI83">
            <v>20</v>
          </cell>
          <cell r="AJ83">
            <v>37</v>
          </cell>
          <cell r="AK83">
            <v>32</v>
          </cell>
          <cell r="AL83">
            <v>20</v>
          </cell>
          <cell r="AM83">
            <v>10</v>
          </cell>
          <cell r="AN83">
            <v>30</v>
          </cell>
          <cell r="AO83">
            <v>30</v>
          </cell>
          <cell r="AP83">
            <v>30</v>
          </cell>
          <cell r="AQ83">
            <v>251.3</v>
          </cell>
          <cell r="AR83">
            <v>251.3</v>
          </cell>
          <cell r="AS83">
            <v>10</v>
          </cell>
          <cell r="AT83">
            <v>10</v>
          </cell>
        </row>
        <row r="84">
          <cell r="A84">
            <v>80</v>
          </cell>
          <cell r="B84">
            <v>46.800000000000004</v>
          </cell>
          <cell r="C84">
            <v>39.6</v>
          </cell>
          <cell r="D84">
            <v>43.2</v>
          </cell>
          <cell r="E84">
            <v>36</v>
          </cell>
          <cell r="F84">
            <v>43.2</v>
          </cell>
          <cell r="G84">
            <v>50.400000000000006</v>
          </cell>
          <cell r="H84">
            <v>102.04</v>
          </cell>
          <cell r="I84">
            <v>2990</v>
          </cell>
          <cell r="J84">
            <v>104</v>
          </cell>
          <cell r="K84">
            <v>114.4</v>
          </cell>
          <cell r="L84">
            <v>432</v>
          </cell>
          <cell r="M84">
            <v>398</v>
          </cell>
          <cell r="N84">
            <v>225</v>
          </cell>
          <cell r="O84">
            <v>288</v>
          </cell>
          <cell r="P84">
            <v>180</v>
          </cell>
          <cell r="Q84">
            <v>85.12</v>
          </cell>
          <cell r="R84">
            <v>180</v>
          </cell>
          <cell r="S84">
            <v>2308</v>
          </cell>
          <cell r="T84">
            <v>128</v>
          </cell>
          <cell r="U84">
            <v>140.80000000000001</v>
          </cell>
          <cell r="V84">
            <v>1080</v>
          </cell>
          <cell r="W84">
            <v>1080</v>
          </cell>
          <cell r="X84">
            <v>17.857142857142858</v>
          </cell>
          <cell r="Y84">
            <v>25</v>
          </cell>
          <cell r="Z84">
            <v>20.428571428571431</v>
          </cell>
          <cell r="AA84">
            <v>28</v>
          </cell>
          <cell r="AB84">
            <v>40.816000000000003</v>
          </cell>
          <cell r="AC84">
            <v>40.816000000000003</v>
          </cell>
          <cell r="AD84">
            <v>20</v>
          </cell>
          <cell r="AE84">
            <v>34</v>
          </cell>
          <cell r="AF84">
            <v>102.04</v>
          </cell>
          <cell r="AG84">
            <v>20</v>
          </cell>
          <cell r="AH84">
            <v>15</v>
          </cell>
          <cell r="AI84">
            <v>20</v>
          </cell>
          <cell r="AJ84">
            <v>38</v>
          </cell>
          <cell r="AK84">
            <v>33</v>
          </cell>
          <cell r="AL84">
            <v>20</v>
          </cell>
          <cell r="AM84">
            <v>10</v>
          </cell>
          <cell r="AN84">
            <v>30</v>
          </cell>
          <cell r="AO84">
            <v>30</v>
          </cell>
          <cell r="AP84">
            <v>30</v>
          </cell>
          <cell r="AQ84">
            <v>255.1</v>
          </cell>
          <cell r="AR84">
            <v>255.1</v>
          </cell>
          <cell r="AS84">
            <v>10</v>
          </cell>
          <cell r="AT84">
            <v>10</v>
          </cell>
        </row>
        <row r="85">
          <cell r="A85">
            <v>81</v>
          </cell>
          <cell r="B85">
            <v>47.2</v>
          </cell>
          <cell r="C85">
            <v>40</v>
          </cell>
          <cell r="D85">
            <v>43.6</v>
          </cell>
          <cell r="E85">
            <v>36.4</v>
          </cell>
          <cell r="F85">
            <v>43.6</v>
          </cell>
          <cell r="G85">
            <v>50.800000000000004</v>
          </cell>
          <cell r="H85">
            <v>103.04000000000002</v>
          </cell>
          <cell r="I85">
            <v>3020</v>
          </cell>
          <cell r="J85">
            <v>106</v>
          </cell>
          <cell r="K85">
            <v>116.60000000000001</v>
          </cell>
          <cell r="L85">
            <v>436</v>
          </cell>
          <cell r="M85">
            <v>402</v>
          </cell>
          <cell r="N85">
            <v>227.5</v>
          </cell>
          <cell r="O85">
            <v>290.8</v>
          </cell>
          <cell r="P85">
            <v>182</v>
          </cell>
          <cell r="Q85">
            <v>85.96</v>
          </cell>
          <cell r="R85">
            <v>182</v>
          </cell>
          <cell r="S85">
            <v>2326</v>
          </cell>
          <cell r="T85">
            <v>128</v>
          </cell>
          <cell r="U85">
            <v>140.80000000000001</v>
          </cell>
          <cell r="V85">
            <v>1093.5</v>
          </cell>
          <cell r="W85">
            <v>1093.5</v>
          </cell>
          <cell r="X85">
            <v>18</v>
          </cell>
          <cell r="Y85">
            <v>25.166666666666664</v>
          </cell>
          <cell r="Z85">
            <v>20.571428571428569</v>
          </cell>
          <cell r="AA85">
            <v>28.166666666666668</v>
          </cell>
          <cell r="AB85">
            <v>41.216000000000008</v>
          </cell>
          <cell r="AC85">
            <v>41.216000000000008</v>
          </cell>
          <cell r="AD85">
            <v>20</v>
          </cell>
          <cell r="AE85">
            <v>34</v>
          </cell>
          <cell r="AF85">
            <v>103.04000000000002</v>
          </cell>
          <cell r="AG85">
            <v>20</v>
          </cell>
          <cell r="AH85">
            <v>15</v>
          </cell>
          <cell r="AI85">
            <v>20</v>
          </cell>
          <cell r="AJ85">
            <v>38</v>
          </cell>
          <cell r="AK85">
            <v>33</v>
          </cell>
          <cell r="AL85">
            <v>20</v>
          </cell>
          <cell r="AM85">
            <v>10</v>
          </cell>
          <cell r="AN85">
            <v>30</v>
          </cell>
          <cell r="AO85">
            <v>30</v>
          </cell>
          <cell r="AP85">
            <v>30</v>
          </cell>
          <cell r="AQ85">
            <v>257.60000000000002</v>
          </cell>
          <cell r="AR85">
            <v>257.60000000000002</v>
          </cell>
          <cell r="AS85">
            <v>10</v>
          </cell>
          <cell r="AT85">
            <v>10</v>
          </cell>
        </row>
        <row r="86">
          <cell r="A86">
            <v>82</v>
          </cell>
          <cell r="B86">
            <v>47.6</v>
          </cell>
          <cell r="C86">
            <v>40.400000000000006</v>
          </cell>
          <cell r="D86">
            <v>44</v>
          </cell>
          <cell r="E86">
            <v>36.800000000000004</v>
          </cell>
          <cell r="F86">
            <v>44</v>
          </cell>
          <cell r="G86">
            <v>51.2</v>
          </cell>
          <cell r="H86">
            <v>104.04000000000002</v>
          </cell>
          <cell r="I86">
            <v>3050</v>
          </cell>
          <cell r="J86">
            <v>106</v>
          </cell>
          <cell r="K86">
            <v>116.60000000000001</v>
          </cell>
          <cell r="L86">
            <v>440</v>
          </cell>
          <cell r="M86">
            <v>406</v>
          </cell>
          <cell r="N86">
            <v>229.99999999999997</v>
          </cell>
          <cell r="O86">
            <v>293.60000000000002</v>
          </cell>
          <cell r="P86">
            <v>184</v>
          </cell>
          <cell r="Q86">
            <v>86.800000000000011</v>
          </cell>
          <cell r="R86">
            <v>184</v>
          </cell>
          <cell r="S86">
            <v>2344</v>
          </cell>
          <cell r="T86">
            <v>130</v>
          </cell>
          <cell r="U86">
            <v>143</v>
          </cell>
          <cell r="V86">
            <v>1107</v>
          </cell>
          <cell r="W86">
            <v>1107</v>
          </cell>
          <cell r="X86">
            <v>18.142857142857142</v>
          </cell>
          <cell r="Y86">
            <v>25.333333333333336</v>
          </cell>
          <cell r="Z86">
            <v>20.714285714285715</v>
          </cell>
          <cell r="AA86">
            <v>28.333333333333332</v>
          </cell>
          <cell r="AB86">
            <v>41.616000000000014</v>
          </cell>
          <cell r="AC86">
            <v>41.616000000000014</v>
          </cell>
          <cell r="AD86">
            <v>20</v>
          </cell>
          <cell r="AE86">
            <v>34</v>
          </cell>
          <cell r="AF86">
            <v>104.04000000000002</v>
          </cell>
          <cell r="AG86">
            <v>20</v>
          </cell>
          <cell r="AH86">
            <v>15</v>
          </cell>
          <cell r="AI86">
            <v>20</v>
          </cell>
          <cell r="AJ86">
            <v>38</v>
          </cell>
          <cell r="AK86">
            <v>33</v>
          </cell>
          <cell r="AL86">
            <v>20</v>
          </cell>
          <cell r="AM86">
            <v>10</v>
          </cell>
          <cell r="AN86">
            <v>30</v>
          </cell>
          <cell r="AO86">
            <v>30</v>
          </cell>
          <cell r="AP86">
            <v>30</v>
          </cell>
          <cell r="AQ86">
            <v>260.10000000000002</v>
          </cell>
          <cell r="AR86">
            <v>260.10000000000002</v>
          </cell>
          <cell r="AS86">
            <v>10</v>
          </cell>
          <cell r="AT86">
            <v>10</v>
          </cell>
        </row>
        <row r="87">
          <cell r="A87">
            <v>83</v>
          </cell>
          <cell r="B87">
            <v>48</v>
          </cell>
          <cell r="C87">
            <v>40.800000000000004</v>
          </cell>
          <cell r="D87">
            <v>44.400000000000006</v>
          </cell>
          <cell r="E87">
            <v>37.200000000000003</v>
          </cell>
          <cell r="F87">
            <v>44.400000000000006</v>
          </cell>
          <cell r="G87">
            <v>52</v>
          </cell>
          <cell r="H87">
            <v>105.04000000000002</v>
          </cell>
          <cell r="I87">
            <v>3080</v>
          </cell>
          <cell r="J87">
            <v>108</v>
          </cell>
          <cell r="K87">
            <v>118.80000000000001</v>
          </cell>
          <cell r="L87">
            <v>444</v>
          </cell>
          <cell r="M87">
            <v>410</v>
          </cell>
          <cell r="N87">
            <v>232.50000000000003</v>
          </cell>
          <cell r="O87">
            <v>296.40000000000003</v>
          </cell>
          <cell r="P87">
            <v>186</v>
          </cell>
          <cell r="Q87">
            <v>87.64</v>
          </cell>
          <cell r="R87">
            <v>186.00000000000003</v>
          </cell>
          <cell r="S87">
            <v>2380</v>
          </cell>
          <cell r="T87">
            <v>132</v>
          </cell>
          <cell r="U87">
            <v>145.20000000000002</v>
          </cell>
          <cell r="V87">
            <v>1120.5</v>
          </cell>
          <cell r="W87">
            <v>1120.5</v>
          </cell>
          <cell r="X87">
            <v>18.285714285714285</v>
          </cell>
          <cell r="Y87">
            <v>25.5</v>
          </cell>
          <cell r="Z87">
            <v>20.857142857142858</v>
          </cell>
          <cell r="AA87">
            <v>28.5</v>
          </cell>
          <cell r="AB87">
            <v>42.016000000000012</v>
          </cell>
          <cell r="AC87">
            <v>42.016000000000012</v>
          </cell>
          <cell r="AD87">
            <v>20</v>
          </cell>
          <cell r="AE87">
            <v>34</v>
          </cell>
          <cell r="AF87">
            <v>105.04000000000002</v>
          </cell>
          <cell r="AG87">
            <v>20</v>
          </cell>
          <cell r="AH87">
            <v>15</v>
          </cell>
          <cell r="AI87">
            <v>20</v>
          </cell>
          <cell r="AJ87">
            <v>39</v>
          </cell>
          <cell r="AK87">
            <v>34</v>
          </cell>
          <cell r="AL87">
            <v>20</v>
          </cell>
          <cell r="AM87">
            <v>10</v>
          </cell>
          <cell r="AN87">
            <v>30</v>
          </cell>
          <cell r="AO87">
            <v>30</v>
          </cell>
          <cell r="AP87">
            <v>30</v>
          </cell>
          <cell r="AQ87">
            <v>262.60000000000002</v>
          </cell>
          <cell r="AR87">
            <v>262.60000000000002</v>
          </cell>
          <cell r="AS87">
            <v>10</v>
          </cell>
          <cell r="AT87">
            <v>10</v>
          </cell>
        </row>
        <row r="88">
          <cell r="A88">
            <v>84</v>
          </cell>
          <cell r="B88">
            <v>48.800000000000004</v>
          </cell>
          <cell r="C88">
            <v>41.2</v>
          </cell>
          <cell r="D88">
            <v>44.800000000000004</v>
          </cell>
          <cell r="E88">
            <v>37.6</v>
          </cell>
          <cell r="F88">
            <v>44.800000000000004</v>
          </cell>
          <cell r="G88">
            <v>52.400000000000006</v>
          </cell>
          <cell r="H88">
            <v>106.56</v>
          </cell>
          <cell r="I88">
            <v>3110</v>
          </cell>
          <cell r="J88">
            <v>108</v>
          </cell>
          <cell r="K88">
            <v>118.80000000000001</v>
          </cell>
          <cell r="L88">
            <v>448</v>
          </cell>
          <cell r="M88">
            <v>414</v>
          </cell>
          <cell r="N88">
            <v>235</v>
          </cell>
          <cell r="O88">
            <v>299.2</v>
          </cell>
          <cell r="P88">
            <v>188</v>
          </cell>
          <cell r="Q88">
            <v>88.48</v>
          </cell>
          <cell r="R88">
            <v>188</v>
          </cell>
          <cell r="S88">
            <v>2398</v>
          </cell>
          <cell r="T88">
            <v>132</v>
          </cell>
          <cell r="U88">
            <v>145.20000000000002</v>
          </cell>
          <cell r="V88">
            <v>1134</v>
          </cell>
          <cell r="W88">
            <v>1134</v>
          </cell>
          <cell r="X88">
            <v>18.428571428571431</v>
          </cell>
          <cell r="Y88">
            <v>25.666666666666664</v>
          </cell>
          <cell r="Z88">
            <v>21</v>
          </cell>
          <cell r="AA88">
            <v>28.666666666666668</v>
          </cell>
          <cell r="AB88">
            <v>42.624000000000002</v>
          </cell>
          <cell r="AC88">
            <v>42.624000000000002</v>
          </cell>
          <cell r="AD88">
            <v>20</v>
          </cell>
          <cell r="AE88">
            <v>34</v>
          </cell>
          <cell r="AF88">
            <v>106.56</v>
          </cell>
          <cell r="AG88">
            <v>20</v>
          </cell>
          <cell r="AH88">
            <v>15</v>
          </cell>
          <cell r="AI88">
            <v>20</v>
          </cell>
          <cell r="AJ88">
            <v>39</v>
          </cell>
          <cell r="AK88">
            <v>34</v>
          </cell>
          <cell r="AL88">
            <v>20</v>
          </cell>
          <cell r="AM88">
            <v>10</v>
          </cell>
          <cell r="AN88">
            <v>30</v>
          </cell>
          <cell r="AO88">
            <v>30</v>
          </cell>
          <cell r="AP88">
            <v>30</v>
          </cell>
          <cell r="AQ88">
            <v>266.39999999999998</v>
          </cell>
          <cell r="AR88">
            <v>266.39999999999998</v>
          </cell>
          <cell r="AS88">
            <v>10</v>
          </cell>
          <cell r="AT88">
            <v>10</v>
          </cell>
        </row>
        <row r="89">
          <cell r="A89">
            <v>85</v>
          </cell>
          <cell r="B89">
            <v>49.2</v>
          </cell>
          <cell r="C89">
            <v>41.6</v>
          </cell>
          <cell r="D89">
            <v>45.6</v>
          </cell>
          <cell r="E89">
            <v>38</v>
          </cell>
          <cell r="F89">
            <v>45.6</v>
          </cell>
          <cell r="G89">
            <v>53.2</v>
          </cell>
          <cell r="H89">
            <v>107.56</v>
          </cell>
          <cell r="I89">
            <v>3140</v>
          </cell>
          <cell r="J89">
            <v>110</v>
          </cell>
          <cell r="K89">
            <v>121.00000000000001</v>
          </cell>
          <cell r="L89">
            <v>456</v>
          </cell>
          <cell r="M89">
            <v>422</v>
          </cell>
          <cell r="N89">
            <v>237.5</v>
          </cell>
          <cell r="O89">
            <v>304</v>
          </cell>
          <cell r="P89">
            <v>190</v>
          </cell>
          <cell r="Q89">
            <v>89.96</v>
          </cell>
          <cell r="R89">
            <v>190</v>
          </cell>
          <cell r="S89">
            <v>2434</v>
          </cell>
          <cell r="T89">
            <v>134</v>
          </cell>
          <cell r="U89">
            <v>147.4</v>
          </cell>
          <cell r="V89">
            <v>1147.5</v>
          </cell>
          <cell r="W89">
            <v>1147.5</v>
          </cell>
          <cell r="X89">
            <v>18.571428571428569</v>
          </cell>
          <cell r="Y89">
            <v>25.833333333333336</v>
          </cell>
          <cell r="Z89">
            <v>21.285714285714285</v>
          </cell>
          <cell r="AA89">
            <v>29</v>
          </cell>
          <cell r="AB89">
            <v>43.024000000000001</v>
          </cell>
          <cell r="AC89">
            <v>43.024000000000001</v>
          </cell>
          <cell r="AD89">
            <v>20</v>
          </cell>
          <cell r="AE89">
            <v>36</v>
          </cell>
          <cell r="AF89">
            <v>107.56</v>
          </cell>
          <cell r="AG89">
            <v>20</v>
          </cell>
          <cell r="AH89">
            <v>15</v>
          </cell>
          <cell r="AI89">
            <v>20</v>
          </cell>
          <cell r="AJ89">
            <v>39</v>
          </cell>
          <cell r="AK89">
            <v>35</v>
          </cell>
          <cell r="AL89">
            <v>20</v>
          </cell>
          <cell r="AM89">
            <v>10</v>
          </cell>
          <cell r="AN89">
            <v>30</v>
          </cell>
          <cell r="AO89">
            <v>30</v>
          </cell>
          <cell r="AP89">
            <v>30</v>
          </cell>
          <cell r="AQ89">
            <v>268.89999999999998</v>
          </cell>
          <cell r="AR89">
            <v>268.89999999999998</v>
          </cell>
          <cell r="AS89">
            <v>10</v>
          </cell>
          <cell r="AT89">
            <v>10</v>
          </cell>
        </row>
        <row r="90">
          <cell r="A90">
            <v>86</v>
          </cell>
          <cell r="B90">
            <v>49.6</v>
          </cell>
          <cell r="C90">
            <v>42</v>
          </cell>
          <cell r="D90">
            <v>46</v>
          </cell>
          <cell r="E90">
            <v>38.400000000000006</v>
          </cell>
          <cell r="F90">
            <v>46</v>
          </cell>
          <cell r="G90">
            <v>53.6</v>
          </cell>
          <cell r="H90">
            <v>108.56</v>
          </cell>
          <cell r="I90">
            <v>3170</v>
          </cell>
          <cell r="J90">
            <v>110</v>
          </cell>
          <cell r="K90">
            <v>121.00000000000001</v>
          </cell>
          <cell r="L90">
            <v>460</v>
          </cell>
          <cell r="M90">
            <v>426</v>
          </cell>
          <cell r="N90">
            <v>240</v>
          </cell>
          <cell r="O90">
            <v>306.8</v>
          </cell>
          <cell r="P90">
            <v>192</v>
          </cell>
          <cell r="Q90">
            <v>90.800000000000011</v>
          </cell>
          <cell r="R90">
            <v>192</v>
          </cell>
          <cell r="S90">
            <v>2452</v>
          </cell>
          <cell r="T90">
            <v>136</v>
          </cell>
          <cell r="U90">
            <v>149.60000000000002</v>
          </cell>
          <cell r="V90">
            <v>1161</v>
          </cell>
          <cell r="W90">
            <v>1161</v>
          </cell>
          <cell r="X90">
            <v>18.714285714285715</v>
          </cell>
          <cell r="Y90">
            <v>26</v>
          </cell>
          <cell r="Z90">
            <v>21.428571428571427</v>
          </cell>
          <cell r="AA90">
            <v>29.166666666666668</v>
          </cell>
          <cell r="AB90">
            <v>43.424000000000007</v>
          </cell>
          <cell r="AC90">
            <v>43.424000000000007</v>
          </cell>
          <cell r="AD90">
            <v>20</v>
          </cell>
          <cell r="AE90">
            <v>36</v>
          </cell>
          <cell r="AF90">
            <v>108.56</v>
          </cell>
          <cell r="AG90">
            <v>20</v>
          </cell>
          <cell r="AH90">
            <v>15</v>
          </cell>
          <cell r="AI90">
            <v>20</v>
          </cell>
          <cell r="AJ90">
            <v>40</v>
          </cell>
          <cell r="AK90">
            <v>35</v>
          </cell>
          <cell r="AL90">
            <v>20</v>
          </cell>
          <cell r="AM90">
            <v>10</v>
          </cell>
          <cell r="AN90">
            <v>30</v>
          </cell>
          <cell r="AO90">
            <v>30</v>
          </cell>
          <cell r="AP90">
            <v>30</v>
          </cell>
          <cell r="AQ90">
            <v>271.39999999999998</v>
          </cell>
          <cell r="AR90">
            <v>271.39999999999998</v>
          </cell>
          <cell r="AS90">
            <v>10</v>
          </cell>
          <cell r="AT90">
            <v>10</v>
          </cell>
        </row>
        <row r="91">
          <cell r="A91">
            <v>87</v>
          </cell>
          <cell r="B91">
            <v>50.400000000000006</v>
          </cell>
          <cell r="C91">
            <v>42.400000000000006</v>
          </cell>
          <cell r="D91">
            <v>46.400000000000006</v>
          </cell>
          <cell r="E91">
            <v>38.800000000000004</v>
          </cell>
          <cell r="F91">
            <v>46.400000000000006</v>
          </cell>
          <cell r="G91">
            <v>54</v>
          </cell>
          <cell r="H91">
            <v>110.08</v>
          </cell>
          <cell r="I91">
            <v>3200</v>
          </cell>
          <cell r="J91">
            <v>112</v>
          </cell>
          <cell r="K91">
            <v>123.20000000000002</v>
          </cell>
          <cell r="L91">
            <v>464</v>
          </cell>
          <cell r="M91">
            <v>430</v>
          </cell>
          <cell r="N91">
            <v>242.49999999999997</v>
          </cell>
          <cell r="O91">
            <v>309.60000000000002</v>
          </cell>
          <cell r="P91">
            <v>194</v>
          </cell>
          <cell r="Q91">
            <v>91.64</v>
          </cell>
          <cell r="R91">
            <v>194</v>
          </cell>
          <cell r="S91">
            <v>2470</v>
          </cell>
          <cell r="T91">
            <v>136</v>
          </cell>
          <cell r="U91">
            <v>149.60000000000002</v>
          </cell>
          <cell r="V91">
            <v>1174.5</v>
          </cell>
          <cell r="W91">
            <v>1174.5</v>
          </cell>
          <cell r="X91">
            <v>18.857142857142858</v>
          </cell>
          <cell r="Y91">
            <v>26.166666666666668</v>
          </cell>
          <cell r="Z91">
            <v>21.571428571428573</v>
          </cell>
          <cell r="AA91">
            <v>29.333333333333332</v>
          </cell>
          <cell r="AB91">
            <v>44.032000000000004</v>
          </cell>
          <cell r="AC91">
            <v>44.032000000000004</v>
          </cell>
          <cell r="AD91">
            <v>20</v>
          </cell>
          <cell r="AE91">
            <v>36</v>
          </cell>
          <cell r="AF91">
            <v>110.08</v>
          </cell>
          <cell r="AG91">
            <v>20</v>
          </cell>
          <cell r="AH91">
            <v>15</v>
          </cell>
          <cell r="AI91">
            <v>20</v>
          </cell>
          <cell r="AJ91">
            <v>40</v>
          </cell>
          <cell r="AK91">
            <v>35</v>
          </cell>
          <cell r="AL91">
            <v>20</v>
          </cell>
          <cell r="AM91">
            <v>10</v>
          </cell>
          <cell r="AN91">
            <v>30</v>
          </cell>
          <cell r="AO91">
            <v>30</v>
          </cell>
          <cell r="AP91">
            <v>30</v>
          </cell>
          <cell r="AQ91">
            <v>275.2</v>
          </cell>
          <cell r="AR91">
            <v>275.2</v>
          </cell>
          <cell r="AS91">
            <v>10</v>
          </cell>
          <cell r="AT91">
            <v>10</v>
          </cell>
        </row>
        <row r="92">
          <cell r="A92">
            <v>88</v>
          </cell>
          <cell r="B92">
            <v>50.800000000000004</v>
          </cell>
          <cell r="C92">
            <v>42.800000000000004</v>
          </cell>
          <cell r="D92">
            <v>46.800000000000004</v>
          </cell>
          <cell r="E92">
            <v>39.200000000000003</v>
          </cell>
          <cell r="F92">
            <v>46.800000000000004</v>
          </cell>
          <cell r="G92">
            <v>54.800000000000004</v>
          </cell>
          <cell r="H92">
            <v>111.08</v>
          </cell>
          <cell r="I92">
            <v>3230</v>
          </cell>
          <cell r="J92">
            <v>112</v>
          </cell>
          <cell r="K92">
            <v>123.20000000000002</v>
          </cell>
          <cell r="L92">
            <v>468</v>
          </cell>
          <cell r="M92">
            <v>434</v>
          </cell>
          <cell r="N92">
            <v>245.00000000000003</v>
          </cell>
          <cell r="O92">
            <v>312.40000000000003</v>
          </cell>
          <cell r="P92">
            <v>196</v>
          </cell>
          <cell r="Q92">
            <v>92.48</v>
          </cell>
          <cell r="R92">
            <v>196.00000000000003</v>
          </cell>
          <cell r="S92">
            <v>2506</v>
          </cell>
          <cell r="T92">
            <v>138</v>
          </cell>
          <cell r="U92">
            <v>151.80000000000001</v>
          </cell>
          <cell r="V92">
            <v>1188</v>
          </cell>
          <cell r="W92">
            <v>1188</v>
          </cell>
          <cell r="X92">
            <v>19</v>
          </cell>
          <cell r="Y92">
            <v>26.333333333333332</v>
          </cell>
          <cell r="Z92">
            <v>21.714285714285715</v>
          </cell>
          <cell r="AA92">
            <v>29.5</v>
          </cell>
          <cell r="AB92">
            <v>44.432000000000002</v>
          </cell>
          <cell r="AC92">
            <v>44.432000000000002</v>
          </cell>
          <cell r="AD92">
            <v>20</v>
          </cell>
          <cell r="AE92">
            <v>36</v>
          </cell>
          <cell r="AF92">
            <v>111.08</v>
          </cell>
          <cell r="AG92">
            <v>20</v>
          </cell>
          <cell r="AH92">
            <v>15</v>
          </cell>
          <cell r="AI92">
            <v>20</v>
          </cell>
          <cell r="AJ92">
            <v>40</v>
          </cell>
          <cell r="AK92">
            <v>36</v>
          </cell>
          <cell r="AL92">
            <v>20</v>
          </cell>
          <cell r="AM92">
            <v>10</v>
          </cell>
          <cell r="AN92">
            <v>30</v>
          </cell>
          <cell r="AO92">
            <v>30</v>
          </cell>
          <cell r="AP92">
            <v>30</v>
          </cell>
          <cell r="AQ92">
            <v>277.7</v>
          </cell>
          <cell r="AR92">
            <v>277.7</v>
          </cell>
          <cell r="AS92">
            <v>10</v>
          </cell>
          <cell r="AT92">
            <v>10</v>
          </cell>
        </row>
        <row r="93">
          <cell r="A93">
            <v>89</v>
          </cell>
          <cell r="B93">
            <v>51.2</v>
          </cell>
          <cell r="C93">
            <v>43.2</v>
          </cell>
          <cell r="D93">
            <v>47.2</v>
          </cell>
          <cell r="E93">
            <v>39.6</v>
          </cell>
          <cell r="F93">
            <v>47.2</v>
          </cell>
          <cell r="G93">
            <v>55.2</v>
          </cell>
          <cell r="H93">
            <v>112.08</v>
          </cell>
          <cell r="I93">
            <v>3260</v>
          </cell>
          <cell r="J93">
            <v>114</v>
          </cell>
          <cell r="K93">
            <v>125.4</v>
          </cell>
          <cell r="L93">
            <v>472</v>
          </cell>
          <cell r="M93">
            <v>438</v>
          </cell>
          <cell r="N93">
            <v>247.5</v>
          </cell>
          <cell r="O93">
            <v>315.20000000000005</v>
          </cell>
          <cell r="P93">
            <v>198</v>
          </cell>
          <cell r="Q93">
            <v>93.320000000000007</v>
          </cell>
          <cell r="R93">
            <v>198</v>
          </cell>
          <cell r="S93">
            <v>2524</v>
          </cell>
          <cell r="T93">
            <v>140</v>
          </cell>
          <cell r="U93">
            <v>154</v>
          </cell>
          <cell r="V93">
            <v>1201.5</v>
          </cell>
          <cell r="W93">
            <v>1201.5</v>
          </cell>
          <cell r="X93">
            <v>19.142857142857142</v>
          </cell>
          <cell r="Y93">
            <v>26.5</v>
          </cell>
          <cell r="Z93">
            <v>21.857142857142858</v>
          </cell>
          <cell r="AA93">
            <v>29.666666666666668</v>
          </cell>
          <cell r="AB93">
            <v>44.832000000000001</v>
          </cell>
          <cell r="AC93">
            <v>44.832000000000001</v>
          </cell>
          <cell r="AD93">
            <v>20</v>
          </cell>
          <cell r="AE93">
            <v>36</v>
          </cell>
          <cell r="AF93">
            <v>112.08</v>
          </cell>
          <cell r="AG93">
            <v>20</v>
          </cell>
          <cell r="AH93">
            <v>15</v>
          </cell>
          <cell r="AI93">
            <v>20</v>
          </cell>
          <cell r="AJ93">
            <v>41</v>
          </cell>
          <cell r="AK93">
            <v>36</v>
          </cell>
          <cell r="AL93">
            <v>20</v>
          </cell>
          <cell r="AM93">
            <v>10</v>
          </cell>
          <cell r="AN93">
            <v>30</v>
          </cell>
          <cell r="AO93">
            <v>30</v>
          </cell>
          <cell r="AP93">
            <v>30</v>
          </cell>
          <cell r="AQ93">
            <v>280.2</v>
          </cell>
          <cell r="AR93">
            <v>280.2</v>
          </cell>
          <cell r="AS93">
            <v>10</v>
          </cell>
          <cell r="AT93">
            <v>10</v>
          </cell>
        </row>
        <row r="94">
          <cell r="A94">
            <v>90</v>
          </cell>
          <cell r="B94">
            <v>52</v>
          </cell>
          <cell r="C94">
            <v>44</v>
          </cell>
          <cell r="D94">
            <v>48</v>
          </cell>
          <cell r="E94">
            <v>40</v>
          </cell>
          <cell r="F94">
            <v>48</v>
          </cell>
          <cell r="G94">
            <v>56</v>
          </cell>
          <cell r="H94">
            <v>113.60000000000001</v>
          </cell>
          <cell r="I94">
            <v>3320</v>
          </cell>
          <cell r="J94">
            <v>116</v>
          </cell>
          <cell r="K94">
            <v>127.60000000000001</v>
          </cell>
          <cell r="L94">
            <v>480</v>
          </cell>
          <cell r="M94">
            <v>446</v>
          </cell>
          <cell r="N94">
            <v>250</v>
          </cell>
          <cell r="O94">
            <v>320</v>
          </cell>
          <cell r="P94">
            <v>200</v>
          </cell>
          <cell r="Q94">
            <v>94.800000000000011</v>
          </cell>
          <cell r="R94">
            <v>200</v>
          </cell>
          <cell r="S94">
            <v>2560</v>
          </cell>
          <cell r="T94">
            <v>142</v>
          </cell>
          <cell r="U94">
            <v>156.20000000000002</v>
          </cell>
          <cell r="V94">
            <v>1215</v>
          </cell>
          <cell r="W94">
            <v>1215</v>
          </cell>
          <cell r="X94">
            <v>19.285714285714285</v>
          </cell>
          <cell r="Y94">
            <v>26.666666666666668</v>
          </cell>
          <cell r="Z94">
            <v>22.142857142857142</v>
          </cell>
          <cell r="AA94">
            <v>30</v>
          </cell>
          <cell r="AB94">
            <v>45.440000000000005</v>
          </cell>
          <cell r="AC94">
            <v>45.440000000000005</v>
          </cell>
          <cell r="AD94">
            <v>20</v>
          </cell>
          <cell r="AE94">
            <v>38</v>
          </cell>
          <cell r="AF94">
            <v>113.60000000000001</v>
          </cell>
          <cell r="AG94">
            <v>20</v>
          </cell>
          <cell r="AH94">
            <v>15</v>
          </cell>
          <cell r="AI94">
            <v>20</v>
          </cell>
          <cell r="AJ94">
            <v>41</v>
          </cell>
          <cell r="AK94">
            <v>37</v>
          </cell>
          <cell r="AL94">
            <v>20</v>
          </cell>
          <cell r="AM94">
            <v>10</v>
          </cell>
          <cell r="AN94">
            <v>30</v>
          </cell>
          <cell r="AO94">
            <v>30</v>
          </cell>
          <cell r="AP94">
            <v>30</v>
          </cell>
          <cell r="AQ94">
            <v>284</v>
          </cell>
          <cell r="AR94">
            <v>284</v>
          </cell>
          <cell r="AS94">
            <v>10</v>
          </cell>
          <cell r="AT94">
            <v>10</v>
          </cell>
        </row>
        <row r="95">
          <cell r="A95">
            <v>91</v>
          </cell>
          <cell r="B95">
            <v>52.400000000000006</v>
          </cell>
          <cell r="C95">
            <v>44.400000000000006</v>
          </cell>
          <cell r="D95">
            <v>48.400000000000006</v>
          </cell>
          <cell r="E95">
            <v>40.400000000000006</v>
          </cell>
          <cell r="F95">
            <v>48.400000000000006</v>
          </cell>
          <cell r="G95">
            <v>56.400000000000006</v>
          </cell>
          <cell r="H95">
            <v>114.60000000000001</v>
          </cell>
          <cell r="I95">
            <v>3350</v>
          </cell>
          <cell r="J95">
            <v>116</v>
          </cell>
          <cell r="K95">
            <v>127.60000000000001</v>
          </cell>
          <cell r="L95">
            <v>484</v>
          </cell>
          <cell r="M95">
            <v>450</v>
          </cell>
          <cell r="N95">
            <v>252.5</v>
          </cell>
          <cell r="O95">
            <v>322.8</v>
          </cell>
          <cell r="P95">
            <v>202</v>
          </cell>
          <cell r="Q95">
            <v>95.64</v>
          </cell>
          <cell r="R95">
            <v>202</v>
          </cell>
          <cell r="S95">
            <v>2578</v>
          </cell>
          <cell r="T95">
            <v>142</v>
          </cell>
          <cell r="U95">
            <v>156.20000000000002</v>
          </cell>
          <cell r="V95">
            <v>1228.5</v>
          </cell>
          <cell r="W95">
            <v>1228.5</v>
          </cell>
          <cell r="X95">
            <v>19.428571428571431</v>
          </cell>
          <cell r="Y95">
            <v>26.833333333333332</v>
          </cell>
          <cell r="Z95">
            <v>22.285714285714285</v>
          </cell>
          <cell r="AA95">
            <v>30.166666666666668</v>
          </cell>
          <cell r="AB95">
            <v>45.84</v>
          </cell>
          <cell r="AC95">
            <v>45.84</v>
          </cell>
          <cell r="AD95">
            <v>20</v>
          </cell>
          <cell r="AE95">
            <v>38</v>
          </cell>
          <cell r="AF95">
            <v>114.60000000000001</v>
          </cell>
          <cell r="AG95">
            <v>20</v>
          </cell>
          <cell r="AH95">
            <v>15</v>
          </cell>
          <cell r="AI95">
            <v>20</v>
          </cell>
          <cell r="AJ95">
            <v>41</v>
          </cell>
          <cell r="AK95">
            <v>37</v>
          </cell>
          <cell r="AL95">
            <v>20</v>
          </cell>
          <cell r="AM95">
            <v>10</v>
          </cell>
          <cell r="AN95">
            <v>30</v>
          </cell>
          <cell r="AO95">
            <v>30</v>
          </cell>
          <cell r="AP95">
            <v>30</v>
          </cell>
          <cell r="AQ95">
            <v>286.5</v>
          </cell>
          <cell r="AR95">
            <v>286.5</v>
          </cell>
          <cell r="AS95">
            <v>10</v>
          </cell>
          <cell r="AT95">
            <v>10</v>
          </cell>
        </row>
        <row r="96">
          <cell r="A96">
            <v>92</v>
          </cell>
          <cell r="B96">
            <v>52.800000000000004</v>
          </cell>
          <cell r="C96">
            <v>44.800000000000004</v>
          </cell>
          <cell r="D96">
            <v>48.800000000000004</v>
          </cell>
          <cell r="E96">
            <v>40.800000000000004</v>
          </cell>
          <cell r="F96">
            <v>48.800000000000004</v>
          </cell>
          <cell r="G96">
            <v>56.800000000000004</v>
          </cell>
          <cell r="H96">
            <v>115.60000000000001</v>
          </cell>
          <cell r="I96">
            <v>3380</v>
          </cell>
          <cell r="J96">
            <v>118</v>
          </cell>
          <cell r="K96">
            <v>129.80000000000001</v>
          </cell>
          <cell r="L96">
            <v>488</v>
          </cell>
          <cell r="M96">
            <v>454</v>
          </cell>
          <cell r="N96">
            <v>254.99999999999997</v>
          </cell>
          <cell r="O96">
            <v>325.60000000000002</v>
          </cell>
          <cell r="P96">
            <v>204</v>
          </cell>
          <cell r="Q96">
            <v>96.48</v>
          </cell>
          <cell r="R96">
            <v>204</v>
          </cell>
          <cell r="S96">
            <v>2596</v>
          </cell>
          <cell r="T96">
            <v>144</v>
          </cell>
          <cell r="U96">
            <v>158.4</v>
          </cell>
          <cell r="V96">
            <v>1242</v>
          </cell>
          <cell r="W96">
            <v>1242</v>
          </cell>
          <cell r="X96">
            <v>19.571428571428569</v>
          </cell>
          <cell r="Y96">
            <v>27</v>
          </cell>
          <cell r="Z96">
            <v>22.428571428571427</v>
          </cell>
          <cell r="AA96">
            <v>30.333333333333332</v>
          </cell>
          <cell r="AB96">
            <v>46.240000000000009</v>
          </cell>
          <cell r="AC96">
            <v>46.240000000000009</v>
          </cell>
          <cell r="AD96">
            <v>20</v>
          </cell>
          <cell r="AE96">
            <v>38</v>
          </cell>
          <cell r="AF96">
            <v>115.60000000000001</v>
          </cell>
          <cell r="AG96">
            <v>20</v>
          </cell>
          <cell r="AH96">
            <v>15</v>
          </cell>
          <cell r="AI96">
            <v>20</v>
          </cell>
          <cell r="AJ96">
            <v>42</v>
          </cell>
          <cell r="AK96">
            <v>37</v>
          </cell>
          <cell r="AL96">
            <v>20</v>
          </cell>
          <cell r="AM96">
            <v>10</v>
          </cell>
          <cell r="AN96">
            <v>30</v>
          </cell>
          <cell r="AO96">
            <v>30</v>
          </cell>
          <cell r="AP96">
            <v>30</v>
          </cell>
          <cell r="AQ96">
            <v>289</v>
          </cell>
          <cell r="AR96">
            <v>289</v>
          </cell>
          <cell r="AS96">
            <v>10</v>
          </cell>
          <cell r="AT96">
            <v>10</v>
          </cell>
        </row>
        <row r="97">
          <cell r="A97">
            <v>93</v>
          </cell>
          <cell r="B97">
            <v>53.2</v>
          </cell>
          <cell r="C97">
            <v>45.2</v>
          </cell>
          <cell r="D97">
            <v>49.2</v>
          </cell>
          <cell r="E97">
            <v>41.2</v>
          </cell>
          <cell r="F97">
            <v>49.2</v>
          </cell>
          <cell r="G97">
            <v>57.6</v>
          </cell>
          <cell r="H97">
            <v>116.60000000000001</v>
          </cell>
          <cell r="I97">
            <v>3410</v>
          </cell>
          <cell r="J97">
            <v>118</v>
          </cell>
          <cell r="K97">
            <v>129.80000000000001</v>
          </cell>
          <cell r="L97">
            <v>492</v>
          </cell>
          <cell r="M97">
            <v>458</v>
          </cell>
          <cell r="N97">
            <v>257.5</v>
          </cell>
          <cell r="O97">
            <v>328.40000000000003</v>
          </cell>
          <cell r="P97">
            <v>206</v>
          </cell>
          <cell r="Q97">
            <v>97.320000000000007</v>
          </cell>
          <cell r="R97">
            <v>206</v>
          </cell>
          <cell r="S97">
            <v>2632</v>
          </cell>
          <cell r="T97">
            <v>146</v>
          </cell>
          <cell r="U97">
            <v>160.60000000000002</v>
          </cell>
          <cell r="V97">
            <v>1255.5</v>
          </cell>
          <cell r="W97">
            <v>1255.5</v>
          </cell>
          <cell r="X97">
            <v>19.714285714285715</v>
          </cell>
          <cell r="Y97">
            <v>27.166666666666668</v>
          </cell>
          <cell r="Z97">
            <v>22.571428571428573</v>
          </cell>
          <cell r="AA97">
            <v>30.5</v>
          </cell>
          <cell r="AB97">
            <v>46.640000000000008</v>
          </cell>
          <cell r="AC97">
            <v>46.640000000000008</v>
          </cell>
          <cell r="AD97">
            <v>20</v>
          </cell>
          <cell r="AE97">
            <v>38</v>
          </cell>
          <cell r="AF97">
            <v>116.60000000000001</v>
          </cell>
          <cell r="AG97">
            <v>20</v>
          </cell>
          <cell r="AH97">
            <v>15</v>
          </cell>
          <cell r="AI97">
            <v>20</v>
          </cell>
          <cell r="AJ97">
            <v>42</v>
          </cell>
          <cell r="AK97">
            <v>38</v>
          </cell>
          <cell r="AL97">
            <v>20</v>
          </cell>
          <cell r="AM97">
            <v>10</v>
          </cell>
          <cell r="AN97">
            <v>30</v>
          </cell>
          <cell r="AO97">
            <v>30</v>
          </cell>
          <cell r="AP97">
            <v>30</v>
          </cell>
          <cell r="AQ97">
            <v>291.5</v>
          </cell>
          <cell r="AR97">
            <v>291.5</v>
          </cell>
          <cell r="AS97">
            <v>10</v>
          </cell>
          <cell r="AT97">
            <v>10</v>
          </cell>
        </row>
        <row r="98">
          <cell r="A98">
            <v>94</v>
          </cell>
          <cell r="B98">
            <v>54</v>
          </cell>
          <cell r="C98">
            <v>45.6</v>
          </cell>
          <cell r="D98">
            <v>49.6</v>
          </cell>
          <cell r="E98">
            <v>41.6</v>
          </cell>
          <cell r="F98">
            <v>49.6</v>
          </cell>
          <cell r="G98">
            <v>58</v>
          </cell>
          <cell r="H98">
            <v>118.12</v>
          </cell>
          <cell r="I98">
            <v>3440</v>
          </cell>
          <cell r="J98">
            <v>120</v>
          </cell>
          <cell r="K98">
            <v>132</v>
          </cell>
          <cell r="L98">
            <v>496</v>
          </cell>
          <cell r="M98">
            <v>462</v>
          </cell>
          <cell r="N98">
            <v>260</v>
          </cell>
          <cell r="O98">
            <v>331.20000000000005</v>
          </cell>
          <cell r="P98">
            <v>208</v>
          </cell>
          <cell r="Q98">
            <v>98.16</v>
          </cell>
          <cell r="R98">
            <v>208</v>
          </cell>
          <cell r="S98">
            <v>2650</v>
          </cell>
          <cell r="T98">
            <v>146</v>
          </cell>
          <cell r="U98">
            <v>160.60000000000002</v>
          </cell>
          <cell r="V98">
            <v>1269</v>
          </cell>
          <cell r="W98">
            <v>1269</v>
          </cell>
          <cell r="X98">
            <v>19.857142857142858</v>
          </cell>
          <cell r="Y98">
            <v>27.333333333333332</v>
          </cell>
          <cell r="Z98">
            <v>22.714285714285715</v>
          </cell>
          <cell r="AA98">
            <v>30.666666666666668</v>
          </cell>
          <cell r="AB98">
            <v>47.248000000000005</v>
          </cell>
          <cell r="AC98">
            <v>47.248000000000005</v>
          </cell>
          <cell r="AD98">
            <v>20</v>
          </cell>
          <cell r="AE98">
            <v>38</v>
          </cell>
          <cell r="AF98">
            <v>118.12</v>
          </cell>
          <cell r="AG98">
            <v>20</v>
          </cell>
          <cell r="AH98">
            <v>15</v>
          </cell>
          <cell r="AI98">
            <v>20</v>
          </cell>
          <cell r="AJ98">
            <v>42</v>
          </cell>
          <cell r="AK98">
            <v>38</v>
          </cell>
          <cell r="AL98">
            <v>20</v>
          </cell>
          <cell r="AM98">
            <v>10</v>
          </cell>
          <cell r="AN98">
            <v>30</v>
          </cell>
          <cell r="AO98">
            <v>30</v>
          </cell>
          <cell r="AP98">
            <v>30</v>
          </cell>
          <cell r="AQ98">
            <v>295.3</v>
          </cell>
          <cell r="AR98">
            <v>295.3</v>
          </cell>
          <cell r="AS98">
            <v>10</v>
          </cell>
          <cell r="AT98">
            <v>10</v>
          </cell>
        </row>
        <row r="99">
          <cell r="A99">
            <v>95</v>
          </cell>
          <cell r="B99">
            <v>54.400000000000006</v>
          </cell>
          <cell r="C99">
            <v>46</v>
          </cell>
          <cell r="D99">
            <v>50.400000000000006</v>
          </cell>
          <cell r="E99">
            <v>42</v>
          </cell>
          <cell r="F99">
            <v>50.400000000000006</v>
          </cell>
          <cell r="G99">
            <v>58.800000000000004</v>
          </cell>
          <cell r="H99">
            <v>119.12</v>
          </cell>
          <cell r="I99">
            <v>3470</v>
          </cell>
          <cell r="J99">
            <v>120</v>
          </cell>
          <cell r="K99">
            <v>132</v>
          </cell>
          <cell r="L99">
            <v>504</v>
          </cell>
          <cell r="M99">
            <v>470</v>
          </cell>
          <cell r="N99">
            <v>262.5</v>
          </cell>
          <cell r="O99">
            <v>336</v>
          </cell>
          <cell r="P99">
            <v>210</v>
          </cell>
          <cell r="Q99">
            <v>99.64</v>
          </cell>
          <cell r="R99">
            <v>210</v>
          </cell>
          <cell r="S99">
            <v>2686</v>
          </cell>
          <cell r="T99">
            <v>148</v>
          </cell>
          <cell r="U99">
            <v>162.80000000000001</v>
          </cell>
          <cell r="V99">
            <v>1282.5</v>
          </cell>
          <cell r="W99">
            <v>1282.5</v>
          </cell>
          <cell r="X99">
            <v>20</v>
          </cell>
          <cell r="Y99">
            <v>27.5</v>
          </cell>
          <cell r="Z99">
            <v>23</v>
          </cell>
          <cell r="AA99">
            <v>31</v>
          </cell>
          <cell r="AB99">
            <v>47.648000000000003</v>
          </cell>
          <cell r="AC99">
            <v>47.648000000000003</v>
          </cell>
          <cell r="AD99">
            <v>20</v>
          </cell>
          <cell r="AE99">
            <v>40</v>
          </cell>
          <cell r="AF99">
            <v>119.12</v>
          </cell>
          <cell r="AG99">
            <v>20</v>
          </cell>
          <cell r="AH99">
            <v>15</v>
          </cell>
          <cell r="AI99">
            <v>20</v>
          </cell>
          <cell r="AJ99">
            <v>43</v>
          </cell>
          <cell r="AK99">
            <v>39</v>
          </cell>
          <cell r="AL99">
            <v>20</v>
          </cell>
          <cell r="AM99">
            <v>10</v>
          </cell>
          <cell r="AN99">
            <v>30</v>
          </cell>
          <cell r="AO99">
            <v>30</v>
          </cell>
          <cell r="AP99">
            <v>30</v>
          </cell>
          <cell r="AQ99">
            <v>297.8</v>
          </cell>
          <cell r="AR99">
            <v>297.8</v>
          </cell>
          <cell r="AS99">
            <v>10</v>
          </cell>
          <cell r="AT99">
            <v>10</v>
          </cell>
        </row>
        <row r="100">
          <cell r="A100">
            <v>96</v>
          </cell>
          <cell r="B100">
            <v>54.800000000000004</v>
          </cell>
          <cell r="C100">
            <v>46.400000000000006</v>
          </cell>
          <cell r="D100">
            <v>50.800000000000004</v>
          </cell>
          <cell r="E100">
            <v>42.400000000000006</v>
          </cell>
          <cell r="F100">
            <v>50.800000000000004</v>
          </cell>
          <cell r="G100">
            <v>59.2</v>
          </cell>
          <cell r="H100">
            <v>120.11999999999999</v>
          </cell>
          <cell r="I100">
            <v>3500</v>
          </cell>
          <cell r="J100">
            <v>122</v>
          </cell>
          <cell r="K100">
            <v>134.20000000000002</v>
          </cell>
          <cell r="L100">
            <v>508</v>
          </cell>
          <cell r="M100">
            <v>474</v>
          </cell>
          <cell r="N100">
            <v>265</v>
          </cell>
          <cell r="O100">
            <v>338.8</v>
          </cell>
          <cell r="P100">
            <v>212</v>
          </cell>
          <cell r="Q100">
            <v>100.48</v>
          </cell>
          <cell r="R100">
            <v>212</v>
          </cell>
          <cell r="S100">
            <v>2704</v>
          </cell>
          <cell r="T100">
            <v>150</v>
          </cell>
          <cell r="U100">
            <v>165</v>
          </cell>
          <cell r="V100">
            <v>1296</v>
          </cell>
          <cell r="W100">
            <v>1296</v>
          </cell>
          <cell r="X100">
            <v>20.142857142857142</v>
          </cell>
          <cell r="Y100">
            <v>27.666666666666668</v>
          </cell>
          <cell r="Z100">
            <v>23.142857142857142</v>
          </cell>
          <cell r="AA100">
            <v>31.166666666666668</v>
          </cell>
          <cell r="AB100">
            <v>48.048000000000002</v>
          </cell>
          <cell r="AC100">
            <v>48.048000000000002</v>
          </cell>
          <cell r="AD100">
            <v>20</v>
          </cell>
          <cell r="AE100">
            <v>40</v>
          </cell>
          <cell r="AF100">
            <v>120.11999999999999</v>
          </cell>
          <cell r="AG100">
            <v>20</v>
          </cell>
          <cell r="AH100">
            <v>15</v>
          </cell>
          <cell r="AI100">
            <v>20</v>
          </cell>
          <cell r="AJ100">
            <v>43</v>
          </cell>
          <cell r="AK100">
            <v>39</v>
          </cell>
          <cell r="AL100">
            <v>20</v>
          </cell>
          <cell r="AM100">
            <v>10</v>
          </cell>
          <cell r="AN100">
            <v>30</v>
          </cell>
          <cell r="AO100">
            <v>30</v>
          </cell>
          <cell r="AP100">
            <v>30</v>
          </cell>
          <cell r="AQ100">
            <v>300.29999999999995</v>
          </cell>
          <cell r="AR100">
            <v>300.29999999999995</v>
          </cell>
          <cell r="AS100">
            <v>10</v>
          </cell>
          <cell r="AT100">
            <v>10</v>
          </cell>
        </row>
        <row r="101">
          <cell r="A101">
            <v>97</v>
          </cell>
          <cell r="B101">
            <v>55.6</v>
          </cell>
          <cell r="C101">
            <v>46.800000000000004</v>
          </cell>
          <cell r="D101">
            <v>51.2</v>
          </cell>
          <cell r="E101">
            <v>42.800000000000004</v>
          </cell>
          <cell r="F101">
            <v>51.2</v>
          </cell>
          <cell r="G101">
            <v>59.6</v>
          </cell>
          <cell r="H101">
            <v>121.64000000000001</v>
          </cell>
          <cell r="I101">
            <v>3530</v>
          </cell>
          <cell r="J101">
            <v>122</v>
          </cell>
          <cell r="K101">
            <v>134.20000000000002</v>
          </cell>
          <cell r="L101">
            <v>512</v>
          </cell>
          <cell r="M101">
            <v>478</v>
          </cell>
          <cell r="N101">
            <v>267.5</v>
          </cell>
          <cell r="O101">
            <v>341.6</v>
          </cell>
          <cell r="P101">
            <v>214</v>
          </cell>
          <cell r="Q101">
            <v>101.32000000000001</v>
          </cell>
          <cell r="R101">
            <v>214</v>
          </cell>
          <cell r="S101">
            <v>2722</v>
          </cell>
          <cell r="T101">
            <v>150</v>
          </cell>
          <cell r="U101">
            <v>165</v>
          </cell>
          <cell r="V101">
            <v>1309.5</v>
          </cell>
          <cell r="W101">
            <v>1309.5</v>
          </cell>
          <cell r="X101">
            <v>20.285714285714285</v>
          </cell>
          <cell r="Y101">
            <v>27.833333333333332</v>
          </cell>
          <cell r="Z101">
            <v>23.285714285714285</v>
          </cell>
          <cell r="AA101">
            <v>31.333333333333332</v>
          </cell>
          <cell r="AB101">
            <v>48.656000000000006</v>
          </cell>
          <cell r="AC101">
            <v>48.656000000000006</v>
          </cell>
          <cell r="AD101">
            <v>20</v>
          </cell>
          <cell r="AE101">
            <v>40</v>
          </cell>
          <cell r="AF101">
            <v>121.64000000000001</v>
          </cell>
          <cell r="AG101">
            <v>20</v>
          </cell>
          <cell r="AH101">
            <v>15</v>
          </cell>
          <cell r="AI101">
            <v>20</v>
          </cell>
          <cell r="AJ101">
            <v>43</v>
          </cell>
          <cell r="AK101">
            <v>39</v>
          </cell>
          <cell r="AL101">
            <v>20</v>
          </cell>
          <cell r="AM101">
            <v>10</v>
          </cell>
          <cell r="AN101">
            <v>30</v>
          </cell>
          <cell r="AO101">
            <v>30</v>
          </cell>
          <cell r="AP101">
            <v>30</v>
          </cell>
          <cell r="AQ101">
            <v>304.10000000000002</v>
          </cell>
          <cell r="AR101">
            <v>304.10000000000002</v>
          </cell>
          <cell r="AS101">
            <v>10</v>
          </cell>
          <cell r="AT101">
            <v>10</v>
          </cell>
        </row>
        <row r="102">
          <cell r="A102">
            <v>98</v>
          </cell>
          <cell r="B102">
            <v>56</v>
          </cell>
          <cell r="C102">
            <v>47.2</v>
          </cell>
          <cell r="D102">
            <v>51.6</v>
          </cell>
          <cell r="E102">
            <v>43.2</v>
          </cell>
          <cell r="F102">
            <v>51.6</v>
          </cell>
          <cell r="G102">
            <v>60.400000000000006</v>
          </cell>
          <cell r="H102">
            <v>122.64000000000001</v>
          </cell>
          <cell r="I102">
            <v>3560</v>
          </cell>
          <cell r="J102">
            <v>124</v>
          </cell>
          <cell r="K102">
            <v>136.4</v>
          </cell>
          <cell r="L102">
            <v>516</v>
          </cell>
          <cell r="M102">
            <v>482</v>
          </cell>
          <cell r="N102">
            <v>270</v>
          </cell>
          <cell r="O102">
            <v>344.40000000000003</v>
          </cell>
          <cell r="P102">
            <v>216</v>
          </cell>
          <cell r="Q102">
            <v>102.16</v>
          </cell>
          <cell r="R102">
            <v>216</v>
          </cell>
          <cell r="S102">
            <v>2758</v>
          </cell>
          <cell r="T102">
            <v>152</v>
          </cell>
          <cell r="U102">
            <v>167.20000000000002</v>
          </cell>
          <cell r="V102">
            <v>1323</v>
          </cell>
          <cell r="W102">
            <v>1323</v>
          </cell>
          <cell r="X102">
            <v>20.428571428571431</v>
          </cell>
          <cell r="Y102">
            <v>28</v>
          </cell>
          <cell r="Z102">
            <v>23.428571428571427</v>
          </cell>
          <cell r="AA102">
            <v>31.5</v>
          </cell>
          <cell r="AB102">
            <v>49.056000000000012</v>
          </cell>
          <cell r="AC102">
            <v>49.056000000000012</v>
          </cell>
          <cell r="AD102">
            <v>20</v>
          </cell>
          <cell r="AE102">
            <v>40</v>
          </cell>
          <cell r="AF102">
            <v>122.64000000000001</v>
          </cell>
          <cell r="AG102">
            <v>20</v>
          </cell>
          <cell r="AH102">
            <v>15</v>
          </cell>
          <cell r="AI102">
            <v>20</v>
          </cell>
          <cell r="AJ102">
            <v>44</v>
          </cell>
          <cell r="AK102">
            <v>40</v>
          </cell>
          <cell r="AL102">
            <v>20</v>
          </cell>
          <cell r="AM102">
            <v>10</v>
          </cell>
          <cell r="AN102">
            <v>30</v>
          </cell>
          <cell r="AO102">
            <v>30</v>
          </cell>
          <cell r="AP102">
            <v>30</v>
          </cell>
          <cell r="AQ102">
            <v>306.60000000000002</v>
          </cell>
          <cell r="AR102">
            <v>306.60000000000002</v>
          </cell>
          <cell r="AS102">
            <v>10</v>
          </cell>
          <cell r="AT102">
            <v>10</v>
          </cell>
        </row>
        <row r="103">
          <cell r="A103">
            <v>99</v>
          </cell>
          <cell r="B103">
            <v>56.400000000000006</v>
          </cell>
          <cell r="C103">
            <v>47.6</v>
          </cell>
          <cell r="D103">
            <v>52</v>
          </cell>
          <cell r="E103">
            <v>43.6</v>
          </cell>
          <cell r="F103">
            <v>52</v>
          </cell>
          <cell r="G103">
            <v>60.800000000000004</v>
          </cell>
          <cell r="H103">
            <v>123.64000000000001</v>
          </cell>
          <cell r="I103">
            <v>3590</v>
          </cell>
          <cell r="J103">
            <v>124</v>
          </cell>
          <cell r="K103">
            <v>136.4</v>
          </cell>
          <cell r="L103">
            <v>520</v>
          </cell>
          <cell r="M103">
            <v>486</v>
          </cell>
          <cell r="N103">
            <v>272.5</v>
          </cell>
          <cell r="O103">
            <v>347.20000000000005</v>
          </cell>
          <cell r="P103">
            <v>218</v>
          </cell>
          <cell r="Q103">
            <v>103</v>
          </cell>
          <cell r="R103">
            <v>218</v>
          </cell>
          <cell r="S103">
            <v>2776</v>
          </cell>
          <cell r="T103">
            <v>154</v>
          </cell>
          <cell r="U103">
            <v>169.4</v>
          </cell>
          <cell r="V103">
            <v>1336.5</v>
          </cell>
          <cell r="W103">
            <v>1336.5</v>
          </cell>
          <cell r="X103">
            <v>20.571428571428569</v>
          </cell>
          <cell r="Y103">
            <v>28.166666666666668</v>
          </cell>
          <cell r="Z103">
            <v>23.571428571428573</v>
          </cell>
          <cell r="AA103">
            <v>31.666666666666668</v>
          </cell>
          <cell r="AB103">
            <v>49.45600000000001</v>
          </cell>
          <cell r="AC103">
            <v>49.45600000000001</v>
          </cell>
          <cell r="AD103">
            <v>20</v>
          </cell>
          <cell r="AE103">
            <v>40</v>
          </cell>
          <cell r="AF103">
            <v>123.64000000000001</v>
          </cell>
          <cell r="AG103">
            <v>20</v>
          </cell>
          <cell r="AH103">
            <v>15</v>
          </cell>
          <cell r="AI103">
            <v>20</v>
          </cell>
          <cell r="AJ103">
            <v>44</v>
          </cell>
          <cell r="AK103">
            <v>40</v>
          </cell>
          <cell r="AL103">
            <v>20</v>
          </cell>
          <cell r="AM103">
            <v>10</v>
          </cell>
          <cell r="AN103">
            <v>30</v>
          </cell>
          <cell r="AO103">
            <v>30</v>
          </cell>
          <cell r="AP103">
            <v>30</v>
          </cell>
          <cell r="AQ103">
            <v>309.10000000000002</v>
          </cell>
          <cell r="AR103">
            <v>309.10000000000002</v>
          </cell>
          <cell r="AS103">
            <v>10</v>
          </cell>
          <cell r="AT103">
            <v>10</v>
          </cell>
        </row>
        <row r="104">
          <cell r="A104">
            <v>100</v>
          </cell>
          <cell r="B104">
            <v>57.2</v>
          </cell>
          <cell r="C104">
            <v>48.400000000000006</v>
          </cell>
          <cell r="D104">
            <v>52.800000000000004</v>
          </cell>
          <cell r="E104">
            <v>44</v>
          </cell>
          <cell r="F104">
            <v>52.800000000000004</v>
          </cell>
          <cell r="G104">
            <v>61.6</v>
          </cell>
          <cell r="H104">
            <v>125.16</v>
          </cell>
          <cell r="I104">
            <v>3650</v>
          </cell>
          <cell r="J104">
            <v>126</v>
          </cell>
          <cell r="K104">
            <v>138.60000000000002</v>
          </cell>
          <cell r="L104">
            <v>528</v>
          </cell>
          <cell r="M104">
            <v>494</v>
          </cell>
          <cell r="N104">
            <v>275</v>
          </cell>
          <cell r="O104">
            <v>352</v>
          </cell>
          <cell r="P104">
            <v>220</v>
          </cell>
          <cell r="Q104">
            <v>104.48</v>
          </cell>
          <cell r="R104">
            <v>220</v>
          </cell>
          <cell r="S104">
            <v>2812</v>
          </cell>
          <cell r="T104">
            <v>156</v>
          </cell>
          <cell r="U104">
            <v>171.60000000000002</v>
          </cell>
          <cell r="V104">
            <v>1350</v>
          </cell>
          <cell r="W104">
            <v>1350</v>
          </cell>
          <cell r="X104">
            <v>20.714285714285715</v>
          </cell>
          <cell r="Y104">
            <v>28.333333333333332</v>
          </cell>
          <cell r="Z104">
            <v>23.857142857142858</v>
          </cell>
          <cell r="AA104">
            <v>32</v>
          </cell>
          <cell r="AB104">
            <v>50.064</v>
          </cell>
          <cell r="AC104">
            <v>50.064</v>
          </cell>
          <cell r="AD104">
            <v>20</v>
          </cell>
          <cell r="AE104">
            <v>42</v>
          </cell>
          <cell r="AF104">
            <v>125.16</v>
          </cell>
          <cell r="AG104">
            <v>20</v>
          </cell>
          <cell r="AH104">
            <v>15</v>
          </cell>
          <cell r="AI104">
            <v>20</v>
          </cell>
          <cell r="AJ104">
            <v>45</v>
          </cell>
          <cell r="AK104">
            <v>41</v>
          </cell>
          <cell r="AL104">
            <v>20</v>
          </cell>
          <cell r="AM104">
            <v>10</v>
          </cell>
          <cell r="AN104">
            <v>30</v>
          </cell>
          <cell r="AO104">
            <v>30</v>
          </cell>
          <cell r="AP104">
            <v>30</v>
          </cell>
          <cell r="AQ104">
            <v>312.89999999999998</v>
          </cell>
          <cell r="AR104">
            <v>312.89999999999998</v>
          </cell>
          <cell r="AS104">
            <v>10</v>
          </cell>
          <cell r="AT104">
            <v>10</v>
          </cell>
        </row>
      </sheetData>
      <sheetData sheetId="2">
        <row r="5">
          <cell r="A5">
            <v>1</v>
          </cell>
        </row>
      </sheetData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173"/>
  <sheetViews>
    <sheetView tabSelected="1" workbookViewId="0">
      <pane xSplit="3" ySplit="1" topLeftCell="D1143" activePane="bottomRight" state="frozen"/>
      <selection pane="topRight" activeCell="D1" sqref="D1"/>
      <selection pane="bottomLeft" activeCell="A2" sqref="A2"/>
      <selection pane="bottomRight" activeCell="B1178" sqref="B1178"/>
    </sheetView>
  </sheetViews>
  <sheetFormatPr defaultColWidth="28.44140625" defaultRowHeight="11.25"/>
  <cols>
    <col min="1" max="1" width="4.88671875" style="25" bestFit="1" customWidth="1"/>
    <col min="2" max="2" width="26.44140625" style="25" bestFit="1" customWidth="1"/>
    <col min="3" max="3" width="7.33203125" style="25" bestFit="1" customWidth="1"/>
    <col min="4" max="4" width="6.21875" style="25" bestFit="1" customWidth="1"/>
    <col min="5" max="5" width="6.33203125" style="25" bestFit="1" customWidth="1"/>
    <col min="6" max="6" width="7.5546875" style="25" bestFit="1" customWidth="1"/>
    <col min="7" max="7" width="7.44140625" style="25" bestFit="1" customWidth="1"/>
    <col min="8" max="8" width="7.6640625" style="25" bestFit="1" customWidth="1"/>
    <col min="9" max="9" width="7.33203125" style="25" bestFit="1" customWidth="1"/>
    <col min="10" max="10" width="9.77734375" style="25" bestFit="1" customWidth="1"/>
    <col min="11" max="11" width="5.44140625" style="25" bestFit="1" customWidth="1"/>
    <col min="12" max="12" width="6.44140625" style="25" bestFit="1" customWidth="1"/>
    <col min="13" max="13" width="8.21875" style="25" bestFit="1" customWidth="1"/>
    <col min="14" max="14" width="8.109375" style="25" bestFit="1" customWidth="1"/>
    <col min="15" max="15" width="7.88671875" style="25" bestFit="1" customWidth="1"/>
    <col min="16" max="16" width="8.109375" style="25" bestFit="1" customWidth="1"/>
    <col min="17" max="17" width="5.5546875" style="25" bestFit="1" customWidth="1"/>
    <col min="18" max="18" width="9.109375" style="25" bestFit="1" customWidth="1"/>
    <col min="19" max="16384" width="28.44140625" style="25"/>
  </cols>
  <sheetData>
    <row r="1" spans="1:18" s="28" customFormat="1">
      <c r="A1" s="28" t="s">
        <v>412</v>
      </c>
      <c r="B1" s="28" t="s">
        <v>413</v>
      </c>
      <c r="C1" s="28" t="s">
        <v>429</v>
      </c>
      <c r="D1" s="28" t="s">
        <v>414</v>
      </c>
      <c r="E1" s="28" t="s">
        <v>415</v>
      </c>
      <c r="F1" s="28" t="s">
        <v>416</v>
      </c>
      <c r="G1" s="28" t="s">
        <v>417</v>
      </c>
      <c r="H1" s="28" t="s">
        <v>418</v>
      </c>
      <c r="I1" s="28" t="s">
        <v>419</v>
      </c>
      <c r="J1" s="28" t="s">
        <v>420</v>
      </c>
      <c r="K1" s="28" t="s">
        <v>421</v>
      </c>
      <c r="L1" s="28" t="s">
        <v>422</v>
      </c>
      <c r="M1" s="28" t="s">
        <v>423</v>
      </c>
      <c r="N1" s="28" t="s">
        <v>424</v>
      </c>
      <c r="O1" s="28" t="s">
        <v>425</v>
      </c>
      <c r="P1" s="28" t="s">
        <v>426</v>
      </c>
      <c r="Q1" s="28" t="s">
        <v>427</v>
      </c>
      <c r="R1" s="28" t="s">
        <v>428</v>
      </c>
    </row>
    <row r="2" spans="1:18" s="29" customFormat="1" hidden="1">
      <c r="A2" s="29">
        <f>Item_Enchant_Old!A6</f>
        <v>1</v>
      </c>
      <c r="B2" s="29" t="str">
        <f>Item_Enchant_Old!B6</f>
        <v>ACTIVE_STR_UP</v>
      </c>
      <c r="C2" s="29">
        <f>Item_Enchant_Old!C6</f>
        <v>610</v>
      </c>
      <c r="D2" s="29">
        <f>Item_Enchant_Old!D6</f>
        <v>0</v>
      </c>
      <c r="E2" s="29">
        <f>Item_Enchant_Old!E6</f>
        <v>0</v>
      </c>
      <c r="F2" s="29">
        <f>Item_Enchant_Old!F6</f>
        <v>1</v>
      </c>
      <c r="G2" s="29">
        <f>Item_Enchant_Old!G6</f>
        <v>6</v>
      </c>
      <c r="H2" s="29" t="str">
        <f>Item_Enchant_Old!H6</f>
        <v>@</v>
      </c>
      <c r="I2" s="29">
        <f>Item_Enchant_Old!I6</f>
        <v>1</v>
      </c>
      <c r="J2" s="29" t="str">
        <f>Item_Enchant_Old!J6</f>
        <v>절대값/상대값(%) 가능</v>
      </c>
      <c r="K2" s="29">
        <f>Item_Enchant_Old!K6</f>
        <v>1</v>
      </c>
      <c r="L2" s="29">
        <f>Item_Enchant_Old!L6</f>
        <v>0</v>
      </c>
      <c r="M2" s="29">
        <f>Item_Enchant_Old!M6</f>
        <v>0</v>
      </c>
      <c r="N2" s="29">
        <f>Item_Enchant_Old!N6</f>
        <v>19</v>
      </c>
      <c r="O2" s="29">
        <f>Item_Enchant_Old!O6</f>
        <v>0</v>
      </c>
      <c r="P2" s="29">
        <f>Item_Enchant_Old!P6</f>
        <v>0</v>
      </c>
      <c r="Q2" s="29">
        <f>Item_Enchant_Old!Q6</f>
        <v>0</v>
      </c>
      <c r="R2" s="29">
        <f>Item_Enchant_Old!R6</f>
        <v>0</v>
      </c>
    </row>
    <row r="3" spans="1:18" s="29" customFormat="1" hidden="1">
      <c r="A3" s="29">
        <f>Item_Enchant_Old!A7</f>
        <v>2</v>
      </c>
      <c r="B3" s="29" t="str">
        <f>Item_Enchant_Old!B7</f>
        <v>ACTIVE_CON_UP</v>
      </c>
      <c r="C3" s="29">
        <f>Item_Enchant_Old!C7</f>
        <v>611</v>
      </c>
      <c r="D3" s="29">
        <f>Item_Enchant_Old!D7</f>
        <v>0</v>
      </c>
      <c r="E3" s="29">
        <f>Item_Enchant_Old!E7</f>
        <v>0</v>
      </c>
      <c r="F3" s="29">
        <f>Item_Enchant_Old!F7</f>
        <v>2</v>
      </c>
      <c r="G3" s="29">
        <f>Item_Enchant_Old!G7</f>
        <v>5</v>
      </c>
      <c r="H3" s="29" t="str">
        <f>Item_Enchant_Old!H7</f>
        <v>@</v>
      </c>
      <c r="I3" s="29">
        <f>Item_Enchant_Old!I7</f>
        <v>1</v>
      </c>
      <c r="J3" s="29" t="str">
        <f>Item_Enchant_Old!J7</f>
        <v>절대값/상대값(%) 가능</v>
      </c>
      <c r="K3" s="29">
        <f>Item_Enchant_Old!K7</f>
        <v>1</v>
      </c>
      <c r="L3" s="29">
        <f>Item_Enchant_Old!L7</f>
        <v>0</v>
      </c>
      <c r="M3" s="29">
        <f>Item_Enchant_Old!M7</f>
        <v>0</v>
      </c>
      <c r="N3" s="29">
        <f>Item_Enchant_Old!N7</f>
        <v>24</v>
      </c>
      <c r="O3" s="29">
        <f>Item_Enchant_Old!O7</f>
        <v>0</v>
      </c>
      <c r="P3" s="29">
        <f>Item_Enchant_Old!P7</f>
        <v>0</v>
      </c>
      <c r="Q3" s="29">
        <f>Item_Enchant_Old!Q7</f>
        <v>0</v>
      </c>
      <c r="R3" s="29">
        <f>Item_Enchant_Old!R7</f>
        <v>0</v>
      </c>
    </row>
    <row r="4" spans="1:18" s="29" customFormat="1" hidden="1">
      <c r="A4" s="29">
        <f>Item_Enchant_Old!A8</f>
        <v>3</v>
      </c>
      <c r="B4" s="29" t="str">
        <f>Item_Enchant_Old!B8</f>
        <v>ACTIVE_FOC_UP</v>
      </c>
      <c r="C4" s="29">
        <f>Item_Enchant_Old!C8</f>
        <v>612</v>
      </c>
      <c r="D4" s="29">
        <f>Item_Enchant_Old!D8</f>
        <v>0</v>
      </c>
      <c r="E4" s="29">
        <f>Item_Enchant_Old!E8</f>
        <v>0</v>
      </c>
      <c r="F4" s="29">
        <f>Item_Enchant_Old!F8</f>
        <v>3</v>
      </c>
      <c r="G4" s="29">
        <f>Item_Enchant_Old!G8</f>
        <v>4</v>
      </c>
      <c r="H4" s="29" t="str">
        <f>Item_Enchant_Old!H8</f>
        <v>@</v>
      </c>
      <c r="I4" s="29">
        <f>Item_Enchant_Old!I8</f>
        <v>1</v>
      </c>
      <c r="J4" s="29" t="str">
        <f>Item_Enchant_Old!J8</f>
        <v>절대값/상대값(%) 가능</v>
      </c>
      <c r="K4" s="29">
        <f>Item_Enchant_Old!K8</f>
        <v>1</v>
      </c>
      <c r="L4" s="29">
        <f>Item_Enchant_Old!L8</f>
        <v>0</v>
      </c>
      <c r="M4" s="29">
        <f>Item_Enchant_Old!M8</f>
        <v>0</v>
      </c>
      <c r="N4" s="29">
        <f>Item_Enchant_Old!N8</f>
        <v>26</v>
      </c>
      <c r="O4" s="29">
        <f>Item_Enchant_Old!O8</f>
        <v>0</v>
      </c>
      <c r="P4" s="29">
        <f>Item_Enchant_Old!P8</f>
        <v>0</v>
      </c>
      <c r="Q4" s="29">
        <f>Item_Enchant_Old!Q8</f>
        <v>0</v>
      </c>
      <c r="R4" s="29">
        <f>Item_Enchant_Old!R8</f>
        <v>0</v>
      </c>
    </row>
    <row r="5" spans="1:18" s="29" customFormat="1" hidden="1">
      <c r="A5" s="29">
        <f>Item_Enchant_Old!A9</f>
        <v>4</v>
      </c>
      <c r="B5" s="29" t="str">
        <f>Item_Enchant_Old!B9</f>
        <v>ACTIVE_DEX_UP</v>
      </c>
      <c r="C5" s="29">
        <f>Item_Enchant_Old!C9</f>
        <v>613</v>
      </c>
      <c r="D5" s="29">
        <f>Item_Enchant_Old!D9</f>
        <v>0</v>
      </c>
      <c r="E5" s="29">
        <f>Item_Enchant_Old!E9</f>
        <v>0</v>
      </c>
      <c r="F5" s="29">
        <f>Item_Enchant_Old!F9</f>
        <v>4</v>
      </c>
      <c r="G5" s="29">
        <f>Item_Enchant_Old!G9</f>
        <v>5</v>
      </c>
      <c r="H5" s="29" t="str">
        <f>Item_Enchant_Old!H9</f>
        <v>@</v>
      </c>
      <c r="I5" s="29">
        <f>Item_Enchant_Old!I9</f>
        <v>1</v>
      </c>
      <c r="J5" s="29" t="str">
        <f>Item_Enchant_Old!J9</f>
        <v>절대값/상대값(%) 가능</v>
      </c>
      <c r="K5" s="29">
        <f>Item_Enchant_Old!K9</f>
        <v>1</v>
      </c>
      <c r="L5" s="29">
        <f>Item_Enchant_Old!L9</f>
        <v>0</v>
      </c>
      <c r="M5" s="29">
        <f>Item_Enchant_Old!M9</f>
        <v>0</v>
      </c>
      <c r="N5" s="29">
        <f>Item_Enchant_Old!N9</f>
        <v>22</v>
      </c>
      <c r="O5" s="29">
        <f>Item_Enchant_Old!O9</f>
        <v>0</v>
      </c>
      <c r="P5" s="29">
        <f>Item_Enchant_Old!P9</f>
        <v>0</v>
      </c>
      <c r="Q5" s="29">
        <f>Item_Enchant_Old!Q9</f>
        <v>0</v>
      </c>
      <c r="R5" s="29">
        <f>Item_Enchant_Old!R9</f>
        <v>0</v>
      </c>
    </row>
    <row r="6" spans="1:18" s="29" customFormat="1" hidden="1">
      <c r="A6" s="29">
        <f>Item_Enchant_Old!A10</f>
        <v>5</v>
      </c>
      <c r="B6" s="29" t="str">
        <f>Item_Enchant_Old!B10</f>
        <v>ACTIVE_SOL_UP</v>
      </c>
      <c r="C6" s="29">
        <f>Item_Enchant_Old!C10</f>
        <v>614</v>
      </c>
      <c r="D6" s="29">
        <f>Item_Enchant_Old!D10</f>
        <v>0</v>
      </c>
      <c r="E6" s="29">
        <f>Item_Enchant_Old!E10</f>
        <v>0</v>
      </c>
      <c r="F6" s="29">
        <f>Item_Enchant_Old!F10</f>
        <v>5</v>
      </c>
      <c r="G6" s="29">
        <f>Item_Enchant_Old!G10</f>
        <v>6</v>
      </c>
      <c r="H6" s="29" t="str">
        <f>Item_Enchant_Old!H10</f>
        <v>@</v>
      </c>
      <c r="I6" s="29">
        <f>Item_Enchant_Old!I10</f>
        <v>1</v>
      </c>
      <c r="J6" s="29" t="str">
        <f>Item_Enchant_Old!J10</f>
        <v>절대값/상대값(%) 가능</v>
      </c>
      <c r="K6" s="29">
        <f>Item_Enchant_Old!K10</f>
        <v>1</v>
      </c>
      <c r="L6" s="29">
        <f>Item_Enchant_Old!L10</f>
        <v>0</v>
      </c>
      <c r="M6" s="29">
        <f>Item_Enchant_Old!M10</f>
        <v>0</v>
      </c>
      <c r="N6" s="29">
        <f>Item_Enchant_Old!N10</f>
        <v>17</v>
      </c>
      <c r="O6" s="29">
        <f>Item_Enchant_Old!O10</f>
        <v>0</v>
      </c>
      <c r="P6" s="29">
        <f>Item_Enchant_Old!P10</f>
        <v>0</v>
      </c>
      <c r="Q6" s="29">
        <f>Item_Enchant_Old!Q10</f>
        <v>0</v>
      </c>
      <c r="R6" s="29">
        <f>Item_Enchant_Old!R10</f>
        <v>0</v>
      </c>
    </row>
    <row r="7" spans="1:18" s="29" customFormat="1" hidden="1">
      <c r="A7" s="29">
        <f>Item_Enchant_Old!A11</f>
        <v>6</v>
      </c>
      <c r="B7" s="29" t="str">
        <f>Item_Enchant_Old!B11</f>
        <v>ACTIVE_ENG_UP</v>
      </c>
      <c r="C7" s="29">
        <f>Item_Enchant_Old!C11</f>
        <v>615</v>
      </c>
      <c r="D7" s="29">
        <f>Item_Enchant_Old!D11</f>
        <v>0</v>
      </c>
      <c r="E7" s="29">
        <f>Item_Enchant_Old!E11</f>
        <v>0</v>
      </c>
      <c r="F7" s="29">
        <f>Item_Enchant_Old!F11</f>
        <v>6</v>
      </c>
      <c r="G7" s="29">
        <f>Item_Enchant_Old!G11</f>
        <v>4</v>
      </c>
      <c r="H7" s="29" t="str">
        <f>Item_Enchant_Old!H11</f>
        <v>@</v>
      </c>
      <c r="I7" s="29">
        <f>Item_Enchant_Old!I11</f>
        <v>1</v>
      </c>
      <c r="J7" s="29" t="str">
        <f>Item_Enchant_Old!J11</f>
        <v>절대값/상대값(%) 가능</v>
      </c>
      <c r="K7" s="29">
        <f>Item_Enchant_Old!K11</f>
        <v>1</v>
      </c>
      <c r="L7" s="29">
        <f>Item_Enchant_Old!L11</f>
        <v>0</v>
      </c>
      <c r="M7" s="29">
        <f>Item_Enchant_Old!M11</f>
        <v>0</v>
      </c>
      <c r="N7" s="29">
        <f>Item_Enchant_Old!N11</f>
        <v>31</v>
      </c>
      <c r="O7" s="29">
        <f>Item_Enchant_Old!O11</f>
        <v>0</v>
      </c>
      <c r="P7" s="29">
        <f>Item_Enchant_Old!P11</f>
        <v>0</v>
      </c>
      <c r="Q7" s="29">
        <f>Item_Enchant_Old!Q11</f>
        <v>0</v>
      </c>
      <c r="R7" s="29">
        <f>Item_Enchant_Old!R11</f>
        <v>0</v>
      </c>
    </row>
    <row r="8" spans="1:18" s="29" customFormat="1" hidden="1">
      <c r="A8" s="29">
        <f>Item_Enchant_Old!A12</f>
        <v>7</v>
      </c>
      <c r="B8" s="29" t="str">
        <f>Item_Enchant_Old!B12</f>
        <v>ACTIVE_PHYSICAL_OFFENCE_UP</v>
      </c>
      <c r="C8" s="29">
        <f>Item_Enchant_Old!C12</f>
        <v>606</v>
      </c>
      <c r="D8" s="29">
        <f>Item_Enchant_Old!D12</f>
        <v>0</v>
      </c>
      <c r="E8" s="29">
        <f>Item_Enchant_Old!E12</f>
        <v>1</v>
      </c>
      <c r="F8" s="29">
        <f>Item_Enchant_Old!F12</f>
        <v>1</v>
      </c>
      <c r="G8" s="29">
        <f>Item_Enchant_Old!G12</f>
        <v>2</v>
      </c>
      <c r="H8" s="29" t="str">
        <f>Item_Enchant_Old!H12</f>
        <v>@</v>
      </c>
      <c r="I8" s="29">
        <f>Item_Enchant_Old!I12</f>
        <v>1</v>
      </c>
      <c r="J8" s="29" t="str">
        <f>Item_Enchant_Old!J12</f>
        <v>절대값/상대값(%) 가능</v>
      </c>
      <c r="K8" s="29">
        <f>Item_Enchant_Old!K12</f>
        <v>1</v>
      </c>
      <c r="L8" s="29">
        <f>Item_Enchant_Old!L12</f>
        <v>0</v>
      </c>
      <c r="M8" s="29">
        <f>Item_Enchant_Old!M12</f>
        <v>0</v>
      </c>
      <c r="N8" s="29">
        <f>Item_Enchant_Old!N12</f>
        <v>62</v>
      </c>
      <c r="O8" s="29">
        <f>Item_Enchant_Old!O12</f>
        <v>0</v>
      </c>
      <c r="P8" s="29">
        <f>Item_Enchant_Old!P12</f>
        <v>0</v>
      </c>
      <c r="Q8" s="29">
        <f>Item_Enchant_Old!Q12</f>
        <v>0</v>
      </c>
      <c r="R8" s="29">
        <f>Item_Enchant_Old!R12</f>
        <v>0</v>
      </c>
    </row>
    <row r="9" spans="1:18" s="29" customFormat="1" hidden="1">
      <c r="A9" s="29">
        <f>Item_Enchant_Old!A13</f>
        <v>8</v>
      </c>
      <c r="B9" s="29" t="str">
        <f>Item_Enchant_Old!B13</f>
        <v>ACTIVE_MAX_LP_UP</v>
      </c>
      <c r="C9" s="29">
        <f>Item_Enchant_Old!C13</f>
        <v>603</v>
      </c>
      <c r="D9" s="29">
        <f>Item_Enchant_Old!D13</f>
        <v>0</v>
      </c>
      <c r="E9" s="29">
        <f>Item_Enchant_Old!E13</f>
        <v>0</v>
      </c>
      <c r="F9" s="29">
        <f>Item_Enchant_Old!F13</f>
        <v>2</v>
      </c>
      <c r="G9" s="29">
        <f>Item_Enchant_Old!G13</f>
        <v>1</v>
      </c>
      <c r="H9" s="29" t="str">
        <f>Item_Enchant_Old!H13</f>
        <v>@</v>
      </c>
      <c r="I9" s="29">
        <f>Item_Enchant_Old!I13</f>
        <v>1</v>
      </c>
      <c r="J9" s="29" t="str">
        <f>Item_Enchant_Old!J13</f>
        <v>절대값/상대값(%) 가능</v>
      </c>
      <c r="K9" s="29">
        <f>Item_Enchant_Old!K13</f>
        <v>1</v>
      </c>
      <c r="L9" s="29">
        <f>Item_Enchant_Old!L13</f>
        <v>0</v>
      </c>
      <c r="M9" s="29">
        <f>Item_Enchant_Old!M13</f>
        <v>0</v>
      </c>
      <c r="N9" s="29">
        <f>Item_Enchant_Old!N13</f>
        <v>1381</v>
      </c>
      <c r="O9" s="29">
        <f>Item_Enchant_Old!O13</f>
        <v>0</v>
      </c>
      <c r="P9" s="29">
        <f>Item_Enchant_Old!P13</f>
        <v>0</v>
      </c>
      <c r="Q9" s="29">
        <f>Item_Enchant_Old!Q13</f>
        <v>0</v>
      </c>
      <c r="R9" s="29">
        <f>Item_Enchant_Old!R13</f>
        <v>0</v>
      </c>
    </row>
    <row r="10" spans="1:18" s="29" customFormat="1" hidden="1">
      <c r="A10" s="29">
        <f>Item_Enchant_Old!A14</f>
        <v>9</v>
      </c>
      <c r="B10" s="29" t="str">
        <f>Item_Enchant_Old!B14</f>
        <v>ACTIVE_LP_REGENERATION</v>
      </c>
      <c r="C10" s="29">
        <f>Item_Enchant_Old!C14</f>
        <v>627</v>
      </c>
      <c r="D10" s="29">
        <f>Item_Enchant_Old!D14</f>
        <v>0</v>
      </c>
      <c r="E10" s="29">
        <f>Item_Enchant_Old!E14</f>
        <v>0</v>
      </c>
      <c r="F10" s="29">
        <f>Item_Enchant_Old!F14</f>
        <v>2</v>
      </c>
      <c r="G10" s="29">
        <f>Item_Enchant_Old!G14</f>
        <v>2</v>
      </c>
      <c r="H10" s="29" t="str">
        <f>Item_Enchant_Old!H14</f>
        <v>@</v>
      </c>
      <c r="I10" s="29">
        <f>Item_Enchant_Old!I14</f>
        <v>1</v>
      </c>
      <c r="J10" s="29" t="str">
        <f>Item_Enchant_Old!J14</f>
        <v>절대값/상대값(%) 가능</v>
      </c>
      <c r="K10" s="29">
        <f>Item_Enchant_Old!K14</f>
        <v>1</v>
      </c>
      <c r="L10" s="29">
        <f>Item_Enchant_Old!L14</f>
        <v>0</v>
      </c>
      <c r="M10" s="29">
        <f>Item_Enchant_Old!M14</f>
        <v>0</v>
      </c>
      <c r="N10" s="29">
        <f>Item_Enchant_Old!N14</f>
        <v>63</v>
      </c>
      <c r="O10" s="29">
        <f>Item_Enchant_Old!O14</f>
        <v>0</v>
      </c>
      <c r="P10" s="29">
        <f>Item_Enchant_Old!P14</f>
        <v>0</v>
      </c>
      <c r="Q10" s="29">
        <f>Item_Enchant_Old!Q14</f>
        <v>0</v>
      </c>
      <c r="R10" s="29">
        <f>Item_Enchant_Old!R14</f>
        <v>0</v>
      </c>
    </row>
    <row r="11" spans="1:18" s="29" customFormat="1" hidden="1">
      <c r="A11" s="29">
        <f>Item_Enchant_Old!A15</f>
        <v>10</v>
      </c>
      <c r="B11" s="29" t="str">
        <f>Item_Enchant_Old!B15</f>
        <v>ACTIVE_SIT_DOWN_LP_REGENERATION_UP</v>
      </c>
      <c r="C11" s="29">
        <f>Item_Enchant_Old!C15</f>
        <v>656</v>
      </c>
      <c r="D11" s="29">
        <f>Item_Enchant_Old!D15</f>
        <v>0</v>
      </c>
      <c r="E11" s="29">
        <f>Item_Enchant_Old!E15</f>
        <v>0</v>
      </c>
      <c r="F11" s="29">
        <f>Item_Enchant_Old!F15</f>
        <v>2</v>
      </c>
      <c r="G11" s="29">
        <f>Item_Enchant_Old!G15</f>
        <v>4</v>
      </c>
      <c r="H11" s="29" t="str">
        <f>Item_Enchant_Old!H15</f>
        <v>@</v>
      </c>
      <c r="I11" s="29">
        <f>Item_Enchant_Old!I15</f>
        <v>1</v>
      </c>
      <c r="J11" s="29" t="str">
        <f>Item_Enchant_Old!J15</f>
        <v>절대값만 가능</v>
      </c>
      <c r="K11" s="29">
        <f>Item_Enchant_Old!K15</f>
        <v>1</v>
      </c>
      <c r="L11" s="29">
        <f>Item_Enchant_Old!L15</f>
        <v>0</v>
      </c>
      <c r="M11" s="29">
        <f>Item_Enchant_Old!M15</f>
        <v>0</v>
      </c>
      <c r="N11" s="29">
        <f>Item_Enchant_Old!N15</f>
        <v>27</v>
      </c>
      <c r="O11" s="29">
        <f>Item_Enchant_Old!O15</f>
        <v>0</v>
      </c>
      <c r="P11" s="29">
        <f>Item_Enchant_Old!P15</f>
        <v>0</v>
      </c>
      <c r="Q11" s="29">
        <f>Item_Enchant_Old!Q15</f>
        <v>0</v>
      </c>
      <c r="R11" s="29">
        <f>Item_Enchant_Old!R15</f>
        <v>0</v>
      </c>
    </row>
    <row r="12" spans="1:18" s="29" customFormat="1" hidden="1">
      <c r="A12" s="29">
        <f>Item_Enchant_Old!A16</f>
        <v>11</v>
      </c>
      <c r="B12" s="29" t="str">
        <f>Item_Enchant_Old!B16</f>
        <v>ACTIVE_ATTACK_RATE_UP</v>
      </c>
      <c r="C12" s="29">
        <f>Item_Enchant_Old!C16</f>
        <v>618</v>
      </c>
      <c r="D12" s="29">
        <f>Item_Enchant_Old!D16</f>
        <v>0</v>
      </c>
      <c r="E12" s="29">
        <f>Item_Enchant_Old!E16</f>
        <v>0</v>
      </c>
      <c r="F12" s="29">
        <f>Item_Enchant_Old!F16</f>
        <v>3</v>
      </c>
      <c r="G12" s="29">
        <f>Item_Enchant_Old!G16</f>
        <v>1</v>
      </c>
      <c r="H12" s="29" t="str">
        <f>Item_Enchant_Old!H16</f>
        <v>@</v>
      </c>
      <c r="I12" s="29">
        <f>Item_Enchant_Old!I16</f>
        <v>1</v>
      </c>
      <c r="J12" s="29" t="str">
        <f>Item_Enchant_Old!J16</f>
        <v>절대값/상대값(%) 가능</v>
      </c>
      <c r="K12" s="29">
        <f>Item_Enchant_Old!K16</f>
        <v>1</v>
      </c>
      <c r="L12" s="29">
        <f>Item_Enchant_Old!L16</f>
        <v>0</v>
      </c>
      <c r="M12" s="29">
        <f>Item_Enchant_Old!M16</f>
        <v>0</v>
      </c>
      <c r="N12" s="29">
        <f>Item_Enchant_Old!N16</f>
        <v>264</v>
      </c>
      <c r="O12" s="29">
        <f>Item_Enchant_Old!O16</f>
        <v>0</v>
      </c>
      <c r="P12" s="29">
        <f>Item_Enchant_Old!P16</f>
        <v>0</v>
      </c>
      <c r="Q12" s="29">
        <f>Item_Enchant_Old!Q16</f>
        <v>0</v>
      </c>
      <c r="R12" s="29">
        <f>Item_Enchant_Old!R16</f>
        <v>0</v>
      </c>
    </row>
    <row r="13" spans="1:18" s="29" customFormat="1" hidden="1">
      <c r="A13" s="29">
        <f>Item_Enchant_Old!A17</f>
        <v>12</v>
      </c>
      <c r="B13" s="29" t="str">
        <f>Item_Enchant_Old!B17</f>
        <v>ACTIVE_CURSE_SUCCESS</v>
      </c>
      <c r="C13" s="29">
        <f>Item_Enchant_Old!C17</f>
        <v>630</v>
      </c>
      <c r="D13" s="29">
        <f>Item_Enchant_Old!D17</f>
        <v>0</v>
      </c>
      <c r="E13" s="29">
        <f>Item_Enchant_Old!E17</f>
        <v>0</v>
      </c>
      <c r="F13" s="29">
        <f>Item_Enchant_Old!F17</f>
        <v>3</v>
      </c>
      <c r="G13" s="29">
        <f>Item_Enchant_Old!G17</f>
        <v>1</v>
      </c>
      <c r="H13" s="29" t="str">
        <f>Item_Enchant_Old!H17</f>
        <v>@</v>
      </c>
      <c r="I13" s="29">
        <f>Item_Enchant_Old!I17</f>
        <v>1</v>
      </c>
      <c r="J13" s="29" t="str">
        <f>Item_Enchant_Old!J17</f>
        <v>절대값/상대값(%) 가능</v>
      </c>
      <c r="K13" s="29">
        <f>Item_Enchant_Old!K17</f>
        <v>1</v>
      </c>
      <c r="L13" s="29">
        <f>Item_Enchant_Old!L17</f>
        <v>0</v>
      </c>
      <c r="M13" s="29">
        <f>Item_Enchant_Old!M17</f>
        <v>0</v>
      </c>
      <c r="N13" s="29">
        <f>Item_Enchant_Old!N17</f>
        <v>247</v>
      </c>
      <c r="O13" s="29">
        <f>Item_Enchant_Old!O17</f>
        <v>0</v>
      </c>
      <c r="P13" s="29">
        <f>Item_Enchant_Old!P17</f>
        <v>0</v>
      </c>
      <c r="Q13" s="29">
        <f>Item_Enchant_Old!Q17</f>
        <v>0</v>
      </c>
      <c r="R13" s="29">
        <f>Item_Enchant_Old!R17</f>
        <v>0</v>
      </c>
    </row>
    <row r="14" spans="1:18" s="29" customFormat="1" hidden="1">
      <c r="A14" s="29">
        <f>Item_Enchant_Old!A18</f>
        <v>13</v>
      </c>
      <c r="B14" s="29" t="str">
        <f>Item_Enchant_Old!B18</f>
        <v>ACTIVE_DODGE_RATE_UP</v>
      </c>
      <c r="C14" s="29">
        <f>Item_Enchant_Old!C18</f>
        <v>619</v>
      </c>
      <c r="D14" s="29">
        <f>Item_Enchant_Old!D18</f>
        <v>0</v>
      </c>
      <c r="E14" s="29">
        <f>Item_Enchant_Old!E18</f>
        <v>0</v>
      </c>
      <c r="F14" s="29">
        <f>Item_Enchant_Old!F18</f>
        <v>4</v>
      </c>
      <c r="G14" s="29">
        <f>Item_Enchant_Old!G18</f>
        <v>1</v>
      </c>
      <c r="H14" s="29" t="str">
        <f>Item_Enchant_Old!H18</f>
        <v>@</v>
      </c>
      <c r="I14" s="29">
        <f>Item_Enchant_Old!I18</f>
        <v>1</v>
      </c>
      <c r="J14" s="29" t="str">
        <f>Item_Enchant_Old!J18</f>
        <v>절대값/상대값(%) 가능</v>
      </c>
      <c r="K14" s="29">
        <f>Item_Enchant_Old!K18</f>
        <v>1</v>
      </c>
      <c r="L14" s="29">
        <f>Item_Enchant_Old!L18</f>
        <v>0</v>
      </c>
      <c r="M14" s="29">
        <f>Item_Enchant_Old!M18</f>
        <v>0</v>
      </c>
      <c r="N14" s="29">
        <f>Item_Enchant_Old!N18</f>
        <v>137</v>
      </c>
      <c r="O14" s="29">
        <f>Item_Enchant_Old!O18</f>
        <v>0</v>
      </c>
      <c r="P14" s="29">
        <f>Item_Enchant_Old!P18</f>
        <v>0</v>
      </c>
      <c r="Q14" s="29">
        <f>Item_Enchant_Old!Q18</f>
        <v>0</v>
      </c>
      <c r="R14" s="29">
        <f>Item_Enchant_Old!R18</f>
        <v>0</v>
      </c>
    </row>
    <row r="15" spans="1:18" s="29" customFormat="1" hidden="1">
      <c r="A15" s="29">
        <f>Item_Enchant_Old!A19</f>
        <v>14</v>
      </c>
      <c r="B15" s="29" t="str">
        <f>Item_Enchant_Old!B19</f>
        <v>ACTIVE_DODGE_RATE_UP</v>
      </c>
      <c r="C15" s="29">
        <f>Item_Enchant_Old!C19</f>
        <v>619</v>
      </c>
      <c r="D15" s="29">
        <f>Item_Enchant_Old!D19</f>
        <v>0</v>
      </c>
      <c r="E15" s="29">
        <f>Item_Enchant_Old!E19</f>
        <v>0</v>
      </c>
      <c r="F15" s="29">
        <f>Item_Enchant_Old!F19</f>
        <v>4</v>
      </c>
      <c r="G15" s="29">
        <f>Item_Enchant_Old!G19</f>
        <v>2</v>
      </c>
      <c r="H15" s="29" t="str">
        <f>Item_Enchant_Old!H19</f>
        <v>@</v>
      </c>
      <c r="I15" s="29">
        <f>Item_Enchant_Old!I19</f>
        <v>1</v>
      </c>
      <c r="J15" s="29" t="str">
        <f>Item_Enchant_Old!J19</f>
        <v>절대값/상대값(%) 가능</v>
      </c>
      <c r="K15" s="29">
        <f>Item_Enchant_Old!K19</f>
        <v>1</v>
      </c>
      <c r="L15" s="29">
        <f>Item_Enchant_Old!L19</f>
        <v>0</v>
      </c>
      <c r="M15" s="29">
        <f>Item_Enchant_Old!M19</f>
        <v>0</v>
      </c>
      <c r="N15" s="29">
        <f>Item_Enchant_Old!N19</f>
        <v>82</v>
      </c>
      <c r="O15" s="29">
        <f>Item_Enchant_Old!O19</f>
        <v>0</v>
      </c>
      <c r="P15" s="29">
        <f>Item_Enchant_Old!P19</f>
        <v>0</v>
      </c>
      <c r="Q15" s="29">
        <f>Item_Enchant_Old!Q19</f>
        <v>0</v>
      </c>
      <c r="R15" s="29">
        <f>Item_Enchant_Old!R19</f>
        <v>0</v>
      </c>
    </row>
    <row r="16" spans="1:18" s="29" customFormat="1" hidden="1">
      <c r="A16" s="29">
        <f>Item_Enchant_Old!A20</f>
        <v>15</v>
      </c>
      <c r="B16" s="29" t="str">
        <f>Item_Enchant_Old!B20</f>
        <v>ACTIVE_DODGE_RATE_UP</v>
      </c>
      <c r="C16" s="29">
        <f>Item_Enchant_Old!C20</f>
        <v>619</v>
      </c>
      <c r="D16" s="29">
        <f>Item_Enchant_Old!D20</f>
        <v>0</v>
      </c>
      <c r="E16" s="29">
        <f>Item_Enchant_Old!E20</f>
        <v>0</v>
      </c>
      <c r="F16" s="29">
        <f>Item_Enchant_Old!F20</f>
        <v>4</v>
      </c>
      <c r="G16" s="29">
        <f>Item_Enchant_Old!G20</f>
        <v>2</v>
      </c>
      <c r="H16" s="29" t="str">
        <f>Item_Enchant_Old!H20</f>
        <v>@</v>
      </c>
      <c r="I16" s="29">
        <f>Item_Enchant_Old!I20</f>
        <v>1</v>
      </c>
      <c r="J16" s="29" t="str">
        <f>Item_Enchant_Old!J20</f>
        <v>절대값/상대값(%) 가능</v>
      </c>
      <c r="K16" s="29">
        <f>Item_Enchant_Old!K20</f>
        <v>1</v>
      </c>
      <c r="L16" s="29">
        <f>Item_Enchant_Old!L20</f>
        <v>0</v>
      </c>
      <c r="M16" s="29">
        <f>Item_Enchant_Old!M20</f>
        <v>0</v>
      </c>
      <c r="N16" s="29">
        <f>Item_Enchant_Old!N20</f>
        <v>55</v>
      </c>
      <c r="O16" s="29">
        <f>Item_Enchant_Old!O20</f>
        <v>0</v>
      </c>
      <c r="P16" s="29">
        <f>Item_Enchant_Old!P20</f>
        <v>0</v>
      </c>
      <c r="Q16" s="29">
        <f>Item_Enchant_Old!Q20</f>
        <v>0</v>
      </c>
      <c r="R16" s="29">
        <f>Item_Enchant_Old!R20</f>
        <v>0</v>
      </c>
    </row>
    <row r="17" spans="1:18" s="29" customFormat="1" hidden="1">
      <c r="A17" s="29">
        <f>Item_Enchant_Old!A21</f>
        <v>16</v>
      </c>
      <c r="B17" s="29" t="str">
        <f>Item_Enchant_Old!B21</f>
        <v>ACTIVE_BLOCK_RATE_UP</v>
      </c>
      <c r="C17" s="29">
        <f>Item_Enchant_Old!C21</f>
        <v>620</v>
      </c>
      <c r="D17" s="29">
        <f>Item_Enchant_Old!D21</f>
        <v>0</v>
      </c>
      <c r="E17" s="29">
        <f>Item_Enchant_Old!E21</f>
        <v>0</v>
      </c>
      <c r="F17" s="29">
        <f>Item_Enchant_Old!F21</f>
        <v>4</v>
      </c>
      <c r="G17" s="29">
        <f>Item_Enchant_Old!G21</f>
        <v>1</v>
      </c>
      <c r="H17" s="29" t="str">
        <f>Item_Enchant_Old!H21</f>
        <v>@</v>
      </c>
      <c r="I17" s="29">
        <f>Item_Enchant_Old!I21</f>
        <v>1</v>
      </c>
      <c r="J17" s="29" t="str">
        <f>Item_Enchant_Old!J21</f>
        <v>절대값/상대값(%) 가능</v>
      </c>
      <c r="K17" s="29">
        <f>Item_Enchant_Old!K21</f>
        <v>1</v>
      </c>
      <c r="L17" s="29">
        <f>Item_Enchant_Old!L21</f>
        <v>0</v>
      </c>
      <c r="M17" s="29">
        <f>Item_Enchant_Old!M21</f>
        <v>0</v>
      </c>
      <c r="N17" s="29">
        <f>Item_Enchant_Old!N21</f>
        <v>176</v>
      </c>
      <c r="O17" s="29">
        <f>Item_Enchant_Old!O21</f>
        <v>0</v>
      </c>
      <c r="P17" s="29">
        <f>Item_Enchant_Old!P21</f>
        <v>0</v>
      </c>
      <c r="Q17" s="29">
        <f>Item_Enchant_Old!Q21</f>
        <v>0</v>
      </c>
      <c r="R17" s="29">
        <f>Item_Enchant_Old!R21</f>
        <v>0</v>
      </c>
    </row>
    <row r="18" spans="1:18" s="29" customFormat="1" hidden="1">
      <c r="A18" s="29">
        <f>Item_Enchant_Old!A22</f>
        <v>17</v>
      </c>
      <c r="B18" s="29" t="str">
        <f>Item_Enchant_Old!B22</f>
        <v>ACTIVE_BLOCK_RATE_UP</v>
      </c>
      <c r="C18" s="29">
        <f>Item_Enchant_Old!C22</f>
        <v>620</v>
      </c>
      <c r="D18" s="29">
        <f>Item_Enchant_Old!D22</f>
        <v>0</v>
      </c>
      <c r="E18" s="29">
        <f>Item_Enchant_Old!E22</f>
        <v>0</v>
      </c>
      <c r="F18" s="29">
        <f>Item_Enchant_Old!F22</f>
        <v>4</v>
      </c>
      <c r="G18" s="29">
        <f>Item_Enchant_Old!G22</f>
        <v>1</v>
      </c>
      <c r="H18" s="29" t="str">
        <f>Item_Enchant_Old!H22</f>
        <v>@</v>
      </c>
      <c r="I18" s="29">
        <f>Item_Enchant_Old!I22</f>
        <v>1</v>
      </c>
      <c r="J18" s="29" t="str">
        <f>Item_Enchant_Old!J22</f>
        <v>절대값/상대값(%) 가능</v>
      </c>
      <c r="K18" s="29">
        <f>Item_Enchant_Old!K22</f>
        <v>1</v>
      </c>
      <c r="L18" s="29">
        <f>Item_Enchant_Old!L22</f>
        <v>0</v>
      </c>
      <c r="M18" s="29">
        <f>Item_Enchant_Old!M22</f>
        <v>0</v>
      </c>
      <c r="N18" s="29">
        <f>Item_Enchant_Old!N22</f>
        <v>105</v>
      </c>
      <c r="O18" s="29">
        <f>Item_Enchant_Old!O22</f>
        <v>0</v>
      </c>
      <c r="P18" s="29">
        <f>Item_Enchant_Old!P22</f>
        <v>0</v>
      </c>
      <c r="Q18" s="29">
        <f>Item_Enchant_Old!Q22</f>
        <v>0</v>
      </c>
      <c r="R18" s="29">
        <f>Item_Enchant_Old!R22</f>
        <v>0</v>
      </c>
    </row>
    <row r="19" spans="1:18" s="29" customFormat="1" hidden="1">
      <c r="A19" s="29">
        <f>Item_Enchant_Old!A23</f>
        <v>18</v>
      </c>
      <c r="B19" s="29" t="str">
        <f>Item_Enchant_Old!B23</f>
        <v>ACTIVE_BLOCK_RATE_UP</v>
      </c>
      <c r="C19" s="29">
        <f>Item_Enchant_Old!C23</f>
        <v>620</v>
      </c>
      <c r="D19" s="29">
        <f>Item_Enchant_Old!D23</f>
        <v>0</v>
      </c>
      <c r="E19" s="29">
        <f>Item_Enchant_Old!E23</f>
        <v>0</v>
      </c>
      <c r="F19" s="29">
        <f>Item_Enchant_Old!F23</f>
        <v>4</v>
      </c>
      <c r="G19" s="29">
        <f>Item_Enchant_Old!G23</f>
        <v>2</v>
      </c>
      <c r="H19" s="29" t="str">
        <f>Item_Enchant_Old!H23</f>
        <v>@</v>
      </c>
      <c r="I19" s="29">
        <f>Item_Enchant_Old!I23</f>
        <v>1</v>
      </c>
      <c r="J19" s="29" t="str">
        <f>Item_Enchant_Old!J23</f>
        <v>절대값/상대값(%) 가능</v>
      </c>
      <c r="K19" s="29">
        <f>Item_Enchant_Old!K23</f>
        <v>1</v>
      </c>
      <c r="L19" s="29">
        <f>Item_Enchant_Old!L23</f>
        <v>0</v>
      </c>
      <c r="M19" s="29">
        <f>Item_Enchant_Old!M23</f>
        <v>0</v>
      </c>
      <c r="N19" s="29">
        <f>Item_Enchant_Old!N23</f>
        <v>70</v>
      </c>
      <c r="O19" s="29">
        <f>Item_Enchant_Old!O23</f>
        <v>0</v>
      </c>
      <c r="P19" s="29">
        <f>Item_Enchant_Old!P23</f>
        <v>0</v>
      </c>
      <c r="Q19" s="29">
        <f>Item_Enchant_Old!Q23</f>
        <v>0</v>
      </c>
      <c r="R19" s="29">
        <f>Item_Enchant_Old!R23</f>
        <v>0</v>
      </c>
    </row>
    <row r="20" spans="1:18" s="29" customFormat="1" hidden="1">
      <c r="A20" s="29">
        <f>Item_Enchant_Old!A24</f>
        <v>19</v>
      </c>
      <c r="B20" s="29" t="str">
        <f>Item_Enchant_Old!B24</f>
        <v>ACTIVE_NORMAL_SKILL_BLOCK_MODE_UP</v>
      </c>
      <c r="C20" s="29">
        <f>Item_Enchant_Old!C24</f>
        <v>652</v>
      </c>
      <c r="D20" s="29">
        <f>Item_Enchant_Old!D24</f>
        <v>0</v>
      </c>
      <c r="E20" s="29">
        <f>Item_Enchant_Old!E24</f>
        <v>0</v>
      </c>
      <c r="F20" s="29">
        <f>Item_Enchant_Old!F24</f>
        <v>4</v>
      </c>
      <c r="G20" s="29">
        <f>Item_Enchant_Old!G24</f>
        <v>5</v>
      </c>
      <c r="H20" s="29" t="str">
        <f>Item_Enchant_Old!H24</f>
        <v>@</v>
      </c>
      <c r="I20" s="29">
        <f>Item_Enchant_Old!I24</f>
        <v>1</v>
      </c>
      <c r="J20" s="29">
        <f>Item_Enchant_Old!J24</f>
        <v>0</v>
      </c>
      <c r="K20" s="29">
        <f>Item_Enchant_Old!K24</f>
        <v>1</v>
      </c>
      <c r="L20" s="29">
        <f>Item_Enchant_Old!L24</f>
        <v>0</v>
      </c>
      <c r="M20" s="29">
        <f>Item_Enchant_Old!M24</f>
        <v>0</v>
      </c>
      <c r="N20" s="29">
        <f>Item_Enchant_Old!N24</f>
        <v>22</v>
      </c>
      <c r="O20" s="29">
        <f>Item_Enchant_Old!O24</f>
        <v>0</v>
      </c>
      <c r="P20" s="29">
        <f>Item_Enchant_Old!P24</f>
        <v>0</v>
      </c>
      <c r="Q20" s="29">
        <f>Item_Enchant_Old!Q24</f>
        <v>0</v>
      </c>
      <c r="R20" s="29">
        <f>Item_Enchant_Old!R24</f>
        <v>0</v>
      </c>
    </row>
    <row r="21" spans="1:18" s="29" customFormat="1" hidden="1">
      <c r="A21" s="29">
        <f>Item_Enchant_Old!A25</f>
        <v>20</v>
      </c>
      <c r="B21" s="29" t="str">
        <f>Item_Enchant_Old!B25</f>
        <v>ACTIVE_NORMAL_SKILL_BLOCK_MODE_UP</v>
      </c>
      <c r="C21" s="29">
        <f>Item_Enchant_Old!C25</f>
        <v>652</v>
      </c>
      <c r="D21" s="29">
        <f>Item_Enchant_Old!D25</f>
        <v>0</v>
      </c>
      <c r="E21" s="29">
        <f>Item_Enchant_Old!E25</f>
        <v>0</v>
      </c>
      <c r="F21" s="29">
        <f>Item_Enchant_Old!F25</f>
        <v>4</v>
      </c>
      <c r="G21" s="29">
        <f>Item_Enchant_Old!G25</f>
        <v>8</v>
      </c>
      <c r="H21" s="29" t="str">
        <f>Item_Enchant_Old!H25</f>
        <v>@</v>
      </c>
      <c r="I21" s="29">
        <f>Item_Enchant_Old!I25</f>
        <v>1</v>
      </c>
      <c r="J21" s="29">
        <f>Item_Enchant_Old!J25</f>
        <v>0</v>
      </c>
      <c r="K21" s="29">
        <f>Item_Enchant_Old!K25</f>
        <v>1</v>
      </c>
      <c r="L21" s="29">
        <f>Item_Enchant_Old!L25</f>
        <v>0</v>
      </c>
      <c r="M21" s="29">
        <f>Item_Enchant_Old!M25</f>
        <v>0</v>
      </c>
      <c r="N21" s="29">
        <f>Item_Enchant_Old!N25</f>
        <v>13</v>
      </c>
      <c r="O21" s="29">
        <f>Item_Enchant_Old!O25</f>
        <v>0</v>
      </c>
      <c r="P21" s="29">
        <f>Item_Enchant_Old!P25</f>
        <v>0</v>
      </c>
      <c r="Q21" s="29">
        <f>Item_Enchant_Old!Q25</f>
        <v>0</v>
      </c>
      <c r="R21" s="29">
        <f>Item_Enchant_Old!R25</f>
        <v>0</v>
      </c>
    </row>
    <row r="22" spans="1:18" s="29" customFormat="1" hidden="1">
      <c r="A22" s="29">
        <f>Item_Enchant_Old!A26</f>
        <v>21</v>
      </c>
      <c r="B22" s="29" t="str">
        <f>Item_Enchant_Old!B26</f>
        <v>ACTIVE_NORMAL_SKILL_BLOCK_MODE_UP</v>
      </c>
      <c r="C22" s="29">
        <f>Item_Enchant_Old!C26</f>
        <v>652</v>
      </c>
      <c r="D22" s="29">
        <f>Item_Enchant_Old!D26</f>
        <v>0</v>
      </c>
      <c r="E22" s="29">
        <f>Item_Enchant_Old!E26</f>
        <v>0</v>
      </c>
      <c r="F22" s="29">
        <f>Item_Enchant_Old!F26</f>
        <v>4</v>
      </c>
      <c r="G22" s="29">
        <f>Item_Enchant_Old!G26</f>
        <v>12</v>
      </c>
      <c r="H22" s="29" t="str">
        <f>Item_Enchant_Old!H26</f>
        <v>@</v>
      </c>
      <c r="I22" s="29">
        <f>Item_Enchant_Old!I26</f>
        <v>1</v>
      </c>
      <c r="J22" s="29">
        <f>Item_Enchant_Old!J26</f>
        <v>0</v>
      </c>
      <c r="K22" s="29">
        <f>Item_Enchant_Old!K26</f>
        <v>1</v>
      </c>
      <c r="L22" s="29">
        <f>Item_Enchant_Old!L26</f>
        <v>0</v>
      </c>
      <c r="M22" s="29">
        <f>Item_Enchant_Old!M26</f>
        <v>0</v>
      </c>
      <c r="N22" s="29">
        <f>Item_Enchant_Old!N26</f>
        <v>9</v>
      </c>
      <c r="O22" s="29">
        <f>Item_Enchant_Old!O26</f>
        <v>0</v>
      </c>
      <c r="P22" s="29">
        <f>Item_Enchant_Old!P26</f>
        <v>0</v>
      </c>
      <c r="Q22" s="29">
        <f>Item_Enchant_Old!Q26</f>
        <v>0</v>
      </c>
      <c r="R22" s="29">
        <f>Item_Enchant_Old!R26</f>
        <v>0</v>
      </c>
    </row>
    <row r="23" spans="1:18" s="29" customFormat="1" hidden="1">
      <c r="A23" s="29">
        <f>Item_Enchant_Old!A27</f>
        <v>22</v>
      </c>
      <c r="B23" s="29" t="str">
        <f>Item_Enchant_Old!B27</f>
        <v>ACTIVE_CURSE_SKILL_BLOCK_MODE_UP</v>
      </c>
      <c r="C23" s="29">
        <f>Item_Enchant_Old!C27</f>
        <v>653</v>
      </c>
      <c r="D23" s="29">
        <f>Item_Enchant_Old!D27</f>
        <v>0</v>
      </c>
      <c r="E23" s="29">
        <f>Item_Enchant_Old!E27</f>
        <v>0</v>
      </c>
      <c r="F23" s="29">
        <f>Item_Enchant_Old!F27</f>
        <v>4</v>
      </c>
      <c r="G23" s="29">
        <f>Item_Enchant_Old!G27</f>
        <v>5</v>
      </c>
      <c r="H23" s="29" t="str">
        <f>Item_Enchant_Old!H27</f>
        <v>@</v>
      </c>
      <c r="I23" s="29">
        <f>Item_Enchant_Old!I27</f>
        <v>1</v>
      </c>
      <c r="J23" s="29">
        <f>Item_Enchant_Old!J27</f>
        <v>0</v>
      </c>
      <c r="K23" s="29">
        <f>Item_Enchant_Old!K27</f>
        <v>1</v>
      </c>
      <c r="L23" s="29">
        <f>Item_Enchant_Old!L27</f>
        <v>0</v>
      </c>
      <c r="M23" s="29">
        <f>Item_Enchant_Old!M27</f>
        <v>0</v>
      </c>
      <c r="N23" s="29">
        <f>Item_Enchant_Old!N27</f>
        <v>22</v>
      </c>
      <c r="O23" s="29">
        <f>Item_Enchant_Old!O27</f>
        <v>0</v>
      </c>
      <c r="P23" s="29">
        <f>Item_Enchant_Old!P27</f>
        <v>0</v>
      </c>
      <c r="Q23" s="29">
        <f>Item_Enchant_Old!Q27</f>
        <v>0</v>
      </c>
      <c r="R23" s="29">
        <f>Item_Enchant_Old!R27</f>
        <v>0</v>
      </c>
    </row>
    <row r="24" spans="1:18" s="29" customFormat="1" hidden="1">
      <c r="A24" s="29">
        <f>Item_Enchant_Old!A28</f>
        <v>23</v>
      </c>
      <c r="B24" s="29" t="str">
        <f>Item_Enchant_Old!B28</f>
        <v>ACTIVE_CURSE_SKILL_BLOCK_MODE_UP</v>
      </c>
      <c r="C24" s="29">
        <f>Item_Enchant_Old!C28</f>
        <v>653</v>
      </c>
      <c r="D24" s="29">
        <f>Item_Enchant_Old!D28</f>
        <v>0</v>
      </c>
      <c r="E24" s="29">
        <f>Item_Enchant_Old!E28</f>
        <v>0</v>
      </c>
      <c r="F24" s="29">
        <f>Item_Enchant_Old!F28</f>
        <v>4</v>
      </c>
      <c r="G24" s="29">
        <f>Item_Enchant_Old!G28</f>
        <v>8</v>
      </c>
      <c r="H24" s="29" t="str">
        <f>Item_Enchant_Old!H28</f>
        <v>@</v>
      </c>
      <c r="I24" s="29">
        <f>Item_Enchant_Old!I28</f>
        <v>1</v>
      </c>
      <c r="J24" s="29">
        <f>Item_Enchant_Old!J28</f>
        <v>0</v>
      </c>
      <c r="K24" s="29">
        <f>Item_Enchant_Old!K28</f>
        <v>1</v>
      </c>
      <c r="L24" s="29">
        <f>Item_Enchant_Old!L28</f>
        <v>0</v>
      </c>
      <c r="M24" s="29">
        <f>Item_Enchant_Old!M28</f>
        <v>0</v>
      </c>
      <c r="N24" s="29">
        <f>Item_Enchant_Old!N28</f>
        <v>13</v>
      </c>
      <c r="O24" s="29">
        <f>Item_Enchant_Old!O28</f>
        <v>0</v>
      </c>
      <c r="P24" s="29">
        <f>Item_Enchant_Old!P28</f>
        <v>0</v>
      </c>
      <c r="Q24" s="29">
        <f>Item_Enchant_Old!Q28</f>
        <v>0</v>
      </c>
      <c r="R24" s="29">
        <f>Item_Enchant_Old!R28</f>
        <v>0</v>
      </c>
    </row>
    <row r="25" spans="1:18" s="29" customFormat="1" hidden="1">
      <c r="A25" s="29">
        <f>Item_Enchant_Old!A29</f>
        <v>24</v>
      </c>
      <c r="B25" s="29" t="str">
        <f>Item_Enchant_Old!B29</f>
        <v>ACTIVE_CURSE_SKILL_BLOCK_MODE_UP</v>
      </c>
      <c r="C25" s="29">
        <f>Item_Enchant_Old!C29</f>
        <v>653</v>
      </c>
      <c r="D25" s="29">
        <f>Item_Enchant_Old!D29</f>
        <v>0</v>
      </c>
      <c r="E25" s="29">
        <f>Item_Enchant_Old!E29</f>
        <v>0</v>
      </c>
      <c r="F25" s="29">
        <f>Item_Enchant_Old!F29</f>
        <v>4</v>
      </c>
      <c r="G25" s="29">
        <f>Item_Enchant_Old!G29</f>
        <v>12</v>
      </c>
      <c r="H25" s="29" t="str">
        <f>Item_Enchant_Old!H29</f>
        <v>@</v>
      </c>
      <c r="I25" s="29">
        <f>Item_Enchant_Old!I29</f>
        <v>1</v>
      </c>
      <c r="J25" s="29">
        <f>Item_Enchant_Old!J29</f>
        <v>0</v>
      </c>
      <c r="K25" s="29">
        <f>Item_Enchant_Old!K29</f>
        <v>1</v>
      </c>
      <c r="L25" s="29">
        <f>Item_Enchant_Old!L29</f>
        <v>0</v>
      </c>
      <c r="M25" s="29">
        <f>Item_Enchant_Old!M29</f>
        <v>0</v>
      </c>
      <c r="N25" s="29">
        <f>Item_Enchant_Old!N29</f>
        <v>9</v>
      </c>
      <c r="O25" s="29">
        <f>Item_Enchant_Old!O29</f>
        <v>0</v>
      </c>
      <c r="P25" s="29">
        <f>Item_Enchant_Old!P29</f>
        <v>0</v>
      </c>
      <c r="Q25" s="29">
        <f>Item_Enchant_Old!Q29</f>
        <v>0</v>
      </c>
      <c r="R25" s="29">
        <f>Item_Enchant_Old!R29</f>
        <v>0</v>
      </c>
    </row>
    <row r="26" spans="1:18" s="29" customFormat="1" hidden="1">
      <c r="A26" s="29">
        <f>Item_Enchant_Old!A30</f>
        <v>25</v>
      </c>
      <c r="B26" s="29" t="str">
        <f>Item_Enchant_Old!B30</f>
        <v>ACTIVE_KNOCKDOWN_ATTACK_BLOCK_MODE_UP</v>
      </c>
      <c r="C26" s="29">
        <f>Item_Enchant_Old!C30</f>
        <v>654</v>
      </c>
      <c r="D26" s="29">
        <f>Item_Enchant_Old!D30</f>
        <v>0</v>
      </c>
      <c r="E26" s="29">
        <f>Item_Enchant_Old!E30</f>
        <v>0</v>
      </c>
      <c r="F26" s="29">
        <f>Item_Enchant_Old!F30</f>
        <v>4</v>
      </c>
      <c r="G26" s="29">
        <f>Item_Enchant_Old!G30</f>
        <v>5</v>
      </c>
      <c r="H26" s="29" t="str">
        <f>Item_Enchant_Old!H30</f>
        <v>@</v>
      </c>
      <c r="I26" s="29">
        <f>Item_Enchant_Old!I30</f>
        <v>1</v>
      </c>
      <c r="J26" s="29" t="str">
        <f>Item_Enchant_Old!J30</f>
        <v>절대값</v>
      </c>
      <c r="K26" s="29">
        <f>Item_Enchant_Old!K30</f>
        <v>1</v>
      </c>
      <c r="L26" s="29">
        <f>Item_Enchant_Old!L30</f>
        <v>0</v>
      </c>
      <c r="M26" s="29">
        <f>Item_Enchant_Old!M30</f>
        <v>0</v>
      </c>
      <c r="N26" s="29">
        <f>Item_Enchant_Old!N30</f>
        <v>22</v>
      </c>
      <c r="O26" s="29">
        <f>Item_Enchant_Old!O30</f>
        <v>0</v>
      </c>
      <c r="P26" s="29">
        <f>Item_Enchant_Old!P30</f>
        <v>0</v>
      </c>
      <c r="Q26" s="29">
        <f>Item_Enchant_Old!Q30</f>
        <v>0</v>
      </c>
      <c r="R26" s="29">
        <f>Item_Enchant_Old!R30</f>
        <v>0</v>
      </c>
    </row>
    <row r="27" spans="1:18" s="29" customFormat="1" hidden="1">
      <c r="A27" s="29">
        <f>Item_Enchant_Old!A31</f>
        <v>26</v>
      </c>
      <c r="B27" s="29" t="str">
        <f>Item_Enchant_Old!B31</f>
        <v>ACTIVE_KNOCKDOWN_ATTACK_BLOCK_MODE_UP</v>
      </c>
      <c r="C27" s="29">
        <f>Item_Enchant_Old!C31</f>
        <v>654</v>
      </c>
      <c r="D27" s="29">
        <f>Item_Enchant_Old!D31</f>
        <v>0</v>
      </c>
      <c r="E27" s="29">
        <f>Item_Enchant_Old!E31</f>
        <v>0</v>
      </c>
      <c r="F27" s="29">
        <f>Item_Enchant_Old!F31</f>
        <v>4</v>
      </c>
      <c r="G27" s="29">
        <f>Item_Enchant_Old!G31</f>
        <v>8</v>
      </c>
      <c r="H27" s="29" t="str">
        <f>Item_Enchant_Old!H31</f>
        <v>@</v>
      </c>
      <c r="I27" s="29">
        <f>Item_Enchant_Old!I31</f>
        <v>1</v>
      </c>
      <c r="J27" s="29" t="str">
        <f>Item_Enchant_Old!J31</f>
        <v>절대값</v>
      </c>
      <c r="K27" s="29">
        <f>Item_Enchant_Old!K31</f>
        <v>1</v>
      </c>
      <c r="L27" s="29">
        <f>Item_Enchant_Old!L31</f>
        <v>0</v>
      </c>
      <c r="M27" s="29">
        <f>Item_Enchant_Old!M31</f>
        <v>0</v>
      </c>
      <c r="N27" s="29">
        <f>Item_Enchant_Old!N31</f>
        <v>13</v>
      </c>
      <c r="O27" s="29">
        <f>Item_Enchant_Old!O31</f>
        <v>0</v>
      </c>
      <c r="P27" s="29">
        <f>Item_Enchant_Old!P31</f>
        <v>0</v>
      </c>
      <c r="Q27" s="29">
        <f>Item_Enchant_Old!Q31</f>
        <v>0</v>
      </c>
      <c r="R27" s="29">
        <f>Item_Enchant_Old!R31</f>
        <v>0</v>
      </c>
    </row>
    <row r="28" spans="1:18" s="29" customFormat="1" hidden="1">
      <c r="A28" s="29">
        <f>Item_Enchant_Old!A32</f>
        <v>27</v>
      </c>
      <c r="B28" s="29" t="str">
        <f>Item_Enchant_Old!B32</f>
        <v>ACTIVE_KNOCKDOWN_ATTACK_BLOCK_MODE_UP</v>
      </c>
      <c r="C28" s="29">
        <f>Item_Enchant_Old!C32</f>
        <v>654</v>
      </c>
      <c r="D28" s="29">
        <f>Item_Enchant_Old!D32</f>
        <v>0</v>
      </c>
      <c r="E28" s="29">
        <f>Item_Enchant_Old!E32</f>
        <v>0</v>
      </c>
      <c r="F28" s="29">
        <f>Item_Enchant_Old!F32</f>
        <v>4</v>
      </c>
      <c r="G28" s="29">
        <f>Item_Enchant_Old!G32</f>
        <v>12</v>
      </c>
      <c r="H28" s="29" t="str">
        <f>Item_Enchant_Old!H32</f>
        <v>@</v>
      </c>
      <c r="I28" s="29">
        <f>Item_Enchant_Old!I32</f>
        <v>1</v>
      </c>
      <c r="J28" s="29" t="str">
        <f>Item_Enchant_Old!J32</f>
        <v>절대값</v>
      </c>
      <c r="K28" s="29">
        <f>Item_Enchant_Old!K32</f>
        <v>1</v>
      </c>
      <c r="L28" s="29">
        <f>Item_Enchant_Old!L32</f>
        <v>0</v>
      </c>
      <c r="M28" s="29">
        <f>Item_Enchant_Old!M32</f>
        <v>0</v>
      </c>
      <c r="N28" s="29">
        <f>Item_Enchant_Old!N32</f>
        <v>9</v>
      </c>
      <c r="O28" s="29">
        <f>Item_Enchant_Old!O32</f>
        <v>0</v>
      </c>
      <c r="P28" s="29">
        <f>Item_Enchant_Old!P32</f>
        <v>0</v>
      </c>
      <c r="Q28" s="29">
        <f>Item_Enchant_Old!Q32</f>
        <v>0</v>
      </c>
      <c r="R28" s="29">
        <f>Item_Enchant_Old!R32</f>
        <v>0</v>
      </c>
    </row>
    <row r="29" spans="1:18" s="29" customFormat="1" hidden="1">
      <c r="A29" s="29">
        <f>Item_Enchant_Old!A33</f>
        <v>28</v>
      </c>
      <c r="B29" s="29" t="str">
        <f>Item_Enchant_Old!B33</f>
        <v>ACTIVE_HTB_SKILL_BLOCK_MODE_UP</v>
      </c>
      <c r="C29" s="29">
        <f>Item_Enchant_Old!C33</f>
        <v>655</v>
      </c>
      <c r="D29" s="29">
        <f>Item_Enchant_Old!D33</f>
        <v>0</v>
      </c>
      <c r="E29" s="29">
        <f>Item_Enchant_Old!E33</f>
        <v>0</v>
      </c>
      <c r="F29" s="29">
        <f>Item_Enchant_Old!F33</f>
        <v>4</v>
      </c>
      <c r="G29" s="29">
        <f>Item_Enchant_Old!G33</f>
        <v>5</v>
      </c>
      <c r="H29" s="29" t="str">
        <f>Item_Enchant_Old!H33</f>
        <v>@</v>
      </c>
      <c r="I29" s="29">
        <f>Item_Enchant_Old!I33</f>
        <v>1</v>
      </c>
      <c r="J29" s="29">
        <f>Item_Enchant_Old!J33</f>
        <v>0</v>
      </c>
      <c r="K29" s="29">
        <f>Item_Enchant_Old!K33</f>
        <v>1</v>
      </c>
      <c r="L29" s="29">
        <f>Item_Enchant_Old!L33</f>
        <v>0</v>
      </c>
      <c r="M29" s="29">
        <f>Item_Enchant_Old!M33</f>
        <v>0</v>
      </c>
      <c r="N29" s="29">
        <f>Item_Enchant_Old!N33</f>
        <v>22</v>
      </c>
      <c r="O29" s="29">
        <f>Item_Enchant_Old!O33</f>
        <v>0</v>
      </c>
      <c r="P29" s="29">
        <f>Item_Enchant_Old!P33</f>
        <v>0</v>
      </c>
      <c r="Q29" s="29">
        <f>Item_Enchant_Old!Q33</f>
        <v>0</v>
      </c>
      <c r="R29" s="29">
        <f>Item_Enchant_Old!R33</f>
        <v>0</v>
      </c>
    </row>
    <row r="30" spans="1:18" s="29" customFormat="1" hidden="1">
      <c r="A30" s="29">
        <f>Item_Enchant_Old!A34</f>
        <v>29</v>
      </c>
      <c r="B30" s="29" t="str">
        <f>Item_Enchant_Old!B34</f>
        <v>ACTIVE_HTB_SKILL_BLOCK_MODE_UP</v>
      </c>
      <c r="C30" s="29">
        <f>Item_Enchant_Old!C34</f>
        <v>655</v>
      </c>
      <c r="D30" s="29">
        <f>Item_Enchant_Old!D34</f>
        <v>0</v>
      </c>
      <c r="E30" s="29">
        <f>Item_Enchant_Old!E34</f>
        <v>0</v>
      </c>
      <c r="F30" s="29">
        <f>Item_Enchant_Old!F34</f>
        <v>4</v>
      </c>
      <c r="G30" s="29">
        <f>Item_Enchant_Old!G34</f>
        <v>8</v>
      </c>
      <c r="H30" s="29" t="str">
        <f>Item_Enchant_Old!H34</f>
        <v>@</v>
      </c>
      <c r="I30" s="29">
        <f>Item_Enchant_Old!I34</f>
        <v>1</v>
      </c>
      <c r="J30" s="29">
        <f>Item_Enchant_Old!J34</f>
        <v>0</v>
      </c>
      <c r="K30" s="29">
        <f>Item_Enchant_Old!K34</f>
        <v>1</v>
      </c>
      <c r="L30" s="29">
        <f>Item_Enchant_Old!L34</f>
        <v>0</v>
      </c>
      <c r="M30" s="29">
        <f>Item_Enchant_Old!M34</f>
        <v>0</v>
      </c>
      <c r="N30" s="29">
        <f>Item_Enchant_Old!N34</f>
        <v>13</v>
      </c>
      <c r="O30" s="29">
        <f>Item_Enchant_Old!O34</f>
        <v>0</v>
      </c>
      <c r="P30" s="29">
        <f>Item_Enchant_Old!P34</f>
        <v>0</v>
      </c>
      <c r="Q30" s="29">
        <f>Item_Enchant_Old!Q34</f>
        <v>0</v>
      </c>
      <c r="R30" s="29">
        <f>Item_Enchant_Old!R34</f>
        <v>0</v>
      </c>
    </row>
    <row r="31" spans="1:18" s="29" customFormat="1" hidden="1">
      <c r="A31" s="29">
        <f>Item_Enchant_Old!A35</f>
        <v>30</v>
      </c>
      <c r="B31" s="29" t="str">
        <f>Item_Enchant_Old!B35</f>
        <v>ACTIVE_HTB_SKILL_BLOCK_MODE_UP</v>
      </c>
      <c r="C31" s="29">
        <f>Item_Enchant_Old!C35</f>
        <v>655</v>
      </c>
      <c r="D31" s="29">
        <f>Item_Enchant_Old!D35</f>
        <v>0</v>
      </c>
      <c r="E31" s="29">
        <f>Item_Enchant_Old!E35</f>
        <v>0</v>
      </c>
      <c r="F31" s="29">
        <f>Item_Enchant_Old!F35</f>
        <v>4</v>
      </c>
      <c r="G31" s="29">
        <f>Item_Enchant_Old!G35</f>
        <v>12</v>
      </c>
      <c r="H31" s="29" t="str">
        <f>Item_Enchant_Old!H35</f>
        <v>@</v>
      </c>
      <c r="I31" s="29">
        <f>Item_Enchant_Old!I35</f>
        <v>1</v>
      </c>
      <c r="J31" s="29">
        <f>Item_Enchant_Old!J35</f>
        <v>0</v>
      </c>
      <c r="K31" s="29">
        <f>Item_Enchant_Old!K35</f>
        <v>1</v>
      </c>
      <c r="L31" s="29">
        <f>Item_Enchant_Old!L35</f>
        <v>0</v>
      </c>
      <c r="M31" s="29">
        <f>Item_Enchant_Old!M35</f>
        <v>0</v>
      </c>
      <c r="N31" s="29">
        <f>Item_Enchant_Old!N35</f>
        <v>9</v>
      </c>
      <c r="O31" s="29">
        <f>Item_Enchant_Old!O35</f>
        <v>0</v>
      </c>
      <c r="P31" s="29">
        <f>Item_Enchant_Old!P35</f>
        <v>0</v>
      </c>
      <c r="Q31" s="29">
        <f>Item_Enchant_Old!Q35</f>
        <v>0</v>
      </c>
      <c r="R31" s="29">
        <f>Item_Enchant_Old!R35</f>
        <v>0</v>
      </c>
    </row>
    <row r="32" spans="1:18" s="29" customFormat="1" hidden="1">
      <c r="A32" s="29">
        <f>Item_Enchant_Old!A36</f>
        <v>31</v>
      </c>
      <c r="B32" s="29" t="str">
        <f>Item_Enchant_Old!B36</f>
        <v>ACTIVE_ENERGY_OFFENCE_UP</v>
      </c>
      <c r="C32" s="29">
        <f>Item_Enchant_Old!C36</f>
        <v>607</v>
      </c>
      <c r="D32" s="29">
        <f>Item_Enchant_Old!D36</f>
        <v>0</v>
      </c>
      <c r="E32" s="29">
        <f>Item_Enchant_Old!E36</f>
        <v>2</v>
      </c>
      <c r="F32" s="29">
        <f>Item_Enchant_Old!F36</f>
        <v>5</v>
      </c>
      <c r="G32" s="29">
        <f>Item_Enchant_Old!G36</f>
        <v>2</v>
      </c>
      <c r="H32" s="29" t="str">
        <f>Item_Enchant_Old!H36</f>
        <v>@</v>
      </c>
      <c r="I32" s="29">
        <f>Item_Enchant_Old!I36</f>
        <v>1</v>
      </c>
      <c r="J32" s="29" t="str">
        <f>Item_Enchant_Old!J36</f>
        <v>절대값/상대값(%) 가능</v>
      </c>
      <c r="K32" s="29">
        <f>Item_Enchant_Old!K36</f>
        <v>1</v>
      </c>
      <c r="L32" s="29">
        <f>Item_Enchant_Old!L36</f>
        <v>0</v>
      </c>
      <c r="M32" s="29">
        <f>Item_Enchant_Old!M36</f>
        <v>0</v>
      </c>
      <c r="N32" s="29">
        <f>Item_Enchant_Old!N36</f>
        <v>52</v>
      </c>
      <c r="O32" s="29">
        <f>Item_Enchant_Old!O36</f>
        <v>0</v>
      </c>
      <c r="P32" s="29">
        <f>Item_Enchant_Old!P36</f>
        <v>0</v>
      </c>
      <c r="Q32" s="29">
        <f>Item_Enchant_Old!Q36</f>
        <v>0</v>
      </c>
      <c r="R32" s="29">
        <f>Item_Enchant_Old!R36</f>
        <v>0</v>
      </c>
    </row>
    <row r="33" spans="1:18" s="29" customFormat="1" hidden="1">
      <c r="A33" s="29">
        <f>Item_Enchant_Old!A37</f>
        <v>32</v>
      </c>
      <c r="B33" s="29" t="str">
        <f>Item_Enchant_Old!B37</f>
        <v>ACTIVE_CURSE_TOLERANCE</v>
      </c>
      <c r="C33" s="29">
        <f>Item_Enchant_Old!C37</f>
        <v>631</v>
      </c>
      <c r="D33" s="29">
        <f>Item_Enchant_Old!D37</f>
        <v>0</v>
      </c>
      <c r="E33" s="29">
        <f>Item_Enchant_Old!E37</f>
        <v>0</v>
      </c>
      <c r="F33" s="29">
        <f>Item_Enchant_Old!F37</f>
        <v>5</v>
      </c>
      <c r="G33" s="29">
        <f>Item_Enchant_Old!G37</f>
        <v>3</v>
      </c>
      <c r="H33" s="29" t="str">
        <f>Item_Enchant_Old!H37</f>
        <v>@</v>
      </c>
      <c r="I33" s="29">
        <f>Item_Enchant_Old!I37</f>
        <v>1</v>
      </c>
      <c r="J33" s="29" t="str">
        <f>Item_Enchant_Old!J37</f>
        <v>절대값/상대값(%) 가능</v>
      </c>
      <c r="K33" s="29">
        <f>Item_Enchant_Old!K37</f>
        <v>1</v>
      </c>
      <c r="L33" s="29">
        <f>Item_Enchant_Old!L37</f>
        <v>0</v>
      </c>
      <c r="M33" s="29">
        <f>Item_Enchant_Old!M37</f>
        <v>0</v>
      </c>
      <c r="N33" s="29">
        <f>Item_Enchant_Old!N37</f>
        <v>44</v>
      </c>
      <c r="O33" s="29">
        <f>Item_Enchant_Old!O37</f>
        <v>0</v>
      </c>
      <c r="P33" s="29">
        <f>Item_Enchant_Old!P37</f>
        <v>0</v>
      </c>
      <c r="Q33" s="29">
        <f>Item_Enchant_Old!Q37</f>
        <v>0</v>
      </c>
      <c r="R33" s="29">
        <f>Item_Enchant_Old!R37</f>
        <v>0</v>
      </c>
    </row>
    <row r="34" spans="1:18" s="29" customFormat="1" hidden="1">
      <c r="A34" s="29">
        <f>Item_Enchant_Old!A38</f>
        <v>33</v>
      </c>
      <c r="B34" s="29" t="str">
        <f>Item_Enchant_Old!B38</f>
        <v>ACTIVE_MAX_EP_UP</v>
      </c>
      <c r="C34" s="29">
        <f>Item_Enchant_Old!C38</f>
        <v>604</v>
      </c>
      <c r="D34" s="29">
        <f>Item_Enchant_Old!D38</f>
        <v>0</v>
      </c>
      <c r="E34" s="29">
        <f>Item_Enchant_Old!E38</f>
        <v>0</v>
      </c>
      <c r="F34" s="29">
        <f>Item_Enchant_Old!F38</f>
        <v>6</v>
      </c>
      <c r="G34" s="29">
        <f>Item_Enchant_Old!G38</f>
        <v>1</v>
      </c>
      <c r="H34" s="29" t="str">
        <f>Item_Enchant_Old!H38</f>
        <v>@</v>
      </c>
      <c r="I34" s="29">
        <f>Item_Enchant_Old!I38</f>
        <v>1</v>
      </c>
      <c r="J34" s="29" t="str">
        <f>Item_Enchant_Old!J38</f>
        <v>절대값/상대값(%) 가능</v>
      </c>
      <c r="K34" s="29">
        <f>Item_Enchant_Old!K38</f>
        <v>1</v>
      </c>
      <c r="L34" s="29">
        <f>Item_Enchant_Old!L38</f>
        <v>0</v>
      </c>
      <c r="M34" s="29">
        <f>Item_Enchant_Old!M38</f>
        <v>0</v>
      </c>
      <c r="N34" s="29">
        <f>Item_Enchant_Old!N38</f>
        <v>1406</v>
      </c>
      <c r="O34" s="29">
        <f>Item_Enchant_Old!O38</f>
        <v>0</v>
      </c>
      <c r="P34" s="29">
        <f>Item_Enchant_Old!P38</f>
        <v>0</v>
      </c>
      <c r="Q34" s="29">
        <f>Item_Enchant_Old!Q38</f>
        <v>0</v>
      </c>
      <c r="R34" s="29">
        <f>Item_Enchant_Old!R38</f>
        <v>0</v>
      </c>
    </row>
    <row r="35" spans="1:18" s="29" customFormat="1" hidden="1">
      <c r="A35" s="29">
        <f>Item_Enchant_Old!A39</f>
        <v>34</v>
      </c>
      <c r="B35" s="29" t="str">
        <f>Item_Enchant_Old!B39</f>
        <v>ACTIVE_EP_REGENERATION</v>
      </c>
      <c r="C35" s="29">
        <f>Item_Enchant_Old!C39</f>
        <v>628</v>
      </c>
      <c r="D35" s="29">
        <f>Item_Enchant_Old!D39</f>
        <v>0</v>
      </c>
      <c r="E35" s="29">
        <f>Item_Enchant_Old!E39</f>
        <v>0</v>
      </c>
      <c r="F35" s="29">
        <f>Item_Enchant_Old!F39</f>
        <v>6</v>
      </c>
      <c r="G35" s="29">
        <f>Item_Enchant_Old!G39</f>
        <v>2</v>
      </c>
      <c r="H35" s="29" t="str">
        <f>Item_Enchant_Old!H39</f>
        <v>@</v>
      </c>
      <c r="I35" s="29">
        <f>Item_Enchant_Old!I39</f>
        <v>1</v>
      </c>
      <c r="J35" s="29" t="str">
        <f>Item_Enchant_Old!J39</f>
        <v>절대값/상대값(%) 가능</v>
      </c>
      <c r="K35" s="29">
        <f>Item_Enchant_Old!K39</f>
        <v>1</v>
      </c>
      <c r="L35" s="29">
        <f>Item_Enchant_Old!L39</f>
        <v>0</v>
      </c>
      <c r="M35" s="29">
        <f>Item_Enchant_Old!M39</f>
        <v>0</v>
      </c>
      <c r="N35" s="29">
        <f>Item_Enchant_Old!N39</f>
        <v>78</v>
      </c>
      <c r="O35" s="29">
        <f>Item_Enchant_Old!O39</f>
        <v>0</v>
      </c>
      <c r="P35" s="29">
        <f>Item_Enchant_Old!P39</f>
        <v>0</v>
      </c>
      <c r="Q35" s="29">
        <f>Item_Enchant_Old!Q39</f>
        <v>0</v>
      </c>
      <c r="R35" s="29">
        <f>Item_Enchant_Old!R39</f>
        <v>0</v>
      </c>
    </row>
    <row r="36" spans="1:18" s="29" customFormat="1" hidden="1">
      <c r="A36" s="29">
        <f>Item_Enchant_Old!A40</f>
        <v>35</v>
      </c>
      <c r="B36" s="29" t="str">
        <f>Item_Enchant_Old!B40</f>
        <v>ACTIVE_SIT_DOWN_EP_REGENERATION_UP</v>
      </c>
      <c r="C36" s="29">
        <f>Item_Enchant_Old!C40</f>
        <v>657</v>
      </c>
      <c r="D36" s="29">
        <f>Item_Enchant_Old!D40</f>
        <v>0</v>
      </c>
      <c r="E36" s="29">
        <f>Item_Enchant_Old!E40</f>
        <v>0</v>
      </c>
      <c r="F36" s="29">
        <f>Item_Enchant_Old!F40</f>
        <v>6</v>
      </c>
      <c r="G36" s="29">
        <f>Item_Enchant_Old!G40</f>
        <v>3</v>
      </c>
      <c r="H36" s="29" t="str">
        <f>Item_Enchant_Old!H40</f>
        <v>@</v>
      </c>
      <c r="I36" s="29">
        <f>Item_Enchant_Old!I40</f>
        <v>1</v>
      </c>
      <c r="J36" s="29" t="str">
        <f>Item_Enchant_Old!J40</f>
        <v>절대값만 가능</v>
      </c>
      <c r="K36" s="29">
        <f>Item_Enchant_Old!K40</f>
        <v>1</v>
      </c>
      <c r="L36" s="29">
        <f>Item_Enchant_Old!L40</f>
        <v>0</v>
      </c>
      <c r="M36" s="29">
        <f>Item_Enchant_Old!M40</f>
        <v>0</v>
      </c>
      <c r="N36" s="29">
        <f>Item_Enchant_Old!N40</f>
        <v>34</v>
      </c>
      <c r="O36" s="29">
        <f>Item_Enchant_Old!O40</f>
        <v>0</v>
      </c>
      <c r="P36" s="29">
        <f>Item_Enchant_Old!P40</f>
        <v>0</v>
      </c>
      <c r="Q36" s="29">
        <f>Item_Enchant_Old!Q40</f>
        <v>0</v>
      </c>
      <c r="R36" s="29">
        <f>Item_Enchant_Old!R40</f>
        <v>0</v>
      </c>
    </row>
    <row r="37" spans="1:18" s="29" customFormat="1" hidden="1">
      <c r="A37" s="29">
        <f>Item_Enchant_Old!A41</f>
        <v>36</v>
      </c>
      <c r="B37" s="29" t="str">
        <f>Item_Enchant_Old!B41</f>
        <v>ACTIVE_PHYSICAL_DEFENCE_UP</v>
      </c>
      <c r="C37" s="29">
        <f>Item_Enchant_Old!C41</f>
        <v>608</v>
      </c>
      <c r="D37" s="29">
        <f>Item_Enchant_Old!D41</f>
        <v>0</v>
      </c>
      <c r="E37" s="29">
        <f>Item_Enchant_Old!E41</f>
        <v>3</v>
      </c>
      <c r="F37" s="29">
        <f>Item_Enchant_Old!F41</f>
        <v>0</v>
      </c>
      <c r="G37" s="29">
        <f>Item_Enchant_Old!G41</f>
        <v>1</v>
      </c>
      <c r="H37" s="29" t="str">
        <f>Item_Enchant_Old!H41</f>
        <v>@</v>
      </c>
      <c r="I37" s="29">
        <f>Item_Enchant_Old!I41</f>
        <v>1</v>
      </c>
      <c r="J37" s="29" t="str">
        <f>Item_Enchant_Old!J41</f>
        <v>절대값/상대값(%) 가능</v>
      </c>
      <c r="K37" s="29">
        <f>Item_Enchant_Old!K41</f>
        <v>1</v>
      </c>
      <c r="L37" s="29">
        <f>Item_Enchant_Old!L41</f>
        <v>0</v>
      </c>
      <c r="M37" s="29">
        <f>Item_Enchant_Old!M41</f>
        <v>0</v>
      </c>
      <c r="N37" s="29">
        <f>Item_Enchant_Old!N41</f>
        <v>675</v>
      </c>
      <c r="O37" s="29">
        <f>Item_Enchant_Old!O41</f>
        <v>0</v>
      </c>
      <c r="P37" s="29">
        <f>Item_Enchant_Old!P41</f>
        <v>0</v>
      </c>
      <c r="Q37" s="29">
        <f>Item_Enchant_Old!Q41</f>
        <v>0</v>
      </c>
      <c r="R37" s="29">
        <f>Item_Enchant_Old!R41</f>
        <v>0</v>
      </c>
    </row>
    <row r="38" spans="1:18" s="29" customFormat="1" hidden="1">
      <c r="A38" s="29">
        <f>Item_Enchant_Old!A42</f>
        <v>37</v>
      </c>
      <c r="B38" s="29" t="str">
        <f>Item_Enchant_Old!B42</f>
        <v>ACTIVE_PHYSICAL_DEFENCE_UP</v>
      </c>
      <c r="C38" s="29">
        <f>Item_Enchant_Old!C42</f>
        <v>608</v>
      </c>
      <c r="D38" s="29">
        <f>Item_Enchant_Old!D42</f>
        <v>0</v>
      </c>
      <c r="E38" s="29">
        <f>Item_Enchant_Old!E42</f>
        <v>3</v>
      </c>
      <c r="F38" s="29">
        <f>Item_Enchant_Old!F42</f>
        <v>0</v>
      </c>
      <c r="G38" s="29">
        <f>Item_Enchant_Old!G42</f>
        <v>1</v>
      </c>
      <c r="H38" s="29" t="str">
        <f>Item_Enchant_Old!H42</f>
        <v>@</v>
      </c>
      <c r="I38" s="29">
        <f>Item_Enchant_Old!I42</f>
        <v>1</v>
      </c>
      <c r="J38" s="29" t="str">
        <f>Item_Enchant_Old!J42</f>
        <v>절대값/상대값(%) 가능</v>
      </c>
      <c r="K38" s="29">
        <f>Item_Enchant_Old!K42</f>
        <v>1</v>
      </c>
      <c r="L38" s="29">
        <f>Item_Enchant_Old!L42</f>
        <v>0</v>
      </c>
      <c r="M38" s="29">
        <f>Item_Enchant_Old!M42</f>
        <v>0</v>
      </c>
      <c r="N38" s="29">
        <f>Item_Enchant_Old!N42</f>
        <v>405</v>
      </c>
      <c r="O38" s="29">
        <f>Item_Enchant_Old!O42</f>
        <v>0</v>
      </c>
      <c r="P38" s="29">
        <f>Item_Enchant_Old!P42</f>
        <v>0</v>
      </c>
      <c r="Q38" s="29">
        <f>Item_Enchant_Old!Q42</f>
        <v>0</v>
      </c>
      <c r="R38" s="29">
        <f>Item_Enchant_Old!R42</f>
        <v>0</v>
      </c>
    </row>
    <row r="39" spans="1:18" s="29" customFormat="1" hidden="1">
      <c r="A39" s="29">
        <f>Item_Enchant_Old!A43</f>
        <v>38</v>
      </c>
      <c r="B39" s="29" t="str">
        <f>Item_Enchant_Old!B43</f>
        <v>ACTIVE_PHYSICAL_DEFENCE_UP</v>
      </c>
      <c r="C39" s="29">
        <f>Item_Enchant_Old!C43</f>
        <v>608</v>
      </c>
      <c r="D39" s="29">
        <f>Item_Enchant_Old!D43</f>
        <v>0</v>
      </c>
      <c r="E39" s="29">
        <f>Item_Enchant_Old!E43</f>
        <v>3</v>
      </c>
      <c r="F39" s="29">
        <f>Item_Enchant_Old!F43</f>
        <v>0</v>
      </c>
      <c r="G39" s="29">
        <f>Item_Enchant_Old!G43</f>
        <v>1</v>
      </c>
      <c r="H39" s="29" t="str">
        <f>Item_Enchant_Old!H43</f>
        <v>@</v>
      </c>
      <c r="I39" s="29">
        <f>Item_Enchant_Old!I43</f>
        <v>1</v>
      </c>
      <c r="J39" s="29" t="str">
        <f>Item_Enchant_Old!J43</f>
        <v>절대값/상대값(%) 가능</v>
      </c>
      <c r="K39" s="29">
        <f>Item_Enchant_Old!K43</f>
        <v>1</v>
      </c>
      <c r="L39" s="29">
        <f>Item_Enchant_Old!L43</f>
        <v>0</v>
      </c>
      <c r="M39" s="29">
        <f>Item_Enchant_Old!M43</f>
        <v>0</v>
      </c>
      <c r="N39" s="29">
        <f>Item_Enchant_Old!N43</f>
        <v>270</v>
      </c>
      <c r="O39" s="29">
        <f>Item_Enchant_Old!O43</f>
        <v>0</v>
      </c>
      <c r="P39" s="29">
        <f>Item_Enchant_Old!P43</f>
        <v>0</v>
      </c>
      <c r="Q39" s="29">
        <f>Item_Enchant_Old!Q43</f>
        <v>0</v>
      </c>
      <c r="R39" s="29">
        <f>Item_Enchant_Old!R43</f>
        <v>0</v>
      </c>
    </row>
    <row r="40" spans="1:18" s="29" customFormat="1" hidden="1">
      <c r="A40" s="29">
        <f>Item_Enchant_Old!A44</f>
        <v>39</v>
      </c>
      <c r="B40" s="29" t="str">
        <f>Item_Enchant_Old!B44</f>
        <v>ACTIVE_PHYSICAL_DEFENCE_UP</v>
      </c>
      <c r="C40" s="29">
        <f>Item_Enchant_Old!C44</f>
        <v>608</v>
      </c>
      <c r="D40" s="29">
        <f>Item_Enchant_Old!D44</f>
        <v>0</v>
      </c>
      <c r="E40" s="29">
        <f>Item_Enchant_Old!E44</f>
        <v>3</v>
      </c>
      <c r="F40" s="29">
        <f>Item_Enchant_Old!F44</f>
        <v>0</v>
      </c>
      <c r="G40" s="29">
        <f>Item_Enchant_Old!G44</f>
        <v>1</v>
      </c>
      <c r="H40" s="29" t="str">
        <f>Item_Enchant_Old!H44</f>
        <v>@</v>
      </c>
      <c r="I40" s="29">
        <f>Item_Enchant_Old!I44</f>
        <v>1</v>
      </c>
      <c r="J40" s="29" t="str">
        <f>Item_Enchant_Old!J44</f>
        <v>절대값/상대값(%) 가능</v>
      </c>
      <c r="K40" s="29">
        <f>Item_Enchant_Old!K44</f>
        <v>1</v>
      </c>
      <c r="L40" s="29">
        <f>Item_Enchant_Old!L44</f>
        <v>0</v>
      </c>
      <c r="M40" s="29">
        <f>Item_Enchant_Old!M44</f>
        <v>0</v>
      </c>
      <c r="N40" s="29">
        <f>Item_Enchant_Old!N44</f>
        <v>1350</v>
      </c>
      <c r="O40" s="29">
        <f>Item_Enchant_Old!O44</f>
        <v>0</v>
      </c>
      <c r="P40" s="29">
        <f>Item_Enchant_Old!P44</f>
        <v>0</v>
      </c>
      <c r="Q40" s="29">
        <f>Item_Enchant_Old!Q44</f>
        <v>0</v>
      </c>
      <c r="R40" s="29">
        <f>Item_Enchant_Old!R44</f>
        <v>0</v>
      </c>
    </row>
    <row r="41" spans="1:18" s="29" customFormat="1" hidden="1">
      <c r="A41" s="29">
        <f>Item_Enchant_Old!A45</f>
        <v>40</v>
      </c>
      <c r="B41" s="29" t="str">
        <f>Item_Enchant_Old!B45</f>
        <v>ACTIVE_ENERGY_DEFENCE_UP</v>
      </c>
      <c r="C41" s="29">
        <f>Item_Enchant_Old!C45</f>
        <v>609</v>
      </c>
      <c r="D41" s="29">
        <f>Item_Enchant_Old!D45</f>
        <v>0</v>
      </c>
      <c r="E41" s="29">
        <f>Item_Enchant_Old!E45</f>
        <v>4</v>
      </c>
      <c r="F41" s="29">
        <f>Item_Enchant_Old!F45</f>
        <v>0</v>
      </c>
      <c r="G41" s="29">
        <f>Item_Enchant_Old!G45</f>
        <v>1</v>
      </c>
      <c r="H41" s="29" t="str">
        <f>Item_Enchant_Old!H45</f>
        <v>@</v>
      </c>
      <c r="I41" s="29">
        <f>Item_Enchant_Old!I45</f>
        <v>1</v>
      </c>
      <c r="J41" s="29" t="str">
        <f>Item_Enchant_Old!J45</f>
        <v>절대값/상대값(%) 가능</v>
      </c>
      <c r="K41" s="29">
        <f>Item_Enchant_Old!K45</f>
        <v>1</v>
      </c>
      <c r="L41" s="29">
        <f>Item_Enchant_Old!L45</f>
        <v>0</v>
      </c>
      <c r="M41" s="29">
        <f>Item_Enchant_Old!M45</f>
        <v>0</v>
      </c>
      <c r="N41" s="29">
        <f>Item_Enchant_Old!N45</f>
        <v>675</v>
      </c>
      <c r="O41" s="29">
        <f>Item_Enchant_Old!O45</f>
        <v>0</v>
      </c>
      <c r="P41" s="29">
        <f>Item_Enchant_Old!P45</f>
        <v>0</v>
      </c>
      <c r="Q41" s="29">
        <f>Item_Enchant_Old!Q45</f>
        <v>0</v>
      </c>
      <c r="R41" s="29">
        <f>Item_Enchant_Old!R45</f>
        <v>0</v>
      </c>
    </row>
    <row r="42" spans="1:18" s="29" customFormat="1" hidden="1">
      <c r="A42" s="29">
        <f>Item_Enchant_Old!A46</f>
        <v>41</v>
      </c>
      <c r="B42" s="29" t="str">
        <f>Item_Enchant_Old!B46</f>
        <v>ACTIVE_ENERGY_DEFENCE_UP</v>
      </c>
      <c r="C42" s="29">
        <f>Item_Enchant_Old!C46</f>
        <v>609</v>
      </c>
      <c r="D42" s="29">
        <f>Item_Enchant_Old!D46</f>
        <v>0</v>
      </c>
      <c r="E42" s="29">
        <f>Item_Enchant_Old!E46</f>
        <v>4</v>
      </c>
      <c r="F42" s="29">
        <f>Item_Enchant_Old!F46</f>
        <v>0</v>
      </c>
      <c r="G42" s="29">
        <f>Item_Enchant_Old!G46</f>
        <v>1</v>
      </c>
      <c r="H42" s="29" t="str">
        <f>Item_Enchant_Old!H46</f>
        <v>@</v>
      </c>
      <c r="I42" s="29">
        <f>Item_Enchant_Old!I46</f>
        <v>1</v>
      </c>
      <c r="J42" s="29" t="str">
        <f>Item_Enchant_Old!J46</f>
        <v>절대값/상대값(%) 가능</v>
      </c>
      <c r="K42" s="29">
        <f>Item_Enchant_Old!K46</f>
        <v>1</v>
      </c>
      <c r="L42" s="29">
        <f>Item_Enchant_Old!L46</f>
        <v>0</v>
      </c>
      <c r="M42" s="29">
        <f>Item_Enchant_Old!M46</f>
        <v>0</v>
      </c>
      <c r="N42" s="29">
        <f>Item_Enchant_Old!N46</f>
        <v>405</v>
      </c>
      <c r="O42" s="29">
        <f>Item_Enchant_Old!O46</f>
        <v>0</v>
      </c>
      <c r="P42" s="29">
        <f>Item_Enchant_Old!P46</f>
        <v>0</v>
      </c>
      <c r="Q42" s="29">
        <f>Item_Enchant_Old!Q46</f>
        <v>0</v>
      </c>
      <c r="R42" s="29">
        <f>Item_Enchant_Old!R46</f>
        <v>0</v>
      </c>
    </row>
    <row r="43" spans="1:18" s="29" customFormat="1" hidden="1">
      <c r="A43" s="29">
        <f>Item_Enchant_Old!A47</f>
        <v>42</v>
      </c>
      <c r="B43" s="29" t="str">
        <f>Item_Enchant_Old!B47</f>
        <v>ACTIVE_ENERGY_DEFENCE_UP</v>
      </c>
      <c r="C43" s="29">
        <f>Item_Enchant_Old!C47</f>
        <v>609</v>
      </c>
      <c r="D43" s="29">
        <f>Item_Enchant_Old!D47</f>
        <v>0</v>
      </c>
      <c r="E43" s="29">
        <f>Item_Enchant_Old!E47</f>
        <v>4</v>
      </c>
      <c r="F43" s="29">
        <f>Item_Enchant_Old!F47</f>
        <v>0</v>
      </c>
      <c r="G43" s="29">
        <f>Item_Enchant_Old!G47</f>
        <v>1</v>
      </c>
      <c r="H43" s="29" t="str">
        <f>Item_Enchant_Old!H47</f>
        <v>@</v>
      </c>
      <c r="I43" s="29">
        <f>Item_Enchant_Old!I47</f>
        <v>1</v>
      </c>
      <c r="J43" s="29" t="str">
        <f>Item_Enchant_Old!J47</f>
        <v>절대값/상대값(%) 가능</v>
      </c>
      <c r="K43" s="29">
        <f>Item_Enchant_Old!K47</f>
        <v>1</v>
      </c>
      <c r="L43" s="29">
        <f>Item_Enchant_Old!L47</f>
        <v>0</v>
      </c>
      <c r="M43" s="29">
        <f>Item_Enchant_Old!M47</f>
        <v>0</v>
      </c>
      <c r="N43" s="29">
        <f>Item_Enchant_Old!N47</f>
        <v>270</v>
      </c>
      <c r="O43" s="29">
        <f>Item_Enchant_Old!O47</f>
        <v>0</v>
      </c>
      <c r="P43" s="29">
        <f>Item_Enchant_Old!P47</f>
        <v>0</v>
      </c>
      <c r="Q43" s="29">
        <f>Item_Enchant_Old!Q47</f>
        <v>0</v>
      </c>
      <c r="R43" s="29">
        <f>Item_Enchant_Old!R47</f>
        <v>0</v>
      </c>
    </row>
    <row r="44" spans="1:18" s="29" customFormat="1" hidden="1">
      <c r="A44" s="29">
        <f>Item_Enchant_Old!A48</f>
        <v>43</v>
      </c>
      <c r="B44" s="29" t="str">
        <f>Item_Enchant_Old!B48</f>
        <v>ACTIVE_ENERGY_DEFENCE_UP</v>
      </c>
      <c r="C44" s="29">
        <f>Item_Enchant_Old!C48</f>
        <v>609</v>
      </c>
      <c r="D44" s="29">
        <f>Item_Enchant_Old!D48</f>
        <v>0</v>
      </c>
      <c r="E44" s="29">
        <f>Item_Enchant_Old!E48</f>
        <v>4</v>
      </c>
      <c r="F44" s="29">
        <f>Item_Enchant_Old!F48</f>
        <v>0</v>
      </c>
      <c r="G44" s="29">
        <f>Item_Enchant_Old!G48</f>
        <v>1</v>
      </c>
      <c r="H44" s="29" t="str">
        <f>Item_Enchant_Old!H48</f>
        <v>@</v>
      </c>
      <c r="I44" s="29">
        <f>Item_Enchant_Old!I48</f>
        <v>1</v>
      </c>
      <c r="J44" s="29" t="str">
        <f>Item_Enchant_Old!J48</f>
        <v>절대값/상대값(%) 가능</v>
      </c>
      <c r="K44" s="29">
        <f>Item_Enchant_Old!K48</f>
        <v>1</v>
      </c>
      <c r="L44" s="29">
        <f>Item_Enchant_Old!L48</f>
        <v>0</v>
      </c>
      <c r="M44" s="29">
        <f>Item_Enchant_Old!M48</f>
        <v>0</v>
      </c>
      <c r="N44" s="29">
        <f>Item_Enchant_Old!N48</f>
        <v>1350</v>
      </c>
      <c r="O44" s="29">
        <f>Item_Enchant_Old!O48</f>
        <v>0</v>
      </c>
      <c r="P44" s="29">
        <f>Item_Enchant_Old!P48</f>
        <v>0</v>
      </c>
      <c r="Q44" s="29">
        <f>Item_Enchant_Old!Q48</f>
        <v>0</v>
      </c>
      <c r="R44" s="29">
        <f>Item_Enchant_Old!R48</f>
        <v>0</v>
      </c>
    </row>
    <row r="45" spans="1:18" s="29" customFormat="1" hidden="1">
      <c r="A45" s="29">
        <f>Item_Enchant_Old!A49</f>
        <v>44</v>
      </c>
      <c r="B45" s="29" t="str">
        <f>Item_Enchant_Old!B49</f>
        <v>ACTIVE_HONEST_DEFENCE_UP</v>
      </c>
      <c r="C45" s="29">
        <f>Item_Enchant_Old!C49</f>
        <v>621</v>
      </c>
      <c r="D45" s="29">
        <f>Item_Enchant_Old!D49</f>
        <v>0</v>
      </c>
      <c r="E45" s="29">
        <f>Item_Enchant_Old!E49</f>
        <v>0</v>
      </c>
      <c r="F45" s="29">
        <f>Item_Enchant_Old!F49</f>
        <v>0</v>
      </c>
      <c r="G45" s="29">
        <f>Item_Enchant_Old!G49</f>
        <v>10</v>
      </c>
      <c r="H45" s="29" t="str">
        <f>Item_Enchant_Old!H49</f>
        <v>@</v>
      </c>
      <c r="I45" s="29">
        <f>Item_Enchant_Old!I49</f>
        <v>1</v>
      </c>
      <c r="J45" s="29" t="str">
        <f>Item_Enchant_Old!J49</f>
        <v>절대값만 가능</v>
      </c>
      <c r="K45" s="29">
        <f>Item_Enchant_Old!K49</f>
        <v>1</v>
      </c>
      <c r="L45" s="29">
        <f>Item_Enchant_Old!L49</f>
        <v>0</v>
      </c>
      <c r="M45" s="29">
        <f>Item_Enchant_Old!M49</f>
        <v>0</v>
      </c>
      <c r="N45" s="29">
        <f>Item_Enchant_Old!N49</f>
        <v>10</v>
      </c>
      <c r="O45" s="29">
        <f>Item_Enchant_Old!O49</f>
        <v>0</v>
      </c>
      <c r="P45" s="29">
        <f>Item_Enchant_Old!P49</f>
        <v>0</v>
      </c>
      <c r="Q45" s="29">
        <f>Item_Enchant_Old!Q49</f>
        <v>0</v>
      </c>
      <c r="R45" s="29">
        <f>Item_Enchant_Old!R49</f>
        <v>0</v>
      </c>
    </row>
    <row r="46" spans="1:18" s="29" customFormat="1" hidden="1">
      <c r="A46" s="29">
        <f>Item_Enchant_Old!A50</f>
        <v>45</v>
      </c>
      <c r="B46" s="29" t="str">
        <f>Item_Enchant_Old!B50</f>
        <v>ACTIVE_STRANGE_DEFENCE_UP</v>
      </c>
      <c r="C46" s="29">
        <f>Item_Enchant_Old!C50</f>
        <v>622</v>
      </c>
      <c r="D46" s="29">
        <f>Item_Enchant_Old!D50</f>
        <v>0</v>
      </c>
      <c r="E46" s="29">
        <f>Item_Enchant_Old!E50</f>
        <v>0</v>
      </c>
      <c r="F46" s="29">
        <f>Item_Enchant_Old!F50</f>
        <v>0</v>
      </c>
      <c r="G46" s="29">
        <f>Item_Enchant_Old!G50</f>
        <v>10</v>
      </c>
      <c r="H46" s="29" t="str">
        <f>Item_Enchant_Old!H50</f>
        <v>@</v>
      </c>
      <c r="I46" s="29">
        <f>Item_Enchant_Old!I50</f>
        <v>1</v>
      </c>
      <c r="J46" s="29" t="str">
        <f>Item_Enchant_Old!J50</f>
        <v>절대값만 가능</v>
      </c>
      <c r="K46" s="29">
        <f>Item_Enchant_Old!K50</f>
        <v>1</v>
      </c>
      <c r="L46" s="29">
        <f>Item_Enchant_Old!L50</f>
        <v>0</v>
      </c>
      <c r="M46" s="29">
        <f>Item_Enchant_Old!M50</f>
        <v>0</v>
      </c>
      <c r="N46" s="29">
        <f>Item_Enchant_Old!N50</f>
        <v>10</v>
      </c>
      <c r="O46" s="29">
        <f>Item_Enchant_Old!O50</f>
        <v>0</v>
      </c>
      <c r="P46" s="29">
        <f>Item_Enchant_Old!P50</f>
        <v>0</v>
      </c>
      <c r="Q46" s="29">
        <f>Item_Enchant_Old!Q50</f>
        <v>0</v>
      </c>
      <c r="R46" s="29">
        <f>Item_Enchant_Old!R50</f>
        <v>0</v>
      </c>
    </row>
    <row r="47" spans="1:18" s="29" customFormat="1" hidden="1">
      <c r="A47" s="29">
        <f>Item_Enchant_Old!A51</f>
        <v>46</v>
      </c>
      <c r="B47" s="29" t="str">
        <f>Item_Enchant_Old!B51</f>
        <v>ACTIVE_WILD_DEFENCE_UP</v>
      </c>
      <c r="C47" s="29">
        <f>Item_Enchant_Old!C51</f>
        <v>623</v>
      </c>
      <c r="D47" s="29">
        <f>Item_Enchant_Old!D51</f>
        <v>0</v>
      </c>
      <c r="E47" s="29">
        <f>Item_Enchant_Old!E51</f>
        <v>0</v>
      </c>
      <c r="F47" s="29">
        <f>Item_Enchant_Old!F51</f>
        <v>0</v>
      </c>
      <c r="G47" s="29">
        <f>Item_Enchant_Old!G51</f>
        <v>10</v>
      </c>
      <c r="H47" s="29" t="str">
        <f>Item_Enchant_Old!H51</f>
        <v>@</v>
      </c>
      <c r="I47" s="29">
        <f>Item_Enchant_Old!I51</f>
        <v>1</v>
      </c>
      <c r="J47" s="29" t="str">
        <f>Item_Enchant_Old!J51</f>
        <v>절대값만 가능</v>
      </c>
      <c r="K47" s="29">
        <f>Item_Enchant_Old!K51</f>
        <v>1</v>
      </c>
      <c r="L47" s="29">
        <f>Item_Enchant_Old!L51</f>
        <v>0</v>
      </c>
      <c r="M47" s="29">
        <f>Item_Enchant_Old!M51</f>
        <v>0</v>
      </c>
      <c r="N47" s="29">
        <f>Item_Enchant_Old!N51</f>
        <v>10</v>
      </c>
      <c r="O47" s="29">
        <f>Item_Enchant_Old!O51</f>
        <v>0</v>
      </c>
      <c r="P47" s="29">
        <f>Item_Enchant_Old!P51</f>
        <v>0</v>
      </c>
      <c r="Q47" s="29">
        <f>Item_Enchant_Old!Q51</f>
        <v>0</v>
      </c>
      <c r="R47" s="29">
        <f>Item_Enchant_Old!R51</f>
        <v>0</v>
      </c>
    </row>
    <row r="48" spans="1:18" s="29" customFormat="1" hidden="1">
      <c r="A48" s="29">
        <f>Item_Enchant_Old!A52</f>
        <v>47</v>
      </c>
      <c r="B48" s="29" t="str">
        <f>Item_Enchant_Old!B52</f>
        <v>ACTIVE_ELEGANCE_DEFENCE_UP</v>
      </c>
      <c r="C48" s="29">
        <f>Item_Enchant_Old!C52</f>
        <v>624</v>
      </c>
      <c r="D48" s="29">
        <f>Item_Enchant_Old!D52</f>
        <v>0</v>
      </c>
      <c r="E48" s="29">
        <f>Item_Enchant_Old!E52</f>
        <v>0</v>
      </c>
      <c r="F48" s="29">
        <f>Item_Enchant_Old!F52</f>
        <v>0</v>
      </c>
      <c r="G48" s="29">
        <f>Item_Enchant_Old!G52</f>
        <v>10</v>
      </c>
      <c r="H48" s="29" t="str">
        <f>Item_Enchant_Old!H52</f>
        <v>@</v>
      </c>
      <c r="I48" s="29">
        <f>Item_Enchant_Old!I52</f>
        <v>1</v>
      </c>
      <c r="J48" s="29" t="str">
        <f>Item_Enchant_Old!J52</f>
        <v>절대값만 가능</v>
      </c>
      <c r="K48" s="29">
        <f>Item_Enchant_Old!K52</f>
        <v>1</v>
      </c>
      <c r="L48" s="29">
        <f>Item_Enchant_Old!L52</f>
        <v>0</v>
      </c>
      <c r="M48" s="29">
        <f>Item_Enchant_Old!M52</f>
        <v>0</v>
      </c>
      <c r="N48" s="29">
        <f>Item_Enchant_Old!N52</f>
        <v>10</v>
      </c>
      <c r="O48" s="29">
        <f>Item_Enchant_Old!O52</f>
        <v>0</v>
      </c>
      <c r="P48" s="29">
        <f>Item_Enchant_Old!P52</f>
        <v>0</v>
      </c>
      <c r="Q48" s="29">
        <f>Item_Enchant_Old!Q52</f>
        <v>0</v>
      </c>
      <c r="R48" s="29">
        <f>Item_Enchant_Old!R52</f>
        <v>0</v>
      </c>
    </row>
    <row r="49" spans="1:18" s="29" customFormat="1" hidden="1">
      <c r="A49" s="29">
        <f>Item_Enchant_Old!A53</f>
        <v>48</v>
      </c>
      <c r="B49" s="29" t="str">
        <f>Item_Enchant_Old!B53</f>
        <v>ACTIVE_FUNNY_DEFENCE_UP</v>
      </c>
      <c r="C49" s="29">
        <f>Item_Enchant_Old!C53</f>
        <v>625</v>
      </c>
      <c r="D49" s="29">
        <f>Item_Enchant_Old!D53</f>
        <v>0</v>
      </c>
      <c r="E49" s="29">
        <f>Item_Enchant_Old!E53</f>
        <v>0</v>
      </c>
      <c r="F49" s="29">
        <f>Item_Enchant_Old!F53</f>
        <v>0</v>
      </c>
      <c r="G49" s="29">
        <f>Item_Enchant_Old!G53</f>
        <v>10</v>
      </c>
      <c r="H49" s="29" t="str">
        <f>Item_Enchant_Old!H53</f>
        <v>@</v>
      </c>
      <c r="I49" s="29">
        <f>Item_Enchant_Old!I53</f>
        <v>1</v>
      </c>
      <c r="J49" s="29" t="str">
        <f>Item_Enchant_Old!J53</f>
        <v>절대값만 가능</v>
      </c>
      <c r="K49" s="29">
        <f>Item_Enchant_Old!K53</f>
        <v>1</v>
      </c>
      <c r="L49" s="29">
        <f>Item_Enchant_Old!L53</f>
        <v>0</v>
      </c>
      <c r="M49" s="29">
        <f>Item_Enchant_Old!M53</f>
        <v>0</v>
      </c>
      <c r="N49" s="29">
        <f>Item_Enchant_Old!N53</f>
        <v>10</v>
      </c>
      <c r="O49" s="29">
        <f>Item_Enchant_Old!O53</f>
        <v>0</v>
      </c>
      <c r="P49" s="29">
        <f>Item_Enchant_Old!P53</f>
        <v>0</v>
      </c>
      <c r="Q49" s="29">
        <f>Item_Enchant_Old!Q53</f>
        <v>0</v>
      </c>
      <c r="R49" s="29">
        <f>Item_Enchant_Old!R53</f>
        <v>0</v>
      </c>
    </row>
    <row r="50" spans="1:18" s="29" customFormat="1" hidden="1">
      <c r="A50" s="29">
        <f>Item_Enchant_Old!A54</f>
        <v>49</v>
      </c>
      <c r="B50" s="29" t="str">
        <f>Item_Enchant_Old!B54</f>
        <v>ACTIVE_HONEST_DEFENCE_UP</v>
      </c>
      <c r="C50" s="29">
        <f>Item_Enchant_Old!C54</f>
        <v>621</v>
      </c>
      <c r="D50" s="29">
        <f>Item_Enchant_Old!D54</f>
        <v>0</v>
      </c>
      <c r="E50" s="29">
        <f>Item_Enchant_Old!E54</f>
        <v>0</v>
      </c>
      <c r="F50" s="29">
        <f>Item_Enchant_Old!F54</f>
        <v>0</v>
      </c>
      <c r="G50" s="29">
        <f>Item_Enchant_Old!G54</f>
        <v>17</v>
      </c>
      <c r="H50" s="29" t="str">
        <f>Item_Enchant_Old!H54</f>
        <v>@</v>
      </c>
      <c r="I50" s="29">
        <f>Item_Enchant_Old!I54</f>
        <v>1</v>
      </c>
      <c r="J50" s="29" t="str">
        <f>Item_Enchant_Old!J54</f>
        <v>절대값만 가능</v>
      </c>
      <c r="K50" s="29">
        <f>Item_Enchant_Old!K54</f>
        <v>1</v>
      </c>
      <c r="L50" s="29">
        <f>Item_Enchant_Old!L54</f>
        <v>0</v>
      </c>
      <c r="M50" s="29">
        <f>Item_Enchant_Old!M54</f>
        <v>0</v>
      </c>
      <c r="N50" s="29">
        <f>Item_Enchant_Old!N54</f>
        <v>6</v>
      </c>
      <c r="O50" s="29">
        <f>Item_Enchant_Old!O54</f>
        <v>0</v>
      </c>
      <c r="P50" s="29">
        <f>Item_Enchant_Old!P54</f>
        <v>0</v>
      </c>
      <c r="Q50" s="29">
        <f>Item_Enchant_Old!Q54</f>
        <v>0</v>
      </c>
      <c r="R50" s="29">
        <f>Item_Enchant_Old!R54</f>
        <v>0</v>
      </c>
    </row>
    <row r="51" spans="1:18" s="29" customFormat="1" hidden="1">
      <c r="A51" s="29">
        <f>Item_Enchant_Old!A55</f>
        <v>50</v>
      </c>
      <c r="B51" s="29" t="str">
        <f>Item_Enchant_Old!B55</f>
        <v>ACTIVE_STRANGE_DEFENCE_UP</v>
      </c>
      <c r="C51" s="29">
        <f>Item_Enchant_Old!C55</f>
        <v>622</v>
      </c>
      <c r="D51" s="29">
        <f>Item_Enchant_Old!D55</f>
        <v>0</v>
      </c>
      <c r="E51" s="29">
        <f>Item_Enchant_Old!E55</f>
        <v>0</v>
      </c>
      <c r="F51" s="29">
        <f>Item_Enchant_Old!F55</f>
        <v>0</v>
      </c>
      <c r="G51" s="29">
        <f>Item_Enchant_Old!G55</f>
        <v>17</v>
      </c>
      <c r="H51" s="29" t="str">
        <f>Item_Enchant_Old!H55</f>
        <v>@</v>
      </c>
      <c r="I51" s="29">
        <f>Item_Enchant_Old!I55</f>
        <v>1</v>
      </c>
      <c r="J51" s="29" t="str">
        <f>Item_Enchant_Old!J55</f>
        <v>절대값만 가능</v>
      </c>
      <c r="K51" s="29">
        <f>Item_Enchant_Old!K55</f>
        <v>1</v>
      </c>
      <c r="L51" s="29">
        <f>Item_Enchant_Old!L55</f>
        <v>0</v>
      </c>
      <c r="M51" s="29">
        <f>Item_Enchant_Old!M55</f>
        <v>0</v>
      </c>
      <c r="N51" s="29">
        <f>Item_Enchant_Old!N55</f>
        <v>6</v>
      </c>
      <c r="O51" s="29">
        <f>Item_Enchant_Old!O55</f>
        <v>0</v>
      </c>
      <c r="P51" s="29">
        <f>Item_Enchant_Old!P55</f>
        <v>0</v>
      </c>
      <c r="Q51" s="29">
        <f>Item_Enchant_Old!Q55</f>
        <v>0</v>
      </c>
      <c r="R51" s="29">
        <f>Item_Enchant_Old!R55</f>
        <v>0</v>
      </c>
    </row>
    <row r="52" spans="1:18" s="29" customFormat="1" hidden="1">
      <c r="A52" s="29">
        <f>Item_Enchant_Old!A56</f>
        <v>51</v>
      </c>
      <c r="B52" s="29" t="str">
        <f>Item_Enchant_Old!B56</f>
        <v>ACTIVE_WILD_DEFENCE_UP</v>
      </c>
      <c r="C52" s="29">
        <f>Item_Enchant_Old!C56</f>
        <v>623</v>
      </c>
      <c r="D52" s="29">
        <f>Item_Enchant_Old!D56</f>
        <v>0</v>
      </c>
      <c r="E52" s="29">
        <f>Item_Enchant_Old!E56</f>
        <v>0</v>
      </c>
      <c r="F52" s="29">
        <f>Item_Enchant_Old!F56</f>
        <v>0</v>
      </c>
      <c r="G52" s="29">
        <f>Item_Enchant_Old!G56</f>
        <v>17</v>
      </c>
      <c r="H52" s="29" t="str">
        <f>Item_Enchant_Old!H56</f>
        <v>@</v>
      </c>
      <c r="I52" s="29">
        <f>Item_Enchant_Old!I56</f>
        <v>1</v>
      </c>
      <c r="J52" s="29" t="str">
        <f>Item_Enchant_Old!J56</f>
        <v>절대값만 가능</v>
      </c>
      <c r="K52" s="29">
        <f>Item_Enchant_Old!K56</f>
        <v>1</v>
      </c>
      <c r="L52" s="29">
        <f>Item_Enchant_Old!L56</f>
        <v>0</v>
      </c>
      <c r="M52" s="29">
        <f>Item_Enchant_Old!M56</f>
        <v>0</v>
      </c>
      <c r="N52" s="29">
        <f>Item_Enchant_Old!N56</f>
        <v>6</v>
      </c>
      <c r="O52" s="29">
        <f>Item_Enchant_Old!O56</f>
        <v>0</v>
      </c>
      <c r="P52" s="29">
        <f>Item_Enchant_Old!P56</f>
        <v>0</v>
      </c>
      <c r="Q52" s="29">
        <f>Item_Enchant_Old!Q56</f>
        <v>0</v>
      </c>
      <c r="R52" s="29">
        <f>Item_Enchant_Old!R56</f>
        <v>0</v>
      </c>
    </row>
    <row r="53" spans="1:18" s="29" customFormat="1" hidden="1">
      <c r="A53" s="29">
        <f>Item_Enchant_Old!A57</f>
        <v>52</v>
      </c>
      <c r="B53" s="29" t="str">
        <f>Item_Enchant_Old!B57</f>
        <v>ACTIVE_ELEGANCE_DEFENCE_UP</v>
      </c>
      <c r="C53" s="29">
        <f>Item_Enchant_Old!C57</f>
        <v>624</v>
      </c>
      <c r="D53" s="29">
        <f>Item_Enchant_Old!D57</f>
        <v>0</v>
      </c>
      <c r="E53" s="29">
        <f>Item_Enchant_Old!E57</f>
        <v>0</v>
      </c>
      <c r="F53" s="29">
        <f>Item_Enchant_Old!F57</f>
        <v>0</v>
      </c>
      <c r="G53" s="29">
        <f>Item_Enchant_Old!G57</f>
        <v>17</v>
      </c>
      <c r="H53" s="29" t="str">
        <f>Item_Enchant_Old!H57</f>
        <v>@</v>
      </c>
      <c r="I53" s="29">
        <f>Item_Enchant_Old!I57</f>
        <v>1</v>
      </c>
      <c r="J53" s="29" t="str">
        <f>Item_Enchant_Old!J57</f>
        <v>절대값만 가능</v>
      </c>
      <c r="K53" s="29">
        <f>Item_Enchant_Old!K57</f>
        <v>1</v>
      </c>
      <c r="L53" s="29">
        <f>Item_Enchant_Old!L57</f>
        <v>0</v>
      </c>
      <c r="M53" s="29">
        <f>Item_Enchant_Old!M57</f>
        <v>0</v>
      </c>
      <c r="N53" s="29">
        <f>Item_Enchant_Old!N57</f>
        <v>6</v>
      </c>
      <c r="O53" s="29">
        <f>Item_Enchant_Old!O57</f>
        <v>0</v>
      </c>
      <c r="P53" s="29">
        <f>Item_Enchant_Old!P57</f>
        <v>0</v>
      </c>
      <c r="Q53" s="29">
        <f>Item_Enchant_Old!Q57</f>
        <v>0</v>
      </c>
      <c r="R53" s="29">
        <f>Item_Enchant_Old!R57</f>
        <v>0</v>
      </c>
    </row>
    <row r="54" spans="1:18" s="29" customFormat="1" hidden="1">
      <c r="A54" s="29">
        <f>Item_Enchant_Old!A58</f>
        <v>53</v>
      </c>
      <c r="B54" s="29" t="str">
        <f>Item_Enchant_Old!B58</f>
        <v>ACTIVE_FUNNY_DEFENCE_UP</v>
      </c>
      <c r="C54" s="29">
        <f>Item_Enchant_Old!C58</f>
        <v>625</v>
      </c>
      <c r="D54" s="29">
        <f>Item_Enchant_Old!D58</f>
        <v>0</v>
      </c>
      <c r="E54" s="29">
        <f>Item_Enchant_Old!E58</f>
        <v>0</v>
      </c>
      <c r="F54" s="29">
        <f>Item_Enchant_Old!F58</f>
        <v>0</v>
      </c>
      <c r="G54" s="29">
        <f>Item_Enchant_Old!G58</f>
        <v>17</v>
      </c>
      <c r="H54" s="29" t="str">
        <f>Item_Enchant_Old!H58</f>
        <v>@</v>
      </c>
      <c r="I54" s="29">
        <f>Item_Enchant_Old!I58</f>
        <v>1</v>
      </c>
      <c r="J54" s="29" t="str">
        <f>Item_Enchant_Old!J58</f>
        <v>절대값만 가능</v>
      </c>
      <c r="K54" s="29">
        <f>Item_Enchant_Old!K58</f>
        <v>1</v>
      </c>
      <c r="L54" s="29">
        <f>Item_Enchant_Old!L58</f>
        <v>0</v>
      </c>
      <c r="M54" s="29">
        <f>Item_Enchant_Old!M58</f>
        <v>0</v>
      </c>
      <c r="N54" s="29">
        <f>Item_Enchant_Old!N58</f>
        <v>6</v>
      </c>
      <c r="O54" s="29">
        <f>Item_Enchant_Old!O58</f>
        <v>0</v>
      </c>
      <c r="P54" s="29">
        <f>Item_Enchant_Old!P58</f>
        <v>0</v>
      </c>
      <c r="Q54" s="29">
        <f>Item_Enchant_Old!Q58</f>
        <v>0</v>
      </c>
      <c r="R54" s="29">
        <f>Item_Enchant_Old!R58</f>
        <v>0</v>
      </c>
    </row>
    <row r="55" spans="1:18" s="29" customFormat="1" hidden="1">
      <c r="A55" s="29">
        <f>Item_Enchant_Old!A59</f>
        <v>54</v>
      </c>
      <c r="B55" s="29" t="str">
        <f>Item_Enchant_Old!B59</f>
        <v>ACTIVE_HONEST_DEFENCE_UP</v>
      </c>
      <c r="C55" s="29">
        <f>Item_Enchant_Old!C59</f>
        <v>621</v>
      </c>
      <c r="D55" s="29">
        <f>Item_Enchant_Old!D59</f>
        <v>0</v>
      </c>
      <c r="E55" s="29">
        <f>Item_Enchant_Old!E59</f>
        <v>0</v>
      </c>
      <c r="F55" s="29">
        <f>Item_Enchant_Old!F59</f>
        <v>0</v>
      </c>
      <c r="G55" s="29">
        <f>Item_Enchant_Old!G59</f>
        <v>25</v>
      </c>
      <c r="H55" s="29" t="str">
        <f>Item_Enchant_Old!H59</f>
        <v>@</v>
      </c>
      <c r="I55" s="29">
        <f>Item_Enchant_Old!I59</f>
        <v>1</v>
      </c>
      <c r="J55" s="29" t="str">
        <f>Item_Enchant_Old!J59</f>
        <v>절대값만 가능</v>
      </c>
      <c r="K55" s="29">
        <f>Item_Enchant_Old!K59</f>
        <v>1</v>
      </c>
      <c r="L55" s="29">
        <f>Item_Enchant_Old!L59</f>
        <v>0</v>
      </c>
      <c r="M55" s="29">
        <f>Item_Enchant_Old!M59</f>
        <v>0</v>
      </c>
      <c r="N55" s="29">
        <f>Item_Enchant_Old!N59</f>
        <v>4</v>
      </c>
      <c r="O55" s="29">
        <f>Item_Enchant_Old!O59</f>
        <v>0</v>
      </c>
      <c r="P55" s="29">
        <f>Item_Enchant_Old!P59</f>
        <v>0</v>
      </c>
      <c r="Q55" s="29">
        <f>Item_Enchant_Old!Q59</f>
        <v>0</v>
      </c>
      <c r="R55" s="29">
        <f>Item_Enchant_Old!R59</f>
        <v>0</v>
      </c>
    </row>
    <row r="56" spans="1:18" s="29" customFormat="1" hidden="1">
      <c r="A56" s="29">
        <f>Item_Enchant_Old!A60</f>
        <v>55</v>
      </c>
      <c r="B56" s="29" t="str">
        <f>Item_Enchant_Old!B60</f>
        <v>ACTIVE_STRANGE_DEFENCE_UP</v>
      </c>
      <c r="C56" s="29">
        <f>Item_Enchant_Old!C60</f>
        <v>622</v>
      </c>
      <c r="D56" s="29">
        <f>Item_Enchant_Old!D60</f>
        <v>0</v>
      </c>
      <c r="E56" s="29">
        <f>Item_Enchant_Old!E60</f>
        <v>0</v>
      </c>
      <c r="F56" s="29">
        <f>Item_Enchant_Old!F60</f>
        <v>0</v>
      </c>
      <c r="G56" s="29">
        <f>Item_Enchant_Old!G60</f>
        <v>25</v>
      </c>
      <c r="H56" s="29" t="str">
        <f>Item_Enchant_Old!H60</f>
        <v>@</v>
      </c>
      <c r="I56" s="29">
        <f>Item_Enchant_Old!I60</f>
        <v>1</v>
      </c>
      <c r="J56" s="29" t="str">
        <f>Item_Enchant_Old!J60</f>
        <v>절대값만 가능</v>
      </c>
      <c r="K56" s="29">
        <f>Item_Enchant_Old!K60</f>
        <v>1</v>
      </c>
      <c r="L56" s="29">
        <f>Item_Enchant_Old!L60</f>
        <v>0</v>
      </c>
      <c r="M56" s="29">
        <f>Item_Enchant_Old!M60</f>
        <v>0</v>
      </c>
      <c r="N56" s="29">
        <f>Item_Enchant_Old!N60</f>
        <v>4</v>
      </c>
      <c r="O56" s="29">
        <f>Item_Enchant_Old!O60</f>
        <v>0</v>
      </c>
      <c r="P56" s="29">
        <f>Item_Enchant_Old!P60</f>
        <v>0</v>
      </c>
      <c r="Q56" s="29">
        <f>Item_Enchant_Old!Q60</f>
        <v>0</v>
      </c>
      <c r="R56" s="29">
        <f>Item_Enchant_Old!R60</f>
        <v>0</v>
      </c>
    </row>
    <row r="57" spans="1:18" s="29" customFormat="1" hidden="1">
      <c r="A57" s="29">
        <f>Item_Enchant_Old!A61</f>
        <v>56</v>
      </c>
      <c r="B57" s="29" t="str">
        <f>Item_Enchant_Old!B61</f>
        <v>ACTIVE_WILD_DEFENCE_UP</v>
      </c>
      <c r="C57" s="29">
        <f>Item_Enchant_Old!C61</f>
        <v>623</v>
      </c>
      <c r="D57" s="29">
        <f>Item_Enchant_Old!D61</f>
        <v>0</v>
      </c>
      <c r="E57" s="29">
        <f>Item_Enchant_Old!E61</f>
        <v>0</v>
      </c>
      <c r="F57" s="29">
        <f>Item_Enchant_Old!F61</f>
        <v>0</v>
      </c>
      <c r="G57" s="29">
        <f>Item_Enchant_Old!G61</f>
        <v>25</v>
      </c>
      <c r="H57" s="29" t="str">
        <f>Item_Enchant_Old!H61</f>
        <v>@</v>
      </c>
      <c r="I57" s="29">
        <f>Item_Enchant_Old!I61</f>
        <v>1</v>
      </c>
      <c r="J57" s="29" t="str">
        <f>Item_Enchant_Old!J61</f>
        <v>절대값만 가능</v>
      </c>
      <c r="K57" s="29">
        <f>Item_Enchant_Old!K61</f>
        <v>1</v>
      </c>
      <c r="L57" s="29">
        <f>Item_Enchant_Old!L61</f>
        <v>0</v>
      </c>
      <c r="M57" s="29">
        <f>Item_Enchant_Old!M61</f>
        <v>0</v>
      </c>
      <c r="N57" s="29">
        <f>Item_Enchant_Old!N61</f>
        <v>4</v>
      </c>
      <c r="O57" s="29">
        <f>Item_Enchant_Old!O61</f>
        <v>0</v>
      </c>
      <c r="P57" s="29">
        <f>Item_Enchant_Old!P61</f>
        <v>0</v>
      </c>
      <c r="Q57" s="29">
        <f>Item_Enchant_Old!Q61</f>
        <v>0</v>
      </c>
      <c r="R57" s="29">
        <f>Item_Enchant_Old!R61</f>
        <v>0</v>
      </c>
    </row>
    <row r="58" spans="1:18" s="29" customFormat="1" hidden="1">
      <c r="A58" s="29">
        <f>Item_Enchant_Old!A62</f>
        <v>57</v>
      </c>
      <c r="B58" s="29" t="str">
        <f>Item_Enchant_Old!B62</f>
        <v>ACTIVE_ELEGANCE_DEFENCE_UP</v>
      </c>
      <c r="C58" s="29">
        <f>Item_Enchant_Old!C62</f>
        <v>624</v>
      </c>
      <c r="D58" s="29">
        <f>Item_Enchant_Old!D62</f>
        <v>0</v>
      </c>
      <c r="E58" s="29">
        <f>Item_Enchant_Old!E62</f>
        <v>0</v>
      </c>
      <c r="F58" s="29">
        <f>Item_Enchant_Old!F62</f>
        <v>0</v>
      </c>
      <c r="G58" s="29">
        <f>Item_Enchant_Old!G62</f>
        <v>25</v>
      </c>
      <c r="H58" s="29" t="str">
        <f>Item_Enchant_Old!H62</f>
        <v>@</v>
      </c>
      <c r="I58" s="29">
        <f>Item_Enchant_Old!I62</f>
        <v>1</v>
      </c>
      <c r="J58" s="29" t="str">
        <f>Item_Enchant_Old!J62</f>
        <v>절대값만 가능</v>
      </c>
      <c r="K58" s="29">
        <f>Item_Enchant_Old!K62</f>
        <v>1</v>
      </c>
      <c r="L58" s="29">
        <f>Item_Enchant_Old!L62</f>
        <v>0</v>
      </c>
      <c r="M58" s="29">
        <f>Item_Enchant_Old!M62</f>
        <v>0</v>
      </c>
      <c r="N58" s="29">
        <f>Item_Enchant_Old!N62</f>
        <v>4</v>
      </c>
      <c r="O58" s="29">
        <f>Item_Enchant_Old!O62</f>
        <v>0</v>
      </c>
      <c r="P58" s="29">
        <f>Item_Enchant_Old!P62</f>
        <v>0</v>
      </c>
      <c r="Q58" s="29">
        <f>Item_Enchant_Old!Q62</f>
        <v>0</v>
      </c>
      <c r="R58" s="29">
        <f>Item_Enchant_Old!R62</f>
        <v>0</v>
      </c>
    </row>
    <row r="59" spans="1:18" s="29" customFormat="1" hidden="1">
      <c r="A59" s="29">
        <f>Item_Enchant_Old!A63</f>
        <v>58</v>
      </c>
      <c r="B59" s="29" t="str">
        <f>Item_Enchant_Old!B63</f>
        <v>ACTIVE_FUNNY_DEFENCE_UP</v>
      </c>
      <c r="C59" s="29">
        <f>Item_Enchant_Old!C63</f>
        <v>625</v>
      </c>
      <c r="D59" s="29">
        <f>Item_Enchant_Old!D63</f>
        <v>0</v>
      </c>
      <c r="E59" s="29">
        <f>Item_Enchant_Old!E63</f>
        <v>0</v>
      </c>
      <c r="F59" s="29">
        <f>Item_Enchant_Old!F63</f>
        <v>0</v>
      </c>
      <c r="G59" s="29">
        <f>Item_Enchant_Old!G63</f>
        <v>25</v>
      </c>
      <c r="H59" s="29" t="str">
        <f>Item_Enchant_Old!H63</f>
        <v>@</v>
      </c>
      <c r="I59" s="29">
        <f>Item_Enchant_Old!I63</f>
        <v>1</v>
      </c>
      <c r="J59" s="29" t="str">
        <f>Item_Enchant_Old!J63</f>
        <v>절대값만 가능</v>
      </c>
      <c r="K59" s="29">
        <f>Item_Enchant_Old!K63</f>
        <v>1</v>
      </c>
      <c r="L59" s="29">
        <f>Item_Enchant_Old!L63</f>
        <v>0</v>
      </c>
      <c r="M59" s="29">
        <f>Item_Enchant_Old!M63</f>
        <v>0</v>
      </c>
      <c r="N59" s="29">
        <f>Item_Enchant_Old!N63</f>
        <v>4</v>
      </c>
      <c r="O59" s="29">
        <f>Item_Enchant_Old!O63</f>
        <v>0</v>
      </c>
      <c r="P59" s="29">
        <f>Item_Enchant_Old!P63</f>
        <v>0</v>
      </c>
      <c r="Q59" s="29">
        <f>Item_Enchant_Old!Q63</f>
        <v>0</v>
      </c>
      <c r="R59" s="29">
        <f>Item_Enchant_Old!R63</f>
        <v>0</v>
      </c>
    </row>
    <row r="60" spans="1:18" s="29" customFormat="1" hidden="1">
      <c r="A60" s="29">
        <f>Item_Enchant_Old!A64</f>
        <v>59</v>
      </c>
      <c r="B60" s="29" t="str">
        <f>Item_Enchant_Old!B64</f>
        <v>ACTIVE_ENERGY_REFLECTION</v>
      </c>
      <c r="C60" s="29">
        <f>Item_Enchant_Old!C64</f>
        <v>626</v>
      </c>
      <c r="D60" s="29">
        <f>Item_Enchant_Old!D64</f>
        <v>0</v>
      </c>
      <c r="E60" s="29">
        <f>Item_Enchant_Old!E64</f>
        <v>0</v>
      </c>
      <c r="F60" s="29">
        <f>Item_Enchant_Old!F64</f>
        <v>0</v>
      </c>
      <c r="G60" s="29">
        <f>Item_Enchant_Old!G64</f>
        <v>4</v>
      </c>
      <c r="H60" s="29" t="str">
        <f>Item_Enchant_Old!H64</f>
        <v>@</v>
      </c>
      <c r="I60" s="29">
        <f>Item_Enchant_Old!I64</f>
        <v>1</v>
      </c>
      <c r="J60" s="29" t="str">
        <f>Item_Enchant_Old!J64</f>
        <v>절대값만 가능</v>
      </c>
      <c r="K60" s="29">
        <f>Item_Enchant_Old!K64</f>
        <v>1</v>
      </c>
      <c r="L60" s="29">
        <f>Item_Enchant_Old!L64</f>
        <v>0</v>
      </c>
      <c r="M60" s="29">
        <f>Item_Enchant_Old!M64</f>
        <v>0</v>
      </c>
      <c r="N60" s="29">
        <f>Item_Enchant_Old!N64</f>
        <v>25</v>
      </c>
      <c r="O60" s="29">
        <f>Item_Enchant_Old!O64</f>
        <v>0</v>
      </c>
      <c r="P60" s="29">
        <f>Item_Enchant_Old!P64</f>
        <v>0</v>
      </c>
      <c r="Q60" s="29">
        <f>Item_Enchant_Old!Q64</f>
        <v>0</v>
      </c>
      <c r="R60" s="29">
        <f>Item_Enchant_Old!R64</f>
        <v>0</v>
      </c>
    </row>
    <row r="61" spans="1:18" s="29" customFormat="1" hidden="1">
      <c r="A61" s="29">
        <f>Item_Enchant_Old!A65</f>
        <v>60</v>
      </c>
      <c r="B61" s="29" t="str">
        <f>Item_Enchant_Old!B65</f>
        <v>ACTIVE_RP_CHARGE_SPEED</v>
      </c>
      <c r="C61" s="29">
        <f>Item_Enchant_Old!C65</f>
        <v>629</v>
      </c>
      <c r="D61" s="29">
        <f>Item_Enchant_Old!D65</f>
        <v>0</v>
      </c>
      <c r="E61" s="29">
        <f>Item_Enchant_Old!E65</f>
        <v>0</v>
      </c>
      <c r="F61" s="29">
        <f>Item_Enchant_Old!F65</f>
        <v>0</v>
      </c>
      <c r="G61" s="29">
        <f>Item_Enchant_Old!G65</f>
        <v>5</v>
      </c>
      <c r="H61" s="29" t="str">
        <f>Item_Enchant_Old!H65</f>
        <v>@</v>
      </c>
      <c r="I61" s="29">
        <f>Item_Enchant_Old!I65</f>
        <v>1</v>
      </c>
      <c r="J61" s="29" t="str">
        <f>Item_Enchant_Old!J65</f>
        <v>절대값/상대값(%) 가능</v>
      </c>
      <c r="K61" s="29">
        <f>Item_Enchant_Old!K65</f>
        <v>1</v>
      </c>
      <c r="L61" s="29">
        <f>Item_Enchant_Old!L65</f>
        <v>0</v>
      </c>
      <c r="M61" s="29">
        <f>Item_Enchant_Old!M65</f>
        <v>0</v>
      </c>
      <c r="N61" s="29">
        <f>Item_Enchant_Old!N65</f>
        <v>21</v>
      </c>
      <c r="O61" s="29">
        <f>Item_Enchant_Old!O65</f>
        <v>0</v>
      </c>
      <c r="P61" s="29">
        <f>Item_Enchant_Old!P65</f>
        <v>0</v>
      </c>
      <c r="Q61" s="29">
        <f>Item_Enchant_Old!Q65</f>
        <v>0</v>
      </c>
      <c r="R61" s="29">
        <f>Item_Enchant_Old!R65</f>
        <v>0</v>
      </c>
    </row>
    <row r="62" spans="1:18" s="29" customFormat="1" hidden="1">
      <c r="A62" s="29">
        <f>Item_Enchant_Old!A66</f>
        <v>61</v>
      </c>
      <c r="B62" s="29" t="str">
        <f>Item_Enchant_Old!B66</f>
        <v>ACTIVE_PHYSICAL_CRITICAL</v>
      </c>
      <c r="C62" s="29">
        <f>Item_Enchant_Old!C66</f>
        <v>632</v>
      </c>
      <c r="D62" s="29">
        <f>Item_Enchant_Old!D66</f>
        <v>0</v>
      </c>
      <c r="E62" s="29">
        <f>Item_Enchant_Old!E66</f>
        <v>0</v>
      </c>
      <c r="F62" s="29">
        <f>Item_Enchant_Old!F66</f>
        <v>0</v>
      </c>
      <c r="G62" s="29">
        <f>Item_Enchant_Old!G66</f>
        <v>10</v>
      </c>
      <c r="H62" s="29" t="str">
        <f>Item_Enchant_Old!H66</f>
        <v>@</v>
      </c>
      <c r="I62" s="29">
        <f>Item_Enchant_Old!I66</f>
        <v>1</v>
      </c>
      <c r="J62" s="29" t="str">
        <f>Item_Enchant_Old!J66</f>
        <v>절대값/상대값(%) 가능</v>
      </c>
      <c r="K62" s="29">
        <f>Item_Enchant_Old!K66</f>
        <v>1</v>
      </c>
      <c r="L62" s="29">
        <f>Item_Enchant_Old!L66</f>
        <v>0</v>
      </c>
      <c r="M62" s="29">
        <f>Item_Enchant_Old!M66</f>
        <v>0</v>
      </c>
      <c r="N62" s="29">
        <f>Item_Enchant_Old!N66</f>
        <v>10</v>
      </c>
      <c r="O62" s="29">
        <f>Item_Enchant_Old!O66</f>
        <v>0</v>
      </c>
      <c r="P62" s="29">
        <f>Item_Enchant_Old!P66</f>
        <v>0</v>
      </c>
      <c r="Q62" s="29">
        <f>Item_Enchant_Old!Q66</f>
        <v>0</v>
      </c>
      <c r="R62" s="29">
        <f>Item_Enchant_Old!R66</f>
        <v>0</v>
      </c>
    </row>
    <row r="63" spans="1:18" s="29" customFormat="1" hidden="1">
      <c r="A63" s="29">
        <f>Item_Enchant_Old!A67</f>
        <v>62</v>
      </c>
      <c r="B63" s="29" t="str">
        <f>Item_Enchant_Old!B67</f>
        <v>ACTIVE_ENERGY_CRITICAL</v>
      </c>
      <c r="C63" s="29">
        <f>Item_Enchant_Old!C67</f>
        <v>633</v>
      </c>
      <c r="D63" s="29">
        <f>Item_Enchant_Old!D67</f>
        <v>0</v>
      </c>
      <c r="E63" s="29">
        <f>Item_Enchant_Old!E67</f>
        <v>0</v>
      </c>
      <c r="F63" s="29">
        <f>Item_Enchant_Old!F67</f>
        <v>0</v>
      </c>
      <c r="G63" s="29">
        <f>Item_Enchant_Old!G67</f>
        <v>9</v>
      </c>
      <c r="H63" s="29" t="str">
        <f>Item_Enchant_Old!H67</f>
        <v>@</v>
      </c>
      <c r="I63" s="29">
        <f>Item_Enchant_Old!I67</f>
        <v>1</v>
      </c>
      <c r="J63" s="29" t="str">
        <f>Item_Enchant_Old!J67</f>
        <v>절대값/상대값(%) 가능</v>
      </c>
      <c r="K63" s="29">
        <f>Item_Enchant_Old!K67</f>
        <v>1</v>
      </c>
      <c r="L63" s="29">
        <f>Item_Enchant_Old!L67</f>
        <v>0</v>
      </c>
      <c r="M63" s="29">
        <f>Item_Enchant_Old!M67</f>
        <v>0</v>
      </c>
      <c r="N63" s="29">
        <f>Item_Enchant_Old!N67</f>
        <v>12</v>
      </c>
      <c r="O63" s="29">
        <f>Item_Enchant_Old!O67</f>
        <v>0</v>
      </c>
      <c r="P63" s="29">
        <f>Item_Enchant_Old!P67</f>
        <v>0</v>
      </c>
      <c r="Q63" s="29">
        <f>Item_Enchant_Old!Q67</f>
        <v>0</v>
      </c>
      <c r="R63" s="29">
        <f>Item_Enchant_Old!R67</f>
        <v>0</v>
      </c>
    </row>
    <row r="64" spans="1:18" s="29" customFormat="1" hidden="1">
      <c r="A64" s="29">
        <f>Item_Enchant_Old!A68</f>
        <v>63</v>
      </c>
      <c r="B64" s="29" t="str">
        <f>Item_Enchant_Old!B68</f>
        <v>ACTIVE_BARRIER</v>
      </c>
      <c r="C64" s="29">
        <f>Item_Enchant_Old!C68</f>
        <v>637</v>
      </c>
      <c r="D64" s="29">
        <f>Item_Enchant_Old!D68</f>
        <v>0</v>
      </c>
      <c r="E64" s="29">
        <f>Item_Enchant_Old!E68</f>
        <v>0</v>
      </c>
      <c r="F64" s="29">
        <f>Item_Enchant_Old!F68</f>
        <v>0</v>
      </c>
      <c r="G64" s="29">
        <f>Item_Enchant_Old!G68</f>
        <v>1</v>
      </c>
      <c r="H64" s="29" t="str">
        <f>Item_Enchant_Old!H68</f>
        <v>@</v>
      </c>
      <c r="I64" s="29">
        <f>Item_Enchant_Old!I68</f>
        <v>1</v>
      </c>
      <c r="J64" s="29" t="str">
        <f>Item_Enchant_Old!J68</f>
        <v>절대값</v>
      </c>
      <c r="K64" s="29">
        <f>Item_Enchant_Old!K68</f>
        <v>1</v>
      </c>
      <c r="L64" s="29">
        <f>Item_Enchant_Old!L68</f>
        <v>0</v>
      </c>
      <c r="M64" s="29">
        <f>Item_Enchant_Old!M68</f>
        <v>0</v>
      </c>
      <c r="N64" s="29">
        <f>Item_Enchant_Old!N68</f>
        <v>125</v>
      </c>
      <c r="O64" s="29">
        <f>Item_Enchant_Old!O68</f>
        <v>0</v>
      </c>
      <c r="P64" s="29">
        <f>Item_Enchant_Old!P68</f>
        <v>0</v>
      </c>
      <c r="Q64" s="29">
        <f>Item_Enchant_Old!Q68</f>
        <v>0</v>
      </c>
      <c r="R64" s="29">
        <f>Item_Enchant_Old!R68</f>
        <v>0</v>
      </c>
    </row>
    <row r="65" spans="1:18" s="29" customFormat="1" hidden="1">
      <c r="A65" s="29">
        <f>Item_Enchant_Old!A69</f>
        <v>64</v>
      </c>
      <c r="B65" s="29" t="str">
        <f>Item_Enchant_Old!B69</f>
        <v>ACTIVE_BARRIER</v>
      </c>
      <c r="C65" s="29">
        <f>Item_Enchant_Old!C69</f>
        <v>637</v>
      </c>
      <c r="D65" s="29">
        <f>Item_Enchant_Old!D69</f>
        <v>0</v>
      </c>
      <c r="E65" s="29">
        <f>Item_Enchant_Old!E69</f>
        <v>0</v>
      </c>
      <c r="F65" s="29">
        <f>Item_Enchant_Old!F69</f>
        <v>0</v>
      </c>
      <c r="G65" s="29">
        <f>Item_Enchant_Old!G69</f>
        <v>1</v>
      </c>
      <c r="H65" s="29" t="str">
        <f>Item_Enchant_Old!H69</f>
        <v>@</v>
      </c>
      <c r="I65" s="29">
        <f>Item_Enchant_Old!I69</f>
        <v>1</v>
      </c>
      <c r="J65" s="29" t="str">
        <f>Item_Enchant_Old!J69</f>
        <v>절대값</v>
      </c>
      <c r="K65" s="29">
        <f>Item_Enchant_Old!K69</f>
        <v>1</v>
      </c>
      <c r="L65" s="29">
        <f>Item_Enchant_Old!L69</f>
        <v>0</v>
      </c>
      <c r="M65" s="29">
        <f>Item_Enchant_Old!M69</f>
        <v>0</v>
      </c>
      <c r="N65" s="29">
        <f>Item_Enchant_Old!N69</f>
        <v>125</v>
      </c>
      <c r="O65" s="29">
        <f>Item_Enchant_Old!O69</f>
        <v>0</v>
      </c>
      <c r="P65" s="29">
        <f>Item_Enchant_Old!P69</f>
        <v>0</v>
      </c>
      <c r="Q65" s="29">
        <f>Item_Enchant_Old!Q69</f>
        <v>0</v>
      </c>
      <c r="R65" s="29">
        <f>Item_Enchant_Old!R69</f>
        <v>0</v>
      </c>
    </row>
    <row r="66" spans="1:18" s="29" customFormat="1" hidden="1">
      <c r="A66" s="29">
        <f>Item_Enchant_Old!A70</f>
        <v>65</v>
      </c>
      <c r="B66" s="29" t="str">
        <f>Item_Enchant_Old!B70</f>
        <v>ACTIVE_BARRIER</v>
      </c>
      <c r="C66" s="29">
        <f>Item_Enchant_Old!C70</f>
        <v>637</v>
      </c>
      <c r="D66" s="29">
        <f>Item_Enchant_Old!D70</f>
        <v>0</v>
      </c>
      <c r="E66" s="29">
        <f>Item_Enchant_Old!E70</f>
        <v>0</v>
      </c>
      <c r="F66" s="29">
        <f>Item_Enchant_Old!F70</f>
        <v>0</v>
      </c>
      <c r="G66" s="29">
        <f>Item_Enchant_Old!G70</f>
        <v>1</v>
      </c>
      <c r="H66" s="29" t="str">
        <f>Item_Enchant_Old!H70</f>
        <v>@</v>
      </c>
      <c r="I66" s="29">
        <f>Item_Enchant_Old!I70</f>
        <v>1</v>
      </c>
      <c r="J66" s="29" t="str">
        <f>Item_Enchant_Old!J70</f>
        <v>절대값</v>
      </c>
      <c r="K66" s="29">
        <f>Item_Enchant_Old!K70</f>
        <v>1</v>
      </c>
      <c r="L66" s="29">
        <f>Item_Enchant_Old!L70</f>
        <v>0</v>
      </c>
      <c r="M66" s="29">
        <f>Item_Enchant_Old!M70</f>
        <v>0</v>
      </c>
      <c r="N66" s="29">
        <f>Item_Enchant_Old!N70</f>
        <v>125</v>
      </c>
      <c r="O66" s="29">
        <f>Item_Enchant_Old!O70</f>
        <v>0</v>
      </c>
      <c r="P66" s="29">
        <f>Item_Enchant_Old!P70</f>
        <v>0</v>
      </c>
      <c r="Q66" s="29">
        <f>Item_Enchant_Old!Q70</f>
        <v>0</v>
      </c>
      <c r="R66" s="29">
        <f>Item_Enchant_Old!R70</f>
        <v>0</v>
      </c>
    </row>
    <row r="67" spans="1:18" s="29" customFormat="1" hidden="1">
      <c r="A67" s="29">
        <f>Item_Enchant_Old!A71</f>
        <v>66</v>
      </c>
      <c r="B67" s="29" t="str">
        <f>Item_Enchant_Old!B71</f>
        <v>ACTIVE_PARALYZE_TOLERANCE_UP</v>
      </c>
      <c r="C67" s="29">
        <f>Item_Enchant_Old!C71</f>
        <v>638</v>
      </c>
      <c r="D67" s="29">
        <f>Item_Enchant_Old!D71</f>
        <v>1</v>
      </c>
      <c r="E67" s="29">
        <f>Item_Enchant_Old!E71</f>
        <v>0</v>
      </c>
      <c r="F67" s="29">
        <f>Item_Enchant_Old!F71</f>
        <v>0</v>
      </c>
      <c r="G67" s="29">
        <f>Item_Enchant_Old!G71</f>
        <v>3</v>
      </c>
      <c r="H67" s="29" t="str">
        <f>Item_Enchant_Old!H71</f>
        <v>@</v>
      </c>
      <c r="I67" s="29">
        <f>Item_Enchant_Old!I71</f>
        <v>1</v>
      </c>
      <c r="J67" s="29" t="str">
        <f>Item_Enchant_Old!J71</f>
        <v>절대값/상대값(%) 가능</v>
      </c>
      <c r="K67" s="29">
        <f>Item_Enchant_Old!K71</f>
        <v>1</v>
      </c>
      <c r="L67" s="29">
        <f>Item_Enchant_Old!L71</f>
        <v>0</v>
      </c>
      <c r="M67" s="29">
        <f>Item_Enchant_Old!M71</f>
        <v>0</v>
      </c>
      <c r="N67" s="29">
        <f>Item_Enchant_Old!N71</f>
        <v>44</v>
      </c>
      <c r="O67" s="29">
        <f>Item_Enchant_Old!O71</f>
        <v>0</v>
      </c>
      <c r="P67" s="29">
        <f>Item_Enchant_Old!P71</f>
        <v>0</v>
      </c>
      <c r="Q67" s="29">
        <f>Item_Enchant_Old!Q71</f>
        <v>0</v>
      </c>
      <c r="R67" s="29">
        <f>Item_Enchant_Old!R71</f>
        <v>0</v>
      </c>
    </row>
    <row r="68" spans="1:18" s="29" customFormat="1" hidden="1">
      <c r="A68" s="29">
        <f>Item_Enchant_Old!A72</f>
        <v>67</v>
      </c>
      <c r="B68" s="29" t="str">
        <f>Item_Enchant_Old!B72</f>
        <v>ACTIVE_TERROR_TOLERANCE_UP</v>
      </c>
      <c r="C68" s="29">
        <f>Item_Enchant_Old!C72</f>
        <v>639</v>
      </c>
      <c r="D68" s="29">
        <f>Item_Enchant_Old!D72</f>
        <v>1</v>
      </c>
      <c r="E68" s="29">
        <f>Item_Enchant_Old!E72</f>
        <v>0</v>
      </c>
      <c r="F68" s="29">
        <f>Item_Enchant_Old!F72</f>
        <v>0</v>
      </c>
      <c r="G68" s="29">
        <f>Item_Enchant_Old!G72</f>
        <v>3</v>
      </c>
      <c r="H68" s="29" t="str">
        <f>Item_Enchant_Old!H72</f>
        <v>@</v>
      </c>
      <c r="I68" s="29">
        <f>Item_Enchant_Old!I72</f>
        <v>1</v>
      </c>
      <c r="J68" s="29" t="str">
        <f>Item_Enchant_Old!J72</f>
        <v>절대값/상대값(%) 가능</v>
      </c>
      <c r="K68" s="29">
        <f>Item_Enchant_Old!K72</f>
        <v>1</v>
      </c>
      <c r="L68" s="29">
        <f>Item_Enchant_Old!L72</f>
        <v>0</v>
      </c>
      <c r="M68" s="29">
        <f>Item_Enchant_Old!M72</f>
        <v>0</v>
      </c>
      <c r="N68" s="29">
        <f>Item_Enchant_Old!N72</f>
        <v>44</v>
      </c>
      <c r="O68" s="29">
        <f>Item_Enchant_Old!O72</f>
        <v>0</v>
      </c>
      <c r="P68" s="29">
        <f>Item_Enchant_Old!P72</f>
        <v>0</v>
      </c>
      <c r="Q68" s="29">
        <f>Item_Enchant_Old!Q72</f>
        <v>0</v>
      </c>
      <c r="R68" s="29">
        <f>Item_Enchant_Old!R72</f>
        <v>0</v>
      </c>
    </row>
    <row r="69" spans="1:18" s="29" customFormat="1" hidden="1">
      <c r="A69" s="29">
        <f>Item_Enchant_Old!A73</f>
        <v>68</v>
      </c>
      <c r="B69" s="29" t="str">
        <f>Item_Enchant_Old!B73</f>
        <v>ACTIVE_CONFUSE_TOLERANCE_UP</v>
      </c>
      <c r="C69" s="29">
        <f>Item_Enchant_Old!C73</f>
        <v>640</v>
      </c>
      <c r="D69" s="29">
        <f>Item_Enchant_Old!D73</f>
        <v>1</v>
      </c>
      <c r="E69" s="29">
        <f>Item_Enchant_Old!E73</f>
        <v>0</v>
      </c>
      <c r="F69" s="29">
        <f>Item_Enchant_Old!F73</f>
        <v>0</v>
      </c>
      <c r="G69" s="29">
        <f>Item_Enchant_Old!G73</f>
        <v>3</v>
      </c>
      <c r="H69" s="29" t="str">
        <f>Item_Enchant_Old!H73</f>
        <v>@</v>
      </c>
      <c r="I69" s="29">
        <f>Item_Enchant_Old!I73</f>
        <v>1</v>
      </c>
      <c r="J69" s="29" t="str">
        <f>Item_Enchant_Old!J73</f>
        <v>절대값/상대값(%) 가능</v>
      </c>
      <c r="K69" s="29">
        <f>Item_Enchant_Old!K73</f>
        <v>1</v>
      </c>
      <c r="L69" s="29">
        <f>Item_Enchant_Old!L73</f>
        <v>0</v>
      </c>
      <c r="M69" s="29">
        <f>Item_Enchant_Old!M73</f>
        <v>0</v>
      </c>
      <c r="N69" s="29">
        <f>Item_Enchant_Old!N73</f>
        <v>44</v>
      </c>
      <c r="O69" s="29">
        <f>Item_Enchant_Old!O73</f>
        <v>0</v>
      </c>
      <c r="P69" s="29">
        <f>Item_Enchant_Old!P73</f>
        <v>0</v>
      </c>
      <c r="Q69" s="29">
        <f>Item_Enchant_Old!Q73</f>
        <v>0</v>
      </c>
      <c r="R69" s="29">
        <f>Item_Enchant_Old!R73</f>
        <v>0</v>
      </c>
    </row>
    <row r="70" spans="1:18" s="29" customFormat="1" hidden="1">
      <c r="A70" s="29">
        <f>Item_Enchant_Old!A74</f>
        <v>69</v>
      </c>
      <c r="B70" s="29" t="str">
        <f>Item_Enchant_Old!B74</f>
        <v>ACTIVE_STONE_TOLERANCE_UP</v>
      </c>
      <c r="C70" s="29">
        <f>Item_Enchant_Old!C74</f>
        <v>641</v>
      </c>
      <c r="D70" s="29">
        <f>Item_Enchant_Old!D74</f>
        <v>1</v>
      </c>
      <c r="E70" s="29">
        <f>Item_Enchant_Old!E74</f>
        <v>0</v>
      </c>
      <c r="F70" s="29">
        <f>Item_Enchant_Old!F74</f>
        <v>0</v>
      </c>
      <c r="G70" s="29">
        <f>Item_Enchant_Old!G74</f>
        <v>3</v>
      </c>
      <c r="H70" s="29" t="str">
        <f>Item_Enchant_Old!H74</f>
        <v>@</v>
      </c>
      <c r="I70" s="29">
        <f>Item_Enchant_Old!I74</f>
        <v>1</v>
      </c>
      <c r="J70" s="29" t="str">
        <f>Item_Enchant_Old!J74</f>
        <v>절대값/상대값(%) 가능</v>
      </c>
      <c r="K70" s="29">
        <f>Item_Enchant_Old!K74</f>
        <v>1</v>
      </c>
      <c r="L70" s="29">
        <f>Item_Enchant_Old!L74</f>
        <v>0</v>
      </c>
      <c r="M70" s="29">
        <f>Item_Enchant_Old!M74</f>
        <v>0</v>
      </c>
      <c r="N70" s="29">
        <f>Item_Enchant_Old!N74</f>
        <v>44</v>
      </c>
      <c r="O70" s="29">
        <f>Item_Enchant_Old!O74</f>
        <v>0</v>
      </c>
      <c r="P70" s="29">
        <f>Item_Enchant_Old!P74</f>
        <v>0</v>
      </c>
      <c r="Q70" s="29">
        <f>Item_Enchant_Old!Q74</f>
        <v>0</v>
      </c>
      <c r="R70" s="29">
        <f>Item_Enchant_Old!R74</f>
        <v>0</v>
      </c>
    </row>
    <row r="71" spans="1:18" s="29" customFormat="1" hidden="1">
      <c r="A71" s="29">
        <f>Item_Enchant_Old!A75</f>
        <v>70</v>
      </c>
      <c r="B71" s="29" t="str">
        <f>Item_Enchant_Old!B75</f>
        <v>ACTIVE_CANDY_TOLERANCE_UP</v>
      </c>
      <c r="C71" s="29">
        <f>Item_Enchant_Old!C75</f>
        <v>642</v>
      </c>
      <c r="D71" s="29">
        <f>Item_Enchant_Old!D75</f>
        <v>1</v>
      </c>
      <c r="E71" s="29">
        <f>Item_Enchant_Old!E75</f>
        <v>0</v>
      </c>
      <c r="F71" s="29">
        <f>Item_Enchant_Old!F75</f>
        <v>0</v>
      </c>
      <c r="G71" s="29">
        <f>Item_Enchant_Old!G75</f>
        <v>3</v>
      </c>
      <c r="H71" s="29" t="str">
        <f>Item_Enchant_Old!H75</f>
        <v>@</v>
      </c>
      <c r="I71" s="29">
        <f>Item_Enchant_Old!I75</f>
        <v>1</v>
      </c>
      <c r="J71" s="29" t="str">
        <f>Item_Enchant_Old!J75</f>
        <v>절대값/상대값(%) 가능</v>
      </c>
      <c r="K71" s="29">
        <f>Item_Enchant_Old!K75</f>
        <v>1</v>
      </c>
      <c r="L71" s="29">
        <f>Item_Enchant_Old!L75</f>
        <v>0</v>
      </c>
      <c r="M71" s="29">
        <f>Item_Enchant_Old!M75</f>
        <v>0</v>
      </c>
      <c r="N71" s="29">
        <f>Item_Enchant_Old!N75</f>
        <v>44</v>
      </c>
      <c r="O71" s="29">
        <f>Item_Enchant_Old!O75</f>
        <v>0</v>
      </c>
      <c r="P71" s="29">
        <f>Item_Enchant_Old!P75</f>
        <v>0</v>
      </c>
      <c r="Q71" s="29">
        <f>Item_Enchant_Old!Q75</f>
        <v>0</v>
      </c>
      <c r="R71" s="29">
        <f>Item_Enchant_Old!R75</f>
        <v>0</v>
      </c>
    </row>
    <row r="72" spans="1:18" s="29" customFormat="1" hidden="1">
      <c r="A72" s="29">
        <f>Item_Enchant_Old!A76</f>
        <v>71</v>
      </c>
      <c r="B72" s="29" t="str">
        <f>Item_Enchant_Old!B76</f>
        <v>ACTIVE_PARALYZE_KEEPTIME_DOWN</v>
      </c>
      <c r="C72" s="29">
        <f>Item_Enchant_Old!C76</f>
        <v>643</v>
      </c>
      <c r="D72" s="29">
        <f>Item_Enchant_Old!D76</f>
        <v>1</v>
      </c>
      <c r="E72" s="29">
        <f>Item_Enchant_Old!E76</f>
        <v>0</v>
      </c>
      <c r="F72" s="29">
        <f>Item_Enchant_Old!F76</f>
        <v>0</v>
      </c>
      <c r="G72" s="29">
        <f>Item_Enchant_Old!G76</f>
        <v>25</v>
      </c>
      <c r="H72" s="29" t="str">
        <f>Item_Enchant_Old!H76</f>
        <v>@</v>
      </c>
      <c r="I72" s="29">
        <f>Item_Enchant_Old!I76</f>
        <v>1</v>
      </c>
      <c r="J72" s="29" t="str">
        <f>Item_Enchant_Old!J76</f>
        <v>상대값(%)값만 가능</v>
      </c>
      <c r="K72" s="29">
        <f>Item_Enchant_Old!K76</f>
        <v>1</v>
      </c>
      <c r="L72" s="29">
        <f>Item_Enchant_Old!L76</f>
        <v>0</v>
      </c>
      <c r="M72" s="29">
        <f>Item_Enchant_Old!M76</f>
        <v>0</v>
      </c>
      <c r="N72" s="29">
        <f>Item_Enchant_Old!N76</f>
        <v>4</v>
      </c>
      <c r="O72" s="29">
        <f>Item_Enchant_Old!O76</f>
        <v>0</v>
      </c>
      <c r="P72" s="29">
        <f>Item_Enchant_Old!P76</f>
        <v>0</v>
      </c>
      <c r="Q72" s="29">
        <f>Item_Enchant_Old!Q76</f>
        <v>0</v>
      </c>
      <c r="R72" s="29">
        <f>Item_Enchant_Old!R76</f>
        <v>0</v>
      </c>
    </row>
    <row r="73" spans="1:18" s="29" customFormat="1" hidden="1">
      <c r="A73" s="29">
        <f>Item_Enchant_Old!A77</f>
        <v>72</v>
      </c>
      <c r="B73" s="29" t="str">
        <f>Item_Enchant_Old!B77</f>
        <v>ACTIVE_TERROR_KEEPTIME_DOWN</v>
      </c>
      <c r="C73" s="29">
        <f>Item_Enchant_Old!C77</f>
        <v>644</v>
      </c>
      <c r="D73" s="29">
        <f>Item_Enchant_Old!D77</f>
        <v>1</v>
      </c>
      <c r="E73" s="29">
        <f>Item_Enchant_Old!E77</f>
        <v>0</v>
      </c>
      <c r="F73" s="29">
        <f>Item_Enchant_Old!F77</f>
        <v>0</v>
      </c>
      <c r="G73" s="29">
        <f>Item_Enchant_Old!G77</f>
        <v>25</v>
      </c>
      <c r="H73" s="29" t="str">
        <f>Item_Enchant_Old!H77</f>
        <v>@</v>
      </c>
      <c r="I73" s="29">
        <f>Item_Enchant_Old!I77</f>
        <v>1</v>
      </c>
      <c r="J73" s="29" t="str">
        <f>Item_Enchant_Old!J77</f>
        <v>상대값(%)값만 가능</v>
      </c>
      <c r="K73" s="29">
        <f>Item_Enchant_Old!K77</f>
        <v>1</v>
      </c>
      <c r="L73" s="29">
        <f>Item_Enchant_Old!L77</f>
        <v>0</v>
      </c>
      <c r="M73" s="29">
        <f>Item_Enchant_Old!M77</f>
        <v>0</v>
      </c>
      <c r="N73" s="29">
        <f>Item_Enchant_Old!N77</f>
        <v>4</v>
      </c>
      <c r="O73" s="29">
        <f>Item_Enchant_Old!O77</f>
        <v>0</v>
      </c>
      <c r="P73" s="29">
        <f>Item_Enchant_Old!P77</f>
        <v>0</v>
      </c>
      <c r="Q73" s="29">
        <f>Item_Enchant_Old!Q77</f>
        <v>0</v>
      </c>
      <c r="R73" s="29">
        <f>Item_Enchant_Old!R77</f>
        <v>0</v>
      </c>
    </row>
    <row r="74" spans="1:18" s="29" customFormat="1" hidden="1">
      <c r="A74" s="29">
        <f>Item_Enchant_Old!A78</f>
        <v>73</v>
      </c>
      <c r="B74" s="29" t="str">
        <f>Item_Enchant_Old!B78</f>
        <v>ACTIVE_CONFUSE_KEEPTIME_DOWN</v>
      </c>
      <c r="C74" s="29">
        <f>Item_Enchant_Old!C78</f>
        <v>645</v>
      </c>
      <c r="D74" s="29">
        <f>Item_Enchant_Old!D78</f>
        <v>1</v>
      </c>
      <c r="E74" s="29">
        <f>Item_Enchant_Old!E78</f>
        <v>0</v>
      </c>
      <c r="F74" s="29">
        <f>Item_Enchant_Old!F78</f>
        <v>0</v>
      </c>
      <c r="G74" s="29">
        <f>Item_Enchant_Old!G78</f>
        <v>25</v>
      </c>
      <c r="H74" s="29" t="str">
        <f>Item_Enchant_Old!H78</f>
        <v>@</v>
      </c>
      <c r="I74" s="29">
        <f>Item_Enchant_Old!I78</f>
        <v>1</v>
      </c>
      <c r="J74" s="29" t="str">
        <f>Item_Enchant_Old!J78</f>
        <v>상대값(%)값만 가능</v>
      </c>
      <c r="K74" s="29">
        <f>Item_Enchant_Old!K78</f>
        <v>1</v>
      </c>
      <c r="L74" s="29">
        <f>Item_Enchant_Old!L78</f>
        <v>0</v>
      </c>
      <c r="M74" s="29">
        <f>Item_Enchant_Old!M78</f>
        <v>0</v>
      </c>
      <c r="N74" s="29">
        <f>Item_Enchant_Old!N78</f>
        <v>4</v>
      </c>
      <c r="O74" s="29">
        <f>Item_Enchant_Old!O78</f>
        <v>0</v>
      </c>
      <c r="P74" s="29">
        <f>Item_Enchant_Old!P78</f>
        <v>0</v>
      </c>
      <c r="Q74" s="29">
        <f>Item_Enchant_Old!Q78</f>
        <v>0</v>
      </c>
      <c r="R74" s="29">
        <f>Item_Enchant_Old!R78</f>
        <v>0</v>
      </c>
    </row>
    <row r="75" spans="1:18" s="29" customFormat="1" hidden="1">
      <c r="A75" s="29">
        <f>Item_Enchant_Old!A79</f>
        <v>74</v>
      </c>
      <c r="B75" s="29" t="str">
        <f>Item_Enchant_Old!B79</f>
        <v>ACTIVE_STONE_KEEPTIME_DOWN</v>
      </c>
      <c r="C75" s="29">
        <f>Item_Enchant_Old!C79</f>
        <v>646</v>
      </c>
      <c r="D75" s="29">
        <f>Item_Enchant_Old!D79</f>
        <v>1</v>
      </c>
      <c r="E75" s="29">
        <f>Item_Enchant_Old!E79</f>
        <v>0</v>
      </c>
      <c r="F75" s="29">
        <f>Item_Enchant_Old!F79</f>
        <v>0</v>
      </c>
      <c r="G75" s="29">
        <f>Item_Enchant_Old!G79</f>
        <v>25</v>
      </c>
      <c r="H75" s="29" t="str">
        <f>Item_Enchant_Old!H79</f>
        <v>@</v>
      </c>
      <c r="I75" s="29">
        <f>Item_Enchant_Old!I79</f>
        <v>1</v>
      </c>
      <c r="J75" s="29" t="str">
        <f>Item_Enchant_Old!J79</f>
        <v>상대값(%)값만 가능</v>
      </c>
      <c r="K75" s="29">
        <f>Item_Enchant_Old!K79</f>
        <v>1</v>
      </c>
      <c r="L75" s="29">
        <f>Item_Enchant_Old!L79</f>
        <v>0</v>
      </c>
      <c r="M75" s="29">
        <f>Item_Enchant_Old!M79</f>
        <v>0</v>
      </c>
      <c r="N75" s="29">
        <f>Item_Enchant_Old!N79</f>
        <v>4</v>
      </c>
      <c r="O75" s="29">
        <f>Item_Enchant_Old!O79</f>
        <v>0</v>
      </c>
      <c r="P75" s="29">
        <f>Item_Enchant_Old!P79</f>
        <v>0</v>
      </c>
      <c r="Q75" s="29">
        <f>Item_Enchant_Old!Q79</f>
        <v>0</v>
      </c>
      <c r="R75" s="29">
        <f>Item_Enchant_Old!R79</f>
        <v>0</v>
      </c>
    </row>
    <row r="76" spans="1:18" s="29" customFormat="1" hidden="1">
      <c r="A76" s="29">
        <f>Item_Enchant_Old!A80</f>
        <v>75</v>
      </c>
      <c r="B76" s="29" t="str">
        <f>Item_Enchant_Old!B80</f>
        <v>ACTIVE_CANDY_KEEPTIME_DOWN</v>
      </c>
      <c r="C76" s="29">
        <f>Item_Enchant_Old!C80</f>
        <v>647</v>
      </c>
      <c r="D76" s="29">
        <f>Item_Enchant_Old!D80</f>
        <v>1</v>
      </c>
      <c r="E76" s="29">
        <f>Item_Enchant_Old!E80</f>
        <v>0</v>
      </c>
      <c r="F76" s="29">
        <f>Item_Enchant_Old!F80</f>
        <v>0</v>
      </c>
      <c r="G76" s="29">
        <f>Item_Enchant_Old!G80</f>
        <v>25</v>
      </c>
      <c r="H76" s="29" t="str">
        <f>Item_Enchant_Old!H80</f>
        <v>@</v>
      </c>
      <c r="I76" s="29">
        <f>Item_Enchant_Old!I80</f>
        <v>1</v>
      </c>
      <c r="J76" s="29" t="str">
        <f>Item_Enchant_Old!J80</f>
        <v>상대값(%)값만 가능</v>
      </c>
      <c r="K76" s="29">
        <f>Item_Enchant_Old!K80</f>
        <v>1</v>
      </c>
      <c r="L76" s="29">
        <f>Item_Enchant_Old!L80</f>
        <v>0</v>
      </c>
      <c r="M76" s="29">
        <f>Item_Enchant_Old!M80</f>
        <v>0</v>
      </c>
      <c r="N76" s="29">
        <f>Item_Enchant_Old!N80</f>
        <v>4</v>
      </c>
      <c r="O76" s="29">
        <f>Item_Enchant_Old!O80</f>
        <v>0</v>
      </c>
      <c r="P76" s="29">
        <f>Item_Enchant_Old!P80</f>
        <v>0</v>
      </c>
      <c r="Q76" s="29">
        <f>Item_Enchant_Old!Q80</f>
        <v>0</v>
      </c>
      <c r="R76" s="29">
        <f>Item_Enchant_Old!R80</f>
        <v>0</v>
      </c>
    </row>
    <row r="77" spans="1:18" s="29" customFormat="1" hidden="1">
      <c r="A77" s="29">
        <f>Item_Enchant_Old!A81</f>
        <v>76</v>
      </c>
      <c r="B77" s="29" t="str">
        <f>Item_Enchant_Old!B81</f>
        <v>ACTIVE_BLEEDING_KEEPTIME_DOWN</v>
      </c>
      <c r="C77" s="29">
        <f>Item_Enchant_Old!C81</f>
        <v>648</v>
      </c>
      <c r="D77" s="29">
        <f>Item_Enchant_Old!D81</f>
        <v>1</v>
      </c>
      <c r="E77" s="29">
        <f>Item_Enchant_Old!E81</f>
        <v>0</v>
      </c>
      <c r="F77" s="29">
        <f>Item_Enchant_Old!F81</f>
        <v>0</v>
      </c>
      <c r="G77" s="29">
        <f>Item_Enchant_Old!G81</f>
        <v>25</v>
      </c>
      <c r="H77" s="29" t="str">
        <f>Item_Enchant_Old!H81</f>
        <v>@</v>
      </c>
      <c r="I77" s="29">
        <f>Item_Enchant_Old!I81</f>
        <v>1</v>
      </c>
      <c r="J77" s="29" t="str">
        <f>Item_Enchant_Old!J81</f>
        <v>상대값(%)값만 가능</v>
      </c>
      <c r="K77" s="29">
        <f>Item_Enchant_Old!K81</f>
        <v>1</v>
      </c>
      <c r="L77" s="29">
        <f>Item_Enchant_Old!L81</f>
        <v>0</v>
      </c>
      <c r="M77" s="29">
        <f>Item_Enchant_Old!M81</f>
        <v>0</v>
      </c>
      <c r="N77" s="29">
        <f>Item_Enchant_Old!N81</f>
        <v>4</v>
      </c>
      <c r="O77" s="29">
        <f>Item_Enchant_Old!O81</f>
        <v>0</v>
      </c>
      <c r="P77" s="29">
        <f>Item_Enchant_Old!P81</f>
        <v>0</v>
      </c>
      <c r="Q77" s="29">
        <f>Item_Enchant_Old!Q81</f>
        <v>0</v>
      </c>
      <c r="R77" s="29">
        <f>Item_Enchant_Old!R81</f>
        <v>0</v>
      </c>
    </row>
    <row r="78" spans="1:18" s="29" customFormat="1" hidden="1">
      <c r="A78" s="29">
        <f>Item_Enchant_Old!A82</f>
        <v>77</v>
      </c>
      <c r="B78" s="29" t="str">
        <f>Item_Enchant_Old!B82</f>
        <v>ACTIVE_POISON_KEEPTIME_DOWN</v>
      </c>
      <c r="C78" s="29">
        <f>Item_Enchant_Old!C82</f>
        <v>649</v>
      </c>
      <c r="D78" s="29">
        <f>Item_Enchant_Old!D82</f>
        <v>1</v>
      </c>
      <c r="E78" s="29">
        <f>Item_Enchant_Old!E82</f>
        <v>0</v>
      </c>
      <c r="F78" s="29">
        <f>Item_Enchant_Old!F82</f>
        <v>0</v>
      </c>
      <c r="G78" s="29">
        <f>Item_Enchant_Old!G82</f>
        <v>25</v>
      </c>
      <c r="H78" s="29" t="str">
        <f>Item_Enchant_Old!H82</f>
        <v>@</v>
      </c>
      <c r="I78" s="29">
        <f>Item_Enchant_Old!I82</f>
        <v>1</v>
      </c>
      <c r="J78" s="29" t="str">
        <f>Item_Enchant_Old!J82</f>
        <v>상대값(%)값만 가능</v>
      </c>
      <c r="K78" s="29">
        <f>Item_Enchant_Old!K82</f>
        <v>1</v>
      </c>
      <c r="L78" s="29">
        <f>Item_Enchant_Old!L82</f>
        <v>0</v>
      </c>
      <c r="M78" s="29">
        <f>Item_Enchant_Old!M82</f>
        <v>0</v>
      </c>
      <c r="N78" s="29">
        <f>Item_Enchant_Old!N82</f>
        <v>4</v>
      </c>
      <c r="O78" s="29">
        <f>Item_Enchant_Old!O82</f>
        <v>0</v>
      </c>
      <c r="P78" s="29">
        <f>Item_Enchant_Old!P82</f>
        <v>0</v>
      </c>
      <c r="Q78" s="29">
        <f>Item_Enchant_Old!Q82</f>
        <v>0</v>
      </c>
      <c r="R78" s="29">
        <f>Item_Enchant_Old!R82</f>
        <v>0</v>
      </c>
    </row>
    <row r="79" spans="1:18" s="29" customFormat="1" hidden="1">
      <c r="A79" s="29">
        <f>Item_Enchant_Old!A83</f>
        <v>78</v>
      </c>
      <c r="B79" s="29" t="str">
        <f>Item_Enchant_Old!B83</f>
        <v>ACTIVE_STOMACHACHE_KEEPTIME_DOWN</v>
      </c>
      <c r="C79" s="29">
        <f>Item_Enchant_Old!C83</f>
        <v>650</v>
      </c>
      <c r="D79" s="29">
        <f>Item_Enchant_Old!D83</f>
        <v>1</v>
      </c>
      <c r="E79" s="29">
        <f>Item_Enchant_Old!E83</f>
        <v>0</v>
      </c>
      <c r="F79" s="29">
        <f>Item_Enchant_Old!F83</f>
        <v>0</v>
      </c>
      <c r="G79" s="29">
        <f>Item_Enchant_Old!G83</f>
        <v>25</v>
      </c>
      <c r="H79" s="29" t="str">
        <f>Item_Enchant_Old!H83</f>
        <v>@</v>
      </c>
      <c r="I79" s="29">
        <f>Item_Enchant_Old!I83</f>
        <v>1</v>
      </c>
      <c r="J79" s="29" t="str">
        <f>Item_Enchant_Old!J83</f>
        <v>상대값(%)값만 가능</v>
      </c>
      <c r="K79" s="29">
        <f>Item_Enchant_Old!K83</f>
        <v>1</v>
      </c>
      <c r="L79" s="29">
        <f>Item_Enchant_Old!L83</f>
        <v>0</v>
      </c>
      <c r="M79" s="29">
        <f>Item_Enchant_Old!M83</f>
        <v>0</v>
      </c>
      <c r="N79" s="29">
        <f>Item_Enchant_Old!N83</f>
        <v>4</v>
      </c>
      <c r="O79" s="29">
        <f>Item_Enchant_Old!O83</f>
        <v>0</v>
      </c>
      <c r="P79" s="29">
        <f>Item_Enchant_Old!P83</f>
        <v>0</v>
      </c>
      <c r="Q79" s="29">
        <f>Item_Enchant_Old!Q83</f>
        <v>0</v>
      </c>
      <c r="R79" s="29">
        <f>Item_Enchant_Old!R83</f>
        <v>0</v>
      </c>
    </row>
    <row r="80" spans="1:18" s="29" customFormat="1" hidden="1">
      <c r="A80" s="29">
        <f>Item_Enchant_Old!A84</f>
        <v>79</v>
      </c>
      <c r="B80" s="29" t="str">
        <f>Item_Enchant_Old!B84</f>
        <v>ACTIVE_CRITICAL_BLOCK_UP</v>
      </c>
      <c r="C80" s="29">
        <f>Item_Enchant_Old!C84</f>
        <v>651</v>
      </c>
      <c r="D80" s="29">
        <f>Item_Enchant_Old!D84</f>
        <v>0</v>
      </c>
      <c r="E80" s="29">
        <f>Item_Enchant_Old!E84</f>
        <v>0</v>
      </c>
      <c r="F80" s="29">
        <f>Item_Enchant_Old!F84</f>
        <v>0</v>
      </c>
      <c r="G80" s="29">
        <f>Item_Enchant_Old!G84</f>
        <v>10</v>
      </c>
      <c r="H80" s="29" t="str">
        <f>Item_Enchant_Old!H84</f>
        <v>@</v>
      </c>
      <c r="I80" s="29">
        <f>Item_Enchant_Old!I84</f>
        <v>1</v>
      </c>
      <c r="J80" s="29" t="str">
        <f>Item_Enchant_Old!J84</f>
        <v>절대값만 가능</v>
      </c>
      <c r="K80" s="29">
        <f>Item_Enchant_Old!K84</f>
        <v>1</v>
      </c>
      <c r="L80" s="29">
        <f>Item_Enchant_Old!L84</f>
        <v>0</v>
      </c>
      <c r="M80" s="29">
        <f>Item_Enchant_Old!M84</f>
        <v>0</v>
      </c>
      <c r="N80" s="29">
        <f>Item_Enchant_Old!N84</f>
        <v>10</v>
      </c>
      <c r="O80" s="29">
        <f>Item_Enchant_Old!O84</f>
        <v>0</v>
      </c>
      <c r="P80" s="29">
        <f>Item_Enchant_Old!P84</f>
        <v>0</v>
      </c>
      <c r="Q80" s="29">
        <f>Item_Enchant_Old!Q84</f>
        <v>0</v>
      </c>
      <c r="R80" s="29">
        <f>Item_Enchant_Old!R84</f>
        <v>0</v>
      </c>
    </row>
    <row r="81" spans="1:18" s="29" customFormat="1" hidden="1">
      <c r="A81" s="29">
        <f>Item_Enchant_Old!A85</f>
        <v>80</v>
      </c>
      <c r="B81" s="29" t="str">
        <f>Item_Enchant_Old!B85</f>
        <v>ACTIVE_PHYSICAL_CRITICAL_DAMAGE_UP</v>
      </c>
      <c r="C81" s="29">
        <f>Item_Enchant_Old!C85</f>
        <v>658</v>
      </c>
      <c r="D81" s="29">
        <f>Item_Enchant_Old!D85</f>
        <v>0</v>
      </c>
      <c r="E81" s="29">
        <f>Item_Enchant_Old!E85</f>
        <v>0</v>
      </c>
      <c r="F81" s="29">
        <f>Item_Enchant_Old!F85</f>
        <v>0</v>
      </c>
      <c r="G81" s="29">
        <f>Item_Enchant_Old!G85</f>
        <v>12</v>
      </c>
      <c r="H81" s="29" t="str">
        <f>Item_Enchant_Old!H85</f>
        <v>@</v>
      </c>
      <c r="I81" s="29">
        <f>Item_Enchant_Old!I85</f>
        <v>1</v>
      </c>
      <c r="J81" s="29" t="str">
        <f>Item_Enchant_Old!J85</f>
        <v>절대값만 가능</v>
      </c>
      <c r="K81" s="29">
        <f>Item_Enchant_Old!K85</f>
        <v>1</v>
      </c>
      <c r="L81" s="29">
        <f>Item_Enchant_Old!L85</f>
        <v>0</v>
      </c>
      <c r="M81" s="29">
        <f>Item_Enchant_Old!M85</f>
        <v>0</v>
      </c>
      <c r="N81" s="29">
        <f>Item_Enchant_Old!N85</f>
        <v>9</v>
      </c>
      <c r="O81" s="29">
        <f>Item_Enchant_Old!O85</f>
        <v>0</v>
      </c>
      <c r="P81" s="29">
        <f>Item_Enchant_Old!P85</f>
        <v>0</v>
      </c>
      <c r="Q81" s="29">
        <f>Item_Enchant_Old!Q85</f>
        <v>0</v>
      </c>
      <c r="R81" s="29">
        <f>Item_Enchant_Old!R85</f>
        <v>0</v>
      </c>
    </row>
    <row r="82" spans="1:18" s="29" customFormat="1" hidden="1">
      <c r="A82" s="29">
        <f>Item_Enchant_Old!A86</f>
        <v>81</v>
      </c>
      <c r="B82" s="29" t="str">
        <f>Item_Enchant_Old!B86</f>
        <v>ACTIVE_ENERGY_CRITICAL_DAMAGE_UP</v>
      </c>
      <c r="C82" s="29">
        <f>Item_Enchant_Old!C86</f>
        <v>659</v>
      </c>
      <c r="D82" s="29">
        <f>Item_Enchant_Old!D86</f>
        <v>0</v>
      </c>
      <c r="E82" s="29">
        <f>Item_Enchant_Old!E86</f>
        <v>0</v>
      </c>
      <c r="F82" s="29">
        <f>Item_Enchant_Old!F86</f>
        <v>0</v>
      </c>
      <c r="G82" s="29">
        <f>Item_Enchant_Old!G86</f>
        <v>10</v>
      </c>
      <c r="H82" s="29" t="str">
        <f>Item_Enchant_Old!H86</f>
        <v>@</v>
      </c>
      <c r="I82" s="29">
        <f>Item_Enchant_Old!I86</f>
        <v>1</v>
      </c>
      <c r="J82" s="29" t="str">
        <f>Item_Enchant_Old!J86</f>
        <v>절대값만 가능</v>
      </c>
      <c r="K82" s="29">
        <f>Item_Enchant_Old!K86</f>
        <v>1</v>
      </c>
      <c r="L82" s="29">
        <f>Item_Enchant_Old!L86</f>
        <v>0</v>
      </c>
      <c r="M82" s="29">
        <f>Item_Enchant_Old!M86</f>
        <v>0</v>
      </c>
      <c r="N82" s="29">
        <f>Item_Enchant_Old!N86</f>
        <v>10</v>
      </c>
      <c r="O82" s="29">
        <f>Item_Enchant_Old!O86</f>
        <v>0</v>
      </c>
      <c r="P82" s="29">
        <f>Item_Enchant_Old!P86</f>
        <v>0</v>
      </c>
      <c r="Q82" s="29">
        <f>Item_Enchant_Old!Q86</f>
        <v>0</v>
      </c>
      <c r="R82" s="29">
        <f>Item_Enchant_Old!R86</f>
        <v>0</v>
      </c>
    </row>
    <row r="83" spans="1:18" s="29" customFormat="1" hidden="1">
      <c r="A83" s="29">
        <f>Item_Enchant_Old!A87</f>
        <v>82</v>
      </c>
      <c r="B83" s="29" t="str">
        <f>Item_Enchant_Old!B87</f>
        <v>ACTIVE_BATTLE_ATTRIBUTE_UP</v>
      </c>
      <c r="C83" s="29">
        <f>Item_Enchant_Old!C87</f>
        <v>667</v>
      </c>
      <c r="D83" s="29">
        <f>Item_Enchant_Old!D87</f>
        <v>0</v>
      </c>
      <c r="E83" s="29">
        <f>Item_Enchant_Old!E87</f>
        <v>0</v>
      </c>
      <c r="F83" s="29">
        <f>Item_Enchant_Old!F87</f>
        <v>0</v>
      </c>
      <c r="G83" s="29">
        <f>Item_Enchant_Old!G87</f>
        <v>7</v>
      </c>
      <c r="H83" s="29" t="str">
        <f>Item_Enchant_Old!H87</f>
        <v>@</v>
      </c>
      <c r="I83" s="29">
        <f>Item_Enchant_Old!I87</f>
        <v>1</v>
      </c>
      <c r="J83" s="29" t="str">
        <f>Item_Enchant_Old!J87</f>
        <v>절대값만 가능</v>
      </c>
      <c r="K83" s="29">
        <f>Item_Enchant_Old!K87</f>
        <v>1</v>
      </c>
      <c r="L83" s="29">
        <f>Item_Enchant_Old!L87</f>
        <v>0</v>
      </c>
      <c r="M83" s="29">
        <f>Item_Enchant_Old!M87</f>
        <v>0</v>
      </c>
      <c r="N83" s="29">
        <f>Item_Enchant_Old!N87</f>
        <v>15</v>
      </c>
      <c r="O83" s="29">
        <f>Item_Enchant_Old!O87</f>
        <v>0</v>
      </c>
      <c r="P83" s="29">
        <f>Item_Enchant_Old!P87</f>
        <v>0</v>
      </c>
      <c r="Q83" s="29">
        <f>Item_Enchant_Old!Q87</f>
        <v>0</v>
      </c>
      <c r="R83" s="29">
        <f>Item_Enchant_Old!R87</f>
        <v>0</v>
      </c>
    </row>
    <row r="84" spans="1:18" s="29" customFormat="1" hidden="1">
      <c r="A84" s="29">
        <f>Item_Enchant_Old!A88</f>
        <v>83</v>
      </c>
      <c r="B84" s="29" t="str">
        <f>Item_Enchant_Old!B88</f>
        <v>ACTIVE_PHYSICAL_REFLECTION</v>
      </c>
      <c r="C84" s="29">
        <f>Item_Enchant_Old!C88</f>
        <v>668</v>
      </c>
      <c r="D84" s="29">
        <f>Item_Enchant_Old!D88</f>
        <v>0</v>
      </c>
      <c r="E84" s="29">
        <f>Item_Enchant_Old!E88</f>
        <v>0</v>
      </c>
      <c r="F84" s="29">
        <f>Item_Enchant_Old!F88</f>
        <v>0</v>
      </c>
      <c r="G84" s="29">
        <f>Item_Enchant_Old!G88</f>
        <v>5</v>
      </c>
      <c r="H84" s="29" t="str">
        <f>Item_Enchant_Old!H88</f>
        <v>@</v>
      </c>
      <c r="I84" s="29">
        <f>Item_Enchant_Old!I88</f>
        <v>1</v>
      </c>
      <c r="J84" s="29" t="str">
        <f>Item_Enchant_Old!J88</f>
        <v>절대값만 가능</v>
      </c>
      <c r="K84" s="29">
        <f>Item_Enchant_Old!K88</f>
        <v>1</v>
      </c>
      <c r="L84" s="29">
        <f>Item_Enchant_Old!L88</f>
        <v>0</v>
      </c>
      <c r="M84" s="29">
        <f>Item_Enchant_Old!M88</f>
        <v>0</v>
      </c>
      <c r="N84" s="29">
        <f>Item_Enchant_Old!N88</f>
        <v>20</v>
      </c>
      <c r="O84" s="29">
        <f>Item_Enchant_Old!O88</f>
        <v>0</v>
      </c>
      <c r="P84" s="29">
        <f>Item_Enchant_Old!P88</f>
        <v>0</v>
      </c>
      <c r="Q84" s="29">
        <f>Item_Enchant_Old!Q88</f>
        <v>0</v>
      </c>
      <c r="R84" s="29">
        <f>Item_Enchant_Old!R88</f>
        <v>0</v>
      </c>
    </row>
    <row r="85" spans="1:18" s="29" customFormat="1" hidden="1">
      <c r="A85" s="29">
        <f>Item_Enchant_Old!A89</f>
        <v>84</v>
      </c>
      <c r="B85" s="29" t="str">
        <f>Item_Enchant_Old!B89</f>
        <v>ACTIVE_HONEST_OFFENCE_UP</v>
      </c>
      <c r="C85" s="29">
        <f>Item_Enchant_Old!C89</f>
        <v>672</v>
      </c>
      <c r="D85" s="29">
        <f>Item_Enchant_Old!D89</f>
        <v>0</v>
      </c>
      <c r="E85" s="29">
        <f>Item_Enchant_Old!E89</f>
        <v>0</v>
      </c>
      <c r="F85" s="29">
        <f>Item_Enchant_Old!F89</f>
        <v>7</v>
      </c>
      <c r="G85" s="29">
        <f>Item_Enchant_Old!G89</f>
        <v>13</v>
      </c>
      <c r="H85" s="29" t="str">
        <f>Item_Enchant_Old!H89</f>
        <v>@</v>
      </c>
      <c r="I85" s="29">
        <f>Item_Enchant_Old!I89</f>
        <v>1</v>
      </c>
      <c r="J85" s="29" t="str">
        <f>Item_Enchant_Old!J89</f>
        <v>절대값만 가능</v>
      </c>
      <c r="K85" s="29">
        <f>Item_Enchant_Old!K89</f>
        <v>1</v>
      </c>
      <c r="L85" s="29">
        <f>Item_Enchant_Old!L89</f>
        <v>0</v>
      </c>
      <c r="M85" s="29">
        <f>Item_Enchant_Old!M89</f>
        <v>0</v>
      </c>
      <c r="N85" s="29">
        <f>Item_Enchant_Old!N89</f>
        <v>8</v>
      </c>
      <c r="O85" s="29">
        <f>Item_Enchant_Old!O89</f>
        <v>0</v>
      </c>
      <c r="P85" s="29">
        <f>Item_Enchant_Old!P89</f>
        <v>0</v>
      </c>
      <c r="Q85" s="29">
        <f>Item_Enchant_Old!Q89</f>
        <v>0</v>
      </c>
      <c r="R85" s="29">
        <f>Item_Enchant_Old!R89</f>
        <v>0</v>
      </c>
    </row>
    <row r="86" spans="1:18" s="29" customFormat="1" hidden="1">
      <c r="A86" s="29">
        <f>Item_Enchant_Old!A90</f>
        <v>85</v>
      </c>
      <c r="B86" s="29" t="str">
        <f>Item_Enchant_Old!B90</f>
        <v>ACTIVE_STRANGE_OFFENCE_UP</v>
      </c>
      <c r="C86" s="29">
        <f>Item_Enchant_Old!C90</f>
        <v>673</v>
      </c>
      <c r="D86" s="29">
        <f>Item_Enchant_Old!D90</f>
        <v>0</v>
      </c>
      <c r="E86" s="29">
        <f>Item_Enchant_Old!E90</f>
        <v>0</v>
      </c>
      <c r="F86" s="29">
        <f>Item_Enchant_Old!F90</f>
        <v>7</v>
      </c>
      <c r="G86" s="29">
        <f>Item_Enchant_Old!G90</f>
        <v>13</v>
      </c>
      <c r="H86" s="29" t="str">
        <f>Item_Enchant_Old!H90</f>
        <v>@</v>
      </c>
      <c r="I86" s="29">
        <f>Item_Enchant_Old!I90</f>
        <v>1</v>
      </c>
      <c r="J86" s="29" t="str">
        <f>Item_Enchant_Old!J90</f>
        <v>절대값만 가능</v>
      </c>
      <c r="K86" s="29">
        <f>Item_Enchant_Old!K90</f>
        <v>1</v>
      </c>
      <c r="L86" s="29">
        <f>Item_Enchant_Old!L90</f>
        <v>0</v>
      </c>
      <c r="M86" s="29">
        <f>Item_Enchant_Old!M90</f>
        <v>0</v>
      </c>
      <c r="N86" s="29">
        <f>Item_Enchant_Old!N90</f>
        <v>8</v>
      </c>
      <c r="O86" s="29">
        <f>Item_Enchant_Old!O90</f>
        <v>0</v>
      </c>
      <c r="P86" s="29">
        <f>Item_Enchant_Old!P90</f>
        <v>0</v>
      </c>
      <c r="Q86" s="29">
        <f>Item_Enchant_Old!Q90</f>
        <v>0</v>
      </c>
      <c r="R86" s="29">
        <f>Item_Enchant_Old!R90</f>
        <v>0</v>
      </c>
    </row>
    <row r="87" spans="1:18" s="29" customFormat="1" hidden="1">
      <c r="A87" s="29">
        <f>Item_Enchant_Old!A91</f>
        <v>86</v>
      </c>
      <c r="B87" s="29" t="str">
        <f>Item_Enchant_Old!B91</f>
        <v>ACTIVE_WILD_OFFENCE_UP</v>
      </c>
      <c r="C87" s="29">
        <f>Item_Enchant_Old!C91</f>
        <v>674</v>
      </c>
      <c r="D87" s="29">
        <f>Item_Enchant_Old!D91</f>
        <v>0</v>
      </c>
      <c r="E87" s="29">
        <f>Item_Enchant_Old!E91</f>
        <v>0</v>
      </c>
      <c r="F87" s="29">
        <f>Item_Enchant_Old!F91</f>
        <v>7</v>
      </c>
      <c r="G87" s="29">
        <f>Item_Enchant_Old!G91</f>
        <v>13</v>
      </c>
      <c r="H87" s="29" t="str">
        <f>Item_Enchant_Old!H91</f>
        <v>@</v>
      </c>
      <c r="I87" s="29">
        <f>Item_Enchant_Old!I91</f>
        <v>1</v>
      </c>
      <c r="J87" s="29" t="str">
        <f>Item_Enchant_Old!J91</f>
        <v>절대값만 가능</v>
      </c>
      <c r="K87" s="29">
        <f>Item_Enchant_Old!K91</f>
        <v>1</v>
      </c>
      <c r="L87" s="29">
        <f>Item_Enchant_Old!L91</f>
        <v>0</v>
      </c>
      <c r="M87" s="29">
        <f>Item_Enchant_Old!M91</f>
        <v>0</v>
      </c>
      <c r="N87" s="29">
        <f>Item_Enchant_Old!N91</f>
        <v>8</v>
      </c>
      <c r="O87" s="29">
        <f>Item_Enchant_Old!O91</f>
        <v>0</v>
      </c>
      <c r="P87" s="29">
        <f>Item_Enchant_Old!P91</f>
        <v>0</v>
      </c>
      <c r="Q87" s="29">
        <f>Item_Enchant_Old!Q91</f>
        <v>0</v>
      </c>
      <c r="R87" s="29">
        <f>Item_Enchant_Old!R91</f>
        <v>0</v>
      </c>
    </row>
    <row r="88" spans="1:18" s="29" customFormat="1" hidden="1">
      <c r="A88" s="29">
        <f>Item_Enchant_Old!A92</f>
        <v>87</v>
      </c>
      <c r="B88" s="29" t="str">
        <f>Item_Enchant_Old!B92</f>
        <v>ACTIVE_ELEGANCE_OFFENCE_UP</v>
      </c>
      <c r="C88" s="29">
        <f>Item_Enchant_Old!C92</f>
        <v>675</v>
      </c>
      <c r="D88" s="29">
        <f>Item_Enchant_Old!D92</f>
        <v>0</v>
      </c>
      <c r="E88" s="29">
        <f>Item_Enchant_Old!E92</f>
        <v>0</v>
      </c>
      <c r="F88" s="29">
        <f>Item_Enchant_Old!F92</f>
        <v>7</v>
      </c>
      <c r="G88" s="29">
        <f>Item_Enchant_Old!G92</f>
        <v>13</v>
      </c>
      <c r="H88" s="29" t="str">
        <f>Item_Enchant_Old!H92</f>
        <v>@</v>
      </c>
      <c r="I88" s="29">
        <f>Item_Enchant_Old!I92</f>
        <v>1</v>
      </c>
      <c r="J88" s="29" t="str">
        <f>Item_Enchant_Old!J92</f>
        <v>절대값만 가능</v>
      </c>
      <c r="K88" s="29">
        <f>Item_Enchant_Old!K92</f>
        <v>1</v>
      </c>
      <c r="L88" s="29">
        <f>Item_Enchant_Old!L92</f>
        <v>0</v>
      </c>
      <c r="M88" s="29">
        <f>Item_Enchant_Old!M92</f>
        <v>0</v>
      </c>
      <c r="N88" s="29">
        <f>Item_Enchant_Old!N92</f>
        <v>8</v>
      </c>
      <c r="O88" s="29">
        <f>Item_Enchant_Old!O92</f>
        <v>0</v>
      </c>
      <c r="P88" s="29">
        <f>Item_Enchant_Old!P92</f>
        <v>0</v>
      </c>
      <c r="Q88" s="29">
        <f>Item_Enchant_Old!Q92</f>
        <v>0</v>
      </c>
      <c r="R88" s="29">
        <f>Item_Enchant_Old!R92</f>
        <v>0</v>
      </c>
    </row>
    <row r="89" spans="1:18" s="29" customFormat="1" hidden="1">
      <c r="A89" s="29">
        <f>Item_Enchant_Old!A93</f>
        <v>88</v>
      </c>
      <c r="B89" s="29" t="str">
        <f>Item_Enchant_Old!B93</f>
        <v>ACTIVE_FUNNY_OFFENCE_UP</v>
      </c>
      <c r="C89" s="29">
        <f>Item_Enchant_Old!C93</f>
        <v>676</v>
      </c>
      <c r="D89" s="29">
        <f>Item_Enchant_Old!D93</f>
        <v>0</v>
      </c>
      <c r="E89" s="29">
        <f>Item_Enchant_Old!E93</f>
        <v>0</v>
      </c>
      <c r="F89" s="29">
        <f>Item_Enchant_Old!F93</f>
        <v>7</v>
      </c>
      <c r="G89" s="29">
        <f>Item_Enchant_Old!G93</f>
        <v>13</v>
      </c>
      <c r="H89" s="29" t="str">
        <f>Item_Enchant_Old!H93</f>
        <v>@</v>
      </c>
      <c r="I89" s="29">
        <f>Item_Enchant_Old!I93</f>
        <v>1</v>
      </c>
      <c r="J89" s="29" t="str">
        <f>Item_Enchant_Old!J93</f>
        <v>절대값만 가능</v>
      </c>
      <c r="K89" s="29">
        <f>Item_Enchant_Old!K93</f>
        <v>1</v>
      </c>
      <c r="L89" s="29">
        <f>Item_Enchant_Old!L93</f>
        <v>0</v>
      </c>
      <c r="M89" s="29">
        <f>Item_Enchant_Old!M93</f>
        <v>0</v>
      </c>
      <c r="N89" s="29">
        <f>Item_Enchant_Old!N93</f>
        <v>8</v>
      </c>
      <c r="O89" s="29">
        <f>Item_Enchant_Old!O93</f>
        <v>0</v>
      </c>
      <c r="P89" s="29">
        <f>Item_Enchant_Old!P93</f>
        <v>0</v>
      </c>
      <c r="Q89" s="29">
        <f>Item_Enchant_Old!Q93</f>
        <v>0</v>
      </c>
      <c r="R89" s="29">
        <f>Item_Enchant_Old!R93</f>
        <v>0</v>
      </c>
    </row>
    <row r="90" spans="1:18" s="29" customFormat="1" hidden="1">
      <c r="A90" s="29">
        <f>Item_Enchant_Old!A94</f>
        <v>89</v>
      </c>
      <c r="B90" s="29" t="str">
        <f>Item_Enchant_Old!B94</f>
        <v>ACTIVE_PHYSICAL_OFFENCE_UP</v>
      </c>
      <c r="C90" s="29">
        <f>Item_Enchant_Old!C94</f>
        <v>606</v>
      </c>
      <c r="D90" s="29">
        <f>Item_Enchant_Old!D94</f>
        <v>0</v>
      </c>
      <c r="E90" s="29">
        <f>Item_Enchant_Old!E94</f>
        <v>0</v>
      </c>
      <c r="F90" s="29">
        <f>Item_Enchant_Old!F94</f>
        <v>0</v>
      </c>
      <c r="G90" s="29">
        <f>Item_Enchant_Old!G94</f>
        <v>1</v>
      </c>
      <c r="H90" s="29" t="str">
        <f>Item_Enchant_Old!H94</f>
        <v>@</v>
      </c>
      <c r="I90" s="29">
        <f>Item_Enchant_Old!I94</f>
        <v>1</v>
      </c>
      <c r="J90" s="29" t="str">
        <f>Item_Enchant_Old!J94</f>
        <v>절대값/상대값(%) 가능</v>
      </c>
      <c r="K90" s="29">
        <f>Item_Enchant_Old!K94</f>
        <v>0</v>
      </c>
      <c r="L90" s="29">
        <f>Item_Enchant_Old!L94</f>
        <v>0</v>
      </c>
      <c r="M90" s="29">
        <f>Item_Enchant_Old!M94</f>
        <v>1</v>
      </c>
      <c r="N90" s="29">
        <f>Item_Enchant_Old!N94</f>
        <v>125</v>
      </c>
      <c r="O90" s="29">
        <f>Item_Enchant_Old!O94</f>
        <v>1</v>
      </c>
      <c r="P90" s="29">
        <f>Item_Enchant_Old!P94</f>
        <v>1</v>
      </c>
      <c r="Q90" s="29">
        <f>Item_Enchant_Old!Q94</f>
        <v>1</v>
      </c>
      <c r="R90" s="29">
        <f>Item_Enchant_Old!R94</f>
        <v>1</v>
      </c>
    </row>
    <row r="91" spans="1:18" s="29" customFormat="1" hidden="1">
      <c r="A91" s="29">
        <f>Item_Enchant_Old!A95</f>
        <v>90</v>
      </c>
      <c r="B91" s="29" t="str">
        <f>Item_Enchant_Old!B95</f>
        <v>ACTIVE_STR_UP</v>
      </c>
      <c r="C91" s="29">
        <f>Item_Enchant_Old!C95</f>
        <v>610</v>
      </c>
      <c r="D91" s="29">
        <f>Item_Enchant_Old!D95</f>
        <v>0</v>
      </c>
      <c r="E91" s="29">
        <f>Item_Enchant_Old!E95</f>
        <v>0</v>
      </c>
      <c r="F91" s="29">
        <f>Item_Enchant_Old!F95</f>
        <v>0</v>
      </c>
      <c r="G91" s="29">
        <f>Item_Enchant_Old!G95</f>
        <v>2</v>
      </c>
      <c r="H91" s="29" t="str">
        <f>Item_Enchant_Old!H95</f>
        <v>@</v>
      </c>
      <c r="I91" s="29">
        <f>Item_Enchant_Old!I95</f>
        <v>1</v>
      </c>
      <c r="J91" s="29" t="str">
        <f>Item_Enchant_Old!J95</f>
        <v>절대값/상대값(%) 가능</v>
      </c>
      <c r="K91" s="29">
        <f>Item_Enchant_Old!K95</f>
        <v>0</v>
      </c>
      <c r="L91" s="29">
        <f>Item_Enchant_Old!L95</f>
        <v>0</v>
      </c>
      <c r="M91" s="29">
        <f>Item_Enchant_Old!M95</f>
        <v>1</v>
      </c>
      <c r="N91" s="29">
        <f>Item_Enchant_Old!N95</f>
        <v>57</v>
      </c>
      <c r="O91" s="29">
        <f>Item_Enchant_Old!O95</f>
        <v>1</v>
      </c>
      <c r="P91" s="29">
        <f>Item_Enchant_Old!P95</f>
        <v>1</v>
      </c>
      <c r="Q91" s="29">
        <f>Item_Enchant_Old!Q95</f>
        <v>1</v>
      </c>
      <c r="R91" s="29">
        <f>Item_Enchant_Old!R95</f>
        <v>1</v>
      </c>
    </row>
    <row r="92" spans="1:18" s="29" customFormat="1" hidden="1">
      <c r="A92" s="29">
        <f>Item_Enchant_Old!A96</f>
        <v>91</v>
      </c>
      <c r="B92" s="29" t="str">
        <f>Item_Enchant_Old!B96</f>
        <v>ACTIVE_DEX_UP</v>
      </c>
      <c r="C92" s="29">
        <f>Item_Enchant_Old!C96</f>
        <v>613</v>
      </c>
      <c r="D92" s="29">
        <f>Item_Enchant_Old!D96</f>
        <v>0</v>
      </c>
      <c r="E92" s="29">
        <f>Item_Enchant_Old!E96</f>
        <v>0</v>
      </c>
      <c r="F92" s="29">
        <f>Item_Enchant_Old!F96</f>
        <v>0</v>
      </c>
      <c r="G92" s="29">
        <f>Item_Enchant_Old!G96</f>
        <v>3</v>
      </c>
      <c r="H92" s="29" t="str">
        <f>Item_Enchant_Old!H96</f>
        <v>@</v>
      </c>
      <c r="I92" s="29">
        <f>Item_Enchant_Old!I96</f>
        <v>1</v>
      </c>
      <c r="J92" s="29" t="str">
        <f>Item_Enchant_Old!J96</f>
        <v>절대값/상대값(%) 가능</v>
      </c>
      <c r="K92" s="29">
        <f>Item_Enchant_Old!K96</f>
        <v>0</v>
      </c>
      <c r="L92" s="29">
        <f>Item_Enchant_Old!L96</f>
        <v>0</v>
      </c>
      <c r="M92" s="29">
        <f>Item_Enchant_Old!M96</f>
        <v>1</v>
      </c>
      <c r="N92" s="29">
        <f>Item_Enchant_Old!N96</f>
        <v>44</v>
      </c>
      <c r="O92" s="29">
        <f>Item_Enchant_Old!O96</f>
        <v>1</v>
      </c>
      <c r="P92" s="29">
        <f>Item_Enchant_Old!P96</f>
        <v>1</v>
      </c>
      <c r="Q92" s="29">
        <f>Item_Enchant_Old!Q96</f>
        <v>1</v>
      </c>
      <c r="R92" s="29">
        <f>Item_Enchant_Old!R96</f>
        <v>1</v>
      </c>
    </row>
    <row r="93" spans="1:18" s="29" customFormat="1" hidden="1">
      <c r="A93" s="29">
        <f>Item_Enchant_Old!A97</f>
        <v>92</v>
      </c>
      <c r="B93" s="29" t="str">
        <f>Item_Enchant_Old!B97</f>
        <v>ACTIVE_PHYSICAL_CRITICAL_DAMAGE_UP</v>
      </c>
      <c r="C93" s="29">
        <f>Item_Enchant_Old!C97</f>
        <v>658</v>
      </c>
      <c r="D93" s="29">
        <f>Item_Enchant_Old!D97</f>
        <v>0</v>
      </c>
      <c r="E93" s="29">
        <f>Item_Enchant_Old!E97</f>
        <v>0</v>
      </c>
      <c r="F93" s="29">
        <f>Item_Enchant_Old!F97</f>
        <v>0</v>
      </c>
      <c r="G93" s="29">
        <f>Item_Enchant_Old!G97</f>
        <v>4</v>
      </c>
      <c r="H93" s="29" t="str">
        <f>Item_Enchant_Old!H97</f>
        <v>@</v>
      </c>
      <c r="I93" s="29">
        <f>Item_Enchant_Old!I97</f>
        <v>1</v>
      </c>
      <c r="J93" s="29" t="str">
        <f>Item_Enchant_Old!J97</f>
        <v>절대값만 가능</v>
      </c>
      <c r="K93" s="29">
        <f>Item_Enchant_Old!K97</f>
        <v>0</v>
      </c>
      <c r="L93" s="29">
        <f>Item_Enchant_Old!L97</f>
        <v>0</v>
      </c>
      <c r="M93" s="29">
        <f>Item_Enchant_Old!M97</f>
        <v>1</v>
      </c>
      <c r="N93" s="29">
        <f>Item_Enchant_Old!N97</f>
        <v>28</v>
      </c>
      <c r="O93" s="29">
        <f>Item_Enchant_Old!O97</f>
        <v>1</v>
      </c>
      <c r="P93" s="29">
        <f>Item_Enchant_Old!P97</f>
        <v>1</v>
      </c>
      <c r="Q93" s="29">
        <f>Item_Enchant_Old!Q97</f>
        <v>1</v>
      </c>
      <c r="R93" s="29">
        <f>Item_Enchant_Old!R97</f>
        <v>1</v>
      </c>
    </row>
    <row r="94" spans="1:18" s="29" customFormat="1" hidden="1">
      <c r="A94" s="29">
        <f>Item_Enchant_Old!A98</f>
        <v>93</v>
      </c>
      <c r="B94" s="29" t="str">
        <f>Item_Enchant_Old!B98</f>
        <v>ACTIVE_PHYSICAL_CRITICAL_DAMAGE_UP</v>
      </c>
      <c r="C94" s="29">
        <f>Item_Enchant_Old!C98</f>
        <v>658</v>
      </c>
      <c r="D94" s="29">
        <f>Item_Enchant_Old!D98</f>
        <v>0</v>
      </c>
      <c r="E94" s="29">
        <f>Item_Enchant_Old!E98</f>
        <v>0</v>
      </c>
      <c r="F94" s="29">
        <f>Item_Enchant_Old!F98</f>
        <v>0</v>
      </c>
      <c r="G94" s="29">
        <f>Item_Enchant_Old!G98</f>
        <v>4</v>
      </c>
      <c r="H94" s="29" t="str">
        <f>Item_Enchant_Old!H98</f>
        <v>@</v>
      </c>
      <c r="I94" s="29">
        <f>Item_Enchant_Old!I98</f>
        <v>1</v>
      </c>
      <c r="J94" s="29" t="str">
        <f>Item_Enchant_Old!J98</f>
        <v>절대값만 가능</v>
      </c>
      <c r="K94" s="29">
        <f>Item_Enchant_Old!K98</f>
        <v>0</v>
      </c>
      <c r="L94" s="29">
        <f>Item_Enchant_Old!L98</f>
        <v>0</v>
      </c>
      <c r="M94" s="29">
        <f>Item_Enchant_Old!M98</f>
        <v>2</v>
      </c>
      <c r="N94" s="29">
        <f>Item_Enchant_Old!N98</f>
        <v>28</v>
      </c>
      <c r="O94" s="29">
        <f>Item_Enchant_Old!O98</f>
        <v>1</v>
      </c>
      <c r="P94" s="29">
        <f>Item_Enchant_Old!P98</f>
        <v>1</v>
      </c>
      <c r="Q94" s="29">
        <f>Item_Enchant_Old!Q98</f>
        <v>1</v>
      </c>
      <c r="R94" s="29">
        <f>Item_Enchant_Old!R98</f>
        <v>1</v>
      </c>
    </row>
    <row r="95" spans="1:18" s="29" customFormat="1" hidden="1">
      <c r="A95" s="29">
        <f>Item_Enchant_Old!A99</f>
        <v>94</v>
      </c>
      <c r="B95" s="29" t="str">
        <f>Item_Enchant_Old!B99</f>
        <v>ACTIVE_PHYSICAL_CRITICAL</v>
      </c>
      <c r="C95" s="29">
        <f>Item_Enchant_Old!C99</f>
        <v>632</v>
      </c>
      <c r="D95" s="29">
        <f>Item_Enchant_Old!D99</f>
        <v>0</v>
      </c>
      <c r="E95" s="29">
        <f>Item_Enchant_Old!E99</f>
        <v>0</v>
      </c>
      <c r="F95" s="29">
        <f>Item_Enchant_Old!F99</f>
        <v>0</v>
      </c>
      <c r="G95" s="29">
        <f>Item_Enchant_Old!G99</f>
        <v>5</v>
      </c>
      <c r="H95" s="29" t="str">
        <f>Item_Enchant_Old!H99</f>
        <v>@</v>
      </c>
      <c r="I95" s="29">
        <f>Item_Enchant_Old!I99</f>
        <v>1</v>
      </c>
      <c r="J95" s="29" t="str">
        <f>Item_Enchant_Old!J99</f>
        <v>절대값/상대값(%) 가능</v>
      </c>
      <c r="K95" s="29">
        <f>Item_Enchant_Old!K99</f>
        <v>0</v>
      </c>
      <c r="L95" s="29">
        <f>Item_Enchant_Old!L99</f>
        <v>0</v>
      </c>
      <c r="M95" s="29">
        <f>Item_Enchant_Old!M99</f>
        <v>2</v>
      </c>
      <c r="N95" s="29">
        <f>Item_Enchant_Old!N99</f>
        <v>21</v>
      </c>
      <c r="O95" s="29">
        <f>Item_Enchant_Old!O99</f>
        <v>1</v>
      </c>
      <c r="P95" s="29">
        <f>Item_Enchant_Old!P99</f>
        <v>1</v>
      </c>
      <c r="Q95" s="29">
        <f>Item_Enchant_Old!Q99</f>
        <v>1</v>
      </c>
      <c r="R95" s="29">
        <f>Item_Enchant_Old!R99</f>
        <v>1</v>
      </c>
    </row>
    <row r="96" spans="1:18" s="29" customFormat="1" hidden="1">
      <c r="A96" s="29">
        <f>Item_Enchant_Old!A100</f>
        <v>95</v>
      </c>
      <c r="B96" s="29" t="str">
        <f>Item_Enchant_Old!B100</f>
        <v>ACTIVE_DEX_UP</v>
      </c>
      <c r="C96" s="29">
        <f>Item_Enchant_Old!C100</f>
        <v>613</v>
      </c>
      <c r="D96" s="29">
        <f>Item_Enchant_Old!D100</f>
        <v>0</v>
      </c>
      <c r="E96" s="29">
        <f>Item_Enchant_Old!E100</f>
        <v>0</v>
      </c>
      <c r="F96" s="29">
        <f>Item_Enchant_Old!F100</f>
        <v>0</v>
      </c>
      <c r="G96" s="29">
        <f>Item_Enchant_Old!G100</f>
        <v>3</v>
      </c>
      <c r="H96" s="29" t="str">
        <f>Item_Enchant_Old!H100</f>
        <v>@</v>
      </c>
      <c r="I96" s="29">
        <f>Item_Enchant_Old!I100</f>
        <v>1</v>
      </c>
      <c r="J96" s="29" t="str">
        <f>Item_Enchant_Old!J100</f>
        <v>절대값/상대값(%) 가능</v>
      </c>
      <c r="K96" s="29">
        <f>Item_Enchant_Old!K100</f>
        <v>0</v>
      </c>
      <c r="L96" s="29">
        <f>Item_Enchant_Old!L100</f>
        <v>0</v>
      </c>
      <c r="M96" s="29">
        <f>Item_Enchant_Old!M100</f>
        <v>2</v>
      </c>
      <c r="N96" s="29">
        <f>Item_Enchant_Old!N100</f>
        <v>44</v>
      </c>
      <c r="O96" s="29">
        <f>Item_Enchant_Old!O100</f>
        <v>1</v>
      </c>
      <c r="P96" s="29">
        <f>Item_Enchant_Old!P100</f>
        <v>1</v>
      </c>
      <c r="Q96" s="29">
        <f>Item_Enchant_Old!Q100</f>
        <v>1</v>
      </c>
      <c r="R96" s="29">
        <f>Item_Enchant_Old!R100</f>
        <v>1</v>
      </c>
    </row>
    <row r="97" spans="1:18" s="29" customFormat="1" hidden="1">
      <c r="A97" s="29">
        <f>Item_Enchant_Old!A101</f>
        <v>96</v>
      </c>
      <c r="B97" s="29" t="str">
        <f>Item_Enchant_Old!B101</f>
        <v>ACTIVE_FOC_UP</v>
      </c>
      <c r="C97" s="29">
        <f>Item_Enchant_Old!C101</f>
        <v>612</v>
      </c>
      <c r="D97" s="29">
        <f>Item_Enchant_Old!D101</f>
        <v>0</v>
      </c>
      <c r="E97" s="29">
        <f>Item_Enchant_Old!E101</f>
        <v>0</v>
      </c>
      <c r="F97" s="29">
        <f>Item_Enchant_Old!F101</f>
        <v>0</v>
      </c>
      <c r="G97" s="29">
        <f>Item_Enchant_Old!G101</f>
        <v>2</v>
      </c>
      <c r="H97" s="29" t="str">
        <f>Item_Enchant_Old!H101</f>
        <v>@</v>
      </c>
      <c r="I97" s="29">
        <f>Item_Enchant_Old!I101</f>
        <v>1</v>
      </c>
      <c r="J97" s="29" t="str">
        <f>Item_Enchant_Old!J101</f>
        <v>절대값/상대값(%) 가능</v>
      </c>
      <c r="K97" s="29">
        <f>Item_Enchant_Old!K101</f>
        <v>0</v>
      </c>
      <c r="L97" s="29">
        <f>Item_Enchant_Old!L101</f>
        <v>0</v>
      </c>
      <c r="M97" s="29">
        <f>Item_Enchant_Old!M101</f>
        <v>2</v>
      </c>
      <c r="N97" s="29">
        <f>Item_Enchant_Old!N101</f>
        <v>53</v>
      </c>
      <c r="O97" s="29">
        <f>Item_Enchant_Old!O101</f>
        <v>1</v>
      </c>
      <c r="P97" s="29">
        <f>Item_Enchant_Old!P101</f>
        <v>1</v>
      </c>
      <c r="Q97" s="29">
        <f>Item_Enchant_Old!Q101</f>
        <v>1</v>
      </c>
      <c r="R97" s="29">
        <f>Item_Enchant_Old!R101</f>
        <v>1</v>
      </c>
    </row>
    <row r="98" spans="1:18" s="29" customFormat="1" hidden="1">
      <c r="A98" s="29">
        <f>Item_Enchant_Old!A102</f>
        <v>97</v>
      </c>
      <c r="B98" s="29" t="str">
        <f>Item_Enchant_Old!B102</f>
        <v>ACTIVE_ENERGY_OFFENCE_UP</v>
      </c>
      <c r="C98" s="29">
        <f>Item_Enchant_Old!C102</f>
        <v>607</v>
      </c>
      <c r="D98" s="29">
        <f>Item_Enchant_Old!D102</f>
        <v>0</v>
      </c>
      <c r="E98" s="29">
        <f>Item_Enchant_Old!E102</f>
        <v>0</v>
      </c>
      <c r="F98" s="29">
        <f>Item_Enchant_Old!F102</f>
        <v>0</v>
      </c>
      <c r="G98" s="29">
        <f>Item_Enchant_Old!G102</f>
        <v>1</v>
      </c>
      <c r="H98" s="29" t="str">
        <f>Item_Enchant_Old!H102</f>
        <v>@</v>
      </c>
      <c r="I98" s="29">
        <f>Item_Enchant_Old!I102</f>
        <v>1</v>
      </c>
      <c r="J98" s="29" t="str">
        <f>Item_Enchant_Old!J102</f>
        <v>절대값/상대값(%) 가능</v>
      </c>
      <c r="K98" s="29">
        <f>Item_Enchant_Old!K102</f>
        <v>0</v>
      </c>
      <c r="L98" s="29">
        <f>Item_Enchant_Old!L102</f>
        <v>0</v>
      </c>
      <c r="M98" s="29">
        <f>Item_Enchant_Old!M102</f>
        <v>3</v>
      </c>
      <c r="N98" s="29">
        <f>Item_Enchant_Old!N102</f>
        <v>104</v>
      </c>
      <c r="O98" s="29">
        <f>Item_Enchant_Old!O102</f>
        <v>1</v>
      </c>
      <c r="P98" s="29">
        <f>Item_Enchant_Old!P102</f>
        <v>1</v>
      </c>
      <c r="Q98" s="29">
        <f>Item_Enchant_Old!Q102</f>
        <v>1</v>
      </c>
      <c r="R98" s="29">
        <f>Item_Enchant_Old!R102</f>
        <v>1</v>
      </c>
    </row>
    <row r="99" spans="1:18" s="29" customFormat="1" hidden="1">
      <c r="A99" s="29">
        <f>Item_Enchant_Old!A103</f>
        <v>98</v>
      </c>
      <c r="B99" s="29" t="str">
        <f>Item_Enchant_Old!B103</f>
        <v>ACTIVE_FOC_UP</v>
      </c>
      <c r="C99" s="29">
        <f>Item_Enchant_Old!C103</f>
        <v>612</v>
      </c>
      <c r="D99" s="29">
        <f>Item_Enchant_Old!D103</f>
        <v>0</v>
      </c>
      <c r="E99" s="29">
        <f>Item_Enchant_Old!E103</f>
        <v>0</v>
      </c>
      <c r="F99" s="29">
        <f>Item_Enchant_Old!F103</f>
        <v>0</v>
      </c>
      <c r="G99" s="29">
        <f>Item_Enchant_Old!G103</f>
        <v>2</v>
      </c>
      <c r="H99" s="29" t="str">
        <f>Item_Enchant_Old!H103</f>
        <v>@</v>
      </c>
      <c r="I99" s="29">
        <f>Item_Enchant_Old!I103</f>
        <v>1</v>
      </c>
      <c r="J99" s="29" t="str">
        <f>Item_Enchant_Old!J103</f>
        <v>절대값/상대값(%) 가능</v>
      </c>
      <c r="K99" s="29">
        <f>Item_Enchant_Old!K103</f>
        <v>0</v>
      </c>
      <c r="L99" s="29">
        <f>Item_Enchant_Old!L103</f>
        <v>0</v>
      </c>
      <c r="M99" s="29">
        <f>Item_Enchant_Old!M103</f>
        <v>3</v>
      </c>
      <c r="N99" s="29">
        <f>Item_Enchant_Old!N103</f>
        <v>53</v>
      </c>
      <c r="O99" s="29">
        <f>Item_Enchant_Old!O103</f>
        <v>1</v>
      </c>
      <c r="P99" s="29">
        <f>Item_Enchant_Old!P103</f>
        <v>1</v>
      </c>
      <c r="Q99" s="29">
        <f>Item_Enchant_Old!Q103</f>
        <v>1</v>
      </c>
      <c r="R99" s="29">
        <f>Item_Enchant_Old!R103</f>
        <v>1</v>
      </c>
    </row>
    <row r="100" spans="1:18" s="29" customFormat="1" hidden="1">
      <c r="A100" s="29">
        <f>Item_Enchant_Old!A104</f>
        <v>99</v>
      </c>
      <c r="B100" s="29" t="str">
        <f>Item_Enchant_Old!B104</f>
        <v>ACTIVE_SOL_UP</v>
      </c>
      <c r="C100" s="29">
        <f>Item_Enchant_Old!C104</f>
        <v>614</v>
      </c>
      <c r="D100" s="29">
        <f>Item_Enchant_Old!D104</f>
        <v>0</v>
      </c>
      <c r="E100" s="29">
        <f>Item_Enchant_Old!E104</f>
        <v>0</v>
      </c>
      <c r="F100" s="29">
        <f>Item_Enchant_Old!F104</f>
        <v>0</v>
      </c>
      <c r="G100" s="29">
        <f>Item_Enchant_Old!G104</f>
        <v>2</v>
      </c>
      <c r="H100" s="29" t="str">
        <f>Item_Enchant_Old!H104</f>
        <v>@</v>
      </c>
      <c r="I100" s="29">
        <f>Item_Enchant_Old!I104</f>
        <v>1</v>
      </c>
      <c r="J100" s="29" t="str">
        <f>Item_Enchant_Old!J104</f>
        <v>절대값/상대값(%) 가능</v>
      </c>
      <c r="K100" s="29">
        <f>Item_Enchant_Old!K104</f>
        <v>0</v>
      </c>
      <c r="L100" s="29">
        <f>Item_Enchant_Old!L104</f>
        <v>0</v>
      </c>
      <c r="M100" s="29">
        <f>Item_Enchant_Old!M104</f>
        <v>3</v>
      </c>
      <c r="N100" s="29">
        <f>Item_Enchant_Old!N104</f>
        <v>53</v>
      </c>
      <c r="O100" s="29">
        <f>Item_Enchant_Old!O104</f>
        <v>1</v>
      </c>
      <c r="P100" s="29">
        <f>Item_Enchant_Old!P104</f>
        <v>1</v>
      </c>
      <c r="Q100" s="29">
        <f>Item_Enchant_Old!Q104</f>
        <v>1</v>
      </c>
      <c r="R100" s="29">
        <f>Item_Enchant_Old!R104</f>
        <v>1</v>
      </c>
    </row>
    <row r="101" spans="1:18" s="29" customFormat="1" hidden="1">
      <c r="A101" s="29">
        <f>Item_Enchant_Old!A105</f>
        <v>100</v>
      </c>
      <c r="B101" s="29" t="str">
        <f>Item_Enchant_Old!B105</f>
        <v>ACTIVE_ENERGY_CRITICAL_DAMAGE_UP</v>
      </c>
      <c r="C101" s="29">
        <f>Item_Enchant_Old!C105</f>
        <v>659</v>
      </c>
      <c r="D101" s="29">
        <f>Item_Enchant_Old!D105</f>
        <v>0</v>
      </c>
      <c r="E101" s="29">
        <f>Item_Enchant_Old!E105</f>
        <v>0</v>
      </c>
      <c r="F101" s="29">
        <f>Item_Enchant_Old!F105</f>
        <v>0</v>
      </c>
      <c r="G101" s="29">
        <f>Item_Enchant_Old!G105</f>
        <v>4</v>
      </c>
      <c r="H101" s="29" t="str">
        <f>Item_Enchant_Old!H105</f>
        <v>@</v>
      </c>
      <c r="I101" s="29">
        <f>Item_Enchant_Old!I105</f>
        <v>1</v>
      </c>
      <c r="J101" s="29" t="str">
        <f>Item_Enchant_Old!J105</f>
        <v>절대값만 가능</v>
      </c>
      <c r="K101" s="29">
        <f>Item_Enchant_Old!K105</f>
        <v>0</v>
      </c>
      <c r="L101" s="29">
        <f>Item_Enchant_Old!L105</f>
        <v>0</v>
      </c>
      <c r="M101" s="29">
        <f>Item_Enchant_Old!M105</f>
        <v>3</v>
      </c>
      <c r="N101" s="29">
        <f>Item_Enchant_Old!N105</f>
        <v>32</v>
      </c>
      <c r="O101" s="29">
        <f>Item_Enchant_Old!O105</f>
        <v>1</v>
      </c>
      <c r="P101" s="29">
        <f>Item_Enchant_Old!P105</f>
        <v>1</v>
      </c>
      <c r="Q101" s="29">
        <f>Item_Enchant_Old!Q105</f>
        <v>1</v>
      </c>
      <c r="R101" s="29">
        <f>Item_Enchant_Old!R105</f>
        <v>1</v>
      </c>
    </row>
    <row r="102" spans="1:18" s="29" customFormat="1" hidden="1">
      <c r="A102" s="29">
        <f>Item_Enchant_Old!A106</f>
        <v>101</v>
      </c>
      <c r="B102" s="29" t="str">
        <f>Item_Enchant_Old!B106</f>
        <v>ACTIVE_ENERGY_CRITICAL</v>
      </c>
      <c r="C102" s="29">
        <f>Item_Enchant_Old!C106</f>
        <v>633</v>
      </c>
      <c r="D102" s="29">
        <f>Item_Enchant_Old!D106</f>
        <v>0</v>
      </c>
      <c r="E102" s="29">
        <f>Item_Enchant_Old!E106</f>
        <v>0</v>
      </c>
      <c r="F102" s="29">
        <f>Item_Enchant_Old!F106</f>
        <v>0</v>
      </c>
      <c r="G102" s="29">
        <f>Item_Enchant_Old!G106</f>
        <v>5</v>
      </c>
      <c r="H102" s="29" t="str">
        <f>Item_Enchant_Old!H106</f>
        <v>@</v>
      </c>
      <c r="I102" s="29">
        <f>Item_Enchant_Old!I106</f>
        <v>1</v>
      </c>
      <c r="J102" s="29" t="str">
        <f>Item_Enchant_Old!J106</f>
        <v>절대값/상대값(%) 가능</v>
      </c>
      <c r="K102" s="29">
        <f>Item_Enchant_Old!K106</f>
        <v>0</v>
      </c>
      <c r="L102" s="29">
        <f>Item_Enchant_Old!L106</f>
        <v>0</v>
      </c>
      <c r="M102" s="29">
        <f>Item_Enchant_Old!M106</f>
        <v>4</v>
      </c>
      <c r="N102" s="29">
        <f>Item_Enchant_Old!N106</f>
        <v>24</v>
      </c>
      <c r="O102" s="29">
        <f>Item_Enchant_Old!O106</f>
        <v>1</v>
      </c>
      <c r="P102" s="29">
        <f>Item_Enchant_Old!P106</f>
        <v>1</v>
      </c>
      <c r="Q102" s="29">
        <f>Item_Enchant_Old!Q106</f>
        <v>1</v>
      </c>
      <c r="R102" s="29">
        <f>Item_Enchant_Old!R106</f>
        <v>1</v>
      </c>
    </row>
    <row r="103" spans="1:18" s="29" customFormat="1" hidden="1">
      <c r="A103" s="29">
        <f>Item_Enchant_Old!A107</f>
        <v>102</v>
      </c>
      <c r="B103" s="29" t="str">
        <f>Item_Enchant_Old!B107</f>
        <v>ACTIVE_ENERGY_CRITICAL_DAMAGE_UP</v>
      </c>
      <c r="C103" s="29">
        <f>Item_Enchant_Old!C107</f>
        <v>659</v>
      </c>
      <c r="D103" s="29">
        <f>Item_Enchant_Old!D107</f>
        <v>0</v>
      </c>
      <c r="E103" s="29">
        <f>Item_Enchant_Old!E107</f>
        <v>0</v>
      </c>
      <c r="F103" s="29">
        <f>Item_Enchant_Old!F107</f>
        <v>0</v>
      </c>
      <c r="G103" s="29">
        <f>Item_Enchant_Old!G107</f>
        <v>4</v>
      </c>
      <c r="H103" s="29" t="str">
        <f>Item_Enchant_Old!H107</f>
        <v>@</v>
      </c>
      <c r="I103" s="29">
        <f>Item_Enchant_Old!I107</f>
        <v>1</v>
      </c>
      <c r="J103" s="29" t="str">
        <f>Item_Enchant_Old!J107</f>
        <v>절대값만 가능</v>
      </c>
      <c r="K103" s="29">
        <f>Item_Enchant_Old!K107</f>
        <v>0</v>
      </c>
      <c r="L103" s="29">
        <f>Item_Enchant_Old!L107</f>
        <v>0</v>
      </c>
      <c r="M103" s="29">
        <f>Item_Enchant_Old!M107</f>
        <v>4</v>
      </c>
      <c r="N103" s="29">
        <f>Item_Enchant_Old!N107</f>
        <v>32</v>
      </c>
      <c r="O103" s="29">
        <f>Item_Enchant_Old!O107</f>
        <v>1</v>
      </c>
      <c r="P103" s="29">
        <f>Item_Enchant_Old!P107</f>
        <v>1</v>
      </c>
      <c r="Q103" s="29">
        <f>Item_Enchant_Old!Q107</f>
        <v>1</v>
      </c>
      <c r="R103" s="29">
        <f>Item_Enchant_Old!R107</f>
        <v>1</v>
      </c>
    </row>
    <row r="104" spans="1:18" s="29" customFormat="1" hidden="1">
      <c r="A104" s="29">
        <f>Item_Enchant_Old!A108</f>
        <v>103</v>
      </c>
      <c r="B104" s="29" t="str">
        <f>Item_Enchant_Old!B108</f>
        <v>ACTIVE_FOC_UP</v>
      </c>
      <c r="C104" s="29">
        <f>Item_Enchant_Old!C108</f>
        <v>612</v>
      </c>
      <c r="D104" s="29">
        <f>Item_Enchant_Old!D108</f>
        <v>0</v>
      </c>
      <c r="E104" s="29">
        <f>Item_Enchant_Old!E108</f>
        <v>0</v>
      </c>
      <c r="F104" s="29">
        <f>Item_Enchant_Old!F108</f>
        <v>0</v>
      </c>
      <c r="G104" s="29">
        <f>Item_Enchant_Old!G108</f>
        <v>2</v>
      </c>
      <c r="H104" s="29" t="str">
        <f>Item_Enchant_Old!H108</f>
        <v>@</v>
      </c>
      <c r="I104" s="29">
        <f>Item_Enchant_Old!I108</f>
        <v>1</v>
      </c>
      <c r="J104" s="29" t="str">
        <f>Item_Enchant_Old!J108</f>
        <v>절대값/상대값(%) 가능</v>
      </c>
      <c r="K104" s="29">
        <f>Item_Enchant_Old!K108</f>
        <v>0</v>
      </c>
      <c r="L104" s="29">
        <f>Item_Enchant_Old!L108</f>
        <v>0</v>
      </c>
      <c r="M104" s="29">
        <f>Item_Enchant_Old!M108</f>
        <v>4</v>
      </c>
      <c r="N104" s="29">
        <f>Item_Enchant_Old!N108</f>
        <v>53</v>
      </c>
      <c r="O104" s="29">
        <f>Item_Enchant_Old!O108</f>
        <v>1</v>
      </c>
      <c r="P104" s="29">
        <f>Item_Enchant_Old!P108</f>
        <v>1</v>
      </c>
      <c r="Q104" s="29">
        <f>Item_Enchant_Old!Q108</f>
        <v>1</v>
      </c>
      <c r="R104" s="29">
        <f>Item_Enchant_Old!R108</f>
        <v>1</v>
      </c>
    </row>
    <row r="105" spans="1:18" s="29" customFormat="1" hidden="1">
      <c r="A105" s="29">
        <f>Item_Enchant_Old!A109</f>
        <v>104</v>
      </c>
      <c r="B105" s="29" t="str">
        <f>Item_Enchant_Old!B109</f>
        <v>ACTIVE_DEX_UP</v>
      </c>
      <c r="C105" s="29">
        <f>Item_Enchant_Old!C109</f>
        <v>613</v>
      </c>
      <c r="D105" s="29">
        <f>Item_Enchant_Old!D109</f>
        <v>0</v>
      </c>
      <c r="E105" s="29">
        <f>Item_Enchant_Old!E109</f>
        <v>0</v>
      </c>
      <c r="F105" s="29">
        <f>Item_Enchant_Old!F109</f>
        <v>0</v>
      </c>
      <c r="G105" s="29">
        <f>Item_Enchant_Old!G109</f>
        <v>3</v>
      </c>
      <c r="H105" s="29" t="str">
        <f>Item_Enchant_Old!H109</f>
        <v>@</v>
      </c>
      <c r="I105" s="29">
        <f>Item_Enchant_Old!I109</f>
        <v>1</v>
      </c>
      <c r="J105" s="29" t="str">
        <f>Item_Enchant_Old!J109</f>
        <v>절대값/상대값(%) 가능</v>
      </c>
      <c r="K105" s="29">
        <f>Item_Enchant_Old!K109</f>
        <v>0</v>
      </c>
      <c r="L105" s="29">
        <f>Item_Enchant_Old!L109</f>
        <v>0</v>
      </c>
      <c r="M105" s="29">
        <f>Item_Enchant_Old!M109</f>
        <v>4</v>
      </c>
      <c r="N105" s="29">
        <f>Item_Enchant_Old!N109</f>
        <v>44</v>
      </c>
      <c r="O105" s="29">
        <f>Item_Enchant_Old!O109</f>
        <v>1</v>
      </c>
      <c r="P105" s="29">
        <f>Item_Enchant_Old!P109</f>
        <v>1</v>
      </c>
      <c r="Q105" s="29">
        <f>Item_Enchant_Old!Q109</f>
        <v>1</v>
      </c>
      <c r="R105" s="29">
        <f>Item_Enchant_Old!R109</f>
        <v>1</v>
      </c>
    </row>
    <row r="106" spans="1:18" s="29" customFormat="1" hidden="1">
      <c r="A106" s="29">
        <f>Item_Enchant_Old!A110</f>
        <v>105</v>
      </c>
      <c r="B106" s="29" t="str">
        <f>Item_Enchant_Old!B110</f>
        <v>ACTIVE_ATTACK_SPEED_UP</v>
      </c>
      <c r="C106" s="29">
        <f>Item_Enchant_Old!C110</f>
        <v>617</v>
      </c>
      <c r="D106" s="29">
        <f>Item_Enchant_Old!D110</f>
        <v>1</v>
      </c>
      <c r="E106" s="29">
        <f>Item_Enchant_Old!E110</f>
        <v>0</v>
      </c>
      <c r="F106" s="29">
        <f>Item_Enchant_Old!F110</f>
        <v>0</v>
      </c>
      <c r="G106" s="29">
        <f>Item_Enchant_Old!G110</f>
        <v>10</v>
      </c>
      <c r="H106" s="29" t="str">
        <f>Item_Enchant_Old!H110</f>
        <v>@</v>
      </c>
      <c r="I106" s="29">
        <f>Item_Enchant_Old!I110</f>
        <v>1</v>
      </c>
      <c r="J106" s="29" t="str">
        <f>Item_Enchant_Old!J110</f>
        <v>절대값/상대값(%) 가능</v>
      </c>
      <c r="K106" s="29">
        <f>Item_Enchant_Old!K110</f>
        <v>0</v>
      </c>
      <c r="L106" s="29">
        <f>Item_Enchant_Old!L110</f>
        <v>0</v>
      </c>
      <c r="M106" s="29">
        <f>Item_Enchant_Old!M110</f>
        <v>5</v>
      </c>
      <c r="N106" s="29">
        <f>Item_Enchant_Old!N110</f>
        <v>10</v>
      </c>
      <c r="O106" s="29">
        <f>Item_Enchant_Old!O110</f>
        <v>1</v>
      </c>
      <c r="P106" s="29">
        <f>Item_Enchant_Old!P110</f>
        <v>1</v>
      </c>
      <c r="Q106" s="29">
        <f>Item_Enchant_Old!Q110</f>
        <v>1</v>
      </c>
      <c r="R106" s="29">
        <f>Item_Enchant_Old!R110</f>
        <v>1</v>
      </c>
    </row>
    <row r="107" spans="1:18" s="29" customFormat="1" hidden="1">
      <c r="A107" s="29">
        <f>Item_Enchant_Old!A111</f>
        <v>106</v>
      </c>
      <c r="B107" s="29" t="str">
        <f>Item_Enchant_Old!B111</f>
        <v>ACTIVE_DEX_UP</v>
      </c>
      <c r="C107" s="29">
        <f>Item_Enchant_Old!C111</f>
        <v>613</v>
      </c>
      <c r="D107" s="29">
        <f>Item_Enchant_Old!D111</f>
        <v>0</v>
      </c>
      <c r="E107" s="29">
        <f>Item_Enchant_Old!E111</f>
        <v>0</v>
      </c>
      <c r="F107" s="29">
        <f>Item_Enchant_Old!F111</f>
        <v>0</v>
      </c>
      <c r="G107" s="29">
        <f>Item_Enchant_Old!G111</f>
        <v>3</v>
      </c>
      <c r="H107" s="29" t="str">
        <f>Item_Enchant_Old!H111</f>
        <v>@</v>
      </c>
      <c r="I107" s="29">
        <f>Item_Enchant_Old!I111</f>
        <v>1</v>
      </c>
      <c r="J107" s="29" t="str">
        <f>Item_Enchant_Old!J111</f>
        <v>절대값/상대값(%) 가능</v>
      </c>
      <c r="K107" s="29">
        <f>Item_Enchant_Old!K111</f>
        <v>0</v>
      </c>
      <c r="L107" s="29">
        <f>Item_Enchant_Old!L111</f>
        <v>0</v>
      </c>
      <c r="M107" s="29">
        <f>Item_Enchant_Old!M111</f>
        <v>5</v>
      </c>
      <c r="N107" s="29">
        <f>Item_Enchant_Old!N111</f>
        <v>44</v>
      </c>
      <c r="O107" s="29">
        <f>Item_Enchant_Old!O111</f>
        <v>1</v>
      </c>
      <c r="P107" s="29">
        <f>Item_Enchant_Old!P111</f>
        <v>1</v>
      </c>
      <c r="Q107" s="29">
        <f>Item_Enchant_Old!Q111</f>
        <v>1</v>
      </c>
      <c r="R107" s="29">
        <f>Item_Enchant_Old!R111</f>
        <v>1</v>
      </c>
    </row>
    <row r="108" spans="1:18" s="29" customFormat="1" hidden="1">
      <c r="A108" s="29">
        <f>Item_Enchant_Old!A112</f>
        <v>107</v>
      </c>
      <c r="B108" s="29" t="str">
        <f>Item_Enchant_Old!B112</f>
        <v>ACTIVE_FOC_UP</v>
      </c>
      <c r="C108" s="29">
        <f>Item_Enchant_Old!C112</f>
        <v>612</v>
      </c>
      <c r="D108" s="29">
        <f>Item_Enchant_Old!D112</f>
        <v>0</v>
      </c>
      <c r="E108" s="29">
        <f>Item_Enchant_Old!E112</f>
        <v>0</v>
      </c>
      <c r="F108" s="29">
        <f>Item_Enchant_Old!F112</f>
        <v>0</v>
      </c>
      <c r="G108" s="29">
        <f>Item_Enchant_Old!G112</f>
        <v>2</v>
      </c>
      <c r="H108" s="29" t="str">
        <f>Item_Enchant_Old!H112</f>
        <v>@</v>
      </c>
      <c r="I108" s="29">
        <f>Item_Enchant_Old!I112</f>
        <v>1</v>
      </c>
      <c r="J108" s="29" t="str">
        <f>Item_Enchant_Old!J112</f>
        <v>절대값/상대값(%) 가능</v>
      </c>
      <c r="K108" s="29">
        <f>Item_Enchant_Old!K112</f>
        <v>0</v>
      </c>
      <c r="L108" s="29">
        <f>Item_Enchant_Old!L112</f>
        <v>0</v>
      </c>
      <c r="M108" s="29">
        <f>Item_Enchant_Old!M112</f>
        <v>5</v>
      </c>
      <c r="N108" s="29">
        <f>Item_Enchant_Old!N112</f>
        <v>53</v>
      </c>
      <c r="O108" s="29">
        <f>Item_Enchant_Old!O112</f>
        <v>1</v>
      </c>
      <c r="P108" s="29">
        <f>Item_Enchant_Old!P112</f>
        <v>1</v>
      </c>
      <c r="Q108" s="29">
        <f>Item_Enchant_Old!Q112</f>
        <v>1</v>
      </c>
      <c r="R108" s="29">
        <f>Item_Enchant_Old!R112</f>
        <v>1</v>
      </c>
    </row>
    <row r="109" spans="1:18" s="29" customFormat="1" hidden="1">
      <c r="A109" s="29">
        <f>Item_Enchant_Old!A113</f>
        <v>108</v>
      </c>
      <c r="B109" s="29" t="str">
        <f>Item_Enchant_Old!B113</f>
        <v>ACTIVE_PHYSICAL_OFFENCE_UP</v>
      </c>
      <c r="C109" s="29">
        <f>Item_Enchant_Old!C113</f>
        <v>606</v>
      </c>
      <c r="D109" s="29">
        <f>Item_Enchant_Old!D113</f>
        <v>0</v>
      </c>
      <c r="E109" s="29">
        <f>Item_Enchant_Old!E113</f>
        <v>0</v>
      </c>
      <c r="F109" s="29">
        <f>Item_Enchant_Old!F113</f>
        <v>0</v>
      </c>
      <c r="G109" s="29">
        <f>Item_Enchant_Old!G113</f>
        <v>1</v>
      </c>
      <c r="H109" s="29" t="str">
        <f>Item_Enchant_Old!H113</f>
        <v>@</v>
      </c>
      <c r="I109" s="29">
        <f>Item_Enchant_Old!I113</f>
        <v>1</v>
      </c>
      <c r="J109" s="29" t="str">
        <f>Item_Enchant_Old!J113</f>
        <v>절대값/상대값(%) 가능</v>
      </c>
      <c r="K109" s="29">
        <f>Item_Enchant_Old!K113</f>
        <v>0</v>
      </c>
      <c r="L109" s="29">
        <f>Item_Enchant_Old!L113</f>
        <v>0</v>
      </c>
      <c r="M109" s="29">
        <f>Item_Enchant_Old!M113</f>
        <v>5</v>
      </c>
      <c r="N109" s="29">
        <f>Item_Enchant_Old!N113</f>
        <v>125</v>
      </c>
      <c r="O109" s="29">
        <f>Item_Enchant_Old!O113</f>
        <v>1</v>
      </c>
      <c r="P109" s="29">
        <f>Item_Enchant_Old!P113</f>
        <v>1</v>
      </c>
      <c r="Q109" s="29">
        <f>Item_Enchant_Old!Q113</f>
        <v>1</v>
      </c>
      <c r="R109" s="29">
        <f>Item_Enchant_Old!R113</f>
        <v>1</v>
      </c>
    </row>
    <row r="110" spans="1:18" s="29" customFormat="1" hidden="1">
      <c r="A110" s="29">
        <f>Item_Enchant_Old!A114</f>
        <v>109</v>
      </c>
      <c r="B110" s="29" t="str">
        <f>Item_Enchant_Old!B114</f>
        <v>ACTIVE_ENERGY_OFFENCE_UP</v>
      </c>
      <c r="C110" s="29">
        <f>Item_Enchant_Old!C114</f>
        <v>607</v>
      </c>
      <c r="D110" s="29">
        <f>Item_Enchant_Old!D114</f>
        <v>0</v>
      </c>
      <c r="E110" s="29">
        <f>Item_Enchant_Old!E114</f>
        <v>0</v>
      </c>
      <c r="F110" s="29">
        <f>Item_Enchant_Old!F114</f>
        <v>0</v>
      </c>
      <c r="G110" s="29">
        <f>Item_Enchant_Old!G114</f>
        <v>1</v>
      </c>
      <c r="H110" s="29" t="str">
        <f>Item_Enchant_Old!H114</f>
        <v>@</v>
      </c>
      <c r="I110" s="29">
        <f>Item_Enchant_Old!I114</f>
        <v>1</v>
      </c>
      <c r="J110" s="29" t="str">
        <f>Item_Enchant_Old!J114</f>
        <v>절대값/상대값(%) 가능</v>
      </c>
      <c r="K110" s="29">
        <f>Item_Enchant_Old!K114</f>
        <v>0</v>
      </c>
      <c r="L110" s="29">
        <f>Item_Enchant_Old!L114</f>
        <v>0</v>
      </c>
      <c r="M110" s="29">
        <f>Item_Enchant_Old!M114</f>
        <v>5</v>
      </c>
      <c r="N110" s="29">
        <f>Item_Enchant_Old!N114</f>
        <v>104</v>
      </c>
      <c r="O110" s="29">
        <f>Item_Enchant_Old!O114</f>
        <v>1</v>
      </c>
      <c r="P110" s="29">
        <f>Item_Enchant_Old!P114</f>
        <v>1</v>
      </c>
      <c r="Q110" s="29">
        <f>Item_Enchant_Old!Q114</f>
        <v>1</v>
      </c>
      <c r="R110" s="29">
        <f>Item_Enchant_Old!R114</f>
        <v>1</v>
      </c>
    </row>
    <row r="111" spans="1:18" s="29" customFormat="1" hidden="1">
      <c r="A111" s="29">
        <f>Item_Enchant_Old!A115</f>
        <v>110</v>
      </c>
      <c r="B111" s="29" t="str">
        <f>Item_Enchant_Old!B115</f>
        <v>ACTIVE_PHYSICAL_OFFENCE_UP</v>
      </c>
      <c r="C111" s="29">
        <f>Item_Enchant_Old!C115</f>
        <v>606</v>
      </c>
      <c r="D111" s="29">
        <f>Item_Enchant_Old!D115</f>
        <v>0</v>
      </c>
      <c r="E111" s="29">
        <f>Item_Enchant_Old!E115</f>
        <v>0</v>
      </c>
      <c r="F111" s="29">
        <f>Item_Enchant_Old!F115</f>
        <v>0</v>
      </c>
      <c r="G111" s="29">
        <f>Item_Enchant_Old!G115</f>
        <v>1</v>
      </c>
      <c r="H111" s="29" t="str">
        <f>Item_Enchant_Old!H115</f>
        <v>@</v>
      </c>
      <c r="I111" s="29">
        <f>Item_Enchant_Old!I115</f>
        <v>1</v>
      </c>
      <c r="J111" s="29" t="str">
        <f>Item_Enchant_Old!J115</f>
        <v>절대값/상대값(%) 가능</v>
      </c>
      <c r="K111" s="29">
        <f>Item_Enchant_Old!K115</f>
        <v>0</v>
      </c>
      <c r="L111" s="29">
        <f>Item_Enchant_Old!L115</f>
        <v>0</v>
      </c>
      <c r="M111" s="29">
        <f>Item_Enchant_Old!M115</f>
        <v>6</v>
      </c>
      <c r="N111" s="29">
        <f>Item_Enchant_Old!N115</f>
        <v>125</v>
      </c>
      <c r="O111" s="29">
        <f>Item_Enchant_Old!O115</f>
        <v>1</v>
      </c>
      <c r="P111" s="29">
        <f>Item_Enchant_Old!P115</f>
        <v>1</v>
      </c>
      <c r="Q111" s="29">
        <f>Item_Enchant_Old!Q115</f>
        <v>1</v>
      </c>
      <c r="R111" s="29">
        <f>Item_Enchant_Old!R115</f>
        <v>1</v>
      </c>
    </row>
    <row r="112" spans="1:18" s="29" customFormat="1" hidden="1">
      <c r="A112" s="29">
        <f>Item_Enchant_Old!A116</f>
        <v>111</v>
      </c>
      <c r="B112" s="29" t="str">
        <f>Item_Enchant_Old!B116</f>
        <v>ACTIVE_ENERGY_OFFENCE_UP</v>
      </c>
      <c r="C112" s="29">
        <f>Item_Enchant_Old!C116</f>
        <v>607</v>
      </c>
      <c r="D112" s="29">
        <f>Item_Enchant_Old!D116</f>
        <v>0</v>
      </c>
      <c r="E112" s="29">
        <f>Item_Enchant_Old!E116</f>
        <v>0</v>
      </c>
      <c r="F112" s="29">
        <f>Item_Enchant_Old!F116</f>
        <v>0</v>
      </c>
      <c r="G112" s="29">
        <f>Item_Enchant_Old!G116</f>
        <v>1</v>
      </c>
      <c r="H112" s="29" t="str">
        <f>Item_Enchant_Old!H116</f>
        <v>@</v>
      </c>
      <c r="I112" s="29">
        <f>Item_Enchant_Old!I116</f>
        <v>1</v>
      </c>
      <c r="J112" s="29" t="str">
        <f>Item_Enchant_Old!J116</f>
        <v>절대값/상대값(%) 가능</v>
      </c>
      <c r="K112" s="29">
        <f>Item_Enchant_Old!K116</f>
        <v>0</v>
      </c>
      <c r="L112" s="29">
        <f>Item_Enchant_Old!L116</f>
        <v>0</v>
      </c>
      <c r="M112" s="29">
        <f>Item_Enchant_Old!M116</f>
        <v>6</v>
      </c>
      <c r="N112" s="29">
        <f>Item_Enchant_Old!N116</f>
        <v>104</v>
      </c>
      <c r="O112" s="29">
        <f>Item_Enchant_Old!O116</f>
        <v>1</v>
      </c>
      <c r="P112" s="29">
        <f>Item_Enchant_Old!P116</f>
        <v>1</v>
      </c>
      <c r="Q112" s="29">
        <f>Item_Enchant_Old!Q116</f>
        <v>1</v>
      </c>
      <c r="R112" s="29">
        <f>Item_Enchant_Old!R116</f>
        <v>1</v>
      </c>
    </row>
    <row r="113" spans="1:18" s="29" customFormat="1" hidden="1">
      <c r="A113" s="29">
        <f>Item_Enchant_Old!A117</f>
        <v>112</v>
      </c>
      <c r="B113" s="29" t="str">
        <f>Item_Enchant_Old!B117</f>
        <v>ACTIVE_STR_UP</v>
      </c>
      <c r="C113" s="29">
        <f>Item_Enchant_Old!C117</f>
        <v>610</v>
      </c>
      <c r="D113" s="29">
        <f>Item_Enchant_Old!D117</f>
        <v>0</v>
      </c>
      <c r="E113" s="29">
        <f>Item_Enchant_Old!E117</f>
        <v>0</v>
      </c>
      <c r="F113" s="29">
        <f>Item_Enchant_Old!F117</f>
        <v>0</v>
      </c>
      <c r="G113" s="29">
        <f>Item_Enchant_Old!G117</f>
        <v>2</v>
      </c>
      <c r="H113" s="29" t="str">
        <f>Item_Enchant_Old!H117</f>
        <v>@</v>
      </c>
      <c r="I113" s="29">
        <f>Item_Enchant_Old!I117</f>
        <v>1</v>
      </c>
      <c r="J113" s="29" t="str">
        <f>Item_Enchant_Old!J117</f>
        <v>절대값/상대값(%) 가능</v>
      </c>
      <c r="K113" s="29">
        <f>Item_Enchant_Old!K117</f>
        <v>0</v>
      </c>
      <c r="L113" s="29">
        <f>Item_Enchant_Old!L117</f>
        <v>0</v>
      </c>
      <c r="M113" s="29">
        <f>Item_Enchant_Old!M117</f>
        <v>6</v>
      </c>
      <c r="N113" s="29">
        <f>Item_Enchant_Old!N117</f>
        <v>57</v>
      </c>
      <c r="O113" s="29">
        <f>Item_Enchant_Old!O117</f>
        <v>1</v>
      </c>
      <c r="P113" s="29">
        <f>Item_Enchant_Old!P117</f>
        <v>1</v>
      </c>
      <c r="Q113" s="29">
        <f>Item_Enchant_Old!Q117</f>
        <v>1</v>
      </c>
      <c r="R113" s="29">
        <f>Item_Enchant_Old!R117</f>
        <v>1</v>
      </c>
    </row>
    <row r="114" spans="1:18" s="29" customFormat="1" hidden="1">
      <c r="A114" s="29">
        <f>Item_Enchant_Old!A118</f>
        <v>113</v>
      </c>
      <c r="B114" s="29" t="str">
        <f>Item_Enchant_Old!B118</f>
        <v>ACTIVE_SOL_UP</v>
      </c>
      <c r="C114" s="29">
        <f>Item_Enchant_Old!C118</f>
        <v>614</v>
      </c>
      <c r="D114" s="29">
        <f>Item_Enchant_Old!D118</f>
        <v>0</v>
      </c>
      <c r="E114" s="29">
        <f>Item_Enchant_Old!E118</f>
        <v>0</v>
      </c>
      <c r="F114" s="29">
        <f>Item_Enchant_Old!F118</f>
        <v>0</v>
      </c>
      <c r="G114" s="29">
        <f>Item_Enchant_Old!G118</f>
        <v>2</v>
      </c>
      <c r="H114" s="29" t="str">
        <f>Item_Enchant_Old!H118</f>
        <v>@</v>
      </c>
      <c r="I114" s="29">
        <f>Item_Enchant_Old!I118</f>
        <v>1</v>
      </c>
      <c r="J114" s="29" t="str">
        <f>Item_Enchant_Old!J118</f>
        <v>절대값/상대값(%) 가능</v>
      </c>
      <c r="K114" s="29">
        <f>Item_Enchant_Old!K118</f>
        <v>0</v>
      </c>
      <c r="L114" s="29">
        <f>Item_Enchant_Old!L118</f>
        <v>0</v>
      </c>
      <c r="M114" s="29">
        <f>Item_Enchant_Old!M118</f>
        <v>6</v>
      </c>
      <c r="N114" s="29">
        <f>Item_Enchant_Old!N118</f>
        <v>53</v>
      </c>
      <c r="O114" s="29">
        <f>Item_Enchant_Old!O118</f>
        <v>1</v>
      </c>
      <c r="P114" s="29">
        <f>Item_Enchant_Old!P118</f>
        <v>1</v>
      </c>
      <c r="Q114" s="29">
        <f>Item_Enchant_Old!Q118</f>
        <v>1</v>
      </c>
      <c r="R114" s="29">
        <f>Item_Enchant_Old!R118</f>
        <v>1</v>
      </c>
    </row>
    <row r="115" spans="1:18" s="29" customFormat="1" hidden="1">
      <c r="A115" s="29">
        <f>Item_Enchant_Old!A119</f>
        <v>114</v>
      </c>
      <c r="B115" s="29" t="str">
        <f>Item_Enchant_Old!B119</f>
        <v>ACTIVE_PHYSICAL_CRITICAL_DAMAGE_UP</v>
      </c>
      <c r="C115" s="29">
        <f>Item_Enchant_Old!C119</f>
        <v>658</v>
      </c>
      <c r="D115" s="29">
        <f>Item_Enchant_Old!D119</f>
        <v>0</v>
      </c>
      <c r="E115" s="29">
        <f>Item_Enchant_Old!E119</f>
        <v>0</v>
      </c>
      <c r="F115" s="29">
        <f>Item_Enchant_Old!F119</f>
        <v>0</v>
      </c>
      <c r="G115" s="29">
        <f>Item_Enchant_Old!G119</f>
        <v>4</v>
      </c>
      <c r="H115" s="29" t="str">
        <f>Item_Enchant_Old!H119</f>
        <v>@</v>
      </c>
      <c r="I115" s="29">
        <f>Item_Enchant_Old!I119</f>
        <v>1</v>
      </c>
      <c r="J115" s="29" t="str">
        <f>Item_Enchant_Old!J119</f>
        <v>절대값만 가능</v>
      </c>
      <c r="K115" s="29">
        <f>Item_Enchant_Old!K119</f>
        <v>0</v>
      </c>
      <c r="L115" s="29">
        <f>Item_Enchant_Old!L119</f>
        <v>0</v>
      </c>
      <c r="M115" s="29">
        <f>Item_Enchant_Old!M119</f>
        <v>6</v>
      </c>
      <c r="N115" s="29">
        <f>Item_Enchant_Old!N119</f>
        <v>28</v>
      </c>
      <c r="O115" s="29">
        <f>Item_Enchant_Old!O119</f>
        <v>1</v>
      </c>
      <c r="P115" s="29">
        <f>Item_Enchant_Old!P119</f>
        <v>1</v>
      </c>
      <c r="Q115" s="29">
        <f>Item_Enchant_Old!Q119</f>
        <v>1</v>
      </c>
      <c r="R115" s="29">
        <f>Item_Enchant_Old!R119</f>
        <v>1</v>
      </c>
    </row>
    <row r="116" spans="1:18" s="29" customFormat="1" hidden="1">
      <c r="A116" s="29">
        <f>Item_Enchant_Old!A120</f>
        <v>115</v>
      </c>
      <c r="B116" s="29" t="str">
        <f>Item_Enchant_Old!B120</f>
        <v>ACTIVE_ENERGY_CRITICAL_DAMAGE_UP</v>
      </c>
      <c r="C116" s="29">
        <f>Item_Enchant_Old!C120</f>
        <v>659</v>
      </c>
      <c r="D116" s="29">
        <f>Item_Enchant_Old!D120</f>
        <v>0</v>
      </c>
      <c r="E116" s="29">
        <f>Item_Enchant_Old!E120</f>
        <v>0</v>
      </c>
      <c r="F116" s="29">
        <f>Item_Enchant_Old!F120</f>
        <v>0</v>
      </c>
      <c r="G116" s="29">
        <f>Item_Enchant_Old!G120</f>
        <v>4</v>
      </c>
      <c r="H116" s="29" t="str">
        <f>Item_Enchant_Old!H120</f>
        <v>@</v>
      </c>
      <c r="I116" s="29">
        <f>Item_Enchant_Old!I120</f>
        <v>1</v>
      </c>
      <c r="J116" s="29" t="str">
        <f>Item_Enchant_Old!J120</f>
        <v>절대값만 가능</v>
      </c>
      <c r="K116" s="29">
        <f>Item_Enchant_Old!K120</f>
        <v>0</v>
      </c>
      <c r="L116" s="29">
        <f>Item_Enchant_Old!L120</f>
        <v>0</v>
      </c>
      <c r="M116" s="29">
        <f>Item_Enchant_Old!M120</f>
        <v>6</v>
      </c>
      <c r="N116" s="29">
        <f>Item_Enchant_Old!N120</f>
        <v>32</v>
      </c>
      <c r="O116" s="29">
        <f>Item_Enchant_Old!O120</f>
        <v>1</v>
      </c>
      <c r="P116" s="29">
        <f>Item_Enchant_Old!P120</f>
        <v>1</v>
      </c>
      <c r="Q116" s="29">
        <f>Item_Enchant_Old!Q120</f>
        <v>1</v>
      </c>
      <c r="R116" s="29">
        <f>Item_Enchant_Old!R120</f>
        <v>1</v>
      </c>
    </row>
    <row r="117" spans="1:18" s="29" customFormat="1" hidden="1">
      <c r="A117" s="29">
        <f>Item_Enchant_Old!A121</f>
        <v>116</v>
      </c>
      <c r="B117" s="29" t="str">
        <f>Item_Enchant_Old!B121</f>
        <v>ACTIVE_FOC_UP</v>
      </c>
      <c r="C117" s="29">
        <f>Item_Enchant_Old!C121</f>
        <v>612</v>
      </c>
      <c r="D117" s="29">
        <f>Item_Enchant_Old!D121</f>
        <v>0</v>
      </c>
      <c r="E117" s="29">
        <f>Item_Enchant_Old!E121</f>
        <v>0</v>
      </c>
      <c r="F117" s="29">
        <f>Item_Enchant_Old!F121</f>
        <v>0</v>
      </c>
      <c r="G117" s="29">
        <f>Item_Enchant_Old!G121</f>
        <v>2</v>
      </c>
      <c r="H117" s="29" t="str">
        <f>Item_Enchant_Old!H121</f>
        <v>@</v>
      </c>
      <c r="I117" s="29">
        <f>Item_Enchant_Old!I121</f>
        <v>1</v>
      </c>
      <c r="J117" s="29" t="str">
        <f>Item_Enchant_Old!J121</f>
        <v>절대값/상대값(%) 가능</v>
      </c>
      <c r="K117" s="29">
        <f>Item_Enchant_Old!K121</f>
        <v>0</v>
      </c>
      <c r="L117" s="29">
        <f>Item_Enchant_Old!L121</f>
        <v>0</v>
      </c>
      <c r="M117" s="29">
        <f>Item_Enchant_Old!M121</f>
        <v>7</v>
      </c>
      <c r="N117" s="29">
        <f>Item_Enchant_Old!N121</f>
        <v>53</v>
      </c>
      <c r="O117" s="29">
        <f>Item_Enchant_Old!O121</f>
        <v>1</v>
      </c>
      <c r="P117" s="29">
        <f>Item_Enchant_Old!P121</f>
        <v>1</v>
      </c>
      <c r="Q117" s="29">
        <f>Item_Enchant_Old!Q121</f>
        <v>1</v>
      </c>
      <c r="R117" s="29">
        <f>Item_Enchant_Old!R121</f>
        <v>1</v>
      </c>
    </row>
    <row r="118" spans="1:18" s="29" customFormat="1" hidden="1">
      <c r="A118" s="29">
        <f>Item_Enchant_Old!A122</f>
        <v>117</v>
      </c>
      <c r="B118" s="29" t="str">
        <f>Item_Enchant_Old!B122</f>
        <v>ACTIVE_ATTACK_RATE_UP</v>
      </c>
      <c r="C118" s="29">
        <f>Item_Enchant_Old!C122</f>
        <v>618</v>
      </c>
      <c r="D118" s="29">
        <f>Item_Enchant_Old!D122</f>
        <v>0</v>
      </c>
      <c r="E118" s="29">
        <f>Item_Enchant_Old!E122</f>
        <v>0</v>
      </c>
      <c r="F118" s="29">
        <f>Item_Enchant_Old!F122</f>
        <v>0</v>
      </c>
      <c r="G118" s="29">
        <f>Item_Enchant_Old!G122</f>
        <v>1</v>
      </c>
      <c r="H118" s="29" t="str">
        <f>Item_Enchant_Old!H122</f>
        <v>@</v>
      </c>
      <c r="I118" s="29">
        <f>Item_Enchant_Old!I122</f>
        <v>1</v>
      </c>
      <c r="J118" s="29" t="str">
        <f>Item_Enchant_Old!J122</f>
        <v>절대값/상대값(%) 가능</v>
      </c>
      <c r="K118" s="29">
        <f>Item_Enchant_Old!K122</f>
        <v>0</v>
      </c>
      <c r="L118" s="29">
        <f>Item_Enchant_Old!L122</f>
        <v>0</v>
      </c>
      <c r="M118" s="29">
        <f>Item_Enchant_Old!M122</f>
        <v>7</v>
      </c>
      <c r="N118" s="29">
        <f>Item_Enchant_Old!N122</f>
        <v>528</v>
      </c>
      <c r="O118" s="29">
        <f>Item_Enchant_Old!O122</f>
        <v>1</v>
      </c>
      <c r="P118" s="29">
        <f>Item_Enchant_Old!P122</f>
        <v>1</v>
      </c>
      <c r="Q118" s="29">
        <f>Item_Enchant_Old!Q122</f>
        <v>1</v>
      </c>
      <c r="R118" s="29">
        <f>Item_Enchant_Old!R122</f>
        <v>1</v>
      </c>
    </row>
    <row r="119" spans="1:18" s="29" customFormat="1" hidden="1">
      <c r="A119" s="29">
        <f>Item_Enchant_Old!A123</f>
        <v>118</v>
      </c>
      <c r="B119" s="29" t="str">
        <f>Item_Enchant_Old!B123</f>
        <v>ACTIVE_ENG_UP</v>
      </c>
      <c r="C119" s="29">
        <f>Item_Enchant_Old!C123</f>
        <v>615</v>
      </c>
      <c r="D119" s="29">
        <f>Item_Enchant_Old!D123</f>
        <v>0</v>
      </c>
      <c r="E119" s="29">
        <f>Item_Enchant_Old!E123</f>
        <v>0</v>
      </c>
      <c r="F119" s="29">
        <f>Item_Enchant_Old!F123</f>
        <v>0</v>
      </c>
      <c r="G119" s="29">
        <f>Item_Enchant_Old!G123</f>
        <v>2</v>
      </c>
      <c r="H119" s="29" t="str">
        <f>Item_Enchant_Old!H123</f>
        <v>@</v>
      </c>
      <c r="I119" s="29">
        <f>Item_Enchant_Old!I123</f>
        <v>1</v>
      </c>
      <c r="J119" s="29" t="str">
        <f>Item_Enchant_Old!J123</f>
        <v>절대값/상대값(%) 가능</v>
      </c>
      <c r="K119" s="29">
        <f>Item_Enchant_Old!K123</f>
        <v>0</v>
      </c>
      <c r="L119" s="29">
        <f>Item_Enchant_Old!L123</f>
        <v>0</v>
      </c>
      <c r="M119" s="29">
        <f>Item_Enchant_Old!M123</f>
        <v>7</v>
      </c>
      <c r="N119" s="29">
        <f>Item_Enchant_Old!N123</f>
        <v>62</v>
      </c>
      <c r="O119" s="29">
        <f>Item_Enchant_Old!O123</f>
        <v>1</v>
      </c>
      <c r="P119" s="29">
        <f>Item_Enchant_Old!P123</f>
        <v>1</v>
      </c>
      <c r="Q119" s="29">
        <f>Item_Enchant_Old!Q123</f>
        <v>1</v>
      </c>
      <c r="R119" s="29">
        <f>Item_Enchant_Old!R123</f>
        <v>1</v>
      </c>
    </row>
    <row r="120" spans="1:18" s="29" customFormat="1" hidden="1">
      <c r="A120" s="29">
        <f>Item_Enchant_Old!A124</f>
        <v>119</v>
      </c>
      <c r="B120" s="29" t="str">
        <f>Item_Enchant_Old!B124</f>
        <v>ACTIVE_PHYSICAL_CRITICAL</v>
      </c>
      <c r="C120" s="29">
        <f>Item_Enchant_Old!C124</f>
        <v>632</v>
      </c>
      <c r="D120" s="29">
        <f>Item_Enchant_Old!D124</f>
        <v>0</v>
      </c>
      <c r="E120" s="29">
        <f>Item_Enchant_Old!E124</f>
        <v>0</v>
      </c>
      <c r="F120" s="29">
        <f>Item_Enchant_Old!F124</f>
        <v>0</v>
      </c>
      <c r="G120" s="29">
        <f>Item_Enchant_Old!G124</f>
        <v>5</v>
      </c>
      <c r="H120" s="29" t="str">
        <f>Item_Enchant_Old!H124</f>
        <v>@</v>
      </c>
      <c r="I120" s="29">
        <f>Item_Enchant_Old!I124</f>
        <v>1</v>
      </c>
      <c r="J120" s="29" t="str">
        <f>Item_Enchant_Old!J124</f>
        <v>절대값/상대값(%) 가능</v>
      </c>
      <c r="K120" s="29">
        <f>Item_Enchant_Old!K124</f>
        <v>0</v>
      </c>
      <c r="L120" s="29">
        <f>Item_Enchant_Old!L124</f>
        <v>0</v>
      </c>
      <c r="M120" s="29">
        <f>Item_Enchant_Old!M124</f>
        <v>7</v>
      </c>
      <c r="N120" s="29">
        <f>Item_Enchant_Old!N124</f>
        <v>21</v>
      </c>
      <c r="O120" s="29">
        <f>Item_Enchant_Old!O124</f>
        <v>1</v>
      </c>
      <c r="P120" s="29">
        <f>Item_Enchant_Old!P124</f>
        <v>1</v>
      </c>
      <c r="Q120" s="29">
        <f>Item_Enchant_Old!Q124</f>
        <v>1</v>
      </c>
      <c r="R120" s="29">
        <f>Item_Enchant_Old!R124</f>
        <v>1</v>
      </c>
    </row>
    <row r="121" spans="1:18" s="29" customFormat="1" hidden="1">
      <c r="A121" s="29">
        <f>Item_Enchant_Old!A125</f>
        <v>120</v>
      </c>
      <c r="B121" s="29" t="str">
        <f>Item_Enchant_Old!B125</f>
        <v>ACTIVE_ENERGY_CRITICAL</v>
      </c>
      <c r="C121" s="29">
        <f>Item_Enchant_Old!C125</f>
        <v>633</v>
      </c>
      <c r="D121" s="29">
        <f>Item_Enchant_Old!D125</f>
        <v>0</v>
      </c>
      <c r="E121" s="29">
        <f>Item_Enchant_Old!E125</f>
        <v>0</v>
      </c>
      <c r="F121" s="29">
        <f>Item_Enchant_Old!F125</f>
        <v>0</v>
      </c>
      <c r="G121" s="29">
        <f>Item_Enchant_Old!G125</f>
        <v>5</v>
      </c>
      <c r="H121" s="29" t="str">
        <f>Item_Enchant_Old!H125</f>
        <v>@</v>
      </c>
      <c r="I121" s="29">
        <f>Item_Enchant_Old!I125</f>
        <v>1</v>
      </c>
      <c r="J121" s="29" t="str">
        <f>Item_Enchant_Old!J125</f>
        <v>절대값/상대값(%) 가능</v>
      </c>
      <c r="K121" s="29">
        <f>Item_Enchant_Old!K125</f>
        <v>0</v>
      </c>
      <c r="L121" s="29">
        <f>Item_Enchant_Old!L125</f>
        <v>0</v>
      </c>
      <c r="M121" s="29">
        <f>Item_Enchant_Old!M125</f>
        <v>7</v>
      </c>
      <c r="N121" s="29">
        <f>Item_Enchant_Old!N125</f>
        <v>24</v>
      </c>
      <c r="O121" s="29">
        <f>Item_Enchant_Old!O125</f>
        <v>1</v>
      </c>
      <c r="P121" s="29">
        <f>Item_Enchant_Old!P125</f>
        <v>1</v>
      </c>
      <c r="Q121" s="29">
        <f>Item_Enchant_Old!Q125</f>
        <v>1</v>
      </c>
      <c r="R121" s="29">
        <f>Item_Enchant_Old!R125</f>
        <v>1</v>
      </c>
    </row>
    <row r="122" spans="1:18" s="29" customFormat="1" hidden="1">
      <c r="A122" s="29">
        <f>Item_Enchant_Old!A126</f>
        <v>121</v>
      </c>
      <c r="B122" s="29" t="str">
        <f>Item_Enchant_Old!B126</f>
        <v>ACTIVE_FOC_UP</v>
      </c>
      <c r="C122" s="29">
        <f>Item_Enchant_Old!C126</f>
        <v>612</v>
      </c>
      <c r="D122" s="29">
        <f>Item_Enchant_Old!D126</f>
        <v>0</v>
      </c>
      <c r="E122" s="29">
        <f>Item_Enchant_Old!E126</f>
        <v>0</v>
      </c>
      <c r="F122" s="29">
        <f>Item_Enchant_Old!F126</f>
        <v>0</v>
      </c>
      <c r="G122" s="29">
        <f>Item_Enchant_Old!G126</f>
        <v>2</v>
      </c>
      <c r="H122" s="29" t="str">
        <f>Item_Enchant_Old!H126</f>
        <v>@</v>
      </c>
      <c r="I122" s="29">
        <f>Item_Enchant_Old!I126</f>
        <v>1</v>
      </c>
      <c r="J122" s="29" t="str">
        <f>Item_Enchant_Old!J126</f>
        <v>절대값/상대값(%) 가능</v>
      </c>
      <c r="K122" s="29">
        <f>Item_Enchant_Old!K126</f>
        <v>0</v>
      </c>
      <c r="L122" s="29">
        <f>Item_Enchant_Old!L126</f>
        <v>0</v>
      </c>
      <c r="M122" s="29">
        <f>Item_Enchant_Old!M126</f>
        <v>8</v>
      </c>
      <c r="N122" s="29">
        <f>Item_Enchant_Old!N126</f>
        <v>53</v>
      </c>
      <c r="O122" s="29">
        <f>Item_Enchant_Old!O126</f>
        <v>1</v>
      </c>
      <c r="P122" s="29">
        <f>Item_Enchant_Old!P126</f>
        <v>1</v>
      </c>
      <c r="Q122" s="29">
        <f>Item_Enchant_Old!Q126</f>
        <v>1</v>
      </c>
      <c r="R122" s="29">
        <f>Item_Enchant_Old!R126</f>
        <v>1</v>
      </c>
    </row>
    <row r="123" spans="1:18" s="29" customFormat="1" hidden="1">
      <c r="A123" s="29">
        <f>Item_Enchant_Old!A127</f>
        <v>122</v>
      </c>
      <c r="B123" s="29" t="str">
        <f>Item_Enchant_Old!B127</f>
        <v>ACTIVE_CON_UP</v>
      </c>
      <c r="C123" s="29">
        <f>Item_Enchant_Old!C127</f>
        <v>611</v>
      </c>
      <c r="D123" s="29">
        <f>Item_Enchant_Old!D127</f>
        <v>0</v>
      </c>
      <c r="E123" s="29">
        <f>Item_Enchant_Old!E127</f>
        <v>0</v>
      </c>
      <c r="F123" s="29">
        <f>Item_Enchant_Old!F127</f>
        <v>0</v>
      </c>
      <c r="G123" s="29">
        <f>Item_Enchant_Old!G127</f>
        <v>3</v>
      </c>
      <c r="H123" s="29" t="str">
        <f>Item_Enchant_Old!H127</f>
        <v>@</v>
      </c>
      <c r="I123" s="29">
        <f>Item_Enchant_Old!I127</f>
        <v>1</v>
      </c>
      <c r="J123" s="29" t="str">
        <f>Item_Enchant_Old!J127</f>
        <v>절대값/상대값(%) 가능</v>
      </c>
      <c r="K123" s="29">
        <f>Item_Enchant_Old!K127</f>
        <v>0</v>
      </c>
      <c r="L123" s="29">
        <f>Item_Enchant_Old!L127</f>
        <v>0</v>
      </c>
      <c r="M123" s="29">
        <f>Item_Enchant_Old!M127</f>
        <v>8</v>
      </c>
      <c r="N123" s="29">
        <f>Item_Enchant_Old!N127</f>
        <v>48</v>
      </c>
      <c r="O123" s="29">
        <f>Item_Enchant_Old!O127</f>
        <v>1</v>
      </c>
      <c r="P123" s="29">
        <f>Item_Enchant_Old!P127</f>
        <v>1</v>
      </c>
      <c r="Q123" s="29">
        <f>Item_Enchant_Old!Q127</f>
        <v>1</v>
      </c>
      <c r="R123" s="29">
        <f>Item_Enchant_Old!R127</f>
        <v>1</v>
      </c>
    </row>
    <row r="124" spans="1:18" s="29" customFormat="1" hidden="1">
      <c r="A124" s="29">
        <f>Item_Enchant_Old!A128</f>
        <v>123</v>
      </c>
      <c r="B124" s="29" t="str">
        <f>Item_Enchant_Old!B128</f>
        <v>ACTIVE_BLOCK_RATE_UP</v>
      </c>
      <c r="C124" s="29">
        <f>Item_Enchant_Old!C128</f>
        <v>620</v>
      </c>
      <c r="D124" s="29">
        <f>Item_Enchant_Old!D128</f>
        <v>0</v>
      </c>
      <c r="E124" s="29">
        <f>Item_Enchant_Old!E128</f>
        <v>0</v>
      </c>
      <c r="F124" s="29">
        <f>Item_Enchant_Old!F128</f>
        <v>0</v>
      </c>
      <c r="G124" s="29">
        <f>Item_Enchant_Old!G128</f>
        <v>1</v>
      </c>
      <c r="H124" s="29" t="str">
        <f>Item_Enchant_Old!H128</f>
        <v>@</v>
      </c>
      <c r="I124" s="29">
        <f>Item_Enchant_Old!I128</f>
        <v>1</v>
      </c>
      <c r="J124" s="29" t="str">
        <f>Item_Enchant_Old!J128</f>
        <v>절대값/상대값(%) 가능</v>
      </c>
      <c r="K124" s="29">
        <f>Item_Enchant_Old!K128</f>
        <v>0</v>
      </c>
      <c r="L124" s="29">
        <f>Item_Enchant_Old!L128</f>
        <v>0</v>
      </c>
      <c r="M124" s="29">
        <f>Item_Enchant_Old!M128</f>
        <v>8</v>
      </c>
      <c r="N124" s="29">
        <f>Item_Enchant_Old!N128</f>
        <v>352</v>
      </c>
      <c r="O124" s="29">
        <f>Item_Enchant_Old!O128</f>
        <v>1</v>
      </c>
      <c r="P124" s="29">
        <f>Item_Enchant_Old!P128</f>
        <v>1</v>
      </c>
      <c r="Q124" s="29">
        <f>Item_Enchant_Old!Q128</f>
        <v>1</v>
      </c>
      <c r="R124" s="29">
        <f>Item_Enchant_Old!R128</f>
        <v>1</v>
      </c>
    </row>
    <row r="125" spans="1:18" s="29" customFormat="1" hidden="1">
      <c r="A125" s="29">
        <f>Item_Enchant_Old!A129</f>
        <v>124</v>
      </c>
      <c r="B125" s="29" t="str">
        <f>Item_Enchant_Old!B129</f>
        <v>ACTIVE_ENG_UP</v>
      </c>
      <c r="C125" s="29">
        <f>Item_Enchant_Old!C129</f>
        <v>615</v>
      </c>
      <c r="D125" s="29">
        <f>Item_Enchant_Old!D129</f>
        <v>0</v>
      </c>
      <c r="E125" s="29">
        <f>Item_Enchant_Old!E129</f>
        <v>0</v>
      </c>
      <c r="F125" s="29">
        <f>Item_Enchant_Old!F129</f>
        <v>0</v>
      </c>
      <c r="G125" s="29">
        <f>Item_Enchant_Old!G129</f>
        <v>2</v>
      </c>
      <c r="H125" s="29" t="str">
        <f>Item_Enchant_Old!H129</f>
        <v>@</v>
      </c>
      <c r="I125" s="29">
        <f>Item_Enchant_Old!I129</f>
        <v>1</v>
      </c>
      <c r="J125" s="29" t="str">
        <f>Item_Enchant_Old!J129</f>
        <v>절대값/상대값(%) 가능</v>
      </c>
      <c r="K125" s="29">
        <f>Item_Enchant_Old!K129</f>
        <v>0</v>
      </c>
      <c r="L125" s="29">
        <f>Item_Enchant_Old!L129</f>
        <v>0</v>
      </c>
      <c r="M125" s="29">
        <f>Item_Enchant_Old!M129</f>
        <v>8</v>
      </c>
      <c r="N125" s="29">
        <f>Item_Enchant_Old!N129</f>
        <v>62</v>
      </c>
      <c r="O125" s="29">
        <f>Item_Enchant_Old!O129</f>
        <v>1</v>
      </c>
      <c r="P125" s="29">
        <f>Item_Enchant_Old!P129</f>
        <v>1</v>
      </c>
      <c r="Q125" s="29">
        <f>Item_Enchant_Old!Q129</f>
        <v>1</v>
      </c>
      <c r="R125" s="29">
        <f>Item_Enchant_Old!R129</f>
        <v>1</v>
      </c>
    </row>
    <row r="126" spans="1:18" s="29" customFormat="1" hidden="1">
      <c r="A126" s="29">
        <f>Item_Enchant_Old!A130</f>
        <v>125</v>
      </c>
      <c r="B126" s="29" t="str">
        <f>Item_Enchant_Old!B130</f>
        <v>ACTIVE_PHYSICAL_CRITICAL</v>
      </c>
      <c r="C126" s="29">
        <f>Item_Enchant_Old!C130</f>
        <v>632</v>
      </c>
      <c r="D126" s="29">
        <f>Item_Enchant_Old!D130</f>
        <v>0</v>
      </c>
      <c r="E126" s="29">
        <f>Item_Enchant_Old!E130</f>
        <v>0</v>
      </c>
      <c r="F126" s="29">
        <f>Item_Enchant_Old!F130</f>
        <v>0</v>
      </c>
      <c r="G126" s="29">
        <f>Item_Enchant_Old!G130</f>
        <v>5</v>
      </c>
      <c r="H126" s="29" t="str">
        <f>Item_Enchant_Old!H130</f>
        <v>@</v>
      </c>
      <c r="I126" s="29">
        <f>Item_Enchant_Old!I130</f>
        <v>1</v>
      </c>
      <c r="J126" s="29" t="str">
        <f>Item_Enchant_Old!J130</f>
        <v>절대값/상대값(%) 가능</v>
      </c>
      <c r="K126" s="29">
        <f>Item_Enchant_Old!K130</f>
        <v>0</v>
      </c>
      <c r="L126" s="29">
        <f>Item_Enchant_Old!L130</f>
        <v>0</v>
      </c>
      <c r="M126" s="29">
        <f>Item_Enchant_Old!M130</f>
        <v>9</v>
      </c>
      <c r="N126" s="29">
        <f>Item_Enchant_Old!N130</f>
        <v>21</v>
      </c>
      <c r="O126" s="29">
        <f>Item_Enchant_Old!O130</f>
        <v>1</v>
      </c>
      <c r="P126" s="29">
        <f>Item_Enchant_Old!P130</f>
        <v>1</v>
      </c>
      <c r="Q126" s="29">
        <f>Item_Enchant_Old!Q130</f>
        <v>1</v>
      </c>
      <c r="R126" s="29">
        <f>Item_Enchant_Old!R130</f>
        <v>1</v>
      </c>
    </row>
    <row r="127" spans="1:18" s="29" customFormat="1" hidden="1">
      <c r="A127" s="29">
        <f>Item_Enchant_Old!A131</f>
        <v>126</v>
      </c>
      <c r="B127" s="29" t="str">
        <f>Item_Enchant_Old!B131</f>
        <v>ACTIVE_ENERGY_CRITICAL</v>
      </c>
      <c r="C127" s="29">
        <f>Item_Enchant_Old!C131</f>
        <v>633</v>
      </c>
      <c r="D127" s="29">
        <f>Item_Enchant_Old!D131</f>
        <v>0</v>
      </c>
      <c r="E127" s="29">
        <f>Item_Enchant_Old!E131</f>
        <v>0</v>
      </c>
      <c r="F127" s="29">
        <f>Item_Enchant_Old!F131</f>
        <v>0</v>
      </c>
      <c r="G127" s="29">
        <f>Item_Enchant_Old!G131</f>
        <v>5</v>
      </c>
      <c r="H127" s="29" t="str">
        <f>Item_Enchant_Old!H131</f>
        <v>@</v>
      </c>
      <c r="I127" s="29">
        <f>Item_Enchant_Old!I131</f>
        <v>1</v>
      </c>
      <c r="J127" s="29" t="str">
        <f>Item_Enchant_Old!J131</f>
        <v>절대값/상대값(%) 가능</v>
      </c>
      <c r="K127" s="29">
        <f>Item_Enchant_Old!K131</f>
        <v>0</v>
      </c>
      <c r="L127" s="29">
        <f>Item_Enchant_Old!L131</f>
        <v>0</v>
      </c>
      <c r="M127" s="29">
        <f>Item_Enchant_Old!M131</f>
        <v>9</v>
      </c>
      <c r="N127" s="29">
        <f>Item_Enchant_Old!N131</f>
        <v>24</v>
      </c>
      <c r="O127" s="29">
        <f>Item_Enchant_Old!O131</f>
        <v>1</v>
      </c>
      <c r="P127" s="29">
        <f>Item_Enchant_Old!P131</f>
        <v>1</v>
      </c>
      <c r="Q127" s="29">
        <f>Item_Enchant_Old!Q131</f>
        <v>1</v>
      </c>
      <c r="R127" s="29">
        <f>Item_Enchant_Old!R131</f>
        <v>1</v>
      </c>
    </row>
    <row r="128" spans="1:18" s="29" customFormat="1" hidden="1">
      <c r="A128" s="29">
        <f>Item_Enchant_Old!A132</f>
        <v>127</v>
      </c>
      <c r="B128" s="29" t="str">
        <f>Item_Enchant_Old!B132</f>
        <v>ACTIVE_DEX_UP</v>
      </c>
      <c r="C128" s="29">
        <f>Item_Enchant_Old!C132</f>
        <v>613</v>
      </c>
      <c r="D128" s="29">
        <f>Item_Enchant_Old!D132</f>
        <v>0</v>
      </c>
      <c r="E128" s="29">
        <f>Item_Enchant_Old!E132</f>
        <v>0</v>
      </c>
      <c r="F128" s="29">
        <f>Item_Enchant_Old!F132</f>
        <v>0</v>
      </c>
      <c r="G128" s="29">
        <f>Item_Enchant_Old!G132</f>
        <v>3</v>
      </c>
      <c r="H128" s="29" t="str">
        <f>Item_Enchant_Old!H132</f>
        <v>@</v>
      </c>
      <c r="I128" s="29">
        <f>Item_Enchant_Old!I132</f>
        <v>1</v>
      </c>
      <c r="J128" s="29" t="str">
        <f>Item_Enchant_Old!J132</f>
        <v>절대값/상대값(%) 가능</v>
      </c>
      <c r="K128" s="29">
        <f>Item_Enchant_Old!K132</f>
        <v>0</v>
      </c>
      <c r="L128" s="29">
        <f>Item_Enchant_Old!L132</f>
        <v>0</v>
      </c>
      <c r="M128" s="29">
        <f>Item_Enchant_Old!M132</f>
        <v>9</v>
      </c>
      <c r="N128" s="29">
        <f>Item_Enchant_Old!N132</f>
        <v>44</v>
      </c>
      <c r="O128" s="29">
        <f>Item_Enchant_Old!O132</f>
        <v>1</v>
      </c>
      <c r="P128" s="29">
        <f>Item_Enchant_Old!P132</f>
        <v>1</v>
      </c>
      <c r="Q128" s="29">
        <f>Item_Enchant_Old!Q132</f>
        <v>1</v>
      </c>
      <c r="R128" s="29">
        <f>Item_Enchant_Old!R132</f>
        <v>1</v>
      </c>
    </row>
    <row r="129" spans="1:18" s="29" customFormat="1" hidden="1">
      <c r="A129" s="29">
        <f>Item_Enchant_Old!A133</f>
        <v>128</v>
      </c>
      <c r="B129" s="29" t="str">
        <f>Item_Enchant_Old!B133</f>
        <v>ACTIVE_FOC_UP</v>
      </c>
      <c r="C129" s="29">
        <f>Item_Enchant_Old!C133</f>
        <v>612</v>
      </c>
      <c r="D129" s="29">
        <f>Item_Enchant_Old!D133</f>
        <v>0</v>
      </c>
      <c r="E129" s="29">
        <f>Item_Enchant_Old!E133</f>
        <v>0</v>
      </c>
      <c r="F129" s="29">
        <f>Item_Enchant_Old!F133</f>
        <v>0</v>
      </c>
      <c r="G129" s="29">
        <f>Item_Enchant_Old!G133</f>
        <v>2</v>
      </c>
      <c r="H129" s="29" t="str">
        <f>Item_Enchant_Old!H133</f>
        <v>@</v>
      </c>
      <c r="I129" s="29">
        <f>Item_Enchant_Old!I133</f>
        <v>1</v>
      </c>
      <c r="J129" s="29" t="str">
        <f>Item_Enchant_Old!J133</f>
        <v>절대값/상대값(%) 가능</v>
      </c>
      <c r="K129" s="29">
        <f>Item_Enchant_Old!K133</f>
        <v>0</v>
      </c>
      <c r="L129" s="29">
        <f>Item_Enchant_Old!L133</f>
        <v>0</v>
      </c>
      <c r="M129" s="29">
        <f>Item_Enchant_Old!M133</f>
        <v>9</v>
      </c>
      <c r="N129" s="29">
        <f>Item_Enchant_Old!N133</f>
        <v>53</v>
      </c>
      <c r="O129" s="29">
        <f>Item_Enchant_Old!O133</f>
        <v>1</v>
      </c>
      <c r="P129" s="29">
        <f>Item_Enchant_Old!P133</f>
        <v>1</v>
      </c>
      <c r="Q129" s="29">
        <f>Item_Enchant_Old!Q133</f>
        <v>1</v>
      </c>
      <c r="R129" s="29">
        <f>Item_Enchant_Old!R133</f>
        <v>1</v>
      </c>
    </row>
    <row r="130" spans="1:18" s="29" customFormat="1" hidden="1">
      <c r="A130" s="29">
        <f>Item_Enchant_Old!A134</f>
        <v>129</v>
      </c>
      <c r="B130" s="29" t="str">
        <f>Item_Enchant_Old!B134</f>
        <v>ACTIVE_PHYSICAL_CRITICAL_DAMAGE_UP</v>
      </c>
      <c r="C130" s="29">
        <f>Item_Enchant_Old!C134</f>
        <v>658</v>
      </c>
      <c r="D130" s="29">
        <f>Item_Enchant_Old!D134</f>
        <v>0</v>
      </c>
      <c r="E130" s="29">
        <f>Item_Enchant_Old!E134</f>
        <v>0</v>
      </c>
      <c r="F130" s="29">
        <f>Item_Enchant_Old!F134</f>
        <v>0</v>
      </c>
      <c r="G130" s="29">
        <f>Item_Enchant_Old!G134</f>
        <v>4</v>
      </c>
      <c r="H130" s="29" t="str">
        <f>Item_Enchant_Old!H134</f>
        <v>@</v>
      </c>
      <c r="I130" s="29">
        <f>Item_Enchant_Old!I134</f>
        <v>1</v>
      </c>
      <c r="J130" s="29" t="str">
        <f>Item_Enchant_Old!J134</f>
        <v>절대값만 가능</v>
      </c>
      <c r="K130" s="29">
        <f>Item_Enchant_Old!K134</f>
        <v>0</v>
      </c>
      <c r="L130" s="29">
        <f>Item_Enchant_Old!L134</f>
        <v>0</v>
      </c>
      <c r="M130" s="29">
        <f>Item_Enchant_Old!M134</f>
        <v>10</v>
      </c>
      <c r="N130" s="29">
        <f>Item_Enchant_Old!N134</f>
        <v>28</v>
      </c>
      <c r="O130" s="29">
        <f>Item_Enchant_Old!O134</f>
        <v>1</v>
      </c>
      <c r="P130" s="29">
        <f>Item_Enchant_Old!P134</f>
        <v>1</v>
      </c>
      <c r="Q130" s="29">
        <f>Item_Enchant_Old!Q134</f>
        <v>1</v>
      </c>
      <c r="R130" s="29">
        <f>Item_Enchant_Old!R134</f>
        <v>1</v>
      </c>
    </row>
    <row r="131" spans="1:18" s="29" customFormat="1" hidden="1">
      <c r="A131" s="29">
        <f>Item_Enchant_Old!A135</f>
        <v>130</v>
      </c>
      <c r="B131" s="29" t="str">
        <f>Item_Enchant_Old!B135</f>
        <v>ACTIVE_ENERGY_CRITICAL_DAMAGE_UP</v>
      </c>
      <c r="C131" s="29">
        <f>Item_Enchant_Old!C135</f>
        <v>659</v>
      </c>
      <c r="D131" s="29">
        <f>Item_Enchant_Old!D135</f>
        <v>0</v>
      </c>
      <c r="E131" s="29">
        <f>Item_Enchant_Old!E135</f>
        <v>0</v>
      </c>
      <c r="F131" s="29">
        <f>Item_Enchant_Old!F135</f>
        <v>0</v>
      </c>
      <c r="G131" s="29">
        <f>Item_Enchant_Old!G135</f>
        <v>4</v>
      </c>
      <c r="H131" s="29" t="str">
        <f>Item_Enchant_Old!H135</f>
        <v>@</v>
      </c>
      <c r="I131" s="29">
        <f>Item_Enchant_Old!I135</f>
        <v>1</v>
      </c>
      <c r="J131" s="29" t="str">
        <f>Item_Enchant_Old!J135</f>
        <v>절대값만 가능</v>
      </c>
      <c r="K131" s="29">
        <f>Item_Enchant_Old!K135</f>
        <v>0</v>
      </c>
      <c r="L131" s="29">
        <f>Item_Enchant_Old!L135</f>
        <v>0</v>
      </c>
      <c r="M131" s="29">
        <f>Item_Enchant_Old!M135</f>
        <v>10</v>
      </c>
      <c r="N131" s="29">
        <f>Item_Enchant_Old!N135</f>
        <v>32</v>
      </c>
      <c r="O131" s="29">
        <f>Item_Enchant_Old!O135</f>
        <v>1</v>
      </c>
      <c r="P131" s="29">
        <f>Item_Enchant_Old!P135</f>
        <v>1</v>
      </c>
      <c r="Q131" s="29">
        <f>Item_Enchant_Old!Q135</f>
        <v>1</v>
      </c>
      <c r="R131" s="29">
        <f>Item_Enchant_Old!R135</f>
        <v>1</v>
      </c>
    </row>
    <row r="132" spans="1:18" s="29" customFormat="1" hidden="1">
      <c r="A132" s="29">
        <f>Item_Enchant_Old!A136</f>
        <v>131</v>
      </c>
      <c r="B132" s="29" t="str">
        <f>Item_Enchant_Old!B136</f>
        <v>ACTIVE_DEX_UP</v>
      </c>
      <c r="C132" s="29">
        <f>Item_Enchant_Old!C136</f>
        <v>613</v>
      </c>
      <c r="D132" s="29">
        <f>Item_Enchant_Old!D136</f>
        <v>0</v>
      </c>
      <c r="E132" s="29">
        <f>Item_Enchant_Old!E136</f>
        <v>0</v>
      </c>
      <c r="F132" s="29">
        <f>Item_Enchant_Old!F136</f>
        <v>0</v>
      </c>
      <c r="G132" s="29">
        <f>Item_Enchant_Old!G136</f>
        <v>3</v>
      </c>
      <c r="H132" s="29" t="str">
        <f>Item_Enchant_Old!H136</f>
        <v>@</v>
      </c>
      <c r="I132" s="29">
        <f>Item_Enchant_Old!I136</f>
        <v>1</v>
      </c>
      <c r="J132" s="29" t="str">
        <f>Item_Enchant_Old!J136</f>
        <v>절대값/상대값(%) 가능</v>
      </c>
      <c r="K132" s="29">
        <f>Item_Enchant_Old!K136</f>
        <v>0</v>
      </c>
      <c r="L132" s="29">
        <f>Item_Enchant_Old!L136</f>
        <v>0</v>
      </c>
      <c r="M132" s="29">
        <f>Item_Enchant_Old!M136</f>
        <v>10</v>
      </c>
      <c r="N132" s="29">
        <f>Item_Enchant_Old!N136</f>
        <v>44</v>
      </c>
      <c r="O132" s="29">
        <f>Item_Enchant_Old!O136</f>
        <v>1</v>
      </c>
      <c r="P132" s="29">
        <f>Item_Enchant_Old!P136</f>
        <v>1</v>
      </c>
      <c r="Q132" s="29">
        <f>Item_Enchant_Old!Q136</f>
        <v>1</v>
      </c>
      <c r="R132" s="29">
        <f>Item_Enchant_Old!R136</f>
        <v>1</v>
      </c>
    </row>
    <row r="133" spans="1:18" s="29" customFormat="1" hidden="1">
      <c r="A133" s="29">
        <f>Item_Enchant_Old!A137</f>
        <v>132</v>
      </c>
      <c r="B133" s="29" t="str">
        <f>Item_Enchant_Old!B137</f>
        <v>ACTIVE_ATTACK_SPEED_UP</v>
      </c>
      <c r="C133" s="29">
        <f>Item_Enchant_Old!C137</f>
        <v>617</v>
      </c>
      <c r="D133" s="29">
        <f>Item_Enchant_Old!D137</f>
        <v>1</v>
      </c>
      <c r="E133" s="29">
        <f>Item_Enchant_Old!E137</f>
        <v>0</v>
      </c>
      <c r="F133" s="29">
        <f>Item_Enchant_Old!F137</f>
        <v>0</v>
      </c>
      <c r="G133" s="29">
        <f>Item_Enchant_Old!G137</f>
        <v>10</v>
      </c>
      <c r="H133" s="29" t="str">
        <f>Item_Enchant_Old!H137</f>
        <v>@</v>
      </c>
      <c r="I133" s="29">
        <f>Item_Enchant_Old!I137</f>
        <v>1</v>
      </c>
      <c r="J133" s="29" t="str">
        <f>Item_Enchant_Old!J137</f>
        <v>절대값/상대값(%) 가능</v>
      </c>
      <c r="K133" s="29">
        <f>Item_Enchant_Old!K137</f>
        <v>0</v>
      </c>
      <c r="L133" s="29">
        <f>Item_Enchant_Old!L137</f>
        <v>0</v>
      </c>
      <c r="M133" s="29">
        <f>Item_Enchant_Old!M137</f>
        <v>10</v>
      </c>
      <c r="N133" s="29">
        <f>Item_Enchant_Old!N137</f>
        <v>10</v>
      </c>
      <c r="O133" s="29">
        <f>Item_Enchant_Old!O137</f>
        <v>1</v>
      </c>
      <c r="P133" s="29">
        <f>Item_Enchant_Old!P137</f>
        <v>1</v>
      </c>
      <c r="Q133" s="29">
        <f>Item_Enchant_Old!Q137</f>
        <v>1</v>
      </c>
      <c r="R133" s="29">
        <f>Item_Enchant_Old!R137</f>
        <v>1</v>
      </c>
    </row>
    <row r="134" spans="1:18" s="29" customFormat="1" hidden="1">
      <c r="A134" s="29">
        <f>Item_Enchant_Old!A138</f>
        <v>133</v>
      </c>
      <c r="B134" s="29" t="str">
        <f>Item_Enchant_Old!B138</f>
        <v>ACTIVE_STR_UP</v>
      </c>
      <c r="C134" s="29">
        <f>Item_Enchant_Old!C138</f>
        <v>610</v>
      </c>
      <c r="D134" s="29">
        <f>Item_Enchant_Old!D138</f>
        <v>0</v>
      </c>
      <c r="E134" s="29">
        <f>Item_Enchant_Old!E138</f>
        <v>0</v>
      </c>
      <c r="F134" s="29">
        <f>Item_Enchant_Old!F138</f>
        <v>0</v>
      </c>
      <c r="G134" s="29">
        <f>Item_Enchant_Old!G138</f>
        <v>2</v>
      </c>
      <c r="H134" s="29" t="str">
        <f>Item_Enchant_Old!H138</f>
        <v>@</v>
      </c>
      <c r="I134" s="29">
        <f>Item_Enchant_Old!I138</f>
        <v>1</v>
      </c>
      <c r="J134" s="29" t="str">
        <f>Item_Enchant_Old!J138</f>
        <v>절대값/상대값(%) 가능</v>
      </c>
      <c r="K134" s="29">
        <f>Item_Enchant_Old!K138</f>
        <v>0</v>
      </c>
      <c r="L134" s="29">
        <f>Item_Enchant_Old!L138</f>
        <v>0</v>
      </c>
      <c r="M134" s="29">
        <f>Item_Enchant_Old!M138</f>
        <v>11</v>
      </c>
      <c r="N134" s="29">
        <f>Item_Enchant_Old!N138</f>
        <v>57</v>
      </c>
      <c r="O134" s="29">
        <f>Item_Enchant_Old!O138</f>
        <v>1</v>
      </c>
      <c r="P134" s="29">
        <f>Item_Enchant_Old!P138</f>
        <v>1</v>
      </c>
      <c r="Q134" s="29">
        <f>Item_Enchant_Old!Q138</f>
        <v>1</v>
      </c>
      <c r="R134" s="29">
        <f>Item_Enchant_Old!R138</f>
        <v>1</v>
      </c>
    </row>
    <row r="135" spans="1:18" s="29" customFormat="1" hidden="1">
      <c r="A135" s="29">
        <f>Item_Enchant_Old!A139</f>
        <v>134</v>
      </c>
      <c r="B135" s="29" t="str">
        <f>Item_Enchant_Old!B139</f>
        <v>ACTIVE_CON_UP</v>
      </c>
      <c r="C135" s="29">
        <f>Item_Enchant_Old!C139</f>
        <v>611</v>
      </c>
      <c r="D135" s="29">
        <f>Item_Enchant_Old!D139</f>
        <v>0</v>
      </c>
      <c r="E135" s="29">
        <f>Item_Enchant_Old!E139</f>
        <v>0</v>
      </c>
      <c r="F135" s="29">
        <f>Item_Enchant_Old!F139</f>
        <v>0</v>
      </c>
      <c r="G135" s="29">
        <f>Item_Enchant_Old!G139</f>
        <v>3</v>
      </c>
      <c r="H135" s="29" t="str">
        <f>Item_Enchant_Old!H139</f>
        <v>@</v>
      </c>
      <c r="I135" s="29">
        <f>Item_Enchant_Old!I139</f>
        <v>1</v>
      </c>
      <c r="J135" s="29" t="str">
        <f>Item_Enchant_Old!J139</f>
        <v>절대값/상대값(%) 가능</v>
      </c>
      <c r="K135" s="29">
        <f>Item_Enchant_Old!K139</f>
        <v>0</v>
      </c>
      <c r="L135" s="29">
        <f>Item_Enchant_Old!L139</f>
        <v>0</v>
      </c>
      <c r="M135" s="29">
        <f>Item_Enchant_Old!M139</f>
        <v>11</v>
      </c>
      <c r="N135" s="29">
        <f>Item_Enchant_Old!N139</f>
        <v>48</v>
      </c>
      <c r="O135" s="29">
        <f>Item_Enchant_Old!O139</f>
        <v>1</v>
      </c>
      <c r="P135" s="29">
        <f>Item_Enchant_Old!P139</f>
        <v>1</v>
      </c>
      <c r="Q135" s="29">
        <f>Item_Enchant_Old!Q139</f>
        <v>1</v>
      </c>
      <c r="R135" s="29">
        <f>Item_Enchant_Old!R139</f>
        <v>1</v>
      </c>
    </row>
    <row r="136" spans="1:18" s="29" customFormat="1" hidden="1">
      <c r="A136" s="29">
        <f>Item_Enchant_Old!A140</f>
        <v>135</v>
      </c>
      <c r="B136" s="29" t="str">
        <f>Item_Enchant_Old!B140</f>
        <v>ACTIVE_FOC_UP</v>
      </c>
      <c r="C136" s="29">
        <f>Item_Enchant_Old!C140</f>
        <v>612</v>
      </c>
      <c r="D136" s="29">
        <f>Item_Enchant_Old!D140</f>
        <v>0</v>
      </c>
      <c r="E136" s="29">
        <f>Item_Enchant_Old!E140</f>
        <v>0</v>
      </c>
      <c r="F136" s="29">
        <f>Item_Enchant_Old!F140</f>
        <v>0</v>
      </c>
      <c r="G136" s="29">
        <f>Item_Enchant_Old!G140</f>
        <v>2</v>
      </c>
      <c r="H136" s="29" t="str">
        <f>Item_Enchant_Old!H140</f>
        <v>@</v>
      </c>
      <c r="I136" s="29">
        <f>Item_Enchant_Old!I140</f>
        <v>1</v>
      </c>
      <c r="J136" s="29" t="str">
        <f>Item_Enchant_Old!J140</f>
        <v>절대값/상대값(%) 가능</v>
      </c>
      <c r="K136" s="29">
        <f>Item_Enchant_Old!K140</f>
        <v>0</v>
      </c>
      <c r="L136" s="29">
        <f>Item_Enchant_Old!L140</f>
        <v>0</v>
      </c>
      <c r="M136" s="29">
        <f>Item_Enchant_Old!M140</f>
        <v>11</v>
      </c>
      <c r="N136" s="29">
        <f>Item_Enchant_Old!N140</f>
        <v>53</v>
      </c>
      <c r="O136" s="29">
        <f>Item_Enchant_Old!O140</f>
        <v>1</v>
      </c>
      <c r="P136" s="29">
        <f>Item_Enchant_Old!P140</f>
        <v>1</v>
      </c>
      <c r="Q136" s="29">
        <f>Item_Enchant_Old!Q140</f>
        <v>1</v>
      </c>
      <c r="R136" s="29">
        <f>Item_Enchant_Old!R140</f>
        <v>1</v>
      </c>
    </row>
    <row r="137" spans="1:18" s="29" customFormat="1" hidden="1">
      <c r="A137" s="29">
        <f>Item_Enchant_Old!A141</f>
        <v>136</v>
      </c>
      <c r="B137" s="29" t="str">
        <f>Item_Enchant_Old!B141</f>
        <v>ACTIVE_DEX_UP</v>
      </c>
      <c r="C137" s="29">
        <f>Item_Enchant_Old!C141</f>
        <v>613</v>
      </c>
      <c r="D137" s="29">
        <f>Item_Enchant_Old!D141</f>
        <v>0</v>
      </c>
      <c r="E137" s="29">
        <f>Item_Enchant_Old!E141</f>
        <v>0</v>
      </c>
      <c r="F137" s="29">
        <f>Item_Enchant_Old!F141</f>
        <v>0</v>
      </c>
      <c r="G137" s="29">
        <f>Item_Enchant_Old!G141</f>
        <v>3</v>
      </c>
      <c r="H137" s="29" t="str">
        <f>Item_Enchant_Old!H141</f>
        <v>@</v>
      </c>
      <c r="I137" s="29">
        <f>Item_Enchant_Old!I141</f>
        <v>1</v>
      </c>
      <c r="J137" s="29" t="str">
        <f>Item_Enchant_Old!J141</f>
        <v>절대값/상대값(%) 가능</v>
      </c>
      <c r="K137" s="29">
        <f>Item_Enchant_Old!K141</f>
        <v>0</v>
      </c>
      <c r="L137" s="29">
        <f>Item_Enchant_Old!L141</f>
        <v>0</v>
      </c>
      <c r="M137" s="29">
        <f>Item_Enchant_Old!M141</f>
        <v>11</v>
      </c>
      <c r="N137" s="29">
        <f>Item_Enchant_Old!N141</f>
        <v>44</v>
      </c>
      <c r="O137" s="29">
        <f>Item_Enchant_Old!O141</f>
        <v>1</v>
      </c>
      <c r="P137" s="29">
        <f>Item_Enchant_Old!P141</f>
        <v>1</v>
      </c>
      <c r="Q137" s="29">
        <f>Item_Enchant_Old!Q141</f>
        <v>1</v>
      </c>
      <c r="R137" s="29">
        <f>Item_Enchant_Old!R141</f>
        <v>1</v>
      </c>
    </row>
    <row r="138" spans="1:18" s="29" customFormat="1" hidden="1">
      <c r="A138" s="29">
        <f>Item_Enchant_Old!A142</f>
        <v>137</v>
      </c>
      <c r="B138" s="29" t="str">
        <f>Item_Enchant_Old!B142</f>
        <v>ACTIVE_SOL_UP</v>
      </c>
      <c r="C138" s="29">
        <f>Item_Enchant_Old!C142</f>
        <v>614</v>
      </c>
      <c r="D138" s="29">
        <f>Item_Enchant_Old!D142</f>
        <v>0</v>
      </c>
      <c r="E138" s="29">
        <f>Item_Enchant_Old!E142</f>
        <v>0</v>
      </c>
      <c r="F138" s="29">
        <f>Item_Enchant_Old!F142</f>
        <v>0</v>
      </c>
      <c r="G138" s="29">
        <f>Item_Enchant_Old!G142</f>
        <v>2</v>
      </c>
      <c r="H138" s="29" t="str">
        <f>Item_Enchant_Old!H142</f>
        <v>@</v>
      </c>
      <c r="I138" s="29">
        <f>Item_Enchant_Old!I142</f>
        <v>1</v>
      </c>
      <c r="J138" s="29" t="str">
        <f>Item_Enchant_Old!J142</f>
        <v>절대값/상대값(%) 가능</v>
      </c>
      <c r="K138" s="29">
        <f>Item_Enchant_Old!K142</f>
        <v>0</v>
      </c>
      <c r="L138" s="29">
        <f>Item_Enchant_Old!L142</f>
        <v>0</v>
      </c>
      <c r="M138" s="29">
        <f>Item_Enchant_Old!M142</f>
        <v>11</v>
      </c>
      <c r="N138" s="29">
        <f>Item_Enchant_Old!N142</f>
        <v>53</v>
      </c>
      <c r="O138" s="29">
        <f>Item_Enchant_Old!O142</f>
        <v>1</v>
      </c>
      <c r="P138" s="29">
        <f>Item_Enchant_Old!P142</f>
        <v>1</v>
      </c>
      <c r="Q138" s="29">
        <f>Item_Enchant_Old!Q142</f>
        <v>1</v>
      </c>
      <c r="R138" s="29">
        <f>Item_Enchant_Old!R142</f>
        <v>1</v>
      </c>
    </row>
    <row r="139" spans="1:18" s="29" customFormat="1" hidden="1">
      <c r="A139" s="29">
        <f>Item_Enchant_Old!A143</f>
        <v>138</v>
      </c>
      <c r="B139" s="29" t="str">
        <f>Item_Enchant_Old!B143</f>
        <v>ACTIVE_ENG_UP</v>
      </c>
      <c r="C139" s="29">
        <f>Item_Enchant_Old!C143</f>
        <v>615</v>
      </c>
      <c r="D139" s="29">
        <f>Item_Enchant_Old!D143</f>
        <v>0</v>
      </c>
      <c r="E139" s="29">
        <f>Item_Enchant_Old!E143</f>
        <v>0</v>
      </c>
      <c r="F139" s="29">
        <f>Item_Enchant_Old!F143</f>
        <v>0</v>
      </c>
      <c r="G139" s="29">
        <f>Item_Enchant_Old!G143</f>
        <v>2</v>
      </c>
      <c r="H139" s="29" t="str">
        <f>Item_Enchant_Old!H143</f>
        <v>@</v>
      </c>
      <c r="I139" s="29">
        <f>Item_Enchant_Old!I143</f>
        <v>1</v>
      </c>
      <c r="J139" s="29" t="str">
        <f>Item_Enchant_Old!J143</f>
        <v>절대값/상대값(%) 가능</v>
      </c>
      <c r="K139" s="29">
        <f>Item_Enchant_Old!K143</f>
        <v>0</v>
      </c>
      <c r="L139" s="29">
        <f>Item_Enchant_Old!L143</f>
        <v>0</v>
      </c>
      <c r="M139" s="29">
        <f>Item_Enchant_Old!M143</f>
        <v>11</v>
      </c>
      <c r="N139" s="29">
        <f>Item_Enchant_Old!N143</f>
        <v>62</v>
      </c>
      <c r="O139" s="29">
        <f>Item_Enchant_Old!O143</f>
        <v>1</v>
      </c>
      <c r="P139" s="29">
        <f>Item_Enchant_Old!P143</f>
        <v>1</v>
      </c>
      <c r="Q139" s="29">
        <f>Item_Enchant_Old!Q143</f>
        <v>1</v>
      </c>
      <c r="R139" s="29">
        <f>Item_Enchant_Old!R143</f>
        <v>1</v>
      </c>
    </row>
    <row r="140" spans="1:18" s="29" customFormat="1" hidden="1">
      <c r="A140" s="29">
        <f>Item_Enchant_Old!A144</f>
        <v>139</v>
      </c>
      <c r="B140" s="29" t="str">
        <f>Item_Enchant_Old!B144</f>
        <v>ACTIVE_PHYSICAL_DEFENCE_UP</v>
      </c>
      <c r="C140" s="29">
        <f>Item_Enchant_Old!C144</f>
        <v>608</v>
      </c>
      <c r="D140" s="29">
        <f>Item_Enchant_Old!D144</f>
        <v>0</v>
      </c>
      <c r="E140" s="29">
        <f>Item_Enchant_Old!E144</f>
        <v>0</v>
      </c>
      <c r="F140" s="29">
        <f>Item_Enchant_Old!F144</f>
        <v>0</v>
      </c>
      <c r="G140" s="29">
        <f>Item_Enchant_Old!G144</f>
        <v>1</v>
      </c>
      <c r="H140" s="29" t="str">
        <f>Item_Enchant_Old!H144</f>
        <v>@</v>
      </c>
      <c r="I140" s="29">
        <f>Item_Enchant_Old!I144</f>
        <v>1</v>
      </c>
      <c r="J140" s="29" t="str">
        <f>Item_Enchant_Old!J144</f>
        <v>절대값/상대값(%) 가능</v>
      </c>
      <c r="K140" s="29">
        <f>Item_Enchant_Old!K144</f>
        <v>0</v>
      </c>
      <c r="L140" s="29">
        <f>Item_Enchant_Old!L144</f>
        <v>0</v>
      </c>
      <c r="M140" s="29">
        <f>Item_Enchant_Old!M144</f>
        <v>12</v>
      </c>
      <c r="N140" s="29">
        <f>Item_Enchant_Old!N144</f>
        <v>1350</v>
      </c>
      <c r="O140" s="29">
        <f>Item_Enchant_Old!O144</f>
        <v>1</v>
      </c>
      <c r="P140" s="29">
        <f>Item_Enchant_Old!P144</f>
        <v>1</v>
      </c>
      <c r="Q140" s="29">
        <f>Item_Enchant_Old!Q144</f>
        <v>1</v>
      </c>
      <c r="R140" s="29">
        <f>Item_Enchant_Old!R144</f>
        <v>1</v>
      </c>
    </row>
    <row r="141" spans="1:18" s="29" customFormat="1" hidden="1">
      <c r="A141" s="29">
        <f>Item_Enchant_Old!A145</f>
        <v>140</v>
      </c>
      <c r="B141" s="29" t="str">
        <f>Item_Enchant_Old!B145</f>
        <v>ACTIVE_BLOCK_RATE_UP</v>
      </c>
      <c r="C141" s="29">
        <f>Item_Enchant_Old!C145</f>
        <v>620</v>
      </c>
      <c r="D141" s="29">
        <f>Item_Enchant_Old!D145</f>
        <v>0</v>
      </c>
      <c r="E141" s="29">
        <f>Item_Enchant_Old!E145</f>
        <v>0</v>
      </c>
      <c r="F141" s="29">
        <f>Item_Enchant_Old!F145</f>
        <v>0</v>
      </c>
      <c r="G141" s="29">
        <f>Item_Enchant_Old!G145</f>
        <v>1</v>
      </c>
      <c r="H141" s="29" t="str">
        <f>Item_Enchant_Old!H145</f>
        <v>@</v>
      </c>
      <c r="I141" s="29">
        <f>Item_Enchant_Old!I145</f>
        <v>1</v>
      </c>
      <c r="J141" s="29" t="str">
        <f>Item_Enchant_Old!J145</f>
        <v>절대값/상대값(%) 가능</v>
      </c>
      <c r="K141" s="29">
        <f>Item_Enchant_Old!K145</f>
        <v>0</v>
      </c>
      <c r="L141" s="29">
        <f>Item_Enchant_Old!L145</f>
        <v>0</v>
      </c>
      <c r="M141" s="29">
        <f>Item_Enchant_Old!M145</f>
        <v>12</v>
      </c>
      <c r="N141" s="29">
        <f>Item_Enchant_Old!N145</f>
        <v>352</v>
      </c>
      <c r="O141" s="29">
        <f>Item_Enchant_Old!O145</f>
        <v>1</v>
      </c>
      <c r="P141" s="29">
        <f>Item_Enchant_Old!P145</f>
        <v>1</v>
      </c>
      <c r="Q141" s="29">
        <f>Item_Enchant_Old!Q145</f>
        <v>1</v>
      </c>
      <c r="R141" s="29">
        <f>Item_Enchant_Old!R145</f>
        <v>1</v>
      </c>
    </row>
    <row r="142" spans="1:18" s="29" customFormat="1" hidden="1">
      <c r="A142" s="29">
        <f>Item_Enchant_Old!A146</f>
        <v>141</v>
      </c>
      <c r="B142" s="29" t="str">
        <f>Item_Enchant_Old!B146</f>
        <v>ACTIVE_CON_UP</v>
      </c>
      <c r="C142" s="29">
        <f>Item_Enchant_Old!C146</f>
        <v>611</v>
      </c>
      <c r="D142" s="29">
        <f>Item_Enchant_Old!D146</f>
        <v>0</v>
      </c>
      <c r="E142" s="29">
        <f>Item_Enchant_Old!E146</f>
        <v>0</v>
      </c>
      <c r="F142" s="29">
        <f>Item_Enchant_Old!F146</f>
        <v>0</v>
      </c>
      <c r="G142" s="29">
        <f>Item_Enchant_Old!G146</f>
        <v>3</v>
      </c>
      <c r="H142" s="29" t="str">
        <f>Item_Enchant_Old!H146</f>
        <v>@</v>
      </c>
      <c r="I142" s="29">
        <f>Item_Enchant_Old!I146</f>
        <v>1</v>
      </c>
      <c r="J142" s="29" t="str">
        <f>Item_Enchant_Old!J146</f>
        <v>절대값/상대값(%) 가능</v>
      </c>
      <c r="K142" s="29">
        <f>Item_Enchant_Old!K146</f>
        <v>0</v>
      </c>
      <c r="L142" s="29">
        <f>Item_Enchant_Old!L146</f>
        <v>0</v>
      </c>
      <c r="M142" s="29">
        <f>Item_Enchant_Old!M146</f>
        <v>12</v>
      </c>
      <c r="N142" s="29">
        <f>Item_Enchant_Old!N146</f>
        <v>48</v>
      </c>
      <c r="O142" s="29">
        <f>Item_Enchant_Old!O146</f>
        <v>1</v>
      </c>
      <c r="P142" s="29">
        <f>Item_Enchant_Old!P146</f>
        <v>1</v>
      </c>
      <c r="Q142" s="29">
        <f>Item_Enchant_Old!Q146</f>
        <v>1</v>
      </c>
      <c r="R142" s="29">
        <f>Item_Enchant_Old!R146</f>
        <v>1</v>
      </c>
    </row>
    <row r="143" spans="1:18" s="29" customFormat="1" hidden="1">
      <c r="A143" s="29">
        <f>Item_Enchant_Old!A147</f>
        <v>142</v>
      </c>
      <c r="B143" s="29" t="str">
        <f>Item_Enchant_Old!B147</f>
        <v>ACTIVE_FOC_UP</v>
      </c>
      <c r="C143" s="29">
        <f>Item_Enchant_Old!C147</f>
        <v>612</v>
      </c>
      <c r="D143" s="29">
        <f>Item_Enchant_Old!D147</f>
        <v>0</v>
      </c>
      <c r="E143" s="29">
        <f>Item_Enchant_Old!E147</f>
        <v>0</v>
      </c>
      <c r="F143" s="29">
        <f>Item_Enchant_Old!F147</f>
        <v>0</v>
      </c>
      <c r="G143" s="29">
        <f>Item_Enchant_Old!G147</f>
        <v>2</v>
      </c>
      <c r="H143" s="29" t="str">
        <f>Item_Enchant_Old!H147</f>
        <v>@</v>
      </c>
      <c r="I143" s="29">
        <f>Item_Enchant_Old!I147</f>
        <v>1</v>
      </c>
      <c r="J143" s="29" t="str">
        <f>Item_Enchant_Old!J147</f>
        <v>절대값/상대값(%) 가능</v>
      </c>
      <c r="K143" s="29">
        <f>Item_Enchant_Old!K147</f>
        <v>0</v>
      </c>
      <c r="L143" s="29">
        <f>Item_Enchant_Old!L147</f>
        <v>0</v>
      </c>
      <c r="M143" s="29">
        <f>Item_Enchant_Old!M147</f>
        <v>12</v>
      </c>
      <c r="N143" s="29">
        <f>Item_Enchant_Old!N147</f>
        <v>53</v>
      </c>
      <c r="O143" s="29">
        <f>Item_Enchant_Old!O147</f>
        <v>1</v>
      </c>
      <c r="P143" s="29">
        <f>Item_Enchant_Old!P147</f>
        <v>1</v>
      </c>
      <c r="Q143" s="29">
        <f>Item_Enchant_Old!Q147</f>
        <v>1</v>
      </c>
      <c r="R143" s="29">
        <f>Item_Enchant_Old!R147</f>
        <v>1</v>
      </c>
    </row>
    <row r="144" spans="1:18" s="29" customFormat="1" hidden="1">
      <c r="A144" s="29">
        <f>Item_Enchant_Old!A148</f>
        <v>143</v>
      </c>
      <c r="B144" s="29" t="str">
        <f>Item_Enchant_Old!B148</f>
        <v>ACTIVE_ENERGY_OFFENCE_UP</v>
      </c>
      <c r="C144" s="29">
        <f>Item_Enchant_Old!C148</f>
        <v>607</v>
      </c>
      <c r="D144" s="29">
        <f>Item_Enchant_Old!D148</f>
        <v>0</v>
      </c>
      <c r="E144" s="29">
        <f>Item_Enchant_Old!E148</f>
        <v>0</v>
      </c>
      <c r="F144" s="29">
        <f>Item_Enchant_Old!F148</f>
        <v>0</v>
      </c>
      <c r="G144" s="29">
        <f>Item_Enchant_Old!G148</f>
        <v>1</v>
      </c>
      <c r="H144" s="29" t="str">
        <f>Item_Enchant_Old!H148</f>
        <v>@</v>
      </c>
      <c r="I144" s="29">
        <f>Item_Enchant_Old!I148</f>
        <v>1</v>
      </c>
      <c r="J144" s="29" t="str">
        <f>Item_Enchant_Old!J148</f>
        <v>절대값/상대값(%) 가능</v>
      </c>
      <c r="K144" s="29">
        <f>Item_Enchant_Old!K148</f>
        <v>1</v>
      </c>
      <c r="L144" s="29">
        <f>Item_Enchant_Old!L148</f>
        <v>0</v>
      </c>
      <c r="M144" s="29">
        <f>Item_Enchant_Old!M148</f>
        <v>3</v>
      </c>
      <c r="N144" s="29">
        <f>Item_Enchant_Old!N148</f>
        <v>104</v>
      </c>
      <c r="O144" s="29">
        <f>Item_Enchant_Old!O148</f>
        <v>1</v>
      </c>
      <c r="P144" s="29">
        <f>Item_Enchant_Old!P148</f>
        <v>1</v>
      </c>
      <c r="Q144" s="29">
        <f>Item_Enchant_Old!Q148</f>
        <v>1</v>
      </c>
      <c r="R144" s="29">
        <f>Item_Enchant_Old!R148</f>
        <v>1</v>
      </c>
    </row>
    <row r="145" spans="1:18" s="29" customFormat="1" hidden="1">
      <c r="A145" s="29">
        <f>Item_Enchant_Old!A149</f>
        <v>144</v>
      </c>
      <c r="B145" s="29" t="str">
        <f>Item_Enchant_Old!B149</f>
        <v>ACTIVE_FOC_UP</v>
      </c>
      <c r="C145" s="29">
        <f>Item_Enchant_Old!C149</f>
        <v>612</v>
      </c>
      <c r="D145" s="29">
        <f>Item_Enchant_Old!D149</f>
        <v>0</v>
      </c>
      <c r="E145" s="29">
        <f>Item_Enchant_Old!E149</f>
        <v>0</v>
      </c>
      <c r="F145" s="29">
        <f>Item_Enchant_Old!F149</f>
        <v>0</v>
      </c>
      <c r="G145" s="29">
        <f>Item_Enchant_Old!G149</f>
        <v>2</v>
      </c>
      <c r="H145" s="29" t="str">
        <f>Item_Enchant_Old!H149</f>
        <v>@</v>
      </c>
      <c r="I145" s="29">
        <f>Item_Enchant_Old!I149</f>
        <v>1</v>
      </c>
      <c r="J145" s="29" t="str">
        <f>Item_Enchant_Old!J149</f>
        <v>절대값/상대값(%) 가능</v>
      </c>
      <c r="K145" s="29">
        <f>Item_Enchant_Old!K149</f>
        <v>1</v>
      </c>
      <c r="L145" s="29">
        <f>Item_Enchant_Old!L149</f>
        <v>0</v>
      </c>
      <c r="M145" s="29">
        <f>Item_Enchant_Old!M149</f>
        <v>3</v>
      </c>
      <c r="N145" s="29">
        <f>Item_Enchant_Old!N149</f>
        <v>53</v>
      </c>
      <c r="O145" s="29">
        <f>Item_Enchant_Old!O149</f>
        <v>1</v>
      </c>
      <c r="P145" s="29">
        <f>Item_Enchant_Old!P149</f>
        <v>1</v>
      </c>
      <c r="Q145" s="29">
        <f>Item_Enchant_Old!Q149</f>
        <v>1</v>
      </c>
      <c r="R145" s="29">
        <f>Item_Enchant_Old!R149</f>
        <v>1</v>
      </c>
    </row>
    <row r="146" spans="1:18" s="29" customFormat="1" hidden="1">
      <c r="A146" s="29">
        <f>Item_Enchant_Old!A150</f>
        <v>145</v>
      </c>
      <c r="B146" s="29" t="str">
        <f>Item_Enchant_Old!B150</f>
        <v>ACTIVE_SOL_UP</v>
      </c>
      <c r="C146" s="29">
        <f>Item_Enchant_Old!C150</f>
        <v>614</v>
      </c>
      <c r="D146" s="29">
        <f>Item_Enchant_Old!D150</f>
        <v>0</v>
      </c>
      <c r="E146" s="29">
        <f>Item_Enchant_Old!E150</f>
        <v>0</v>
      </c>
      <c r="F146" s="29">
        <f>Item_Enchant_Old!F150</f>
        <v>0</v>
      </c>
      <c r="G146" s="29">
        <f>Item_Enchant_Old!G150</f>
        <v>2</v>
      </c>
      <c r="H146" s="29" t="str">
        <f>Item_Enchant_Old!H150</f>
        <v>@</v>
      </c>
      <c r="I146" s="29">
        <f>Item_Enchant_Old!I150</f>
        <v>1</v>
      </c>
      <c r="J146" s="29" t="str">
        <f>Item_Enchant_Old!J150</f>
        <v>절대값/상대값(%) 가능</v>
      </c>
      <c r="K146" s="29">
        <f>Item_Enchant_Old!K150</f>
        <v>1</v>
      </c>
      <c r="L146" s="29">
        <f>Item_Enchant_Old!L150</f>
        <v>0</v>
      </c>
      <c r="M146" s="29">
        <f>Item_Enchant_Old!M150</f>
        <v>3</v>
      </c>
      <c r="N146" s="29">
        <f>Item_Enchant_Old!N150</f>
        <v>53</v>
      </c>
      <c r="O146" s="29">
        <f>Item_Enchant_Old!O150</f>
        <v>1</v>
      </c>
      <c r="P146" s="29">
        <f>Item_Enchant_Old!P150</f>
        <v>1</v>
      </c>
      <c r="Q146" s="29">
        <f>Item_Enchant_Old!Q150</f>
        <v>1</v>
      </c>
      <c r="R146" s="29">
        <f>Item_Enchant_Old!R150</f>
        <v>1</v>
      </c>
    </row>
    <row r="147" spans="1:18" s="29" customFormat="1" hidden="1">
      <c r="A147" s="29">
        <f>Item_Enchant_Old!A151</f>
        <v>146</v>
      </c>
      <c r="B147" s="29" t="str">
        <f>Item_Enchant_Old!B151</f>
        <v>ACTIVE_ENERGY_CRITICAL_DAMAGE_UP</v>
      </c>
      <c r="C147" s="29">
        <f>Item_Enchant_Old!C151</f>
        <v>659</v>
      </c>
      <c r="D147" s="29">
        <f>Item_Enchant_Old!D151</f>
        <v>0</v>
      </c>
      <c r="E147" s="29">
        <f>Item_Enchant_Old!E151</f>
        <v>0</v>
      </c>
      <c r="F147" s="29">
        <f>Item_Enchant_Old!F151</f>
        <v>0</v>
      </c>
      <c r="G147" s="29">
        <f>Item_Enchant_Old!G151</f>
        <v>4</v>
      </c>
      <c r="H147" s="29" t="str">
        <f>Item_Enchant_Old!H151</f>
        <v>@</v>
      </c>
      <c r="I147" s="29">
        <f>Item_Enchant_Old!I151</f>
        <v>1</v>
      </c>
      <c r="J147" s="29" t="str">
        <f>Item_Enchant_Old!J151</f>
        <v>절대값만 가능</v>
      </c>
      <c r="K147" s="29">
        <f>Item_Enchant_Old!K151</f>
        <v>1</v>
      </c>
      <c r="L147" s="29">
        <f>Item_Enchant_Old!L151</f>
        <v>0</v>
      </c>
      <c r="M147" s="29">
        <f>Item_Enchant_Old!M151</f>
        <v>3</v>
      </c>
      <c r="N147" s="29">
        <f>Item_Enchant_Old!N151</f>
        <v>32</v>
      </c>
      <c r="O147" s="29">
        <f>Item_Enchant_Old!O151</f>
        <v>1</v>
      </c>
      <c r="P147" s="29">
        <f>Item_Enchant_Old!P151</f>
        <v>1</v>
      </c>
      <c r="Q147" s="29">
        <f>Item_Enchant_Old!Q151</f>
        <v>1</v>
      </c>
      <c r="R147" s="29">
        <f>Item_Enchant_Old!R151</f>
        <v>1</v>
      </c>
    </row>
    <row r="148" spans="1:18" s="29" customFormat="1" hidden="1">
      <c r="A148" s="29">
        <f>Item_Enchant_Old!A152</f>
        <v>147</v>
      </c>
      <c r="B148" s="29" t="str">
        <f>Item_Enchant_Old!B152</f>
        <v>ACTIVE_ENERGY_CRITICAL</v>
      </c>
      <c r="C148" s="29">
        <f>Item_Enchant_Old!C152</f>
        <v>633</v>
      </c>
      <c r="D148" s="29">
        <f>Item_Enchant_Old!D152</f>
        <v>0</v>
      </c>
      <c r="E148" s="29">
        <f>Item_Enchant_Old!E152</f>
        <v>0</v>
      </c>
      <c r="F148" s="29">
        <f>Item_Enchant_Old!F152</f>
        <v>0</v>
      </c>
      <c r="G148" s="29">
        <f>Item_Enchant_Old!G152</f>
        <v>5</v>
      </c>
      <c r="H148" s="29" t="str">
        <f>Item_Enchant_Old!H152</f>
        <v>@</v>
      </c>
      <c r="I148" s="29">
        <f>Item_Enchant_Old!I152</f>
        <v>1</v>
      </c>
      <c r="J148" s="29" t="str">
        <f>Item_Enchant_Old!J152</f>
        <v>절대값/상대값(%) 가능</v>
      </c>
      <c r="K148" s="29">
        <f>Item_Enchant_Old!K152</f>
        <v>1</v>
      </c>
      <c r="L148" s="29">
        <f>Item_Enchant_Old!L152</f>
        <v>0</v>
      </c>
      <c r="M148" s="29">
        <f>Item_Enchant_Old!M152</f>
        <v>4</v>
      </c>
      <c r="N148" s="29">
        <f>Item_Enchant_Old!N152</f>
        <v>24</v>
      </c>
      <c r="O148" s="29">
        <f>Item_Enchant_Old!O152</f>
        <v>1</v>
      </c>
      <c r="P148" s="29">
        <f>Item_Enchant_Old!P152</f>
        <v>1</v>
      </c>
      <c r="Q148" s="29">
        <f>Item_Enchant_Old!Q152</f>
        <v>1</v>
      </c>
      <c r="R148" s="29">
        <f>Item_Enchant_Old!R152</f>
        <v>1</v>
      </c>
    </row>
    <row r="149" spans="1:18" s="29" customFormat="1" hidden="1">
      <c r="A149" s="29">
        <f>Item_Enchant_Old!A153</f>
        <v>148</v>
      </c>
      <c r="B149" s="29" t="str">
        <f>Item_Enchant_Old!B153</f>
        <v>ACTIVE_ENERGY_CRITICAL_DAMAGE_UP</v>
      </c>
      <c r="C149" s="29">
        <f>Item_Enchant_Old!C153</f>
        <v>659</v>
      </c>
      <c r="D149" s="29">
        <f>Item_Enchant_Old!D153</f>
        <v>0</v>
      </c>
      <c r="E149" s="29">
        <f>Item_Enchant_Old!E153</f>
        <v>0</v>
      </c>
      <c r="F149" s="29">
        <f>Item_Enchant_Old!F153</f>
        <v>0</v>
      </c>
      <c r="G149" s="29">
        <f>Item_Enchant_Old!G153</f>
        <v>4</v>
      </c>
      <c r="H149" s="29" t="str">
        <f>Item_Enchant_Old!H153</f>
        <v>@</v>
      </c>
      <c r="I149" s="29">
        <f>Item_Enchant_Old!I153</f>
        <v>1</v>
      </c>
      <c r="J149" s="29" t="str">
        <f>Item_Enchant_Old!J153</f>
        <v>절대값만 가능</v>
      </c>
      <c r="K149" s="29">
        <f>Item_Enchant_Old!K153</f>
        <v>1</v>
      </c>
      <c r="L149" s="29">
        <f>Item_Enchant_Old!L153</f>
        <v>0</v>
      </c>
      <c r="M149" s="29">
        <f>Item_Enchant_Old!M153</f>
        <v>4</v>
      </c>
      <c r="N149" s="29">
        <f>Item_Enchant_Old!N153</f>
        <v>32</v>
      </c>
      <c r="O149" s="29">
        <f>Item_Enchant_Old!O153</f>
        <v>1</v>
      </c>
      <c r="P149" s="29">
        <f>Item_Enchant_Old!P153</f>
        <v>1</v>
      </c>
      <c r="Q149" s="29">
        <f>Item_Enchant_Old!Q153</f>
        <v>1</v>
      </c>
      <c r="R149" s="29">
        <f>Item_Enchant_Old!R153</f>
        <v>1</v>
      </c>
    </row>
    <row r="150" spans="1:18" s="29" customFormat="1" hidden="1">
      <c r="A150" s="29">
        <f>Item_Enchant_Old!A154</f>
        <v>149</v>
      </c>
      <c r="B150" s="29" t="str">
        <f>Item_Enchant_Old!B154</f>
        <v>ACTIVE_FOC_UP</v>
      </c>
      <c r="C150" s="29">
        <f>Item_Enchant_Old!C154</f>
        <v>612</v>
      </c>
      <c r="D150" s="29">
        <f>Item_Enchant_Old!D154</f>
        <v>0</v>
      </c>
      <c r="E150" s="29">
        <f>Item_Enchant_Old!E154</f>
        <v>0</v>
      </c>
      <c r="F150" s="29">
        <f>Item_Enchant_Old!F154</f>
        <v>0</v>
      </c>
      <c r="G150" s="29">
        <f>Item_Enchant_Old!G154</f>
        <v>2</v>
      </c>
      <c r="H150" s="29" t="str">
        <f>Item_Enchant_Old!H154</f>
        <v>@</v>
      </c>
      <c r="I150" s="29">
        <f>Item_Enchant_Old!I154</f>
        <v>1</v>
      </c>
      <c r="J150" s="29" t="str">
        <f>Item_Enchant_Old!J154</f>
        <v>절대값/상대값(%) 가능</v>
      </c>
      <c r="K150" s="29">
        <f>Item_Enchant_Old!K154</f>
        <v>1</v>
      </c>
      <c r="L150" s="29">
        <f>Item_Enchant_Old!L154</f>
        <v>0</v>
      </c>
      <c r="M150" s="29">
        <f>Item_Enchant_Old!M154</f>
        <v>4</v>
      </c>
      <c r="N150" s="29">
        <f>Item_Enchant_Old!N154</f>
        <v>53</v>
      </c>
      <c r="O150" s="29">
        <f>Item_Enchant_Old!O154</f>
        <v>1</v>
      </c>
      <c r="P150" s="29">
        <f>Item_Enchant_Old!P154</f>
        <v>1</v>
      </c>
      <c r="Q150" s="29">
        <f>Item_Enchant_Old!Q154</f>
        <v>1</v>
      </c>
      <c r="R150" s="29">
        <f>Item_Enchant_Old!R154</f>
        <v>1</v>
      </c>
    </row>
    <row r="151" spans="1:18" s="29" customFormat="1" hidden="1">
      <c r="A151" s="29">
        <f>Item_Enchant_Old!A155</f>
        <v>150</v>
      </c>
      <c r="B151" s="29" t="str">
        <f>Item_Enchant_Old!B155</f>
        <v>ACTIVE_DEX_UP</v>
      </c>
      <c r="C151" s="29">
        <f>Item_Enchant_Old!C155</f>
        <v>613</v>
      </c>
      <c r="D151" s="29">
        <f>Item_Enchant_Old!D155</f>
        <v>0</v>
      </c>
      <c r="E151" s="29">
        <f>Item_Enchant_Old!E155</f>
        <v>0</v>
      </c>
      <c r="F151" s="29">
        <f>Item_Enchant_Old!F155</f>
        <v>0</v>
      </c>
      <c r="G151" s="29">
        <f>Item_Enchant_Old!G155</f>
        <v>3</v>
      </c>
      <c r="H151" s="29" t="str">
        <f>Item_Enchant_Old!H155</f>
        <v>@</v>
      </c>
      <c r="I151" s="29">
        <f>Item_Enchant_Old!I155</f>
        <v>1</v>
      </c>
      <c r="J151" s="29" t="str">
        <f>Item_Enchant_Old!J155</f>
        <v>절대값/상대값(%) 가능</v>
      </c>
      <c r="K151" s="29">
        <f>Item_Enchant_Old!K155</f>
        <v>1</v>
      </c>
      <c r="L151" s="29">
        <f>Item_Enchant_Old!L155</f>
        <v>0</v>
      </c>
      <c r="M151" s="29">
        <f>Item_Enchant_Old!M155</f>
        <v>4</v>
      </c>
      <c r="N151" s="29">
        <f>Item_Enchant_Old!N155</f>
        <v>44</v>
      </c>
      <c r="O151" s="29">
        <f>Item_Enchant_Old!O155</f>
        <v>1</v>
      </c>
      <c r="P151" s="29">
        <f>Item_Enchant_Old!P155</f>
        <v>1</v>
      </c>
      <c r="Q151" s="29">
        <f>Item_Enchant_Old!Q155</f>
        <v>1</v>
      </c>
      <c r="R151" s="29">
        <f>Item_Enchant_Old!R155</f>
        <v>1</v>
      </c>
    </row>
    <row r="152" spans="1:18" s="29" customFormat="1" hidden="1">
      <c r="A152" s="29">
        <f>Item_Enchant_Old!A156</f>
        <v>151</v>
      </c>
      <c r="B152" s="29" t="str">
        <f>Item_Enchant_Old!B156</f>
        <v>ACTIVE_ATTACK_SPEED_UP</v>
      </c>
      <c r="C152" s="29">
        <f>Item_Enchant_Old!C156</f>
        <v>617</v>
      </c>
      <c r="D152" s="29">
        <f>Item_Enchant_Old!D156</f>
        <v>1</v>
      </c>
      <c r="E152" s="29">
        <f>Item_Enchant_Old!E156</f>
        <v>0</v>
      </c>
      <c r="F152" s="29">
        <f>Item_Enchant_Old!F156</f>
        <v>0</v>
      </c>
      <c r="G152" s="29">
        <f>Item_Enchant_Old!G156</f>
        <v>10</v>
      </c>
      <c r="H152" s="29" t="str">
        <f>Item_Enchant_Old!H156</f>
        <v>@</v>
      </c>
      <c r="I152" s="29">
        <f>Item_Enchant_Old!I156</f>
        <v>1</v>
      </c>
      <c r="J152" s="29" t="str">
        <f>Item_Enchant_Old!J156</f>
        <v>절대값/상대값(%) 가능</v>
      </c>
      <c r="K152" s="29">
        <f>Item_Enchant_Old!K156</f>
        <v>1</v>
      </c>
      <c r="L152" s="29">
        <f>Item_Enchant_Old!L156</f>
        <v>0</v>
      </c>
      <c r="M152" s="29">
        <f>Item_Enchant_Old!M156</f>
        <v>5</v>
      </c>
      <c r="N152" s="29">
        <f>Item_Enchant_Old!N156</f>
        <v>10</v>
      </c>
      <c r="O152" s="29">
        <f>Item_Enchant_Old!O156</f>
        <v>1</v>
      </c>
      <c r="P152" s="29">
        <f>Item_Enchant_Old!P156</f>
        <v>1</v>
      </c>
      <c r="Q152" s="29">
        <f>Item_Enchant_Old!Q156</f>
        <v>1</v>
      </c>
      <c r="R152" s="29">
        <f>Item_Enchant_Old!R156</f>
        <v>1</v>
      </c>
    </row>
    <row r="153" spans="1:18" s="29" customFormat="1" hidden="1">
      <c r="A153" s="29">
        <f>Item_Enchant_Old!A157</f>
        <v>152</v>
      </c>
      <c r="B153" s="29" t="str">
        <f>Item_Enchant_Old!B157</f>
        <v>ACTIVE_DEX_UP</v>
      </c>
      <c r="C153" s="29">
        <f>Item_Enchant_Old!C157</f>
        <v>613</v>
      </c>
      <c r="D153" s="29">
        <f>Item_Enchant_Old!D157</f>
        <v>0</v>
      </c>
      <c r="E153" s="29">
        <f>Item_Enchant_Old!E157</f>
        <v>0</v>
      </c>
      <c r="F153" s="29">
        <f>Item_Enchant_Old!F157</f>
        <v>0</v>
      </c>
      <c r="G153" s="29">
        <f>Item_Enchant_Old!G157</f>
        <v>3</v>
      </c>
      <c r="H153" s="29" t="str">
        <f>Item_Enchant_Old!H157</f>
        <v>@</v>
      </c>
      <c r="I153" s="29">
        <f>Item_Enchant_Old!I157</f>
        <v>1</v>
      </c>
      <c r="J153" s="29" t="str">
        <f>Item_Enchant_Old!J157</f>
        <v>절대값/상대값(%) 가능</v>
      </c>
      <c r="K153" s="29">
        <f>Item_Enchant_Old!K157</f>
        <v>1</v>
      </c>
      <c r="L153" s="29">
        <f>Item_Enchant_Old!L157</f>
        <v>0</v>
      </c>
      <c r="M153" s="29">
        <f>Item_Enchant_Old!M157</f>
        <v>5</v>
      </c>
      <c r="N153" s="29">
        <f>Item_Enchant_Old!N157</f>
        <v>44</v>
      </c>
      <c r="O153" s="29">
        <f>Item_Enchant_Old!O157</f>
        <v>1</v>
      </c>
      <c r="P153" s="29">
        <f>Item_Enchant_Old!P157</f>
        <v>1</v>
      </c>
      <c r="Q153" s="29">
        <f>Item_Enchant_Old!Q157</f>
        <v>1</v>
      </c>
      <c r="R153" s="29">
        <f>Item_Enchant_Old!R157</f>
        <v>1</v>
      </c>
    </row>
    <row r="154" spans="1:18" s="29" customFormat="1" hidden="1">
      <c r="A154" s="29">
        <f>Item_Enchant_Old!A158</f>
        <v>153</v>
      </c>
      <c r="B154" s="29" t="str">
        <f>Item_Enchant_Old!B158</f>
        <v>ACTIVE_FOC_UP</v>
      </c>
      <c r="C154" s="29">
        <f>Item_Enchant_Old!C158</f>
        <v>612</v>
      </c>
      <c r="D154" s="29">
        <f>Item_Enchant_Old!D158</f>
        <v>0</v>
      </c>
      <c r="E154" s="29">
        <f>Item_Enchant_Old!E158</f>
        <v>0</v>
      </c>
      <c r="F154" s="29">
        <f>Item_Enchant_Old!F158</f>
        <v>0</v>
      </c>
      <c r="G154" s="29">
        <f>Item_Enchant_Old!G158</f>
        <v>2</v>
      </c>
      <c r="H154" s="29" t="str">
        <f>Item_Enchant_Old!H158</f>
        <v>@</v>
      </c>
      <c r="I154" s="29">
        <f>Item_Enchant_Old!I158</f>
        <v>1</v>
      </c>
      <c r="J154" s="29" t="str">
        <f>Item_Enchant_Old!J158</f>
        <v>절대값/상대값(%) 가능</v>
      </c>
      <c r="K154" s="29">
        <f>Item_Enchant_Old!K158</f>
        <v>1</v>
      </c>
      <c r="L154" s="29">
        <f>Item_Enchant_Old!L158</f>
        <v>0</v>
      </c>
      <c r="M154" s="29">
        <f>Item_Enchant_Old!M158</f>
        <v>5</v>
      </c>
      <c r="N154" s="29">
        <f>Item_Enchant_Old!N158</f>
        <v>53</v>
      </c>
      <c r="O154" s="29">
        <f>Item_Enchant_Old!O158</f>
        <v>1</v>
      </c>
      <c r="P154" s="29">
        <f>Item_Enchant_Old!P158</f>
        <v>1</v>
      </c>
      <c r="Q154" s="29">
        <f>Item_Enchant_Old!Q158</f>
        <v>1</v>
      </c>
      <c r="R154" s="29">
        <f>Item_Enchant_Old!R158</f>
        <v>1</v>
      </c>
    </row>
    <row r="155" spans="1:18" s="29" customFormat="1" hidden="1">
      <c r="A155" s="29">
        <f>Item_Enchant_Old!A159</f>
        <v>154</v>
      </c>
      <c r="B155" s="29" t="str">
        <f>Item_Enchant_Old!B159</f>
        <v>ACTIVE_PHYSICAL_OFFENCE_UP</v>
      </c>
      <c r="C155" s="29">
        <f>Item_Enchant_Old!C159</f>
        <v>606</v>
      </c>
      <c r="D155" s="29">
        <f>Item_Enchant_Old!D159</f>
        <v>0</v>
      </c>
      <c r="E155" s="29">
        <f>Item_Enchant_Old!E159</f>
        <v>0</v>
      </c>
      <c r="F155" s="29">
        <f>Item_Enchant_Old!F159</f>
        <v>0</v>
      </c>
      <c r="G155" s="29">
        <f>Item_Enchant_Old!G159</f>
        <v>1</v>
      </c>
      <c r="H155" s="29" t="str">
        <f>Item_Enchant_Old!H159</f>
        <v>@</v>
      </c>
      <c r="I155" s="29">
        <f>Item_Enchant_Old!I159</f>
        <v>1</v>
      </c>
      <c r="J155" s="29" t="str">
        <f>Item_Enchant_Old!J159</f>
        <v>절대값/상대값(%) 가능</v>
      </c>
      <c r="K155" s="29">
        <f>Item_Enchant_Old!K159</f>
        <v>1</v>
      </c>
      <c r="L155" s="29">
        <f>Item_Enchant_Old!L159</f>
        <v>0</v>
      </c>
      <c r="M155" s="29">
        <f>Item_Enchant_Old!M159</f>
        <v>5</v>
      </c>
      <c r="N155" s="29">
        <f>Item_Enchant_Old!N159</f>
        <v>125</v>
      </c>
      <c r="O155" s="29">
        <f>Item_Enchant_Old!O159</f>
        <v>1</v>
      </c>
      <c r="P155" s="29">
        <f>Item_Enchant_Old!P159</f>
        <v>1</v>
      </c>
      <c r="Q155" s="29">
        <f>Item_Enchant_Old!Q159</f>
        <v>1</v>
      </c>
      <c r="R155" s="29">
        <f>Item_Enchant_Old!R159</f>
        <v>1</v>
      </c>
    </row>
    <row r="156" spans="1:18" s="29" customFormat="1" hidden="1">
      <c r="A156" s="29">
        <f>Item_Enchant_Old!A160</f>
        <v>155</v>
      </c>
      <c r="B156" s="29" t="str">
        <f>Item_Enchant_Old!B160</f>
        <v>ACTIVE_ENERGY_OFFENCE_UP</v>
      </c>
      <c r="C156" s="29">
        <f>Item_Enchant_Old!C160</f>
        <v>607</v>
      </c>
      <c r="D156" s="29">
        <f>Item_Enchant_Old!D160</f>
        <v>0</v>
      </c>
      <c r="E156" s="29">
        <f>Item_Enchant_Old!E160</f>
        <v>0</v>
      </c>
      <c r="F156" s="29">
        <f>Item_Enchant_Old!F160</f>
        <v>0</v>
      </c>
      <c r="G156" s="29">
        <f>Item_Enchant_Old!G160</f>
        <v>1</v>
      </c>
      <c r="H156" s="29" t="str">
        <f>Item_Enchant_Old!H160</f>
        <v>@</v>
      </c>
      <c r="I156" s="29">
        <f>Item_Enchant_Old!I160</f>
        <v>1</v>
      </c>
      <c r="J156" s="29" t="str">
        <f>Item_Enchant_Old!J160</f>
        <v>절대값/상대값(%) 가능</v>
      </c>
      <c r="K156" s="29">
        <f>Item_Enchant_Old!K160</f>
        <v>1</v>
      </c>
      <c r="L156" s="29">
        <f>Item_Enchant_Old!L160</f>
        <v>0</v>
      </c>
      <c r="M156" s="29">
        <f>Item_Enchant_Old!M160</f>
        <v>5</v>
      </c>
      <c r="N156" s="29">
        <f>Item_Enchant_Old!N160</f>
        <v>104</v>
      </c>
      <c r="O156" s="29">
        <f>Item_Enchant_Old!O160</f>
        <v>1</v>
      </c>
      <c r="P156" s="29">
        <f>Item_Enchant_Old!P160</f>
        <v>1</v>
      </c>
      <c r="Q156" s="29">
        <f>Item_Enchant_Old!Q160</f>
        <v>1</v>
      </c>
      <c r="R156" s="29">
        <f>Item_Enchant_Old!R160</f>
        <v>1</v>
      </c>
    </row>
    <row r="157" spans="1:18" s="29" customFormat="1" hidden="1">
      <c r="A157" s="29">
        <f>Item_Enchant_Old!A161</f>
        <v>156</v>
      </c>
      <c r="B157" s="29" t="str">
        <f>Item_Enchant_Old!B161</f>
        <v>ACTIVE_PHYSICAL_OFFENCE_UP</v>
      </c>
      <c r="C157" s="29">
        <f>Item_Enchant_Old!C161</f>
        <v>606</v>
      </c>
      <c r="D157" s="29">
        <f>Item_Enchant_Old!D161</f>
        <v>0</v>
      </c>
      <c r="E157" s="29">
        <f>Item_Enchant_Old!E161</f>
        <v>0</v>
      </c>
      <c r="F157" s="29">
        <f>Item_Enchant_Old!F161</f>
        <v>0</v>
      </c>
      <c r="G157" s="29">
        <f>Item_Enchant_Old!G161</f>
        <v>1</v>
      </c>
      <c r="H157" s="29" t="str">
        <f>Item_Enchant_Old!H161</f>
        <v>@</v>
      </c>
      <c r="I157" s="29">
        <f>Item_Enchant_Old!I161</f>
        <v>1</v>
      </c>
      <c r="J157" s="29" t="str">
        <f>Item_Enchant_Old!J161</f>
        <v>절대값/상대값(%) 가능</v>
      </c>
      <c r="K157" s="29">
        <f>Item_Enchant_Old!K161</f>
        <v>1</v>
      </c>
      <c r="L157" s="29">
        <f>Item_Enchant_Old!L161</f>
        <v>0</v>
      </c>
      <c r="M157" s="29">
        <f>Item_Enchant_Old!M161</f>
        <v>6</v>
      </c>
      <c r="N157" s="29">
        <f>Item_Enchant_Old!N161</f>
        <v>125</v>
      </c>
      <c r="O157" s="29">
        <f>Item_Enchant_Old!O161</f>
        <v>1</v>
      </c>
      <c r="P157" s="29">
        <f>Item_Enchant_Old!P161</f>
        <v>1</v>
      </c>
      <c r="Q157" s="29">
        <f>Item_Enchant_Old!Q161</f>
        <v>1</v>
      </c>
      <c r="R157" s="29">
        <f>Item_Enchant_Old!R161</f>
        <v>1</v>
      </c>
    </row>
    <row r="158" spans="1:18" s="29" customFormat="1" hidden="1">
      <c r="A158" s="29">
        <f>Item_Enchant_Old!A162</f>
        <v>157</v>
      </c>
      <c r="B158" s="29" t="str">
        <f>Item_Enchant_Old!B162</f>
        <v>ACTIVE_ENERGY_OFFENCE_UP</v>
      </c>
      <c r="C158" s="29">
        <f>Item_Enchant_Old!C162</f>
        <v>607</v>
      </c>
      <c r="D158" s="29">
        <f>Item_Enchant_Old!D162</f>
        <v>0</v>
      </c>
      <c r="E158" s="29">
        <f>Item_Enchant_Old!E162</f>
        <v>0</v>
      </c>
      <c r="F158" s="29">
        <f>Item_Enchant_Old!F162</f>
        <v>0</v>
      </c>
      <c r="G158" s="29">
        <f>Item_Enchant_Old!G162</f>
        <v>1</v>
      </c>
      <c r="H158" s="29" t="str">
        <f>Item_Enchant_Old!H162</f>
        <v>@</v>
      </c>
      <c r="I158" s="29">
        <f>Item_Enchant_Old!I162</f>
        <v>1</v>
      </c>
      <c r="J158" s="29" t="str">
        <f>Item_Enchant_Old!J162</f>
        <v>절대값/상대값(%) 가능</v>
      </c>
      <c r="K158" s="29">
        <f>Item_Enchant_Old!K162</f>
        <v>1</v>
      </c>
      <c r="L158" s="29">
        <f>Item_Enchant_Old!L162</f>
        <v>0</v>
      </c>
      <c r="M158" s="29">
        <f>Item_Enchant_Old!M162</f>
        <v>6</v>
      </c>
      <c r="N158" s="29">
        <f>Item_Enchant_Old!N162</f>
        <v>104</v>
      </c>
      <c r="O158" s="29">
        <f>Item_Enchant_Old!O162</f>
        <v>1</v>
      </c>
      <c r="P158" s="29">
        <f>Item_Enchant_Old!P162</f>
        <v>1</v>
      </c>
      <c r="Q158" s="29">
        <f>Item_Enchant_Old!Q162</f>
        <v>1</v>
      </c>
      <c r="R158" s="29">
        <f>Item_Enchant_Old!R162</f>
        <v>1</v>
      </c>
    </row>
    <row r="159" spans="1:18" s="29" customFormat="1" hidden="1">
      <c r="A159" s="29">
        <f>Item_Enchant_Old!A163</f>
        <v>158</v>
      </c>
      <c r="B159" s="29" t="str">
        <f>Item_Enchant_Old!B163</f>
        <v>ACTIVE_STR_UP</v>
      </c>
      <c r="C159" s="29">
        <f>Item_Enchant_Old!C163</f>
        <v>610</v>
      </c>
      <c r="D159" s="29">
        <f>Item_Enchant_Old!D163</f>
        <v>0</v>
      </c>
      <c r="E159" s="29">
        <f>Item_Enchant_Old!E163</f>
        <v>0</v>
      </c>
      <c r="F159" s="29">
        <f>Item_Enchant_Old!F163</f>
        <v>0</v>
      </c>
      <c r="G159" s="29">
        <f>Item_Enchant_Old!G163</f>
        <v>2</v>
      </c>
      <c r="H159" s="29" t="str">
        <f>Item_Enchant_Old!H163</f>
        <v>@</v>
      </c>
      <c r="I159" s="29">
        <f>Item_Enchant_Old!I163</f>
        <v>1</v>
      </c>
      <c r="J159" s="29" t="str">
        <f>Item_Enchant_Old!J163</f>
        <v>절대값/상대값(%) 가능</v>
      </c>
      <c r="K159" s="29">
        <f>Item_Enchant_Old!K163</f>
        <v>1</v>
      </c>
      <c r="L159" s="29">
        <f>Item_Enchant_Old!L163</f>
        <v>0</v>
      </c>
      <c r="M159" s="29">
        <f>Item_Enchant_Old!M163</f>
        <v>6</v>
      </c>
      <c r="N159" s="29">
        <f>Item_Enchant_Old!N163</f>
        <v>57</v>
      </c>
      <c r="O159" s="29">
        <f>Item_Enchant_Old!O163</f>
        <v>1</v>
      </c>
      <c r="P159" s="29">
        <f>Item_Enchant_Old!P163</f>
        <v>1</v>
      </c>
      <c r="Q159" s="29">
        <f>Item_Enchant_Old!Q163</f>
        <v>1</v>
      </c>
      <c r="R159" s="29">
        <f>Item_Enchant_Old!R163</f>
        <v>1</v>
      </c>
    </row>
    <row r="160" spans="1:18" s="29" customFormat="1" hidden="1">
      <c r="A160" s="29">
        <f>Item_Enchant_Old!A164</f>
        <v>159</v>
      </c>
      <c r="B160" s="29" t="str">
        <f>Item_Enchant_Old!B164</f>
        <v>ACTIVE_SOL_UP</v>
      </c>
      <c r="C160" s="29">
        <f>Item_Enchant_Old!C164</f>
        <v>614</v>
      </c>
      <c r="D160" s="29">
        <f>Item_Enchant_Old!D164</f>
        <v>0</v>
      </c>
      <c r="E160" s="29">
        <f>Item_Enchant_Old!E164</f>
        <v>0</v>
      </c>
      <c r="F160" s="29">
        <f>Item_Enchant_Old!F164</f>
        <v>0</v>
      </c>
      <c r="G160" s="29">
        <f>Item_Enchant_Old!G164</f>
        <v>2</v>
      </c>
      <c r="H160" s="29" t="str">
        <f>Item_Enchant_Old!H164</f>
        <v>@</v>
      </c>
      <c r="I160" s="29">
        <f>Item_Enchant_Old!I164</f>
        <v>1</v>
      </c>
      <c r="J160" s="29" t="str">
        <f>Item_Enchant_Old!J164</f>
        <v>절대값/상대값(%) 가능</v>
      </c>
      <c r="K160" s="29">
        <f>Item_Enchant_Old!K164</f>
        <v>1</v>
      </c>
      <c r="L160" s="29">
        <f>Item_Enchant_Old!L164</f>
        <v>0</v>
      </c>
      <c r="M160" s="29">
        <f>Item_Enchant_Old!M164</f>
        <v>6</v>
      </c>
      <c r="N160" s="29">
        <f>Item_Enchant_Old!N164</f>
        <v>53</v>
      </c>
      <c r="O160" s="29">
        <f>Item_Enchant_Old!O164</f>
        <v>1</v>
      </c>
      <c r="P160" s="29">
        <f>Item_Enchant_Old!P164</f>
        <v>1</v>
      </c>
      <c r="Q160" s="29">
        <f>Item_Enchant_Old!Q164</f>
        <v>1</v>
      </c>
      <c r="R160" s="29">
        <f>Item_Enchant_Old!R164</f>
        <v>1</v>
      </c>
    </row>
    <row r="161" spans="1:18" s="29" customFormat="1" hidden="1">
      <c r="A161" s="29">
        <f>Item_Enchant_Old!A165</f>
        <v>160</v>
      </c>
      <c r="B161" s="29" t="str">
        <f>Item_Enchant_Old!B165</f>
        <v>ACTIVE_PHYSICAL_CRITICAL_DAMAGE_UP</v>
      </c>
      <c r="C161" s="29">
        <f>Item_Enchant_Old!C165</f>
        <v>658</v>
      </c>
      <c r="D161" s="29">
        <f>Item_Enchant_Old!D165</f>
        <v>0</v>
      </c>
      <c r="E161" s="29">
        <f>Item_Enchant_Old!E165</f>
        <v>0</v>
      </c>
      <c r="F161" s="29">
        <f>Item_Enchant_Old!F165</f>
        <v>0</v>
      </c>
      <c r="G161" s="29">
        <f>Item_Enchant_Old!G165</f>
        <v>4</v>
      </c>
      <c r="H161" s="29" t="str">
        <f>Item_Enchant_Old!H165</f>
        <v>@</v>
      </c>
      <c r="I161" s="29">
        <f>Item_Enchant_Old!I165</f>
        <v>1</v>
      </c>
      <c r="J161" s="29" t="str">
        <f>Item_Enchant_Old!J165</f>
        <v>절대값만 가능</v>
      </c>
      <c r="K161" s="29">
        <f>Item_Enchant_Old!K165</f>
        <v>1</v>
      </c>
      <c r="L161" s="29">
        <f>Item_Enchant_Old!L165</f>
        <v>0</v>
      </c>
      <c r="M161" s="29">
        <f>Item_Enchant_Old!M165</f>
        <v>6</v>
      </c>
      <c r="N161" s="29">
        <f>Item_Enchant_Old!N165</f>
        <v>28</v>
      </c>
      <c r="O161" s="29">
        <f>Item_Enchant_Old!O165</f>
        <v>1</v>
      </c>
      <c r="P161" s="29">
        <f>Item_Enchant_Old!P165</f>
        <v>1</v>
      </c>
      <c r="Q161" s="29">
        <f>Item_Enchant_Old!Q165</f>
        <v>1</v>
      </c>
      <c r="R161" s="29">
        <f>Item_Enchant_Old!R165</f>
        <v>1</v>
      </c>
    </row>
    <row r="162" spans="1:18" s="29" customFormat="1" hidden="1">
      <c r="A162" s="29">
        <f>Item_Enchant_Old!A166</f>
        <v>161</v>
      </c>
      <c r="B162" s="29" t="str">
        <f>Item_Enchant_Old!B166</f>
        <v>ACTIVE_ENERGY_CRITICAL_DAMAGE_UP</v>
      </c>
      <c r="C162" s="29">
        <f>Item_Enchant_Old!C166</f>
        <v>659</v>
      </c>
      <c r="D162" s="29">
        <f>Item_Enchant_Old!D166</f>
        <v>0</v>
      </c>
      <c r="E162" s="29">
        <f>Item_Enchant_Old!E166</f>
        <v>0</v>
      </c>
      <c r="F162" s="29">
        <f>Item_Enchant_Old!F166</f>
        <v>0</v>
      </c>
      <c r="G162" s="29">
        <f>Item_Enchant_Old!G166</f>
        <v>4</v>
      </c>
      <c r="H162" s="29" t="str">
        <f>Item_Enchant_Old!H166</f>
        <v>@</v>
      </c>
      <c r="I162" s="29">
        <f>Item_Enchant_Old!I166</f>
        <v>1</v>
      </c>
      <c r="J162" s="29" t="str">
        <f>Item_Enchant_Old!J166</f>
        <v>절대값만 가능</v>
      </c>
      <c r="K162" s="29">
        <f>Item_Enchant_Old!K166</f>
        <v>1</v>
      </c>
      <c r="L162" s="29">
        <f>Item_Enchant_Old!L166</f>
        <v>0</v>
      </c>
      <c r="M162" s="29">
        <f>Item_Enchant_Old!M166</f>
        <v>6</v>
      </c>
      <c r="N162" s="29">
        <f>Item_Enchant_Old!N166</f>
        <v>32</v>
      </c>
      <c r="O162" s="29">
        <f>Item_Enchant_Old!O166</f>
        <v>1</v>
      </c>
      <c r="P162" s="29">
        <f>Item_Enchant_Old!P166</f>
        <v>1</v>
      </c>
      <c r="Q162" s="29">
        <f>Item_Enchant_Old!Q166</f>
        <v>1</v>
      </c>
      <c r="R162" s="29">
        <f>Item_Enchant_Old!R166</f>
        <v>1</v>
      </c>
    </row>
    <row r="163" spans="1:18" s="29" customFormat="1" hidden="1">
      <c r="A163" s="29">
        <f>Item_Enchant_Old!A167</f>
        <v>162</v>
      </c>
      <c r="B163" s="29" t="str">
        <f>Item_Enchant_Old!B167</f>
        <v>ACTIVE_FOC_UP</v>
      </c>
      <c r="C163" s="29">
        <f>Item_Enchant_Old!C167</f>
        <v>612</v>
      </c>
      <c r="D163" s="29">
        <f>Item_Enchant_Old!D167</f>
        <v>0</v>
      </c>
      <c r="E163" s="29">
        <f>Item_Enchant_Old!E167</f>
        <v>0</v>
      </c>
      <c r="F163" s="29">
        <f>Item_Enchant_Old!F167</f>
        <v>0</v>
      </c>
      <c r="G163" s="29">
        <f>Item_Enchant_Old!G167</f>
        <v>2</v>
      </c>
      <c r="H163" s="29" t="str">
        <f>Item_Enchant_Old!H167</f>
        <v>@</v>
      </c>
      <c r="I163" s="29">
        <f>Item_Enchant_Old!I167</f>
        <v>1</v>
      </c>
      <c r="J163" s="29" t="str">
        <f>Item_Enchant_Old!J167</f>
        <v>절대값/상대값(%) 가능</v>
      </c>
      <c r="K163" s="29">
        <f>Item_Enchant_Old!K167</f>
        <v>1</v>
      </c>
      <c r="L163" s="29">
        <f>Item_Enchant_Old!L167</f>
        <v>0</v>
      </c>
      <c r="M163" s="29">
        <f>Item_Enchant_Old!M167</f>
        <v>7</v>
      </c>
      <c r="N163" s="29">
        <f>Item_Enchant_Old!N167</f>
        <v>53</v>
      </c>
      <c r="O163" s="29">
        <f>Item_Enchant_Old!O167</f>
        <v>1</v>
      </c>
      <c r="P163" s="29">
        <f>Item_Enchant_Old!P167</f>
        <v>1</v>
      </c>
      <c r="Q163" s="29">
        <f>Item_Enchant_Old!Q167</f>
        <v>1</v>
      </c>
      <c r="R163" s="29">
        <f>Item_Enchant_Old!R167</f>
        <v>1</v>
      </c>
    </row>
    <row r="164" spans="1:18" s="29" customFormat="1" hidden="1">
      <c r="A164" s="29">
        <f>Item_Enchant_Old!A168</f>
        <v>163</v>
      </c>
      <c r="B164" s="29" t="str">
        <f>Item_Enchant_Old!B168</f>
        <v>ACTIVE_ATTACK_RATE_UP</v>
      </c>
      <c r="C164" s="29">
        <f>Item_Enchant_Old!C168</f>
        <v>618</v>
      </c>
      <c r="D164" s="29">
        <f>Item_Enchant_Old!D168</f>
        <v>0</v>
      </c>
      <c r="E164" s="29">
        <f>Item_Enchant_Old!E168</f>
        <v>0</v>
      </c>
      <c r="F164" s="29">
        <f>Item_Enchant_Old!F168</f>
        <v>0</v>
      </c>
      <c r="G164" s="29">
        <f>Item_Enchant_Old!G168</f>
        <v>1</v>
      </c>
      <c r="H164" s="29" t="str">
        <f>Item_Enchant_Old!H168</f>
        <v>@</v>
      </c>
      <c r="I164" s="29">
        <f>Item_Enchant_Old!I168</f>
        <v>1</v>
      </c>
      <c r="J164" s="29" t="str">
        <f>Item_Enchant_Old!J168</f>
        <v>절대값/상대값(%) 가능</v>
      </c>
      <c r="K164" s="29">
        <f>Item_Enchant_Old!K168</f>
        <v>1</v>
      </c>
      <c r="L164" s="29">
        <f>Item_Enchant_Old!L168</f>
        <v>0</v>
      </c>
      <c r="M164" s="29">
        <f>Item_Enchant_Old!M168</f>
        <v>7</v>
      </c>
      <c r="N164" s="29">
        <f>Item_Enchant_Old!N168</f>
        <v>528</v>
      </c>
      <c r="O164" s="29">
        <f>Item_Enchant_Old!O168</f>
        <v>1</v>
      </c>
      <c r="P164" s="29">
        <f>Item_Enchant_Old!P168</f>
        <v>1</v>
      </c>
      <c r="Q164" s="29">
        <f>Item_Enchant_Old!Q168</f>
        <v>1</v>
      </c>
      <c r="R164" s="29">
        <f>Item_Enchant_Old!R168</f>
        <v>1</v>
      </c>
    </row>
    <row r="165" spans="1:18" s="29" customFormat="1" hidden="1">
      <c r="A165" s="29">
        <f>Item_Enchant_Old!A169</f>
        <v>164</v>
      </c>
      <c r="B165" s="29" t="str">
        <f>Item_Enchant_Old!B169</f>
        <v>ACTIVE_ENG_UP</v>
      </c>
      <c r="C165" s="29">
        <f>Item_Enchant_Old!C169</f>
        <v>615</v>
      </c>
      <c r="D165" s="29">
        <f>Item_Enchant_Old!D169</f>
        <v>0</v>
      </c>
      <c r="E165" s="29">
        <f>Item_Enchant_Old!E169</f>
        <v>0</v>
      </c>
      <c r="F165" s="29">
        <f>Item_Enchant_Old!F169</f>
        <v>0</v>
      </c>
      <c r="G165" s="29">
        <f>Item_Enchant_Old!G169</f>
        <v>2</v>
      </c>
      <c r="H165" s="29" t="str">
        <f>Item_Enchant_Old!H169</f>
        <v>@</v>
      </c>
      <c r="I165" s="29">
        <f>Item_Enchant_Old!I169</f>
        <v>1</v>
      </c>
      <c r="J165" s="29" t="str">
        <f>Item_Enchant_Old!J169</f>
        <v>절대값/상대값(%) 가능</v>
      </c>
      <c r="K165" s="29">
        <f>Item_Enchant_Old!K169</f>
        <v>1</v>
      </c>
      <c r="L165" s="29">
        <f>Item_Enchant_Old!L169</f>
        <v>0</v>
      </c>
      <c r="M165" s="29">
        <f>Item_Enchant_Old!M169</f>
        <v>7</v>
      </c>
      <c r="N165" s="29">
        <f>Item_Enchant_Old!N169</f>
        <v>62</v>
      </c>
      <c r="O165" s="29">
        <f>Item_Enchant_Old!O169</f>
        <v>1</v>
      </c>
      <c r="P165" s="29">
        <f>Item_Enchant_Old!P169</f>
        <v>1</v>
      </c>
      <c r="Q165" s="29">
        <f>Item_Enchant_Old!Q169</f>
        <v>1</v>
      </c>
      <c r="R165" s="29">
        <f>Item_Enchant_Old!R169</f>
        <v>1</v>
      </c>
    </row>
    <row r="166" spans="1:18" s="29" customFormat="1" hidden="1">
      <c r="A166" s="29">
        <f>Item_Enchant_Old!A170</f>
        <v>165</v>
      </c>
      <c r="B166" s="29" t="str">
        <f>Item_Enchant_Old!B170</f>
        <v>ACTIVE_PHYSICAL_CRITICAL</v>
      </c>
      <c r="C166" s="29">
        <f>Item_Enchant_Old!C170</f>
        <v>632</v>
      </c>
      <c r="D166" s="29">
        <f>Item_Enchant_Old!D170</f>
        <v>0</v>
      </c>
      <c r="E166" s="29">
        <f>Item_Enchant_Old!E170</f>
        <v>0</v>
      </c>
      <c r="F166" s="29">
        <f>Item_Enchant_Old!F170</f>
        <v>0</v>
      </c>
      <c r="G166" s="29">
        <f>Item_Enchant_Old!G170</f>
        <v>5</v>
      </c>
      <c r="H166" s="29" t="str">
        <f>Item_Enchant_Old!H170</f>
        <v>@</v>
      </c>
      <c r="I166" s="29">
        <f>Item_Enchant_Old!I170</f>
        <v>1</v>
      </c>
      <c r="J166" s="29" t="str">
        <f>Item_Enchant_Old!J170</f>
        <v>절대값/상대값(%) 가능</v>
      </c>
      <c r="K166" s="29">
        <f>Item_Enchant_Old!K170</f>
        <v>1</v>
      </c>
      <c r="L166" s="29">
        <f>Item_Enchant_Old!L170</f>
        <v>0</v>
      </c>
      <c r="M166" s="29">
        <f>Item_Enchant_Old!M170</f>
        <v>7</v>
      </c>
      <c r="N166" s="29">
        <f>Item_Enchant_Old!N170</f>
        <v>21</v>
      </c>
      <c r="O166" s="29">
        <f>Item_Enchant_Old!O170</f>
        <v>1</v>
      </c>
      <c r="P166" s="29">
        <f>Item_Enchant_Old!P170</f>
        <v>1</v>
      </c>
      <c r="Q166" s="29">
        <f>Item_Enchant_Old!Q170</f>
        <v>1</v>
      </c>
      <c r="R166" s="29">
        <f>Item_Enchant_Old!R170</f>
        <v>1</v>
      </c>
    </row>
    <row r="167" spans="1:18" s="29" customFormat="1" hidden="1">
      <c r="A167" s="29">
        <f>Item_Enchant_Old!A171</f>
        <v>166</v>
      </c>
      <c r="B167" s="29" t="str">
        <f>Item_Enchant_Old!B171</f>
        <v>ACTIVE_ENERGY_CRITICAL</v>
      </c>
      <c r="C167" s="29">
        <f>Item_Enchant_Old!C171</f>
        <v>633</v>
      </c>
      <c r="D167" s="29">
        <f>Item_Enchant_Old!D171</f>
        <v>0</v>
      </c>
      <c r="E167" s="29">
        <f>Item_Enchant_Old!E171</f>
        <v>0</v>
      </c>
      <c r="F167" s="29">
        <f>Item_Enchant_Old!F171</f>
        <v>0</v>
      </c>
      <c r="G167" s="29">
        <f>Item_Enchant_Old!G171</f>
        <v>5</v>
      </c>
      <c r="H167" s="29" t="str">
        <f>Item_Enchant_Old!H171</f>
        <v>@</v>
      </c>
      <c r="I167" s="29">
        <f>Item_Enchant_Old!I171</f>
        <v>1</v>
      </c>
      <c r="J167" s="29" t="str">
        <f>Item_Enchant_Old!J171</f>
        <v>절대값/상대값(%) 가능</v>
      </c>
      <c r="K167" s="29">
        <f>Item_Enchant_Old!K171</f>
        <v>1</v>
      </c>
      <c r="L167" s="29">
        <f>Item_Enchant_Old!L171</f>
        <v>0</v>
      </c>
      <c r="M167" s="29">
        <f>Item_Enchant_Old!M171</f>
        <v>7</v>
      </c>
      <c r="N167" s="29">
        <f>Item_Enchant_Old!N171</f>
        <v>24</v>
      </c>
      <c r="O167" s="29">
        <f>Item_Enchant_Old!O171</f>
        <v>1</v>
      </c>
      <c r="P167" s="29">
        <f>Item_Enchant_Old!P171</f>
        <v>1</v>
      </c>
      <c r="Q167" s="29">
        <f>Item_Enchant_Old!Q171</f>
        <v>1</v>
      </c>
      <c r="R167" s="29">
        <f>Item_Enchant_Old!R171</f>
        <v>1</v>
      </c>
    </row>
    <row r="168" spans="1:18" s="29" customFormat="1" hidden="1">
      <c r="A168" s="29">
        <f>Item_Enchant_Old!A172</f>
        <v>167</v>
      </c>
      <c r="B168" s="29" t="str">
        <f>Item_Enchant_Old!B172</f>
        <v>ACTIVE_FOC_UP</v>
      </c>
      <c r="C168" s="29">
        <f>Item_Enchant_Old!C172</f>
        <v>612</v>
      </c>
      <c r="D168" s="29">
        <f>Item_Enchant_Old!D172</f>
        <v>0</v>
      </c>
      <c r="E168" s="29">
        <f>Item_Enchant_Old!E172</f>
        <v>0</v>
      </c>
      <c r="F168" s="29">
        <f>Item_Enchant_Old!F172</f>
        <v>0</v>
      </c>
      <c r="G168" s="29">
        <f>Item_Enchant_Old!G172</f>
        <v>2</v>
      </c>
      <c r="H168" s="29" t="str">
        <f>Item_Enchant_Old!H172</f>
        <v>@</v>
      </c>
      <c r="I168" s="29">
        <f>Item_Enchant_Old!I172</f>
        <v>1</v>
      </c>
      <c r="J168" s="29" t="str">
        <f>Item_Enchant_Old!J172</f>
        <v>절대값/상대값(%) 가능</v>
      </c>
      <c r="K168" s="29">
        <f>Item_Enchant_Old!K172</f>
        <v>1</v>
      </c>
      <c r="L168" s="29">
        <f>Item_Enchant_Old!L172</f>
        <v>0</v>
      </c>
      <c r="M168" s="29">
        <f>Item_Enchant_Old!M172</f>
        <v>8</v>
      </c>
      <c r="N168" s="29">
        <f>Item_Enchant_Old!N172</f>
        <v>53</v>
      </c>
      <c r="O168" s="29">
        <f>Item_Enchant_Old!O172</f>
        <v>1</v>
      </c>
      <c r="P168" s="29">
        <f>Item_Enchant_Old!P172</f>
        <v>1</v>
      </c>
      <c r="Q168" s="29">
        <f>Item_Enchant_Old!Q172</f>
        <v>1</v>
      </c>
      <c r="R168" s="29">
        <f>Item_Enchant_Old!R172</f>
        <v>1</v>
      </c>
    </row>
    <row r="169" spans="1:18" s="29" customFormat="1" hidden="1">
      <c r="A169" s="29">
        <f>Item_Enchant_Old!A173</f>
        <v>168</v>
      </c>
      <c r="B169" s="29" t="str">
        <f>Item_Enchant_Old!B173</f>
        <v>ACTIVE_CON_UP</v>
      </c>
      <c r="C169" s="29">
        <f>Item_Enchant_Old!C173</f>
        <v>611</v>
      </c>
      <c r="D169" s="29">
        <f>Item_Enchant_Old!D173</f>
        <v>0</v>
      </c>
      <c r="E169" s="29">
        <f>Item_Enchant_Old!E173</f>
        <v>0</v>
      </c>
      <c r="F169" s="29">
        <f>Item_Enchant_Old!F173</f>
        <v>0</v>
      </c>
      <c r="G169" s="29">
        <f>Item_Enchant_Old!G173</f>
        <v>3</v>
      </c>
      <c r="H169" s="29" t="str">
        <f>Item_Enchant_Old!H173</f>
        <v>@</v>
      </c>
      <c r="I169" s="29">
        <f>Item_Enchant_Old!I173</f>
        <v>1</v>
      </c>
      <c r="J169" s="29" t="str">
        <f>Item_Enchant_Old!J173</f>
        <v>절대값/상대값(%) 가능</v>
      </c>
      <c r="K169" s="29">
        <f>Item_Enchant_Old!K173</f>
        <v>1</v>
      </c>
      <c r="L169" s="29">
        <f>Item_Enchant_Old!L173</f>
        <v>0</v>
      </c>
      <c r="M169" s="29">
        <f>Item_Enchant_Old!M173</f>
        <v>8</v>
      </c>
      <c r="N169" s="29">
        <f>Item_Enchant_Old!N173</f>
        <v>48</v>
      </c>
      <c r="O169" s="29">
        <f>Item_Enchant_Old!O173</f>
        <v>1</v>
      </c>
      <c r="P169" s="29">
        <f>Item_Enchant_Old!P173</f>
        <v>1</v>
      </c>
      <c r="Q169" s="29">
        <f>Item_Enchant_Old!Q173</f>
        <v>1</v>
      </c>
      <c r="R169" s="29">
        <f>Item_Enchant_Old!R173</f>
        <v>1</v>
      </c>
    </row>
    <row r="170" spans="1:18" s="29" customFormat="1" hidden="1">
      <c r="A170" s="29">
        <f>Item_Enchant_Old!A174</f>
        <v>169</v>
      </c>
      <c r="B170" s="29" t="str">
        <f>Item_Enchant_Old!B174</f>
        <v>ACTIVE_BLOCK_RATE_UP</v>
      </c>
      <c r="C170" s="29">
        <f>Item_Enchant_Old!C174</f>
        <v>620</v>
      </c>
      <c r="D170" s="29">
        <f>Item_Enchant_Old!D174</f>
        <v>0</v>
      </c>
      <c r="E170" s="29">
        <f>Item_Enchant_Old!E174</f>
        <v>0</v>
      </c>
      <c r="F170" s="29">
        <f>Item_Enchant_Old!F174</f>
        <v>0</v>
      </c>
      <c r="G170" s="29">
        <f>Item_Enchant_Old!G174</f>
        <v>1</v>
      </c>
      <c r="H170" s="29" t="str">
        <f>Item_Enchant_Old!H174</f>
        <v>@</v>
      </c>
      <c r="I170" s="29">
        <f>Item_Enchant_Old!I174</f>
        <v>1</v>
      </c>
      <c r="J170" s="29" t="str">
        <f>Item_Enchant_Old!J174</f>
        <v>절대값/상대값(%) 가능</v>
      </c>
      <c r="K170" s="29">
        <f>Item_Enchant_Old!K174</f>
        <v>1</v>
      </c>
      <c r="L170" s="29">
        <f>Item_Enchant_Old!L174</f>
        <v>0</v>
      </c>
      <c r="M170" s="29">
        <f>Item_Enchant_Old!M174</f>
        <v>8</v>
      </c>
      <c r="N170" s="29">
        <f>Item_Enchant_Old!N174</f>
        <v>352</v>
      </c>
      <c r="O170" s="29">
        <f>Item_Enchant_Old!O174</f>
        <v>1</v>
      </c>
      <c r="P170" s="29">
        <f>Item_Enchant_Old!P174</f>
        <v>1</v>
      </c>
      <c r="Q170" s="29">
        <f>Item_Enchant_Old!Q174</f>
        <v>1</v>
      </c>
      <c r="R170" s="29">
        <f>Item_Enchant_Old!R174</f>
        <v>1</v>
      </c>
    </row>
    <row r="171" spans="1:18" s="29" customFormat="1" hidden="1">
      <c r="A171" s="29">
        <f>Item_Enchant_Old!A175</f>
        <v>170</v>
      </c>
      <c r="B171" s="29" t="str">
        <f>Item_Enchant_Old!B175</f>
        <v>ACTIVE_ENG_UP</v>
      </c>
      <c r="C171" s="29">
        <f>Item_Enchant_Old!C175</f>
        <v>615</v>
      </c>
      <c r="D171" s="29">
        <f>Item_Enchant_Old!D175</f>
        <v>0</v>
      </c>
      <c r="E171" s="29">
        <f>Item_Enchant_Old!E175</f>
        <v>0</v>
      </c>
      <c r="F171" s="29">
        <f>Item_Enchant_Old!F175</f>
        <v>0</v>
      </c>
      <c r="G171" s="29">
        <f>Item_Enchant_Old!G175</f>
        <v>2</v>
      </c>
      <c r="H171" s="29" t="str">
        <f>Item_Enchant_Old!H175</f>
        <v>@</v>
      </c>
      <c r="I171" s="29">
        <f>Item_Enchant_Old!I175</f>
        <v>1</v>
      </c>
      <c r="J171" s="29" t="str">
        <f>Item_Enchant_Old!J175</f>
        <v>절대값/상대값(%) 가능</v>
      </c>
      <c r="K171" s="29">
        <f>Item_Enchant_Old!K175</f>
        <v>1</v>
      </c>
      <c r="L171" s="29">
        <f>Item_Enchant_Old!L175</f>
        <v>0</v>
      </c>
      <c r="M171" s="29">
        <f>Item_Enchant_Old!M175</f>
        <v>8</v>
      </c>
      <c r="N171" s="29">
        <f>Item_Enchant_Old!N175</f>
        <v>62</v>
      </c>
      <c r="O171" s="29">
        <f>Item_Enchant_Old!O175</f>
        <v>1</v>
      </c>
      <c r="P171" s="29">
        <f>Item_Enchant_Old!P175</f>
        <v>1</v>
      </c>
      <c r="Q171" s="29">
        <f>Item_Enchant_Old!Q175</f>
        <v>1</v>
      </c>
      <c r="R171" s="29">
        <f>Item_Enchant_Old!R175</f>
        <v>1</v>
      </c>
    </row>
    <row r="172" spans="1:18" s="29" customFormat="1" hidden="1">
      <c r="A172" s="29">
        <f>Item_Enchant_Old!A176</f>
        <v>171</v>
      </c>
      <c r="B172" s="29" t="str">
        <f>Item_Enchant_Old!B176</f>
        <v>ACTIVE_PHYSICAL_CRITICAL</v>
      </c>
      <c r="C172" s="29">
        <f>Item_Enchant_Old!C176</f>
        <v>632</v>
      </c>
      <c r="D172" s="29">
        <f>Item_Enchant_Old!D176</f>
        <v>0</v>
      </c>
      <c r="E172" s="29">
        <f>Item_Enchant_Old!E176</f>
        <v>0</v>
      </c>
      <c r="F172" s="29">
        <f>Item_Enchant_Old!F176</f>
        <v>0</v>
      </c>
      <c r="G172" s="29">
        <f>Item_Enchant_Old!G176</f>
        <v>5</v>
      </c>
      <c r="H172" s="29" t="str">
        <f>Item_Enchant_Old!H176</f>
        <v>@</v>
      </c>
      <c r="I172" s="29">
        <f>Item_Enchant_Old!I176</f>
        <v>1</v>
      </c>
      <c r="J172" s="29" t="str">
        <f>Item_Enchant_Old!J176</f>
        <v>절대값/상대값(%) 가능</v>
      </c>
      <c r="K172" s="29">
        <f>Item_Enchant_Old!K176</f>
        <v>1</v>
      </c>
      <c r="L172" s="29">
        <f>Item_Enchant_Old!L176</f>
        <v>0</v>
      </c>
      <c r="M172" s="29">
        <f>Item_Enchant_Old!M176</f>
        <v>9</v>
      </c>
      <c r="N172" s="29">
        <f>Item_Enchant_Old!N176</f>
        <v>21</v>
      </c>
      <c r="O172" s="29">
        <f>Item_Enchant_Old!O176</f>
        <v>1</v>
      </c>
      <c r="P172" s="29">
        <f>Item_Enchant_Old!P176</f>
        <v>1</v>
      </c>
      <c r="Q172" s="29">
        <f>Item_Enchant_Old!Q176</f>
        <v>1</v>
      </c>
      <c r="R172" s="29">
        <f>Item_Enchant_Old!R176</f>
        <v>1</v>
      </c>
    </row>
    <row r="173" spans="1:18" s="29" customFormat="1" hidden="1">
      <c r="A173" s="29">
        <f>Item_Enchant_Old!A177</f>
        <v>172</v>
      </c>
      <c r="B173" s="29" t="str">
        <f>Item_Enchant_Old!B177</f>
        <v>ACTIVE_ENERGY_CRITICAL</v>
      </c>
      <c r="C173" s="29">
        <f>Item_Enchant_Old!C177</f>
        <v>633</v>
      </c>
      <c r="D173" s="29">
        <f>Item_Enchant_Old!D177</f>
        <v>0</v>
      </c>
      <c r="E173" s="29">
        <f>Item_Enchant_Old!E177</f>
        <v>0</v>
      </c>
      <c r="F173" s="29">
        <f>Item_Enchant_Old!F177</f>
        <v>0</v>
      </c>
      <c r="G173" s="29">
        <f>Item_Enchant_Old!G177</f>
        <v>5</v>
      </c>
      <c r="H173" s="29" t="str">
        <f>Item_Enchant_Old!H177</f>
        <v>@</v>
      </c>
      <c r="I173" s="29">
        <f>Item_Enchant_Old!I177</f>
        <v>1</v>
      </c>
      <c r="J173" s="29" t="str">
        <f>Item_Enchant_Old!J177</f>
        <v>절대값/상대값(%) 가능</v>
      </c>
      <c r="K173" s="29">
        <f>Item_Enchant_Old!K177</f>
        <v>1</v>
      </c>
      <c r="L173" s="29">
        <f>Item_Enchant_Old!L177</f>
        <v>0</v>
      </c>
      <c r="M173" s="29">
        <f>Item_Enchant_Old!M177</f>
        <v>9</v>
      </c>
      <c r="N173" s="29">
        <f>Item_Enchant_Old!N177</f>
        <v>24</v>
      </c>
      <c r="O173" s="29">
        <f>Item_Enchant_Old!O177</f>
        <v>1</v>
      </c>
      <c r="P173" s="29">
        <f>Item_Enchant_Old!P177</f>
        <v>1</v>
      </c>
      <c r="Q173" s="29">
        <f>Item_Enchant_Old!Q177</f>
        <v>1</v>
      </c>
      <c r="R173" s="29">
        <f>Item_Enchant_Old!R177</f>
        <v>1</v>
      </c>
    </row>
    <row r="174" spans="1:18" s="29" customFormat="1" hidden="1">
      <c r="A174" s="29">
        <f>Item_Enchant_Old!A178</f>
        <v>173</v>
      </c>
      <c r="B174" s="29" t="str">
        <f>Item_Enchant_Old!B178</f>
        <v>ACTIVE_DEX_UP</v>
      </c>
      <c r="C174" s="29">
        <f>Item_Enchant_Old!C178</f>
        <v>613</v>
      </c>
      <c r="D174" s="29">
        <f>Item_Enchant_Old!D178</f>
        <v>0</v>
      </c>
      <c r="E174" s="29">
        <f>Item_Enchant_Old!E178</f>
        <v>0</v>
      </c>
      <c r="F174" s="29">
        <f>Item_Enchant_Old!F178</f>
        <v>0</v>
      </c>
      <c r="G174" s="29">
        <f>Item_Enchant_Old!G178</f>
        <v>3</v>
      </c>
      <c r="H174" s="29" t="str">
        <f>Item_Enchant_Old!H178</f>
        <v>@</v>
      </c>
      <c r="I174" s="29">
        <f>Item_Enchant_Old!I178</f>
        <v>1</v>
      </c>
      <c r="J174" s="29" t="str">
        <f>Item_Enchant_Old!J178</f>
        <v>절대값/상대값(%) 가능</v>
      </c>
      <c r="K174" s="29">
        <f>Item_Enchant_Old!K178</f>
        <v>1</v>
      </c>
      <c r="L174" s="29">
        <f>Item_Enchant_Old!L178</f>
        <v>0</v>
      </c>
      <c r="M174" s="29">
        <f>Item_Enchant_Old!M178</f>
        <v>9</v>
      </c>
      <c r="N174" s="29">
        <f>Item_Enchant_Old!N178</f>
        <v>44</v>
      </c>
      <c r="O174" s="29">
        <f>Item_Enchant_Old!O178</f>
        <v>1</v>
      </c>
      <c r="P174" s="29">
        <f>Item_Enchant_Old!P178</f>
        <v>1</v>
      </c>
      <c r="Q174" s="29">
        <f>Item_Enchant_Old!Q178</f>
        <v>1</v>
      </c>
      <c r="R174" s="29">
        <f>Item_Enchant_Old!R178</f>
        <v>1</v>
      </c>
    </row>
    <row r="175" spans="1:18" s="29" customFormat="1" hidden="1">
      <c r="A175" s="29">
        <f>Item_Enchant_Old!A179</f>
        <v>174</v>
      </c>
      <c r="B175" s="29" t="str">
        <f>Item_Enchant_Old!B179</f>
        <v>ACTIVE_FOC_UP</v>
      </c>
      <c r="C175" s="29">
        <f>Item_Enchant_Old!C179</f>
        <v>612</v>
      </c>
      <c r="D175" s="29">
        <f>Item_Enchant_Old!D179</f>
        <v>0</v>
      </c>
      <c r="E175" s="29">
        <f>Item_Enchant_Old!E179</f>
        <v>0</v>
      </c>
      <c r="F175" s="29">
        <f>Item_Enchant_Old!F179</f>
        <v>0</v>
      </c>
      <c r="G175" s="29">
        <f>Item_Enchant_Old!G179</f>
        <v>2</v>
      </c>
      <c r="H175" s="29" t="str">
        <f>Item_Enchant_Old!H179</f>
        <v>@</v>
      </c>
      <c r="I175" s="29">
        <f>Item_Enchant_Old!I179</f>
        <v>1</v>
      </c>
      <c r="J175" s="29" t="str">
        <f>Item_Enchant_Old!J179</f>
        <v>절대값/상대값(%) 가능</v>
      </c>
      <c r="K175" s="29">
        <f>Item_Enchant_Old!K179</f>
        <v>1</v>
      </c>
      <c r="L175" s="29">
        <f>Item_Enchant_Old!L179</f>
        <v>0</v>
      </c>
      <c r="M175" s="29">
        <f>Item_Enchant_Old!M179</f>
        <v>9</v>
      </c>
      <c r="N175" s="29">
        <f>Item_Enchant_Old!N179</f>
        <v>53</v>
      </c>
      <c r="O175" s="29">
        <f>Item_Enchant_Old!O179</f>
        <v>1</v>
      </c>
      <c r="P175" s="29">
        <f>Item_Enchant_Old!P179</f>
        <v>1</v>
      </c>
      <c r="Q175" s="29">
        <f>Item_Enchant_Old!Q179</f>
        <v>1</v>
      </c>
      <c r="R175" s="29">
        <f>Item_Enchant_Old!R179</f>
        <v>1</v>
      </c>
    </row>
    <row r="176" spans="1:18" s="29" customFormat="1" hidden="1">
      <c r="A176" s="29">
        <f>Item_Enchant_Old!A180</f>
        <v>175</v>
      </c>
      <c r="B176" s="29" t="str">
        <f>Item_Enchant_Old!B180</f>
        <v>ACTIVE_PHYSICAL_CRITICAL_DAMAGE_UP</v>
      </c>
      <c r="C176" s="29">
        <f>Item_Enchant_Old!C180</f>
        <v>658</v>
      </c>
      <c r="D176" s="29">
        <f>Item_Enchant_Old!D180</f>
        <v>0</v>
      </c>
      <c r="E176" s="29">
        <f>Item_Enchant_Old!E180</f>
        <v>0</v>
      </c>
      <c r="F176" s="29">
        <f>Item_Enchant_Old!F180</f>
        <v>0</v>
      </c>
      <c r="G176" s="29">
        <f>Item_Enchant_Old!G180</f>
        <v>4</v>
      </c>
      <c r="H176" s="29" t="str">
        <f>Item_Enchant_Old!H180</f>
        <v>@</v>
      </c>
      <c r="I176" s="29">
        <f>Item_Enchant_Old!I180</f>
        <v>1</v>
      </c>
      <c r="J176" s="29" t="str">
        <f>Item_Enchant_Old!J180</f>
        <v>절대값만 가능</v>
      </c>
      <c r="K176" s="29">
        <f>Item_Enchant_Old!K180</f>
        <v>1</v>
      </c>
      <c r="L176" s="29">
        <f>Item_Enchant_Old!L180</f>
        <v>0</v>
      </c>
      <c r="M176" s="29">
        <f>Item_Enchant_Old!M180</f>
        <v>10</v>
      </c>
      <c r="N176" s="29">
        <f>Item_Enchant_Old!N180</f>
        <v>28</v>
      </c>
      <c r="O176" s="29">
        <f>Item_Enchant_Old!O180</f>
        <v>1</v>
      </c>
      <c r="P176" s="29">
        <f>Item_Enchant_Old!P180</f>
        <v>1</v>
      </c>
      <c r="Q176" s="29">
        <f>Item_Enchant_Old!Q180</f>
        <v>1</v>
      </c>
      <c r="R176" s="29">
        <f>Item_Enchant_Old!R180</f>
        <v>1</v>
      </c>
    </row>
    <row r="177" spans="1:18" s="29" customFormat="1" hidden="1">
      <c r="A177" s="29">
        <f>Item_Enchant_Old!A181</f>
        <v>176</v>
      </c>
      <c r="B177" s="29" t="str">
        <f>Item_Enchant_Old!B181</f>
        <v>ACTIVE_ENERGY_CRITICAL_DAMAGE_UP</v>
      </c>
      <c r="C177" s="29">
        <f>Item_Enchant_Old!C181</f>
        <v>659</v>
      </c>
      <c r="D177" s="29">
        <f>Item_Enchant_Old!D181</f>
        <v>0</v>
      </c>
      <c r="E177" s="29">
        <f>Item_Enchant_Old!E181</f>
        <v>0</v>
      </c>
      <c r="F177" s="29">
        <f>Item_Enchant_Old!F181</f>
        <v>0</v>
      </c>
      <c r="G177" s="29">
        <f>Item_Enchant_Old!G181</f>
        <v>4</v>
      </c>
      <c r="H177" s="29" t="str">
        <f>Item_Enchant_Old!H181</f>
        <v>@</v>
      </c>
      <c r="I177" s="29">
        <f>Item_Enchant_Old!I181</f>
        <v>1</v>
      </c>
      <c r="J177" s="29" t="str">
        <f>Item_Enchant_Old!J181</f>
        <v>절대값만 가능</v>
      </c>
      <c r="K177" s="29">
        <f>Item_Enchant_Old!K181</f>
        <v>1</v>
      </c>
      <c r="L177" s="29">
        <f>Item_Enchant_Old!L181</f>
        <v>0</v>
      </c>
      <c r="M177" s="29">
        <f>Item_Enchant_Old!M181</f>
        <v>10</v>
      </c>
      <c r="N177" s="29">
        <f>Item_Enchant_Old!N181</f>
        <v>32</v>
      </c>
      <c r="O177" s="29">
        <f>Item_Enchant_Old!O181</f>
        <v>1</v>
      </c>
      <c r="P177" s="29">
        <f>Item_Enchant_Old!P181</f>
        <v>1</v>
      </c>
      <c r="Q177" s="29">
        <f>Item_Enchant_Old!Q181</f>
        <v>1</v>
      </c>
      <c r="R177" s="29">
        <f>Item_Enchant_Old!R181</f>
        <v>1</v>
      </c>
    </row>
    <row r="178" spans="1:18" s="29" customFormat="1" hidden="1">
      <c r="A178" s="29">
        <f>Item_Enchant_Old!A182</f>
        <v>177</v>
      </c>
      <c r="B178" s="29" t="str">
        <f>Item_Enchant_Old!B182</f>
        <v>ACTIVE_DEX_UP</v>
      </c>
      <c r="C178" s="29">
        <f>Item_Enchant_Old!C182</f>
        <v>613</v>
      </c>
      <c r="D178" s="29">
        <f>Item_Enchant_Old!D182</f>
        <v>0</v>
      </c>
      <c r="E178" s="29">
        <f>Item_Enchant_Old!E182</f>
        <v>0</v>
      </c>
      <c r="F178" s="29">
        <f>Item_Enchant_Old!F182</f>
        <v>0</v>
      </c>
      <c r="G178" s="29">
        <f>Item_Enchant_Old!G182</f>
        <v>3</v>
      </c>
      <c r="H178" s="29" t="str">
        <f>Item_Enchant_Old!H182</f>
        <v>@</v>
      </c>
      <c r="I178" s="29">
        <f>Item_Enchant_Old!I182</f>
        <v>1</v>
      </c>
      <c r="J178" s="29" t="str">
        <f>Item_Enchant_Old!J182</f>
        <v>절대값/상대값(%) 가능</v>
      </c>
      <c r="K178" s="29">
        <f>Item_Enchant_Old!K182</f>
        <v>1</v>
      </c>
      <c r="L178" s="29">
        <f>Item_Enchant_Old!L182</f>
        <v>0</v>
      </c>
      <c r="M178" s="29">
        <f>Item_Enchant_Old!M182</f>
        <v>10</v>
      </c>
      <c r="N178" s="29">
        <f>Item_Enchant_Old!N182</f>
        <v>44</v>
      </c>
      <c r="O178" s="29">
        <f>Item_Enchant_Old!O182</f>
        <v>1</v>
      </c>
      <c r="P178" s="29">
        <f>Item_Enchant_Old!P182</f>
        <v>1</v>
      </c>
      <c r="Q178" s="29">
        <f>Item_Enchant_Old!Q182</f>
        <v>1</v>
      </c>
      <c r="R178" s="29">
        <f>Item_Enchant_Old!R182</f>
        <v>1</v>
      </c>
    </row>
    <row r="179" spans="1:18" s="29" customFormat="1" hidden="1">
      <c r="A179" s="29">
        <f>Item_Enchant_Old!A183</f>
        <v>178</v>
      </c>
      <c r="B179" s="29" t="str">
        <f>Item_Enchant_Old!B183</f>
        <v>ACTIVE_ATTACK_SPEED_UP</v>
      </c>
      <c r="C179" s="29">
        <f>Item_Enchant_Old!C183</f>
        <v>617</v>
      </c>
      <c r="D179" s="29">
        <f>Item_Enchant_Old!D183</f>
        <v>1</v>
      </c>
      <c r="E179" s="29">
        <f>Item_Enchant_Old!E183</f>
        <v>0</v>
      </c>
      <c r="F179" s="29">
        <f>Item_Enchant_Old!F183</f>
        <v>0</v>
      </c>
      <c r="G179" s="29">
        <f>Item_Enchant_Old!G183</f>
        <v>10</v>
      </c>
      <c r="H179" s="29" t="str">
        <f>Item_Enchant_Old!H183</f>
        <v>@</v>
      </c>
      <c r="I179" s="29">
        <f>Item_Enchant_Old!I183</f>
        <v>1</v>
      </c>
      <c r="J179" s="29" t="str">
        <f>Item_Enchant_Old!J183</f>
        <v>절대값/상대값(%) 가능</v>
      </c>
      <c r="K179" s="29">
        <f>Item_Enchant_Old!K183</f>
        <v>1</v>
      </c>
      <c r="L179" s="29">
        <f>Item_Enchant_Old!L183</f>
        <v>0</v>
      </c>
      <c r="M179" s="29">
        <f>Item_Enchant_Old!M183</f>
        <v>10</v>
      </c>
      <c r="N179" s="29">
        <f>Item_Enchant_Old!N183</f>
        <v>10</v>
      </c>
      <c r="O179" s="29">
        <f>Item_Enchant_Old!O183</f>
        <v>1</v>
      </c>
      <c r="P179" s="29">
        <f>Item_Enchant_Old!P183</f>
        <v>1</v>
      </c>
      <c r="Q179" s="29">
        <f>Item_Enchant_Old!Q183</f>
        <v>1</v>
      </c>
      <c r="R179" s="29">
        <f>Item_Enchant_Old!R183</f>
        <v>1</v>
      </c>
    </row>
    <row r="180" spans="1:18" s="29" customFormat="1" hidden="1">
      <c r="A180" s="29">
        <f>Item_Enchant_Old!A184</f>
        <v>179</v>
      </c>
      <c r="B180" s="29" t="str">
        <f>Item_Enchant_Old!B184</f>
        <v>ACTIVE_STR_UP</v>
      </c>
      <c r="C180" s="29">
        <f>Item_Enchant_Old!C184</f>
        <v>610</v>
      </c>
      <c r="D180" s="29">
        <f>Item_Enchant_Old!D184</f>
        <v>0</v>
      </c>
      <c r="E180" s="29">
        <f>Item_Enchant_Old!E184</f>
        <v>0</v>
      </c>
      <c r="F180" s="29">
        <f>Item_Enchant_Old!F184</f>
        <v>0</v>
      </c>
      <c r="G180" s="29">
        <f>Item_Enchant_Old!G184</f>
        <v>2</v>
      </c>
      <c r="H180" s="29" t="str">
        <f>Item_Enchant_Old!H184</f>
        <v>@</v>
      </c>
      <c r="I180" s="29">
        <f>Item_Enchant_Old!I184</f>
        <v>1</v>
      </c>
      <c r="J180" s="29" t="str">
        <f>Item_Enchant_Old!J184</f>
        <v>절대값/상대값(%) 가능</v>
      </c>
      <c r="K180" s="29">
        <f>Item_Enchant_Old!K184</f>
        <v>1</v>
      </c>
      <c r="L180" s="29">
        <f>Item_Enchant_Old!L184</f>
        <v>0</v>
      </c>
      <c r="M180" s="29">
        <f>Item_Enchant_Old!M184</f>
        <v>11</v>
      </c>
      <c r="N180" s="29">
        <f>Item_Enchant_Old!N184</f>
        <v>57</v>
      </c>
      <c r="O180" s="29">
        <f>Item_Enchant_Old!O184</f>
        <v>1</v>
      </c>
      <c r="P180" s="29">
        <f>Item_Enchant_Old!P184</f>
        <v>1</v>
      </c>
      <c r="Q180" s="29">
        <f>Item_Enchant_Old!Q184</f>
        <v>1</v>
      </c>
      <c r="R180" s="29">
        <f>Item_Enchant_Old!R184</f>
        <v>1</v>
      </c>
    </row>
    <row r="181" spans="1:18" s="29" customFormat="1" hidden="1">
      <c r="A181" s="29">
        <f>Item_Enchant_Old!A185</f>
        <v>180</v>
      </c>
      <c r="B181" s="29" t="str">
        <f>Item_Enchant_Old!B185</f>
        <v>ACTIVE_CON_UP</v>
      </c>
      <c r="C181" s="29">
        <f>Item_Enchant_Old!C185</f>
        <v>611</v>
      </c>
      <c r="D181" s="29">
        <f>Item_Enchant_Old!D185</f>
        <v>0</v>
      </c>
      <c r="E181" s="29">
        <f>Item_Enchant_Old!E185</f>
        <v>0</v>
      </c>
      <c r="F181" s="29">
        <f>Item_Enchant_Old!F185</f>
        <v>0</v>
      </c>
      <c r="G181" s="29">
        <f>Item_Enchant_Old!G185</f>
        <v>3</v>
      </c>
      <c r="H181" s="29" t="str">
        <f>Item_Enchant_Old!H185</f>
        <v>@</v>
      </c>
      <c r="I181" s="29">
        <f>Item_Enchant_Old!I185</f>
        <v>1</v>
      </c>
      <c r="J181" s="29" t="str">
        <f>Item_Enchant_Old!J185</f>
        <v>절대값/상대값(%) 가능</v>
      </c>
      <c r="K181" s="29">
        <f>Item_Enchant_Old!K185</f>
        <v>1</v>
      </c>
      <c r="L181" s="29">
        <f>Item_Enchant_Old!L185</f>
        <v>0</v>
      </c>
      <c r="M181" s="29">
        <f>Item_Enchant_Old!M185</f>
        <v>11</v>
      </c>
      <c r="N181" s="29">
        <f>Item_Enchant_Old!N185</f>
        <v>48</v>
      </c>
      <c r="O181" s="29">
        <f>Item_Enchant_Old!O185</f>
        <v>1</v>
      </c>
      <c r="P181" s="29">
        <f>Item_Enchant_Old!P185</f>
        <v>1</v>
      </c>
      <c r="Q181" s="29">
        <f>Item_Enchant_Old!Q185</f>
        <v>1</v>
      </c>
      <c r="R181" s="29">
        <f>Item_Enchant_Old!R185</f>
        <v>1</v>
      </c>
    </row>
    <row r="182" spans="1:18" s="29" customFormat="1" hidden="1">
      <c r="A182" s="29">
        <f>Item_Enchant_Old!A186</f>
        <v>181</v>
      </c>
      <c r="B182" s="29" t="str">
        <f>Item_Enchant_Old!B186</f>
        <v>ACTIVE_FOC_UP</v>
      </c>
      <c r="C182" s="29">
        <f>Item_Enchant_Old!C186</f>
        <v>612</v>
      </c>
      <c r="D182" s="29">
        <f>Item_Enchant_Old!D186</f>
        <v>0</v>
      </c>
      <c r="E182" s="29">
        <f>Item_Enchant_Old!E186</f>
        <v>0</v>
      </c>
      <c r="F182" s="29">
        <f>Item_Enchant_Old!F186</f>
        <v>0</v>
      </c>
      <c r="G182" s="29">
        <f>Item_Enchant_Old!G186</f>
        <v>2</v>
      </c>
      <c r="H182" s="29" t="str">
        <f>Item_Enchant_Old!H186</f>
        <v>@</v>
      </c>
      <c r="I182" s="29">
        <f>Item_Enchant_Old!I186</f>
        <v>1</v>
      </c>
      <c r="J182" s="29" t="str">
        <f>Item_Enchant_Old!J186</f>
        <v>절대값/상대값(%) 가능</v>
      </c>
      <c r="K182" s="29">
        <f>Item_Enchant_Old!K186</f>
        <v>1</v>
      </c>
      <c r="L182" s="29">
        <f>Item_Enchant_Old!L186</f>
        <v>0</v>
      </c>
      <c r="M182" s="29">
        <f>Item_Enchant_Old!M186</f>
        <v>11</v>
      </c>
      <c r="N182" s="29">
        <f>Item_Enchant_Old!N186</f>
        <v>53</v>
      </c>
      <c r="O182" s="29">
        <f>Item_Enchant_Old!O186</f>
        <v>1</v>
      </c>
      <c r="P182" s="29">
        <f>Item_Enchant_Old!P186</f>
        <v>1</v>
      </c>
      <c r="Q182" s="29">
        <f>Item_Enchant_Old!Q186</f>
        <v>1</v>
      </c>
      <c r="R182" s="29">
        <f>Item_Enchant_Old!R186</f>
        <v>1</v>
      </c>
    </row>
    <row r="183" spans="1:18" s="29" customFormat="1" hidden="1">
      <c r="A183" s="29">
        <f>Item_Enchant_Old!A187</f>
        <v>182</v>
      </c>
      <c r="B183" s="29" t="str">
        <f>Item_Enchant_Old!B187</f>
        <v>ACTIVE_DEX_UP</v>
      </c>
      <c r="C183" s="29">
        <f>Item_Enchant_Old!C187</f>
        <v>613</v>
      </c>
      <c r="D183" s="29">
        <f>Item_Enchant_Old!D187</f>
        <v>0</v>
      </c>
      <c r="E183" s="29">
        <f>Item_Enchant_Old!E187</f>
        <v>0</v>
      </c>
      <c r="F183" s="29">
        <f>Item_Enchant_Old!F187</f>
        <v>0</v>
      </c>
      <c r="G183" s="29">
        <f>Item_Enchant_Old!G187</f>
        <v>3</v>
      </c>
      <c r="H183" s="29" t="str">
        <f>Item_Enchant_Old!H187</f>
        <v>@</v>
      </c>
      <c r="I183" s="29">
        <f>Item_Enchant_Old!I187</f>
        <v>1</v>
      </c>
      <c r="J183" s="29" t="str">
        <f>Item_Enchant_Old!J187</f>
        <v>절대값/상대값(%) 가능</v>
      </c>
      <c r="K183" s="29">
        <f>Item_Enchant_Old!K187</f>
        <v>1</v>
      </c>
      <c r="L183" s="29">
        <f>Item_Enchant_Old!L187</f>
        <v>0</v>
      </c>
      <c r="M183" s="29">
        <f>Item_Enchant_Old!M187</f>
        <v>11</v>
      </c>
      <c r="N183" s="29">
        <f>Item_Enchant_Old!N187</f>
        <v>44</v>
      </c>
      <c r="O183" s="29">
        <f>Item_Enchant_Old!O187</f>
        <v>1</v>
      </c>
      <c r="P183" s="29">
        <f>Item_Enchant_Old!P187</f>
        <v>1</v>
      </c>
      <c r="Q183" s="29">
        <f>Item_Enchant_Old!Q187</f>
        <v>1</v>
      </c>
      <c r="R183" s="29">
        <f>Item_Enchant_Old!R187</f>
        <v>1</v>
      </c>
    </row>
    <row r="184" spans="1:18" s="29" customFormat="1" hidden="1">
      <c r="A184" s="29">
        <f>Item_Enchant_Old!A188</f>
        <v>183</v>
      </c>
      <c r="B184" s="29" t="str">
        <f>Item_Enchant_Old!B188</f>
        <v>ACTIVE_SOL_UP</v>
      </c>
      <c r="C184" s="29">
        <f>Item_Enchant_Old!C188</f>
        <v>614</v>
      </c>
      <c r="D184" s="29">
        <f>Item_Enchant_Old!D188</f>
        <v>0</v>
      </c>
      <c r="E184" s="29">
        <f>Item_Enchant_Old!E188</f>
        <v>0</v>
      </c>
      <c r="F184" s="29">
        <f>Item_Enchant_Old!F188</f>
        <v>0</v>
      </c>
      <c r="G184" s="29">
        <f>Item_Enchant_Old!G188</f>
        <v>2</v>
      </c>
      <c r="H184" s="29" t="str">
        <f>Item_Enchant_Old!H188</f>
        <v>@</v>
      </c>
      <c r="I184" s="29">
        <f>Item_Enchant_Old!I188</f>
        <v>1</v>
      </c>
      <c r="J184" s="29" t="str">
        <f>Item_Enchant_Old!J188</f>
        <v>절대값/상대값(%) 가능</v>
      </c>
      <c r="K184" s="29">
        <f>Item_Enchant_Old!K188</f>
        <v>1</v>
      </c>
      <c r="L184" s="29">
        <f>Item_Enchant_Old!L188</f>
        <v>0</v>
      </c>
      <c r="M184" s="29">
        <f>Item_Enchant_Old!M188</f>
        <v>11</v>
      </c>
      <c r="N184" s="29">
        <f>Item_Enchant_Old!N188</f>
        <v>53</v>
      </c>
      <c r="O184" s="29">
        <f>Item_Enchant_Old!O188</f>
        <v>1</v>
      </c>
      <c r="P184" s="29">
        <f>Item_Enchant_Old!P188</f>
        <v>1</v>
      </c>
      <c r="Q184" s="29">
        <f>Item_Enchant_Old!Q188</f>
        <v>1</v>
      </c>
      <c r="R184" s="29">
        <f>Item_Enchant_Old!R188</f>
        <v>1</v>
      </c>
    </row>
    <row r="185" spans="1:18" s="29" customFormat="1" hidden="1">
      <c r="A185" s="29">
        <f>Item_Enchant_Old!A189</f>
        <v>184</v>
      </c>
      <c r="B185" s="29" t="str">
        <f>Item_Enchant_Old!B189</f>
        <v>ACTIVE_ENG_UP</v>
      </c>
      <c r="C185" s="29">
        <f>Item_Enchant_Old!C189</f>
        <v>615</v>
      </c>
      <c r="D185" s="29">
        <f>Item_Enchant_Old!D189</f>
        <v>0</v>
      </c>
      <c r="E185" s="29">
        <f>Item_Enchant_Old!E189</f>
        <v>0</v>
      </c>
      <c r="F185" s="29">
        <f>Item_Enchant_Old!F189</f>
        <v>0</v>
      </c>
      <c r="G185" s="29">
        <f>Item_Enchant_Old!G189</f>
        <v>2</v>
      </c>
      <c r="H185" s="29" t="str">
        <f>Item_Enchant_Old!H189</f>
        <v>@</v>
      </c>
      <c r="I185" s="29">
        <f>Item_Enchant_Old!I189</f>
        <v>1</v>
      </c>
      <c r="J185" s="29" t="str">
        <f>Item_Enchant_Old!J189</f>
        <v>절대값/상대값(%) 가능</v>
      </c>
      <c r="K185" s="29">
        <f>Item_Enchant_Old!K189</f>
        <v>1</v>
      </c>
      <c r="L185" s="29">
        <f>Item_Enchant_Old!L189</f>
        <v>0</v>
      </c>
      <c r="M185" s="29">
        <f>Item_Enchant_Old!M189</f>
        <v>11</v>
      </c>
      <c r="N185" s="29">
        <f>Item_Enchant_Old!N189</f>
        <v>62</v>
      </c>
      <c r="O185" s="29">
        <f>Item_Enchant_Old!O189</f>
        <v>1</v>
      </c>
      <c r="P185" s="29">
        <f>Item_Enchant_Old!P189</f>
        <v>1</v>
      </c>
      <c r="Q185" s="29">
        <f>Item_Enchant_Old!Q189</f>
        <v>1</v>
      </c>
      <c r="R185" s="29">
        <f>Item_Enchant_Old!R189</f>
        <v>1</v>
      </c>
    </row>
    <row r="186" spans="1:18" s="29" customFormat="1" hidden="1">
      <c r="A186" s="29">
        <f>Item_Enchant_Old!A190</f>
        <v>185</v>
      </c>
      <c r="B186" s="29" t="str">
        <f>Item_Enchant_Old!B190</f>
        <v>ACTIVE_PHYSICAL_DEFENCE_UP</v>
      </c>
      <c r="C186" s="29">
        <f>Item_Enchant_Old!C190</f>
        <v>608</v>
      </c>
      <c r="D186" s="29">
        <f>Item_Enchant_Old!D190</f>
        <v>0</v>
      </c>
      <c r="E186" s="29">
        <f>Item_Enchant_Old!E190</f>
        <v>0</v>
      </c>
      <c r="F186" s="29">
        <f>Item_Enchant_Old!F190</f>
        <v>0</v>
      </c>
      <c r="G186" s="29">
        <f>Item_Enchant_Old!G190</f>
        <v>1</v>
      </c>
      <c r="H186" s="29" t="str">
        <f>Item_Enchant_Old!H190</f>
        <v>@</v>
      </c>
      <c r="I186" s="29">
        <f>Item_Enchant_Old!I190</f>
        <v>1</v>
      </c>
      <c r="J186" s="29" t="str">
        <f>Item_Enchant_Old!J190</f>
        <v>절대값/상대값(%) 가능</v>
      </c>
      <c r="K186" s="29">
        <f>Item_Enchant_Old!K190</f>
        <v>1</v>
      </c>
      <c r="L186" s="29">
        <f>Item_Enchant_Old!L190</f>
        <v>0</v>
      </c>
      <c r="M186" s="29">
        <f>Item_Enchant_Old!M190</f>
        <v>12</v>
      </c>
      <c r="N186" s="29">
        <f>Item_Enchant_Old!N190</f>
        <v>1350</v>
      </c>
      <c r="O186" s="29">
        <f>Item_Enchant_Old!O190</f>
        <v>1</v>
      </c>
      <c r="P186" s="29">
        <f>Item_Enchant_Old!P190</f>
        <v>1</v>
      </c>
      <c r="Q186" s="29">
        <f>Item_Enchant_Old!Q190</f>
        <v>1</v>
      </c>
      <c r="R186" s="29">
        <f>Item_Enchant_Old!R190</f>
        <v>1</v>
      </c>
    </row>
    <row r="187" spans="1:18" s="29" customFormat="1" hidden="1">
      <c r="A187" s="29">
        <f>Item_Enchant_Old!A191</f>
        <v>186</v>
      </c>
      <c r="B187" s="29" t="str">
        <f>Item_Enchant_Old!B191</f>
        <v>ACTIVE_BLOCK_RATE_UP</v>
      </c>
      <c r="C187" s="29">
        <f>Item_Enchant_Old!C191</f>
        <v>620</v>
      </c>
      <c r="D187" s="29">
        <f>Item_Enchant_Old!D191</f>
        <v>0</v>
      </c>
      <c r="E187" s="29">
        <f>Item_Enchant_Old!E191</f>
        <v>0</v>
      </c>
      <c r="F187" s="29">
        <f>Item_Enchant_Old!F191</f>
        <v>0</v>
      </c>
      <c r="G187" s="29">
        <f>Item_Enchant_Old!G191</f>
        <v>1</v>
      </c>
      <c r="H187" s="29" t="str">
        <f>Item_Enchant_Old!H191</f>
        <v>@</v>
      </c>
      <c r="I187" s="29">
        <f>Item_Enchant_Old!I191</f>
        <v>1</v>
      </c>
      <c r="J187" s="29" t="str">
        <f>Item_Enchant_Old!J191</f>
        <v>절대값/상대값(%) 가능</v>
      </c>
      <c r="K187" s="29">
        <f>Item_Enchant_Old!K191</f>
        <v>1</v>
      </c>
      <c r="L187" s="29">
        <f>Item_Enchant_Old!L191</f>
        <v>0</v>
      </c>
      <c r="M187" s="29">
        <f>Item_Enchant_Old!M191</f>
        <v>12</v>
      </c>
      <c r="N187" s="29">
        <f>Item_Enchant_Old!N191</f>
        <v>352</v>
      </c>
      <c r="O187" s="29">
        <f>Item_Enchant_Old!O191</f>
        <v>1</v>
      </c>
      <c r="P187" s="29">
        <f>Item_Enchant_Old!P191</f>
        <v>1</v>
      </c>
      <c r="Q187" s="29">
        <f>Item_Enchant_Old!Q191</f>
        <v>1</v>
      </c>
      <c r="R187" s="29">
        <f>Item_Enchant_Old!R191</f>
        <v>1</v>
      </c>
    </row>
    <row r="188" spans="1:18" s="29" customFormat="1" hidden="1">
      <c r="A188" s="29">
        <f>Item_Enchant_Old!A192</f>
        <v>187</v>
      </c>
      <c r="B188" s="29" t="str">
        <f>Item_Enchant_Old!B192</f>
        <v>ACTIVE_CON_UP</v>
      </c>
      <c r="C188" s="29">
        <f>Item_Enchant_Old!C192</f>
        <v>611</v>
      </c>
      <c r="D188" s="29">
        <f>Item_Enchant_Old!D192</f>
        <v>0</v>
      </c>
      <c r="E188" s="29">
        <f>Item_Enchant_Old!E192</f>
        <v>0</v>
      </c>
      <c r="F188" s="29">
        <f>Item_Enchant_Old!F192</f>
        <v>0</v>
      </c>
      <c r="G188" s="29">
        <f>Item_Enchant_Old!G192</f>
        <v>3</v>
      </c>
      <c r="H188" s="29" t="str">
        <f>Item_Enchant_Old!H192</f>
        <v>@</v>
      </c>
      <c r="I188" s="29">
        <f>Item_Enchant_Old!I192</f>
        <v>1</v>
      </c>
      <c r="J188" s="29" t="str">
        <f>Item_Enchant_Old!J192</f>
        <v>절대값/상대값(%) 가능</v>
      </c>
      <c r="K188" s="29">
        <f>Item_Enchant_Old!K192</f>
        <v>1</v>
      </c>
      <c r="L188" s="29">
        <f>Item_Enchant_Old!L192</f>
        <v>0</v>
      </c>
      <c r="M188" s="29">
        <f>Item_Enchant_Old!M192</f>
        <v>12</v>
      </c>
      <c r="N188" s="29">
        <f>Item_Enchant_Old!N192</f>
        <v>48</v>
      </c>
      <c r="O188" s="29">
        <f>Item_Enchant_Old!O192</f>
        <v>1</v>
      </c>
      <c r="P188" s="29">
        <f>Item_Enchant_Old!P192</f>
        <v>1</v>
      </c>
      <c r="Q188" s="29">
        <f>Item_Enchant_Old!Q192</f>
        <v>1</v>
      </c>
      <c r="R188" s="29">
        <f>Item_Enchant_Old!R192</f>
        <v>1</v>
      </c>
    </row>
    <row r="189" spans="1:18" s="29" customFormat="1" hidden="1">
      <c r="A189" s="29">
        <f>Item_Enchant_Old!A193</f>
        <v>188</v>
      </c>
      <c r="B189" s="29" t="str">
        <f>Item_Enchant_Old!B193</f>
        <v>ACTIVE_FOC_UP</v>
      </c>
      <c r="C189" s="29">
        <f>Item_Enchant_Old!C193</f>
        <v>612</v>
      </c>
      <c r="D189" s="29">
        <f>Item_Enchant_Old!D193</f>
        <v>0</v>
      </c>
      <c r="E189" s="29">
        <f>Item_Enchant_Old!E193</f>
        <v>0</v>
      </c>
      <c r="F189" s="29">
        <f>Item_Enchant_Old!F193</f>
        <v>0</v>
      </c>
      <c r="G189" s="29">
        <f>Item_Enchant_Old!G193</f>
        <v>2</v>
      </c>
      <c r="H189" s="29" t="str">
        <f>Item_Enchant_Old!H193</f>
        <v>@</v>
      </c>
      <c r="I189" s="29">
        <f>Item_Enchant_Old!I193</f>
        <v>1</v>
      </c>
      <c r="J189" s="29" t="str">
        <f>Item_Enchant_Old!J193</f>
        <v>절대값/상대값(%) 가능</v>
      </c>
      <c r="K189" s="29">
        <f>Item_Enchant_Old!K193</f>
        <v>1</v>
      </c>
      <c r="L189" s="29">
        <f>Item_Enchant_Old!L193</f>
        <v>0</v>
      </c>
      <c r="M189" s="29">
        <f>Item_Enchant_Old!M193</f>
        <v>12</v>
      </c>
      <c r="N189" s="29">
        <f>Item_Enchant_Old!N193</f>
        <v>53</v>
      </c>
      <c r="O189" s="29">
        <f>Item_Enchant_Old!O193</f>
        <v>1</v>
      </c>
      <c r="P189" s="29">
        <f>Item_Enchant_Old!P193</f>
        <v>1</v>
      </c>
      <c r="Q189" s="29">
        <f>Item_Enchant_Old!Q193</f>
        <v>1</v>
      </c>
      <c r="R189" s="29">
        <f>Item_Enchant_Old!R193</f>
        <v>1</v>
      </c>
    </row>
    <row r="190" spans="1:18" s="29" customFormat="1" hidden="1">
      <c r="A190" s="29">
        <f>Item_Enchant_Old!A194</f>
        <v>189</v>
      </c>
      <c r="B190" s="29" t="str">
        <f>Item_Enchant_Old!B194</f>
        <v>ACTIVE_PHYSICAL_OFFENCE_UP</v>
      </c>
      <c r="C190" s="29">
        <f>Item_Enchant_Old!C194</f>
        <v>606</v>
      </c>
      <c r="D190" s="29">
        <f>Item_Enchant_Old!D194</f>
        <v>0</v>
      </c>
      <c r="E190" s="29">
        <f>Item_Enchant_Old!E194</f>
        <v>0</v>
      </c>
      <c r="F190" s="29">
        <f>Item_Enchant_Old!F194</f>
        <v>0</v>
      </c>
      <c r="G190" s="29">
        <f>Item_Enchant_Old!G194</f>
        <v>1</v>
      </c>
      <c r="H190" s="29" t="str">
        <f>Item_Enchant_Old!H194</f>
        <v>@</v>
      </c>
      <c r="I190" s="29">
        <f>Item_Enchant_Old!I194</f>
        <v>1</v>
      </c>
      <c r="J190" s="29" t="str">
        <f>Item_Enchant_Old!J194</f>
        <v>절대값/상대값(%) 가능</v>
      </c>
      <c r="K190" s="29">
        <f>Item_Enchant_Old!K194</f>
        <v>4</v>
      </c>
      <c r="L190" s="29">
        <f>Item_Enchant_Old!L194</f>
        <v>0</v>
      </c>
      <c r="M190" s="29">
        <f>Item_Enchant_Old!M194</f>
        <v>1</v>
      </c>
      <c r="N190" s="29">
        <f>Item_Enchant_Old!N194</f>
        <v>125</v>
      </c>
      <c r="O190" s="29">
        <f>Item_Enchant_Old!O194</f>
        <v>1</v>
      </c>
      <c r="P190" s="29">
        <f>Item_Enchant_Old!P194</f>
        <v>1</v>
      </c>
      <c r="Q190" s="29">
        <f>Item_Enchant_Old!Q194</f>
        <v>1</v>
      </c>
      <c r="R190" s="29">
        <f>Item_Enchant_Old!R194</f>
        <v>1</v>
      </c>
    </row>
    <row r="191" spans="1:18" s="29" customFormat="1" hidden="1">
      <c r="A191" s="29">
        <f>Item_Enchant_Old!A195</f>
        <v>190</v>
      </c>
      <c r="B191" s="29" t="str">
        <f>Item_Enchant_Old!B195</f>
        <v>ACTIVE_STR_UP</v>
      </c>
      <c r="C191" s="29">
        <f>Item_Enchant_Old!C195</f>
        <v>610</v>
      </c>
      <c r="D191" s="29">
        <f>Item_Enchant_Old!D195</f>
        <v>0</v>
      </c>
      <c r="E191" s="29">
        <f>Item_Enchant_Old!E195</f>
        <v>0</v>
      </c>
      <c r="F191" s="29">
        <f>Item_Enchant_Old!F195</f>
        <v>0</v>
      </c>
      <c r="G191" s="29">
        <f>Item_Enchant_Old!G195</f>
        <v>2</v>
      </c>
      <c r="H191" s="29" t="str">
        <f>Item_Enchant_Old!H195</f>
        <v>@</v>
      </c>
      <c r="I191" s="29">
        <f>Item_Enchant_Old!I195</f>
        <v>1</v>
      </c>
      <c r="J191" s="29" t="str">
        <f>Item_Enchant_Old!J195</f>
        <v>절대값/상대값(%) 가능</v>
      </c>
      <c r="K191" s="29">
        <f>Item_Enchant_Old!K195</f>
        <v>4</v>
      </c>
      <c r="L191" s="29">
        <f>Item_Enchant_Old!L195</f>
        <v>0</v>
      </c>
      <c r="M191" s="29">
        <f>Item_Enchant_Old!M195</f>
        <v>1</v>
      </c>
      <c r="N191" s="29">
        <f>Item_Enchant_Old!N195</f>
        <v>57</v>
      </c>
      <c r="O191" s="29">
        <f>Item_Enchant_Old!O195</f>
        <v>1</v>
      </c>
      <c r="P191" s="29">
        <f>Item_Enchant_Old!P195</f>
        <v>1</v>
      </c>
      <c r="Q191" s="29">
        <f>Item_Enchant_Old!Q195</f>
        <v>1</v>
      </c>
      <c r="R191" s="29">
        <f>Item_Enchant_Old!R195</f>
        <v>1</v>
      </c>
    </row>
    <row r="192" spans="1:18" s="29" customFormat="1" hidden="1">
      <c r="A192" s="29">
        <f>Item_Enchant_Old!A196</f>
        <v>191</v>
      </c>
      <c r="B192" s="29" t="str">
        <f>Item_Enchant_Old!B196</f>
        <v>ACTIVE_DEX_UP</v>
      </c>
      <c r="C192" s="29">
        <f>Item_Enchant_Old!C196</f>
        <v>613</v>
      </c>
      <c r="D192" s="29">
        <f>Item_Enchant_Old!D196</f>
        <v>0</v>
      </c>
      <c r="E192" s="29">
        <f>Item_Enchant_Old!E196</f>
        <v>0</v>
      </c>
      <c r="F192" s="29">
        <f>Item_Enchant_Old!F196</f>
        <v>0</v>
      </c>
      <c r="G192" s="29">
        <f>Item_Enchant_Old!G196</f>
        <v>3</v>
      </c>
      <c r="H192" s="29" t="str">
        <f>Item_Enchant_Old!H196</f>
        <v>@</v>
      </c>
      <c r="I192" s="29">
        <f>Item_Enchant_Old!I196</f>
        <v>1</v>
      </c>
      <c r="J192" s="29" t="str">
        <f>Item_Enchant_Old!J196</f>
        <v>절대값/상대값(%) 가능</v>
      </c>
      <c r="K192" s="29">
        <f>Item_Enchant_Old!K196</f>
        <v>4</v>
      </c>
      <c r="L192" s="29">
        <f>Item_Enchant_Old!L196</f>
        <v>0</v>
      </c>
      <c r="M192" s="29">
        <f>Item_Enchant_Old!M196</f>
        <v>1</v>
      </c>
      <c r="N192" s="29">
        <f>Item_Enchant_Old!N196</f>
        <v>44</v>
      </c>
      <c r="O192" s="29">
        <f>Item_Enchant_Old!O196</f>
        <v>1</v>
      </c>
      <c r="P192" s="29">
        <f>Item_Enchant_Old!P196</f>
        <v>1</v>
      </c>
      <c r="Q192" s="29">
        <f>Item_Enchant_Old!Q196</f>
        <v>1</v>
      </c>
      <c r="R192" s="29">
        <f>Item_Enchant_Old!R196</f>
        <v>1</v>
      </c>
    </row>
    <row r="193" spans="1:18" s="29" customFormat="1" hidden="1">
      <c r="A193" s="29">
        <f>Item_Enchant_Old!A197</f>
        <v>192</v>
      </c>
      <c r="B193" s="29" t="str">
        <f>Item_Enchant_Old!B197</f>
        <v>ACTIVE_PHYSICAL_CRITICAL_DAMAGE_UP</v>
      </c>
      <c r="C193" s="29">
        <f>Item_Enchant_Old!C197</f>
        <v>658</v>
      </c>
      <c r="D193" s="29">
        <f>Item_Enchant_Old!D197</f>
        <v>0</v>
      </c>
      <c r="E193" s="29">
        <f>Item_Enchant_Old!E197</f>
        <v>0</v>
      </c>
      <c r="F193" s="29">
        <f>Item_Enchant_Old!F197</f>
        <v>0</v>
      </c>
      <c r="G193" s="29">
        <f>Item_Enchant_Old!G197</f>
        <v>4</v>
      </c>
      <c r="H193" s="29" t="str">
        <f>Item_Enchant_Old!H197</f>
        <v>@</v>
      </c>
      <c r="I193" s="29">
        <f>Item_Enchant_Old!I197</f>
        <v>1</v>
      </c>
      <c r="J193" s="29" t="str">
        <f>Item_Enchant_Old!J197</f>
        <v>절대값만 가능</v>
      </c>
      <c r="K193" s="29">
        <f>Item_Enchant_Old!K197</f>
        <v>4</v>
      </c>
      <c r="L193" s="29">
        <f>Item_Enchant_Old!L197</f>
        <v>0</v>
      </c>
      <c r="M193" s="29">
        <f>Item_Enchant_Old!M197</f>
        <v>1</v>
      </c>
      <c r="N193" s="29">
        <f>Item_Enchant_Old!N197</f>
        <v>28</v>
      </c>
      <c r="O193" s="29">
        <f>Item_Enchant_Old!O197</f>
        <v>1</v>
      </c>
      <c r="P193" s="29">
        <f>Item_Enchant_Old!P197</f>
        <v>1</v>
      </c>
      <c r="Q193" s="29">
        <f>Item_Enchant_Old!Q197</f>
        <v>1</v>
      </c>
      <c r="R193" s="29">
        <f>Item_Enchant_Old!R197</f>
        <v>1</v>
      </c>
    </row>
    <row r="194" spans="1:18" s="29" customFormat="1" hidden="1">
      <c r="A194" s="29">
        <f>Item_Enchant_Old!A198</f>
        <v>193</v>
      </c>
      <c r="B194" s="29" t="str">
        <f>Item_Enchant_Old!B198</f>
        <v>ACTIVE_PHYSICAL_CRITICAL_DAMAGE_UP</v>
      </c>
      <c r="C194" s="29">
        <f>Item_Enchant_Old!C198</f>
        <v>658</v>
      </c>
      <c r="D194" s="29">
        <f>Item_Enchant_Old!D198</f>
        <v>0</v>
      </c>
      <c r="E194" s="29">
        <f>Item_Enchant_Old!E198</f>
        <v>0</v>
      </c>
      <c r="F194" s="29">
        <f>Item_Enchant_Old!F198</f>
        <v>0</v>
      </c>
      <c r="G194" s="29">
        <f>Item_Enchant_Old!G198</f>
        <v>4</v>
      </c>
      <c r="H194" s="29" t="str">
        <f>Item_Enchant_Old!H198</f>
        <v>@</v>
      </c>
      <c r="I194" s="29">
        <f>Item_Enchant_Old!I198</f>
        <v>1</v>
      </c>
      <c r="J194" s="29" t="str">
        <f>Item_Enchant_Old!J198</f>
        <v>절대값만 가능</v>
      </c>
      <c r="K194" s="29">
        <f>Item_Enchant_Old!K198</f>
        <v>4</v>
      </c>
      <c r="L194" s="29">
        <f>Item_Enchant_Old!L198</f>
        <v>0</v>
      </c>
      <c r="M194" s="29">
        <f>Item_Enchant_Old!M198</f>
        <v>2</v>
      </c>
      <c r="N194" s="29">
        <f>Item_Enchant_Old!N198</f>
        <v>28</v>
      </c>
      <c r="O194" s="29">
        <f>Item_Enchant_Old!O198</f>
        <v>1</v>
      </c>
      <c r="P194" s="29">
        <f>Item_Enchant_Old!P198</f>
        <v>1</v>
      </c>
      <c r="Q194" s="29">
        <f>Item_Enchant_Old!Q198</f>
        <v>1</v>
      </c>
      <c r="R194" s="29">
        <f>Item_Enchant_Old!R198</f>
        <v>1</v>
      </c>
    </row>
    <row r="195" spans="1:18" s="29" customFormat="1" hidden="1">
      <c r="A195" s="29">
        <f>Item_Enchant_Old!A199</f>
        <v>194</v>
      </c>
      <c r="B195" s="29" t="str">
        <f>Item_Enchant_Old!B199</f>
        <v>ACTIVE_PHYSICAL_CRITICAL</v>
      </c>
      <c r="C195" s="29">
        <f>Item_Enchant_Old!C199</f>
        <v>632</v>
      </c>
      <c r="D195" s="29">
        <f>Item_Enchant_Old!D199</f>
        <v>0</v>
      </c>
      <c r="E195" s="29">
        <f>Item_Enchant_Old!E199</f>
        <v>0</v>
      </c>
      <c r="F195" s="29">
        <f>Item_Enchant_Old!F199</f>
        <v>0</v>
      </c>
      <c r="G195" s="29">
        <f>Item_Enchant_Old!G199</f>
        <v>5</v>
      </c>
      <c r="H195" s="29" t="str">
        <f>Item_Enchant_Old!H199</f>
        <v>@</v>
      </c>
      <c r="I195" s="29">
        <f>Item_Enchant_Old!I199</f>
        <v>1</v>
      </c>
      <c r="J195" s="29" t="str">
        <f>Item_Enchant_Old!J199</f>
        <v>절대값/상대값(%) 가능</v>
      </c>
      <c r="K195" s="29">
        <f>Item_Enchant_Old!K199</f>
        <v>4</v>
      </c>
      <c r="L195" s="29">
        <f>Item_Enchant_Old!L199</f>
        <v>0</v>
      </c>
      <c r="M195" s="29">
        <f>Item_Enchant_Old!M199</f>
        <v>2</v>
      </c>
      <c r="N195" s="29">
        <f>Item_Enchant_Old!N199</f>
        <v>21</v>
      </c>
      <c r="O195" s="29">
        <f>Item_Enchant_Old!O199</f>
        <v>1</v>
      </c>
      <c r="P195" s="29">
        <f>Item_Enchant_Old!P199</f>
        <v>1</v>
      </c>
      <c r="Q195" s="29">
        <f>Item_Enchant_Old!Q199</f>
        <v>1</v>
      </c>
      <c r="R195" s="29">
        <f>Item_Enchant_Old!R199</f>
        <v>1</v>
      </c>
    </row>
    <row r="196" spans="1:18" s="29" customFormat="1" hidden="1">
      <c r="A196" s="29">
        <f>Item_Enchant_Old!A200</f>
        <v>195</v>
      </c>
      <c r="B196" s="29" t="str">
        <f>Item_Enchant_Old!B200</f>
        <v>ACTIVE_DEX_UP</v>
      </c>
      <c r="C196" s="29">
        <f>Item_Enchant_Old!C200</f>
        <v>613</v>
      </c>
      <c r="D196" s="29">
        <f>Item_Enchant_Old!D200</f>
        <v>0</v>
      </c>
      <c r="E196" s="29">
        <f>Item_Enchant_Old!E200</f>
        <v>0</v>
      </c>
      <c r="F196" s="29">
        <f>Item_Enchant_Old!F200</f>
        <v>0</v>
      </c>
      <c r="G196" s="29">
        <f>Item_Enchant_Old!G200</f>
        <v>3</v>
      </c>
      <c r="H196" s="29" t="str">
        <f>Item_Enchant_Old!H200</f>
        <v>@</v>
      </c>
      <c r="I196" s="29">
        <f>Item_Enchant_Old!I200</f>
        <v>1</v>
      </c>
      <c r="J196" s="29" t="str">
        <f>Item_Enchant_Old!J200</f>
        <v>절대값/상대값(%) 가능</v>
      </c>
      <c r="K196" s="29">
        <f>Item_Enchant_Old!K200</f>
        <v>4</v>
      </c>
      <c r="L196" s="29">
        <f>Item_Enchant_Old!L200</f>
        <v>0</v>
      </c>
      <c r="M196" s="29">
        <f>Item_Enchant_Old!M200</f>
        <v>2</v>
      </c>
      <c r="N196" s="29">
        <f>Item_Enchant_Old!N200</f>
        <v>44</v>
      </c>
      <c r="O196" s="29">
        <f>Item_Enchant_Old!O200</f>
        <v>1</v>
      </c>
      <c r="P196" s="29">
        <f>Item_Enchant_Old!P200</f>
        <v>1</v>
      </c>
      <c r="Q196" s="29">
        <f>Item_Enchant_Old!Q200</f>
        <v>1</v>
      </c>
      <c r="R196" s="29">
        <f>Item_Enchant_Old!R200</f>
        <v>1</v>
      </c>
    </row>
    <row r="197" spans="1:18" s="29" customFormat="1" hidden="1">
      <c r="A197" s="29">
        <f>Item_Enchant_Old!A201</f>
        <v>196</v>
      </c>
      <c r="B197" s="29" t="str">
        <f>Item_Enchant_Old!B201</f>
        <v>ACTIVE_FOC_UP</v>
      </c>
      <c r="C197" s="29">
        <f>Item_Enchant_Old!C201</f>
        <v>612</v>
      </c>
      <c r="D197" s="29">
        <f>Item_Enchant_Old!D201</f>
        <v>0</v>
      </c>
      <c r="E197" s="29">
        <f>Item_Enchant_Old!E201</f>
        <v>0</v>
      </c>
      <c r="F197" s="29">
        <f>Item_Enchant_Old!F201</f>
        <v>0</v>
      </c>
      <c r="G197" s="29">
        <f>Item_Enchant_Old!G201</f>
        <v>2</v>
      </c>
      <c r="H197" s="29" t="str">
        <f>Item_Enchant_Old!H201</f>
        <v>@</v>
      </c>
      <c r="I197" s="29">
        <f>Item_Enchant_Old!I201</f>
        <v>1</v>
      </c>
      <c r="J197" s="29" t="str">
        <f>Item_Enchant_Old!J201</f>
        <v>절대값/상대값(%) 가능</v>
      </c>
      <c r="K197" s="29">
        <f>Item_Enchant_Old!K201</f>
        <v>4</v>
      </c>
      <c r="L197" s="29">
        <f>Item_Enchant_Old!L201</f>
        <v>0</v>
      </c>
      <c r="M197" s="29">
        <f>Item_Enchant_Old!M201</f>
        <v>2</v>
      </c>
      <c r="N197" s="29">
        <f>Item_Enchant_Old!N201</f>
        <v>53</v>
      </c>
      <c r="O197" s="29">
        <f>Item_Enchant_Old!O201</f>
        <v>1</v>
      </c>
      <c r="P197" s="29">
        <f>Item_Enchant_Old!P201</f>
        <v>1</v>
      </c>
      <c r="Q197" s="29">
        <f>Item_Enchant_Old!Q201</f>
        <v>1</v>
      </c>
      <c r="R197" s="29">
        <f>Item_Enchant_Old!R201</f>
        <v>1</v>
      </c>
    </row>
    <row r="198" spans="1:18" s="29" customFormat="1" hidden="1">
      <c r="A198" s="29">
        <f>Item_Enchant_Old!A202</f>
        <v>197</v>
      </c>
      <c r="B198" s="29" t="str">
        <f>Item_Enchant_Old!B202</f>
        <v>ACTIVE_ENERGY_OFFENCE_UP</v>
      </c>
      <c r="C198" s="29">
        <f>Item_Enchant_Old!C202</f>
        <v>607</v>
      </c>
      <c r="D198" s="29">
        <f>Item_Enchant_Old!D202</f>
        <v>0</v>
      </c>
      <c r="E198" s="29">
        <f>Item_Enchant_Old!E202</f>
        <v>0</v>
      </c>
      <c r="F198" s="29">
        <f>Item_Enchant_Old!F202</f>
        <v>0</v>
      </c>
      <c r="G198" s="29">
        <f>Item_Enchant_Old!G202</f>
        <v>1</v>
      </c>
      <c r="H198" s="29" t="str">
        <f>Item_Enchant_Old!H202</f>
        <v>@</v>
      </c>
      <c r="I198" s="29">
        <f>Item_Enchant_Old!I202</f>
        <v>1</v>
      </c>
      <c r="J198" s="29" t="str">
        <f>Item_Enchant_Old!J202</f>
        <v>절대값/상대값(%) 가능</v>
      </c>
      <c r="K198" s="29">
        <f>Item_Enchant_Old!K202</f>
        <v>4</v>
      </c>
      <c r="L198" s="29">
        <f>Item_Enchant_Old!L202</f>
        <v>0</v>
      </c>
      <c r="M198" s="29">
        <f>Item_Enchant_Old!M202</f>
        <v>3</v>
      </c>
      <c r="N198" s="29">
        <f>Item_Enchant_Old!N202</f>
        <v>104</v>
      </c>
      <c r="O198" s="29">
        <f>Item_Enchant_Old!O202</f>
        <v>1</v>
      </c>
      <c r="P198" s="29">
        <f>Item_Enchant_Old!P202</f>
        <v>1</v>
      </c>
      <c r="Q198" s="29">
        <f>Item_Enchant_Old!Q202</f>
        <v>1</v>
      </c>
      <c r="R198" s="29">
        <f>Item_Enchant_Old!R202</f>
        <v>1</v>
      </c>
    </row>
    <row r="199" spans="1:18" s="29" customFormat="1" hidden="1">
      <c r="A199" s="29">
        <f>Item_Enchant_Old!A203</f>
        <v>198</v>
      </c>
      <c r="B199" s="29" t="str">
        <f>Item_Enchant_Old!B203</f>
        <v>ACTIVE_FOC_UP</v>
      </c>
      <c r="C199" s="29">
        <f>Item_Enchant_Old!C203</f>
        <v>612</v>
      </c>
      <c r="D199" s="29">
        <f>Item_Enchant_Old!D203</f>
        <v>0</v>
      </c>
      <c r="E199" s="29">
        <f>Item_Enchant_Old!E203</f>
        <v>0</v>
      </c>
      <c r="F199" s="29">
        <f>Item_Enchant_Old!F203</f>
        <v>0</v>
      </c>
      <c r="G199" s="29">
        <f>Item_Enchant_Old!G203</f>
        <v>2</v>
      </c>
      <c r="H199" s="29" t="str">
        <f>Item_Enchant_Old!H203</f>
        <v>@</v>
      </c>
      <c r="I199" s="29">
        <f>Item_Enchant_Old!I203</f>
        <v>1</v>
      </c>
      <c r="J199" s="29" t="str">
        <f>Item_Enchant_Old!J203</f>
        <v>절대값/상대값(%) 가능</v>
      </c>
      <c r="K199" s="29">
        <f>Item_Enchant_Old!K203</f>
        <v>4</v>
      </c>
      <c r="L199" s="29">
        <f>Item_Enchant_Old!L203</f>
        <v>0</v>
      </c>
      <c r="M199" s="29">
        <f>Item_Enchant_Old!M203</f>
        <v>3</v>
      </c>
      <c r="N199" s="29">
        <f>Item_Enchant_Old!N203</f>
        <v>53</v>
      </c>
      <c r="O199" s="29">
        <f>Item_Enchant_Old!O203</f>
        <v>1</v>
      </c>
      <c r="P199" s="29">
        <f>Item_Enchant_Old!P203</f>
        <v>1</v>
      </c>
      <c r="Q199" s="29">
        <f>Item_Enchant_Old!Q203</f>
        <v>1</v>
      </c>
      <c r="R199" s="29">
        <f>Item_Enchant_Old!R203</f>
        <v>1</v>
      </c>
    </row>
    <row r="200" spans="1:18" s="29" customFormat="1" hidden="1">
      <c r="A200" s="29">
        <f>Item_Enchant_Old!A204</f>
        <v>199</v>
      </c>
      <c r="B200" s="29" t="str">
        <f>Item_Enchant_Old!B204</f>
        <v>ACTIVE_SOL_UP</v>
      </c>
      <c r="C200" s="29">
        <f>Item_Enchant_Old!C204</f>
        <v>614</v>
      </c>
      <c r="D200" s="29">
        <f>Item_Enchant_Old!D204</f>
        <v>0</v>
      </c>
      <c r="E200" s="29">
        <f>Item_Enchant_Old!E204</f>
        <v>0</v>
      </c>
      <c r="F200" s="29">
        <f>Item_Enchant_Old!F204</f>
        <v>0</v>
      </c>
      <c r="G200" s="29">
        <f>Item_Enchant_Old!G204</f>
        <v>2</v>
      </c>
      <c r="H200" s="29" t="str">
        <f>Item_Enchant_Old!H204</f>
        <v>@</v>
      </c>
      <c r="I200" s="29">
        <f>Item_Enchant_Old!I204</f>
        <v>1</v>
      </c>
      <c r="J200" s="29" t="str">
        <f>Item_Enchant_Old!J204</f>
        <v>절대값/상대값(%) 가능</v>
      </c>
      <c r="K200" s="29">
        <f>Item_Enchant_Old!K204</f>
        <v>4</v>
      </c>
      <c r="L200" s="29">
        <f>Item_Enchant_Old!L204</f>
        <v>0</v>
      </c>
      <c r="M200" s="29">
        <f>Item_Enchant_Old!M204</f>
        <v>3</v>
      </c>
      <c r="N200" s="29">
        <f>Item_Enchant_Old!N204</f>
        <v>53</v>
      </c>
      <c r="O200" s="29">
        <f>Item_Enchant_Old!O204</f>
        <v>1</v>
      </c>
      <c r="P200" s="29">
        <f>Item_Enchant_Old!P204</f>
        <v>1</v>
      </c>
      <c r="Q200" s="29">
        <f>Item_Enchant_Old!Q204</f>
        <v>1</v>
      </c>
      <c r="R200" s="29">
        <f>Item_Enchant_Old!R204</f>
        <v>1</v>
      </c>
    </row>
    <row r="201" spans="1:18" s="29" customFormat="1" hidden="1">
      <c r="A201" s="29">
        <f>Item_Enchant_Old!A205</f>
        <v>200</v>
      </c>
      <c r="B201" s="29" t="str">
        <f>Item_Enchant_Old!B205</f>
        <v>ACTIVE_ENERGY_CRITICAL_DAMAGE_UP</v>
      </c>
      <c r="C201" s="29">
        <f>Item_Enchant_Old!C205</f>
        <v>659</v>
      </c>
      <c r="D201" s="29">
        <f>Item_Enchant_Old!D205</f>
        <v>0</v>
      </c>
      <c r="E201" s="29">
        <f>Item_Enchant_Old!E205</f>
        <v>0</v>
      </c>
      <c r="F201" s="29">
        <f>Item_Enchant_Old!F205</f>
        <v>0</v>
      </c>
      <c r="G201" s="29">
        <f>Item_Enchant_Old!G205</f>
        <v>4</v>
      </c>
      <c r="H201" s="29" t="str">
        <f>Item_Enchant_Old!H205</f>
        <v>@</v>
      </c>
      <c r="I201" s="29">
        <f>Item_Enchant_Old!I205</f>
        <v>1</v>
      </c>
      <c r="J201" s="29" t="str">
        <f>Item_Enchant_Old!J205</f>
        <v>절대값만 가능</v>
      </c>
      <c r="K201" s="29">
        <f>Item_Enchant_Old!K205</f>
        <v>4</v>
      </c>
      <c r="L201" s="29">
        <f>Item_Enchant_Old!L205</f>
        <v>0</v>
      </c>
      <c r="M201" s="29">
        <f>Item_Enchant_Old!M205</f>
        <v>3</v>
      </c>
      <c r="N201" s="29">
        <f>Item_Enchant_Old!N205</f>
        <v>32</v>
      </c>
      <c r="O201" s="29">
        <f>Item_Enchant_Old!O205</f>
        <v>1</v>
      </c>
      <c r="P201" s="29">
        <f>Item_Enchant_Old!P205</f>
        <v>1</v>
      </c>
      <c r="Q201" s="29">
        <f>Item_Enchant_Old!Q205</f>
        <v>1</v>
      </c>
      <c r="R201" s="29">
        <f>Item_Enchant_Old!R205</f>
        <v>1</v>
      </c>
    </row>
    <row r="202" spans="1:18" s="29" customFormat="1" hidden="1">
      <c r="A202" s="29">
        <f>Item_Enchant_Old!A206</f>
        <v>201</v>
      </c>
      <c r="B202" s="29" t="str">
        <f>Item_Enchant_Old!B206</f>
        <v>ACTIVE_ENERGY_CRITICAL</v>
      </c>
      <c r="C202" s="29">
        <f>Item_Enchant_Old!C206</f>
        <v>633</v>
      </c>
      <c r="D202" s="29">
        <f>Item_Enchant_Old!D206</f>
        <v>0</v>
      </c>
      <c r="E202" s="29">
        <f>Item_Enchant_Old!E206</f>
        <v>0</v>
      </c>
      <c r="F202" s="29">
        <f>Item_Enchant_Old!F206</f>
        <v>0</v>
      </c>
      <c r="G202" s="29">
        <f>Item_Enchant_Old!G206</f>
        <v>5</v>
      </c>
      <c r="H202" s="29" t="str">
        <f>Item_Enchant_Old!H206</f>
        <v>@</v>
      </c>
      <c r="I202" s="29">
        <f>Item_Enchant_Old!I206</f>
        <v>1</v>
      </c>
      <c r="J202" s="29" t="str">
        <f>Item_Enchant_Old!J206</f>
        <v>절대값/상대값(%) 가능</v>
      </c>
      <c r="K202" s="29">
        <f>Item_Enchant_Old!K206</f>
        <v>4</v>
      </c>
      <c r="L202" s="29">
        <f>Item_Enchant_Old!L206</f>
        <v>0</v>
      </c>
      <c r="M202" s="29">
        <f>Item_Enchant_Old!M206</f>
        <v>4</v>
      </c>
      <c r="N202" s="29">
        <f>Item_Enchant_Old!N206</f>
        <v>24</v>
      </c>
      <c r="O202" s="29">
        <f>Item_Enchant_Old!O206</f>
        <v>1</v>
      </c>
      <c r="P202" s="29">
        <f>Item_Enchant_Old!P206</f>
        <v>1</v>
      </c>
      <c r="Q202" s="29">
        <f>Item_Enchant_Old!Q206</f>
        <v>1</v>
      </c>
      <c r="R202" s="29">
        <f>Item_Enchant_Old!R206</f>
        <v>1</v>
      </c>
    </row>
    <row r="203" spans="1:18" s="29" customFormat="1" hidden="1">
      <c r="A203" s="29">
        <f>Item_Enchant_Old!A207</f>
        <v>202</v>
      </c>
      <c r="B203" s="29" t="str">
        <f>Item_Enchant_Old!B207</f>
        <v>ACTIVE_ENERGY_CRITICAL_DAMAGE_UP</v>
      </c>
      <c r="C203" s="29">
        <f>Item_Enchant_Old!C207</f>
        <v>659</v>
      </c>
      <c r="D203" s="29">
        <f>Item_Enchant_Old!D207</f>
        <v>0</v>
      </c>
      <c r="E203" s="29">
        <f>Item_Enchant_Old!E207</f>
        <v>0</v>
      </c>
      <c r="F203" s="29">
        <f>Item_Enchant_Old!F207</f>
        <v>0</v>
      </c>
      <c r="G203" s="29">
        <f>Item_Enchant_Old!G207</f>
        <v>4</v>
      </c>
      <c r="H203" s="29" t="str">
        <f>Item_Enchant_Old!H207</f>
        <v>@</v>
      </c>
      <c r="I203" s="29">
        <f>Item_Enchant_Old!I207</f>
        <v>1</v>
      </c>
      <c r="J203" s="29" t="str">
        <f>Item_Enchant_Old!J207</f>
        <v>절대값만 가능</v>
      </c>
      <c r="K203" s="29">
        <f>Item_Enchant_Old!K207</f>
        <v>4</v>
      </c>
      <c r="L203" s="29">
        <f>Item_Enchant_Old!L207</f>
        <v>0</v>
      </c>
      <c r="M203" s="29">
        <f>Item_Enchant_Old!M207</f>
        <v>4</v>
      </c>
      <c r="N203" s="29">
        <f>Item_Enchant_Old!N207</f>
        <v>32</v>
      </c>
      <c r="O203" s="29">
        <f>Item_Enchant_Old!O207</f>
        <v>1</v>
      </c>
      <c r="P203" s="29">
        <f>Item_Enchant_Old!P207</f>
        <v>1</v>
      </c>
      <c r="Q203" s="29">
        <f>Item_Enchant_Old!Q207</f>
        <v>1</v>
      </c>
      <c r="R203" s="29">
        <f>Item_Enchant_Old!R207</f>
        <v>1</v>
      </c>
    </row>
    <row r="204" spans="1:18" s="29" customFormat="1" hidden="1">
      <c r="A204" s="29">
        <f>Item_Enchant_Old!A208</f>
        <v>203</v>
      </c>
      <c r="B204" s="29" t="str">
        <f>Item_Enchant_Old!B208</f>
        <v>ACTIVE_FOC_UP</v>
      </c>
      <c r="C204" s="29">
        <f>Item_Enchant_Old!C208</f>
        <v>612</v>
      </c>
      <c r="D204" s="29">
        <f>Item_Enchant_Old!D208</f>
        <v>0</v>
      </c>
      <c r="E204" s="29">
        <f>Item_Enchant_Old!E208</f>
        <v>0</v>
      </c>
      <c r="F204" s="29">
        <f>Item_Enchant_Old!F208</f>
        <v>0</v>
      </c>
      <c r="G204" s="29">
        <f>Item_Enchant_Old!G208</f>
        <v>2</v>
      </c>
      <c r="H204" s="29" t="str">
        <f>Item_Enchant_Old!H208</f>
        <v>@</v>
      </c>
      <c r="I204" s="29">
        <f>Item_Enchant_Old!I208</f>
        <v>1</v>
      </c>
      <c r="J204" s="29" t="str">
        <f>Item_Enchant_Old!J208</f>
        <v>절대값/상대값(%) 가능</v>
      </c>
      <c r="K204" s="29">
        <f>Item_Enchant_Old!K208</f>
        <v>4</v>
      </c>
      <c r="L204" s="29">
        <f>Item_Enchant_Old!L208</f>
        <v>0</v>
      </c>
      <c r="M204" s="29">
        <f>Item_Enchant_Old!M208</f>
        <v>4</v>
      </c>
      <c r="N204" s="29">
        <f>Item_Enchant_Old!N208</f>
        <v>53</v>
      </c>
      <c r="O204" s="29">
        <f>Item_Enchant_Old!O208</f>
        <v>1</v>
      </c>
      <c r="P204" s="29">
        <f>Item_Enchant_Old!P208</f>
        <v>1</v>
      </c>
      <c r="Q204" s="29">
        <f>Item_Enchant_Old!Q208</f>
        <v>1</v>
      </c>
      <c r="R204" s="29">
        <f>Item_Enchant_Old!R208</f>
        <v>1</v>
      </c>
    </row>
    <row r="205" spans="1:18" s="29" customFormat="1" hidden="1">
      <c r="A205" s="29">
        <f>Item_Enchant_Old!A209</f>
        <v>204</v>
      </c>
      <c r="B205" s="29" t="str">
        <f>Item_Enchant_Old!B209</f>
        <v>ACTIVE_DEX_UP</v>
      </c>
      <c r="C205" s="29">
        <f>Item_Enchant_Old!C209</f>
        <v>613</v>
      </c>
      <c r="D205" s="29">
        <f>Item_Enchant_Old!D209</f>
        <v>0</v>
      </c>
      <c r="E205" s="29">
        <f>Item_Enchant_Old!E209</f>
        <v>0</v>
      </c>
      <c r="F205" s="29">
        <f>Item_Enchant_Old!F209</f>
        <v>0</v>
      </c>
      <c r="G205" s="29">
        <f>Item_Enchant_Old!G209</f>
        <v>3</v>
      </c>
      <c r="H205" s="29" t="str">
        <f>Item_Enchant_Old!H209</f>
        <v>@</v>
      </c>
      <c r="I205" s="29">
        <f>Item_Enchant_Old!I209</f>
        <v>1</v>
      </c>
      <c r="J205" s="29" t="str">
        <f>Item_Enchant_Old!J209</f>
        <v>절대값/상대값(%) 가능</v>
      </c>
      <c r="K205" s="29">
        <f>Item_Enchant_Old!K209</f>
        <v>4</v>
      </c>
      <c r="L205" s="29">
        <f>Item_Enchant_Old!L209</f>
        <v>0</v>
      </c>
      <c r="M205" s="29">
        <f>Item_Enchant_Old!M209</f>
        <v>4</v>
      </c>
      <c r="N205" s="29">
        <f>Item_Enchant_Old!N209</f>
        <v>44</v>
      </c>
      <c r="O205" s="29">
        <f>Item_Enchant_Old!O209</f>
        <v>1</v>
      </c>
      <c r="P205" s="29">
        <f>Item_Enchant_Old!P209</f>
        <v>1</v>
      </c>
      <c r="Q205" s="29">
        <f>Item_Enchant_Old!Q209</f>
        <v>1</v>
      </c>
      <c r="R205" s="29">
        <f>Item_Enchant_Old!R209</f>
        <v>1</v>
      </c>
    </row>
    <row r="206" spans="1:18" s="29" customFormat="1" hidden="1">
      <c r="A206" s="29">
        <f>Item_Enchant_Old!A210</f>
        <v>205</v>
      </c>
      <c r="B206" s="29" t="str">
        <f>Item_Enchant_Old!B210</f>
        <v>ACTIVE_ATTACK_SPEED_UP</v>
      </c>
      <c r="C206" s="29">
        <f>Item_Enchant_Old!C210</f>
        <v>617</v>
      </c>
      <c r="D206" s="29">
        <f>Item_Enchant_Old!D210</f>
        <v>1</v>
      </c>
      <c r="E206" s="29">
        <f>Item_Enchant_Old!E210</f>
        <v>0</v>
      </c>
      <c r="F206" s="29">
        <f>Item_Enchant_Old!F210</f>
        <v>0</v>
      </c>
      <c r="G206" s="29">
        <f>Item_Enchant_Old!G210</f>
        <v>10</v>
      </c>
      <c r="H206" s="29" t="str">
        <f>Item_Enchant_Old!H210</f>
        <v>@</v>
      </c>
      <c r="I206" s="29">
        <f>Item_Enchant_Old!I210</f>
        <v>1</v>
      </c>
      <c r="J206" s="29" t="str">
        <f>Item_Enchant_Old!J210</f>
        <v>절대값/상대값(%) 가능</v>
      </c>
      <c r="K206" s="29">
        <f>Item_Enchant_Old!K210</f>
        <v>4</v>
      </c>
      <c r="L206" s="29">
        <f>Item_Enchant_Old!L210</f>
        <v>0</v>
      </c>
      <c r="M206" s="29">
        <f>Item_Enchant_Old!M210</f>
        <v>5</v>
      </c>
      <c r="N206" s="29">
        <f>Item_Enchant_Old!N210</f>
        <v>10</v>
      </c>
      <c r="O206" s="29">
        <f>Item_Enchant_Old!O210</f>
        <v>1</v>
      </c>
      <c r="P206" s="29">
        <f>Item_Enchant_Old!P210</f>
        <v>1</v>
      </c>
      <c r="Q206" s="29">
        <f>Item_Enchant_Old!Q210</f>
        <v>1</v>
      </c>
      <c r="R206" s="29">
        <f>Item_Enchant_Old!R210</f>
        <v>1</v>
      </c>
    </row>
    <row r="207" spans="1:18" s="29" customFormat="1" hidden="1">
      <c r="A207" s="29">
        <f>Item_Enchant_Old!A211</f>
        <v>206</v>
      </c>
      <c r="B207" s="29" t="str">
        <f>Item_Enchant_Old!B211</f>
        <v>ACTIVE_DEX_UP</v>
      </c>
      <c r="C207" s="29">
        <f>Item_Enchant_Old!C211</f>
        <v>613</v>
      </c>
      <c r="D207" s="29">
        <f>Item_Enchant_Old!D211</f>
        <v>0</v>
      </c>
      <c r="E207" s="29">
        <f>Item_Enchant_Old!E211</f>
        <v>0</v>
      </c>
      <c r="F207" s="29">
        <f>Item_Enchant_Old!F211</f>
        <v>0</v>
      </c>
      <c r="G207" s="29">
        <f>Item_Enchant_Old!G211</f>
        <v>3</v>
      </c>
      <c r="H207" s="29" t="str">
        <f>Item_Enchant_Old!H211</f>
        <v>@</v>
      </c>
      <c r="I207" s="29">
        <f>Item_Enchant_Old!I211</f>
        <v>1</v>
      </c>
      <c r="J207" s="29" t="str">
        <f>Item_Enchant_Old!J211</f>
        <v>절대값/상대값(%) 가능</v>
      </c>
      <c r="K207" s="29">
        <f>Item_Enchant_Old!K211</f>
        <v>4</v>
      </c>
      <c r="L207" s="29">
        <f>Item_Enchant_Old!L211</f>
        <v>0</v>
      </c>
      <c r="M207" s="29">
        <f>Item_Enchant_Old!M211</f>
        <v>5</v>
      </c>
      <c r="N207" s="29">
        <f>Item_Enchant_Old!N211</f>
        <v>44</v>
      </c>
      <c r="O207" s="29">
        <f>Item_Enchant_Old!O211</f>
        <v>1</v>
      </c>
      <c r="P207" s="29">
        <f>Item_Enchant_Old!P211</f>
        <v>1</v>
      </c>
      <c r="Q207" s="29">
        <f>Item_Enchant_Old!Q211</f>
        <v>1</v>
      </c>
      <c r="R207" s="29">
        <f>Item_Enchant_Old!R211</f>
        <v>1</v>
      </c>
    </row>
    <row r="208" spans="1:18" s="29" customFormat="1" hidden="1">
      <c r="A208" s="29">
        <f>Item_Enchant_Old!A212</f>
        <v>207</v>
      </c>
      <c r="B208" s="29" t="str">
        <f>Item_Enchant_Old!B212</f>
        <v>ACTIVE_FOC_UP</v>
      </c>
      <c r="C208" s="29">
        <f>Item_Enchant_Old!C212</f>
        <v>612</v>
      </c>
      <c r="D208" s="29">
        <f>Item_Enchant_Old!D212</f>
        <v>0</v>
      </c>
      <c r="E208" s="29">
        <f>Item_Enchant_Old!E212</f>
        <v>0</v>
      </c>
      <c r="F208" s="29">
        <f>Item_Enchant_Old!F212</f>
        <v>0</v>
      </c>
      <c r="G208" s="29">
        <f>Item_Enchant_Old!G212</f>
        <v>2</v>
      </c>
      <c r="H208" s="29" t="str">
        <f>Item_Enchant_Old!H212</f>
        <v>@</v>
      </c>
      <c r="I208" s="29">
        <f>Item_Enchant_Old!I212</f>
        <v>1</v>
      </c>
      <c r="J208" s="29" t="str">
        <f>Item_Enchant_Old!J212</f>
        <v>절대값/상대값(%) 가능</v>
      </c>
      <c r="K208" s="29">
        <f>Item_Enchant_Old!K212</f>
        <v>4</v>
      </c>
      <c r="L208" s="29">
        <f>Item_Enchant_Old!L212</f>
        <v>0</v>
      </c>
      <c r="M208" s="29">
        <f>Item_Enchant_Old!M212</f>
        <v>5</v>
      </c>
      <c r="N208" s="29">
        <f>Item_Enchant_Old!N212</f>
        <v>53</v>
      </c>
      <c r="O208" s="29">
        <f>Item_Enchant_Old!O212</f>
        <v>1</v>
      </c>
      <c r="P208" s="29">
        <f>Item_Enchant_Old!P212</f>
        <v>1</v>
      </c>
      <c r="Q208" s="29">
        <f>Item_Enchant_Old!Q212</f>
        <v>1</v>
      </c>
      <c r="R208" s="29">
        <f>Item_Enchant_Old!R212</f>
        <v>1</v>
      </c>
    </row>
    <row r="209" spans="1:18" s="29" customFormat="1" hidden="1">
      <c r="A209" s="29">
        <f>Item_Enchant_Old!A213</f>
        <v>208</v>
      </c>
      <c r="B209" s="29" t="str">
        <f>Item_Enchant_Old!B213</f>
        <v>ACTIVE_PHYSICAL_OFFENCE_UP</v>
      </c>
      <c r="C209" s="29">
        <f>Item_Enchant_Old!C213</f>
        <v>606</v>
      </c>
      <c r="D209" s="29">
        <f>Item_Enchant_Old!D213</f>
        <v>0</v>
      </c>
      <c r="E209" s="29">
        <f>Item_Enchant_Old!E213</f>
        <v>0</v>
      </c>
      <c r="F209" s="29">
        <f>Item_Enchant_Old!F213</f>
        <v>0</v>
      </c>
      <c r="G209" s="29">
        <f>Item_Enchant_Old!G213</f>
        <v>1</v>
      </c>
      <c r="H209" s="29" t="str">
        <f>Item_Enchant_Old!H213</f>
        <v>@</v>
      </c>
      <c r="I209" s="29">
        <f>Item_Enchant_Old!I213</f>
        <v>1</v>
      </c>
      <c r="J209" s="29" t="str">
        <f>Item_Enchant_Old!J213</f>
        <v>절대값/상대값(%) 가능</v>
      </c>
      <c r="K209" s="29">
        <f>Item_Enchant_Old!K213</f>
        <v>4</v>
      </c>
      <c r="L209" s="29">
        <f>Item_Enchant_Old!L213</f>
        <v>0</v>
      </c>
      <c r="M209" s="29">
        <f>Item_Enchant_Old!M213</f>
        <v>5</v>
      </c>
      <c r="N209" s="29">
        <f>Item_Enchant_Old!N213</f>
        <v>125</v>
      </c>
      <c r="O209" s="29">
        <f>Item_Enchant_Old!O213</f>
        <v>1</v>
      </c>
      <c r="P209" s="29">
        <f>Item_Enchant_Old!P213</f>
        <v>1</v>
      </c>
      <c r="Q209" s="29">
        <f>Item_Enchant_Old!Q213</f>
        <v>1</v>
      </c>
      <c r="R209" s="29">
        <f>Item_Enchant_Old!R213</f>
        <v>1</v>
      </c>
    </row>
    <row r="210" spans="1:18" s="29" customFormat="1" hidden="1">
      <c r="A210" s="29">
        <f>Item_Enchant_Old!A214</f>
        <v>209</v>
      </c>
      <c r="B210" s="29" t="str">
        <f>Item_Enchant_Old!B214</f>
        <v>ACTIVE_ENERGY_OFFENCE_UP</v>
      </c>
      <c r="C210" s="29">
        <f>Item_Enchant_Old!C214</f>
        <v>607</v>
      </c>
      <c r="D210" s="29">
        <f>Item_Enchant_Old!D214</f>
        <v>0</v>
      </c>
      <c r="E210" s="29">
        <f>Item_Enchant_Old!E214</f>
        <v>0</v>
      </c>
      <c r="F210" s="29">
        <f>Item_Enchant_Old!F214</f>
        <v>0</v>
      </c>
      <c r="G210" s="29">
        <f>Item_Enchant_Old!G214</f>
        <v>1</v>
      </c>
      <c r="H210" s="29" t="str">
        <f>Item_Enchant_Old!H214</f>
        <v>@</v>
      </c>
      <c r="I210" s="29">
        <f>Item_Enchant_Old!I214</f>
        <v>1</v>
      </c>
      <c r="J210" s="29" t="str">
        <f>Item_Enchant_Old!J214</f>
        <v>절대값/상대값(%) 가능</v>
      </c>
      <c r="K210" s="29">
        <f>Item_Enchant_Old!K214</f>
        <v>4</v>
      </c>
      <c r="L210" s="29">
        <f>Item_Enchant_Old!L214</f>
        <v>0</v>
      </c>
      <c r="M210" s="29">
        <f>Item_Enchant_Old!M214</f>
        <v>5</v>
      </c>
      <c r="N210" s="29">
        <f>Item_Enchant_Old!N214</f>
        <v>104</v>
      </c>
      <c r="O210" s="29">
        <f>Item_Enchant_Old!O214</f>
        <v>1</v>
      </c>
      <c r="P210" s="29">
        <f>Item_Enchant_Old!P214</f>
        <v>1</v>
      </c>
      <c r="Q210" s="29">
        <f>Item_Enchant_Old!Q214</f>
        <v>1</v>
      </c>
      <c r="R210" s="29">
        <f>Item_Enchant_Old!R214</f>
        <v>1</v>
      </c>
    </row>
    <row r="211" spans="1:18" s="29" customFormat="1" hidden="1">
      <c r="A211" s="29">
        <f>Item_Enchant_Old!A215</f>
        <v>210</v>
      </c>
      <c r="B211" s="29" t="str">
        <f>Item_Enchant_Old!B215</f>
        <v>ACTIVE_PHYSICAL_OFFENCE_UP</v>
      </c>
      <c r="C211" s="29">
        <f>Item_Enchant_Old!C215</f>
        <v>606</v>
      </c>
      <c r="D211" s="29">
        <f>Item_Enchant_Old!D215</f>
        <v>0</v>
      </c>
      <c r="E211" s="29">
        <f>Item_Enchant_Old!E215</f>
        <v>0</v>
      </c>
      <c r="F211" s="29">
        <f>Item_Enchant_Old!F215</f>
        <v>0</v>
      </c>
      <c r="G211" s="29">
        <f>Item_Enchant_Old!G215</f>
        <v>1</v>
      </c>
      <c r="H211" s="29" t="str">
        <f>Item_Enchant_Old!H215</f>
        <v>@</v>
      </c>
      <c r="I211" s="29">
        <f>Item_Enchant_Old!I215</f>
        <v>1</v>
      </c>
      <c r="J211" s="29" t="str">
        <f>Item_Enchant_Old!J215</f>
        <v>절대값/상대값(%) 가능</v>
      </c>
      <c r="K211" s="29">
        <f>Item_Enchant_Old!K215</f>
        <v>4</v>
      </c>
      <c r="L211" s="29">
        <f>Item_Enchant_Old!L215</f>
        <v>0</v>
      </c>
      <c r="M211" s="29">
        <f>Item_Enchant_Old!M215</f>
        <v>6</v>
      </c>
      <c r="N211" s="29">
        <f>Item_Enchant_Old!N215</f>
        <v>125</v>
      </c>
      <c r="O211" s="29">
        <f>Item_Enchant_Old!O215</f>
        <v>1</v>
      </c>
      <c r="P211" s="29">
        <f>Item_Enchant_Old!P215</f>
        <v>1</v>
      </c>
      <c r="Q211" s="29">
        <f>Item_Enchant_Old!Q215</f>
        <v>1</v>
      </c>
      <c r="R211" s="29">
        <f>Item_Enchant_Old!R215</f>
        <v>1</v>
      </c>
    </row>
    <row r="212" spans="1:18" s="29" customFormat="1" hidden="1">
      <c r="A212" s="29">
        <f>Item_Enchant_Old!A216</f>
        <v>211</v>
      </c>
      <c r="B212" s="29" t="str">
        <f>Item_Enchant_Old!B216</f>
        <v>ACTIVE_ENERGY_OFFENCE_UP</v>
      </c>
      <c r="C212" s="29">
        <f>Item_Enchant_Old!C216</f>
        <v>607</v>
      </c>
      <c r="D212" s="29">
        <f>Item_Enchant_Old!D216</f>
        <v>0</v>
      </c>
      <c r="E212" s="29">
        <f>Item_Enchant_Old!E216</f>
        <v>0</v>
      </c>
      <c r="F212" s="29">
        <f>Item_Enchant_Old!F216</f>
        <v>0</v>
      </c>
      <c r="G212" s="29">
        <f>Item_Enchant_Old!G216</f>
        <v>1</v>
      </c>
      <c r="H212" s="29" t="str">
        <f>Item_Enchant_Old!H216</f>
        <v>@</v>
      </c>
      <c r="I212" s="29">
        <f>Item_Enchant_Old!I216</f>
        <v>1</v>
      </c>
      <c r="J212" s="29" t="str">
        <f>Item_Enchant_Old!J216</f>
        <v>절대값/상대값(%) 가능</v>
      </c>
      <c r="K212" s="29">
        <f>Item_Enchant_Old!K216</f>
        <v>4</v>
      </c>
      <c r="L212" s="29">
        <f>Item_Enchant_Old!L216</f>
        <v>0</v>
      </c>
      <c r="M212" s="29">
        <f>Item_Enchant_Old!M216</f>
        <v>6</v>
      </c>
      <c r="N212" s="29">
        <f>Item_Enchant_Old!N216</f>
        <v>104</v>
      </c>
      <c r="O212" s="29">
        <f>Item_Enchant_Old!O216</f>
        <v>1</v>
      </c>
      <c r="P212" s="29">
        <f>Item_Enchant_Old!P216</f>
        <v>1</v>
      </c>
      <c r="Q212" s="29">
        <f>Item_Enchant_Old!Q216</f>
        <v>1</v>
      </c>
      <c r="R212" s="29">
        <f>Item_Enchant_Old!R216</f>
        <v>1</v>
      </c>
    </row>
    <row r="213" spans="1:18" s="29" customFormat="1" hidden="1">
      <c r="A213" s="29">
        <f>Item_Enchant_Old!A217</f>
        <v>212</v>
      </c>
      <c r="B213" s="29" t="str">
        <f>Item_Enchant_Old!B217</f>
        <v>ACTIVE_STR_UP</v>
      </c>
      <c r="C213" s="29">
        <f>Item_Enchant_Old!C217</f>
        <v>610</v>
      </c>
      <c r="D213" s="29">
        <f>Item_Enchant_Old!D217</f>
        <v>0</v>
      </c>
      <c r="E213" s="29">
        <f>Item_Enchant_Old!E217</f>
        <v>0</v>
      </c>
      <c r="F213" s="29">
        <f>Item_Enchant_Old!F217</f>
        <v>0</v>
      </c>
      <c r="G213" s="29">
        <f>Item_Enchant_Old!G217</f>
        <v>2</v>
      </c>
      <c r="H213" s="29" t="str">
        <f>Item_Enchant_Old!H217</f>
        <v>@</v>
      </c>
      <c r="I213" s="29">
        <f>Item_Enchant_Old!I217</f>
        <v>1</v>
      </c>
      <c r="J213" s="29" t="str">
        <f>Item_Enchant_Old!J217</f>
        <v>절대값/상대값(%) 가능</v>
      </c>
      <c r="K213" s="29">
        <f>Item_Enchant_Old!K217</f>
        <v>4</v>
      </c>
      <c r="L213" s="29">
        <f>Item_Enchant_Old!L217</f>
        <v>0</v>
      </c>
      <c r="M213" s="29">
        <f>Item_Enchant_Old!M217</f>
        <v>6</v>
      </c>
      <c r="N213" s="29">
        <f>Item_Enchant_Old!N217</f>
        <v>57</v>
      </c>
      <c r="O213" s="29">
        <f>Item_Enchant_Old!O217</f>
        <v>1</v>
      </c>
      <c r="P213" s="29">
        <f>Item_Enchant_Old!P217</f>
        <v>1</v>
      </c>
      <c r="Q213" s="29">
        <f>Item_Enchant_Old!Q217</f>
        <v>1</v>
      </c>
      <c r="R213" s="29">
        <f>Item_Enchant_Old!R217</f>
        <v>1</v>
      </c>
    </row>
    <row r="214" spans="1:18" s="29" customFormat="1" hidden="1">
      <c r="A214" s="29">
        <f>Item_Enchant_Old!A218</f>
        <v>213</v>
      </c>
      <c r="B214" s="29" t="str">
        <f>Item_Enchant_Old!B218</f>
        <v>ACTIVE_SOL_UP</v>
      </c>
      <c r="C214" s="29">
        <f>Item_Enchant_Old!C218</f>
        <v>614</v>
      </c>
      <c r="D214" s="29">
        <f>Item_Enchant_Old!D218</f>
        <v>0</v>
      </c>
      <c r="E214" s="29">
        <f>Item_Enchant_Old!E218</f>
        <v>0</v>
      </c>
      <c r="F214" s="29">
        <f>Item_Enchant_Old!F218</f>
        <v>0</v>
      </c>
      <c r="G214" s="29">
        <f>Item_Enchant_Old!G218</f>
        <v>2</v>
      </c>
      <c r="H214" s="29" t="str">
        <f>Item_Enchant_Old!H218</f>
        <v>@</v>
      </c>
      <c r="I214" s="29">
        <f>Item_Enchant_Old!I218</f>
        <v>1</v>
      </c>
      <c r="J214" s="29" t="str">
        <f>Item_Enchant_Old!J218</f>
        <v>절대값/상대값(%) 가능</v>
      </c>
      <c r="K214" s="29">
        <f>Item_Enchant_Old!K218</f>
        <v>4</v>
      </c>
      <c r="L214" s="29">
        <f>Item_Enchant_Old!L218</f>
        <v>0</v>
      </c>
      <c r="M214" s="29">
        <f>Item_Enchant_Old!M218</f>
        <v>6</v>
      </c>
      <c r="N214" s="29">
        <f>Item_Enchant_Old!N218</f>
        <v>53</v>
      </c>
      <c r="O214" s="29">
        <f>Item_Enchant_Old!O218</f>
        <v>1</v>
      </c>
      <c r="P214" s="29">
        <f>Item_Enchant_Old!P218</f>
        <v>1</v>
      </c>
      <c r="Q214" s="29">
        <f>Item_Enchant_Old!Q218</f>
        <v>1</v>
      </c>
      <c r="R214" s="29">
        <f>Item_Enchant_Old!R218</f>
        <v>1</v>
      </c>
    </row>
    <row r="215" spans="1:18" s="29" customFormat="1" hidden="1">
      <c r="A215" s="29">
        <f>Item_Enchant_Old!A219</f>
        <v>214</v>
      </c>
      <c r="B215" s="29" t="str">
        <f>Item_Enchant_Old!B219</f>
        <v>ACTIVE_PHYSICAL_CRITICAL_DAMAGE_UP</v>
      </c>
      <c r="C215" s="29">
        <f>Item_Enchant_Old!C219</f>
        <v>658</v>
      </c>
      <c r="D215" s="29">
        <f>Item_Enchant_Old!D219</f>
        <v>0</v>
      </c>
      <c r="E215" s="29">
        <f>Item_Enchant_Old!E219</f>
        <v>0</v>
      </c>
      <c r="F215" s="29">
        <f>Item_Enchant_Old!F219</f>
        <v>0</v>
      </c>
      <c r="G215" s="29">
        <f>Item_Enchant_Old!G219</f>
        <v>4</v>
      </c>
      <c r="H215" s="29" t="str">
        <f>Item_Enchant_Old!H219</f>
        <v>@</v>
      </c>
      <c r="I215" s="29">
        <f>Item_Enchant_Old!I219</f>
        <v>1</v>
      </c>
      <c r="J215" s="29" t="str">
        <f>Item_Enchant_Old!J219</f>
        <v>절대값만 가능</v>
      </c>
      <c r="K215" s="29">
        <f>Item_Enchant_Old!K219</f>
        <v>4</v>
      </c>
      <c r="L215" s="29">
        <f>Item_Enchant_Old!L219</f>
        <v>0</v>
      </c>
      <c r="M215" s="29">
        <f>Item_Enchant_Old!M219</f>
        <v>6</v>
      </c>
      <c r="N215" s="29">
        <f>Item_Enchant_Old!N219</f>
        <v>28</v>
      </c>
      <c r="O215" s="29">
        <f>Item_Enchant_Old!O219</f>
        <v>1</v>
      </c>
      <c r="P215" s="29">
        <f>Item_Enchant_Old!P219</f>
        <v>1</v>
      </c>
      <c r="Q215" s="29">
        <f>Item_Enchant_Old!Q219</f>
        <v>1</v>
      </c>
      <c r="R215" s="29">
        <f>Item_Enchant_Old!R219</f>
        <v>1</v>
      </c>
    </row>
    <row r="216" spans="1:18" s="29" customFormat="1" hidden="1">
      <c r="A216" s="29">
        <f>Item_Enchant_Old!A220</f>
        <v>215</v>
      </c>
      <c r="B216" s="29" t="str">
        <f>Item_Enchant_Old!B220</f>
        <v>ACTIVE_ENERGY_CRITICAL_DAMAGE_UP</v>
      </c>
      <c r="C216" s="29">
        <f>Item_Enchant_Old!C220</f>
        <v>659</v>
      </c>
      <c r="D216" s="29">
        <f>Item_Enchant_Old!D220</f>
        <v>0</v>
      </c>
      <c r="E216" s="29">
        <f>Item_Enchant_Old!E220</f>
        <v>0</v>
      </c>
      <c r="F216" s="29">
        <f>Item_Enchant_Old!F220</f>
        <v>0</v>
      </c>
      <c r="G216" s="29">
        <f>Item_Enchant_Old!G220</f>
        <v>4</v>
      </c>
      <c r="H216" s="29" t="str">
        <f>Item_Enchant_Old!H220</f>
        <v>@</v>
      </c>
      <c r="I216" s="29">
        <f>Item_Enchant_Old!I220</f>
        <v>1</v>
      </c>
      <c r="J216" s="29" t="str">
        <f>Item_Enchant_Old!J220</f>
        <v>절대값만 가능</v>
      </c>
      <c r="K216" s="29">
        <f>Item_Enchant_Old!K220</f>
        <v>4</v>
      </c>
      <c r="L216" s="29">
        <f>Item_Enchant_Old!L220</f>
        <v>0</v>
      </c>
      <c r="M216" s="29">
        <f>Item_Enchant_Old!M220</f>
        <v>6</v>
      </c>
      <c r="N216" s="29">
        <f>Item_Enchant_Old!N220</f>
        <v>32</v>
      </c>
      <c r="O216" s="29">
        <f>Item_Enchant_Old!O220</f>
        <v>1</v>
      </c>
      <c r="P216" s="29">
        <f>Item_Enchant_Old!P220</f>
        <v>1</v>
      </c>
      <c r="Q216" s="29">
        <f>Item_Enchant_Old!Q220</f>
        <v>1</v>
      </c>
      <c r="R216" s="29">
        <f>Item_Enchant_Old!R220</f>
        <v>1</v>
      </c>
    </row>
    <row r="217" spans="1:18" s="29" customFormat="1" hidden="1">
      <c r="A217" s="29">
        <f>Item_Enchant_Old!A221</f>
        <v>216</v>
      </c>
      <c r="B217" s="29" t="str">
        <f>Item_Enchant_Old!B221</f>
        <v>ACTIVE_FOC_UP</v>
      </c>
      <c r="C217" s="29">
        <f>Item_Enchant_Old!C221</f>
        <v>612</v>
      </c>
      <c r="D217" s="29">
        <f>Item_Enchant_Old!D221</f>
        <v>0</v>
      </c>
      <c r="E217" s="29">
        <f>Item_Enchant_Old!E221</f>
        <v>0</v>
      </c>
      <c r="F217" s="29">
        <f>Item_Enchant_Old!F221</f>
        <v>0</v>
      </c>
      <c r="G217" s="29">
        <f>Item_Enchant_Old!G221</f>
        <v>2</v>
      </c>
      <c r="H217" s="29" t="str">
        <f>Item_Enchant_Old!H221</f>
        <v>@</v>
      </c>
      <c r="I217" s="29">
        <f>Item_Enchant_Old!I221</f>
        <v>1</v>
      </c>
      <c r="J217" s="29" t="str">
        <f>Item_Enchant_Old!J221</f>
        <v>절대값/상대값(%) 가능</v>
      </c>
      <c r="K217" s="29">
        <f>Item_Enchant_Old!K221</f>
        <v>4</v>
      </c>
      <c r="L217" s="29">
        <f>Item_Enchant_Old!L221</f>
        <v>0</v>
      </c>
      <c r="M217" s="29">
        <f>Item_Enchant_Old!M221</f>
        <v>7</v>
      </c>
      <c r="N217" s="29">
        <f>Item_Enchant_Old!N221</f>
        <v>53</v>
      </c>
      <c r="O217" s="29">
        <f>Item_Enchant_Old!O221</f>
        <v>1</v>
      </c>
      <c r="P217" s="29">
        <f>Item_Enchant_Old!P221</f>
        <v>1</v>
      </c>
      <c r="Q217" s="29">
        <f>Item_Enchant_Old!Q221</f>
        <v>1</v>
      </c>
      <c r="R217" s="29">
        <f>Item_Enchant_Old!R221</f>
        <v>1</v>
      </c>
    </row>
    <row r="218" spans="1:18" s="29" customFormat="1" hidden="1">
      <c r="A218" s="29">
        <f>Item_Enchant_Old!A222</f>
        <v>217</v>
      </c>
      <c r="B218" s="29" t="str">
        <f>Item_Enchant_Old!B222</f>
        <v>ACTIVE_ATTACK_RATE_UP</v>
      </c>
      <c r="C218" s="29">
        <f>Item_Enchant_Old!C222</f>
        <v>618</v>
      </c>
      <c r="D218" s="29">
        <f>Item_Enchant_Old!D222</f>
        <v>0</v>
      </c>
      <c r="E218" s="29">
        <f>Item_Enchant_Old!E222</f>
        <v>0</v>
      </c>
      <c r="F218" s="29">
        <f>Item_Enchant_Old!F222</f>
        <v>0</v>
      </c>
      <c r="G218" s="29">
        <f>Item_Enchant_Old!G222</f>
        <v>1</v>
      </c>
      <c r="H218" s="29" t="str">
        <f>Item_Enchant_Old!H222</f>
        <v>@</v>
      </c>
      <c r="I218" s="29">
        <f>Item_Enchant_Old!I222</f>
        <v>1</v>
      </c>
      <c r="J218" s="29" t="str">
        <f>Item_Enchant_Old!J222</f>
        <v>절대값/상대값(%) 가능</v>
      </c>
      <c r="K218" s="29">
        <f>Item_Enchant_Old!K222</f>
        <v>4</v>
      </c>
      <c r="L218" s="29">
        <f>Item_Enchant_Old!L222</f>
        <v>0</v>
      </c>
      <c r="M218" s="29">
        <f>Item_Enchant_Old!M222</f>
        <v>7</v>
      </c>
      <c r="N218" s="29">
        <f>Item_Enchant_Old!N222</f>
        <v>528</v>
      </c>
      <c r="O218" s="29">
        <f>Item_Enchant_Old!O222</f>
        <v>1</v>
      </c>
      <c r="P218" s="29">
        <f>Item_Enchant_Old!P222</f>
        <v>1</v>
      </c>
      <c r="Q218" s="29">
        <f>Item_Enchant_Old!Q222</f>
        <v>1</v>
      </c>
      <c r="R218" s="29">
        <f>Item_Enchant_Old!R222</f>
        <v>1</v>
      </c>
    </row>
    <row r="219" spans="1:18" s="29" customFormat="1" hidden="1">
      <c r="A219" s="29">
        <f>Item_Enchant_Old!A223</f>
        <v>218</v>
      </c>
      <c r="B219" s="29" t="str">
        <f>Item_Enchant_Old!B223</f>
        <v>ACTIVE_ENG_UP</v>
      </c>
      <c r="C219" s="29">
        <f>Item_Enchant_Old!C223</f>
        <v>615</v>
      </c>
      <c r="D219" s="29">
        <f>Item_Enchant_Old!D223</f>
        <v>0</v>
      </c>
      <c r="E219" s="29">
        <f>Item_Enchant_Old!E223</f>
        <v>0</v>
      </c>
      <c r="F219" s="29">
        <f>Item_Enchant_Old!F223</f>
        <v>0</v>
      </c>
      <c r="G219" s="29">
        <f>Item_Enchant_Old!G223</f>
        <v>2</v>
      </c>
      <c r="H219" s="29" t="str">
        <f>Item_Enchant_Old!H223</f>
        <v>@</v>
      </c>
      <c r="I219" s="29">
        <f>Item_Enchant_Old!I223</f>
        <v>1</v>
      </c>
      <c r="J219" s="29" t="str">
        <f>Item_Enchant_Old!J223</f>
        <v>절대값/상대값(%) 가능</v>
      </c>
      <c r="K219" s="29">
        <f>Item_Enchant_Old!K223</f>
        <v>4</v>
      </c>
      <c r="L219" s="29">
        <f>Item_Enchant_Old!L223</f>
        <v>0</v>
      </c>
      <c r="M219" s="29">
        <f>Item_Enchant_Old!M223</f>
        <v>7</v>
      </c>
      <c r="N219" s="29">
        <f>Item_Enchant_Old!N223</f>
        <v>62</v>
      </c>
      <c r="O219" s="29">
        <f>Item_Enchant_Old!O223</f>
        <v>1</v>
      </c>
      <c r="P219" s="29">
        <f>Item_Enchant_Old!P223</f>
        <v>1</v>
      </c>
      <c r="Q219" s="29">
        <f>Item_Enchant_Old!Q223</f>
        <v>1</v>
      </c>
      <c r="R219" s="29">
        <f>Item_Enchant_Old!R223</f>
        <v>1</v>
      </c>
    </row>
    <row r="220" spans="1:18" s="29" customFormat="1" hidden="1">
      <c r="A220" s="29">
        <f>Item_Enchant_Old!A224</f>
        <v>219</v>
      </c>
      <c r="B220" s="29" t="str">
        <f>Item_Enchant_Old!B224</f>
        <v>ACTIVE_PHYSICAL_CRITICAL</v>
      </c>
      <c r="C220" s="29">
        <f>Item_Enchant_Old!C224</f>
        <v>632</v>
      </c>
      <c r="D220" s="29">
        <f>Item_Enchant_Old!D224</f>
        <v>0</v>
      </c>
      <c r="E220" s="29">
        <f>Item_Enchant_Old!E224</f>
        <v>0</v>
      </c>
      <c r="F220" s="29">
        <f>Item_Enchant_Old!F224</f>
        <v>0</v>
      </c>
      <c r="G220" s="29">
        <f>Item_Enchant_Old!G224</f>
        <v>5</v>
      </c>
      <c r="H220" s="29" t="str">
        <f>Item_Enchant_Old!H224</f>
        <v>@</v>
      </c>
      <c r="I220" s="29">
        <f>Item_Enchant_Old!I224</f>
        <v>1</v>
      </c>
      <c r="J220" s="29" t="str">
        <f>Item_Enchant_Old!J224</f>
        <v>절대값/상대값(%) 가능</v>
      </c>
      <c r="K220" s="29">
        <f>Item_Enchant_Old!K224</f>
        <v>4</v>
      </c>
      <c r="L220" s="29">
        <f>Item_Enchant_Old!L224</f>
        <v>0</v>
      </c>
      <c r="M220" s="29">
        <f>Item_Enchant_Old!M224</f>
        <v>7</v>
      </c>
      <c r="N220" s="29">
        <f>Item_Enchant_Old!N224</f>
        <v>21</v>
      </c>
      <c r="O220" s="29">
        <f>Item_Enchant_Old!O224</f>
        <v>1</v>
      </c>
      <c r="P220" s="29">
        <f>Item_Enchant_Old!P224</f>
        <v>1</v>
      </c>
      <c r="Q220" s="29">
        <f>Item_Enchant_Old!Q224</f>
        <v>1</v>
      </c>
      <c r="R220" s="29">
        <f>Item_Enchant_Old!R224</f>
        <v>1</v>
      </c>
    </row>
    <row r="221" spans="1:18" s="29" customFormat="1" hidden="1">
      <c r="A221" s="29">
        <f>Item_Enchant_Old!A225</f>
        <v>220</v>
      </c>
      <c r="B221" s="29" t="str">
        <f>Item_Enchant_Old!B225</f>
        <v>ACTIVE_ENERGY_CRITICAL</v>
      </c>
      <c r="C221" s="29">
        <f>Item_Enchant_Old!C225</f>
        <v>633</v>
      </c>
      <c r="D221" s="29">
        <f>Item_Enchant_Old!D225</f>
        <v>0</v>
      </c>
      <c r="E221" s="29">
        <f>Item_Enchant_Old!E225</f>
        <v>0</v>
      </c>
      <c r="F221" s="29">
        <f>Item_Enchant_Old!F225</f>
        <v>0</v>
      </c>
      <c r="G221" s="29">
        <f>Item_Enchant_Old!G225</f>
        <v>5</v>
      </c>
      <c r="H221" s="29" t="str">
        <f>Item_Enchant_Old!H225</f>
        <v>@</v>
      </c>
      <c r="I221" s="29">
        <f>Item_Enchant_Old!I225</f>
        <v>1</v>
      </c>
      <c r="J221" s="29" t="str">
        <f>Item_Enchant_Old!J225</f>
        <v>절대값/상대값(%) 가능</v>
      </c>
      <c r="K221" s="29">
        <f>Item_Enchant_Old!K225</f>
        <v>4</v>
      </c>
      <c r="L221" s="29">
        <f>Item_Enchant_Old!L225</f>
        <v>0</v>
      </c>
      <c r="M221" s="29">
        <f>Item_Enchant_Old!M225</f>
        <v>7</v>
      </c>
      <c r="N221" s="29">
        <f>Item_Enchant_Old!N225</f>
        <v>24</v>
      </c>
      <c r="O221" s="29">
        <f>Item_Enchant_Old!O225</f>
        <v>1</v>
      </c>
      <c r="P221" s="29">
        <f>Item_Enchant_Old!P225</f>
        <v>1</v>
      </c>
      <c r="Q221" s="29">
        <f>Item_Enchant_Old!Q225</f>
        <v>1</v>
      </c>
      <c r="R221" s="29">
        <f>Item_Enchant_Old!R225</f>
        <v>1</v>
      </c>
    </row>
    <row r="222" spans="1:18" s="29" customFormat="1" hidden="1">
      <c r="A222" s="29">
        <f>Item_Enchant_Old!A226</f>
        <v>221</v>
      </c>
      <c r="B222" s="29" t="str">
        <f>Item_Enchant_Old!B226</f>
        <v>ACTIVE_FOC_UP</v>
      </c>
      <c r="C222" s="29">
        <f>Item_Enchant_Old!C226</f>
        <v>612</v>
      </c>
      <c r="D222" s="29">
        <f>Item_Enchant_Old!D226</f>
        <v>0</v>
      </c>
      <c r="E222" s="29">
        <f>Item_Enchant_Old!E226</f>
        <v>0</v>
      </c>
      <c r="F222" s="29">
        <f>Item_Enchant_Old!F226</f>
        <v>0</v>
      </c>
      <c r="G222" s="29">
        <f>Item_Enchant_Old!G226</f>
        <v>2</v>
      </c>
      <c r="H222" s="29" t="str">
        <f>Item_Enchant_Old!H226</f>
        <v>@</v>
      </c>
      <c r="I222" s="29">
        <f>Item_Enchant_Old!I226</f>
        <v>1</v>
      </c>
      <c r="J222" s="29" t="str">
        <f>Item_Enchant_Old!J226</f>
        <v>절대값/상대값(%) 가능</v>
      </c>
      <c r="K222" s="29">
        <f>Item_Enchant_Old!K226</f>
        <v>4</v>
      </c>
      <c r="L222" s="29">
        <f>Item_Enchant_Old!L226</f>
        <v>0</v>
      </c>
      <c r="M222" s="29">
        <f>Item_Enchant_Old!M226</f>
        <v>8</v>
      </c>
      <c r="N222" s="29">
        <f>Item_Enchant_Old!N226</f>
        <v>53</v>
      </c>
      <c r="O222" s="29">
        <f>Item_Enchant_Old!O226</f>
        <v>1</v>
      </c>
      <c r="P222" s="29">
        <f>Item_Enchant_Old!P226</f>
        <v>1</v>
      </c>
      <c r="Q222" s="29">
        <f>Item_Enchant_Old!Q226</f>
        <v>1</v>
      </c>
      <c r="R222" s="29">
        <f>Item_Enchant_Old!R226</f>
        <v>1</v>
      </c>
    </row>
    <row r="223" spans="1:18" s="29" customFormat="1" hidden="1">
      <c r="A223" s="29">
        <f>Item_Enchant_Old!A227</f>
        <v>222</v>
      </c>
      <c r="B223" s="29" t="str">
        <f>Item_Enchant_Old!B227</f>
        <v>ACTIVE_CON_UP</v>
      </c>
      <c r="C223" s="29">
        <f>Item_Enchant_Old!C227</f>
        <v>611</v>
      </c>
      <c r="D223" s="29">
        <f>Item_Enchant_Old!D227</f>
        <v>0</v>
      </c>
      <c r="E223" s="29">
        <f>Item_Enchant_Old!E227</f>
        <v>0</v>
      </c>
      <c r="F223" s="29">
        <f>Item_Enchant_Old!F227</f>
        <v>0</v>
      </c>
      <c r="G223" s="29">
        <f>Item_Enchant_Old!G227</f>
        <v>3</v>
      </c>
      <c r="H223" s="29" t="str">
        <f>Item_Enchant_Old!H227</f>
        <v>@</v>
      </c>
      <c r="I223" s="29">
        <f>Item_Enchant_Old!I227</f>
        <v>1</v>
      </c>
      <c r="J223" s="29" t="str">
        <f>Item_Enchant_Old!J227</f>
        <v>절대값/상대값(%) 가능</v>
      </c>
      <c r="K223" s="29">
        <f>Item_Enchant_Old!K227</f>
        <v>4</v>
      </c>
      <c r="L223" s="29">
        <f>Item_Enchant_Old!L227</f>
        <v>0</v>
      </c>
      <c r="M223" s="29">
        <f>Item_Enchant_Old!M227</f>
        <v>8</v>
      </c>
      <c r="N223" s="29">
        <f>Item_Enchant_Old!N227</f>
        <v>48</v>
      </c>
      <c r="O223" s="29">
        <f>Item_Enchant_Old!O227</f>
        <v>1</v>
      </c>
      <c r="P223" s="29">
        <f>Item_Enchant_Old!P227</f>
        <v>1</v>
      </c>
      <c r="Q223" s="29">
        <f>Item_Enchant_Old!Q227</f>
        <v>1</v>
      </c>
      <c r="R223" s="29">
        <f>Item_Enchant_Old!R227</f>
        <v>1</v>
      </c>
    </row>
    <row r="224" spans="1:18" s="29" customFormat="1" hidden="1">
      <c r="A224" s="29">
        <f>Item_Enchant_Old!A228</f>
        <v>223</v>
      </c>
      <c r="B224" s="29" t="str">
        <f>Item_Enchant_Old!B228</f>
        <v>ACTIVE_BLOCK_RATE_UP</v>
      </c>
      <c r="C224" s="29">
        <f>Item_Enchant_Old!C228</f>
        <v>620</v>
      </c>
      <c r="D224" s="29">
        <f>Item_Enchant_Old!D228</f>
        <v>0</v>
      </c>
      <c r="E224" s="29">
        <f>Item_Enchant_Old!E228</f>
        <v>0</v>
      </c>
      <c r="F224" s="29">
        <f>Item_Enchant_Old!F228</f>
        <v>0</v>
      </c>
      <c r="G224" s="29">
        <f>Item_Enchant_Old!G228</f>
        <v>1</v>
      </c>
      <c r="H224" s="29" t="str">
        <f>Item_Enchant_Old!H228</f>
        <v>@</v>
      </c>
      <c r="I224" s="29">
        <f>Item_Enchant_Old!I228</f>
        <v>1</v>
      </c>
      <c r="J224" s="29" t="str">
        <f>Item_Enchant_Old!J228</f>
        <v>절대값/상대값(%) 가능</v>
      </c>
      <c r="K224" s="29">
        <f>Item_Enchant_Old!K228</f>
        <v>4</v>
      </c>
      <c r="L224" s="29">
        <f>Item_Enchant_Old!L228</f>
        <v>0</v>
      </c>
      <c r="M224" s="29">
        <f>Item_Enchant_Old!M228</f>
        <v>8</v>
      </c>
      <c r="N224" s="29">
        <f>Item_Enchant_Old!N228</f>
        <v>352</v>
      </c>
      <c r="O224" s="29">
        <f>Item_Enchant_Old!O228</f>
        <v>1</v>
      </c>
      <c r="P224" s="29">
        <f>Item_Enchant_Old!P228</f>
        <v>1</v>
      </c>
      <c r="Q224" s="29">
        <f>Item_Enchant_Old!Q228</f>
        <v>1</v>
      </c>
      <c r="R224" s="29">
        <f>Item_Enchant_Old!R228</f>
        <v>1</v>
      </c>
    </row>
    <row r="225" spans="1:18" s="29" customFormat="1" hidden="1">
      <c r="A225" s="29">
        <f>Item_Enchant_Old!A229</f>
        <v>224</v>
      </c>
      <c r="B225" s="29" t="str">
        <f>Item_Enchant_Old!B229</f>
        <v>ACTIVE_ENG_UP</v>
      </c>
      <c r="C225" s="29">
        <f>Item_Enchant_Old!C229</f>
        <v>615</v>
      </c>
      <c r="D225" s="29">
        <f>Item_Enchant_Old!D229</f>
        <v>0</v>
      </c>
      <c r="E225" s="29">
        <f>Item_Enchant_Old!E229</f>
        <v>0</v>
      </c>
      <c r="F225" s="29">
        <f>Item_Enchant_Old!F229</f>
        <v>0</v>
      </c>
      <c r="G225" s="29">
        <f>Item_Enchant_Old!G229</f>
        <v>2</v>
      </c>
      <c r="H225" s="29" t="str">
        <f>Item_Enchant_Old!H229</f>
        <v>@</v>
      </c>
      <c r="I225" s="29">
        <f>Item_Enchant_Old!I229</f>
        <v>1</v>
      </c>
      <c r="J225" s="29" t="str">
        <f>Item_Enchant_Old!J229</f>
        <v>절대값/상대값(%) 가능</v>
      </c>
      <c r="K225" s="29">
        <f>Item_Enchant_Old!K229</f>
        <v>4</v>
      </c>
      <c r="L225" s="29">
        <f>Item_Enchant_Old!L229</f>
        <v>0</v>
      </c>
      <c r="M225" s="29">
        <f>Item_Enchant_Old!M229</f>
        <v>8</v>
      </c>
      <c r="N225" s="29">
        <f>Item_Enchant_Old!N229</f>
        <v>62</v>
      </c>
      <c r="O225" s="29">
        <f>Item_Enchant_Old!O229</f>
        <v>1</v>
      </c>
      <c r="P225" s="29">
        <f>Item_Enchant_Old!P229</f>
        <v>1</v>
      </c>
      <c r="Q225" s="29">
        <f>Item_Enchant_Old!Q229</f>
        <v>1</v>
      </c>
      <c r="R225" s="29">
        <f>Item_Enchant_Old!R229</f>
        <v>1</v>
      </c>
    </row>
    <row r="226" spans="1:18" s="29" customFormat="1" hidden="1">
      <c r="A226" s="29">
        <f>Item_Enchant_Old!A230</f>
        <v>225</v>
      </c>
      <c r="B226" s="29" t="str">
        <f>Item_Enchant_Old!B230</f>
        <v>ACTIVE_PHYSICAL_CRITICAL</v>
      </c>
      <c r="C226" s="29">
        <f>Item_Enchant_Old!C230</f>
        <v>632</v>
      </c>
      <c r="D226" s="29">
        <f>Item_Enchant_Old!D230</f>
        <v>0</v>
      </c>
      <c r="E226" s="29">
        <f>Item_Enchant_Old!E230</f>
        <v>0</v>
      </c>
      <c r="F226" s="29">
        <f>Item_Enchant_Old!F230</f>
        <v>0</v>
      </c>
      <c r="G226" s="29">
        <f>Item_Enchant_Old!G230</f>
        <v>5</v>
      </c>
      <c r="H226" s="29" t="str">
        <f>Item_Enchant_Old!H230</f>
        <v>@</v>
      </c>
      <c r="I226" s="29">
        <f>Item_Enchant_Old!I230</f>
        <v>1</v>
      </c>
      <c r="J226" s="29" t="str">
        <f>Item_Enchant_Old!J230</f>
        <v>절대값/상대값(%) 가능</v>
      </c>
      <c r="K226" s="29">
        <f>Item_Enchant_Old!K230</f>
        <v>4</v>
      </c>
      <c r="L226" s="29">
        <f>Item_Enchant_Old!L230</f>
        <v>0</v>
      </c>
      <c r="M226" s="29">
        <f>Item_Enchant_Old!M230</f>
        <v>9</v>
      </c>
      <c r="N226" s="29">
        <f>Item_Enchant_Old!N230</f>
        <v>21</v>
      </c>
      <c r="O226" s="29">
        <f>Item_Enchant_Old!O230</f>
        <v>1</v>
      </c>
      <c r="P226" s="29">
        <f>Item_Enchant_Old!P230</f>
        <v>1</v>
      </c>
      <c r="Q226" s="29">
        <f>Item_Enchant_Old!Q230</f>
        <v>1</v>
      </c>
      <c r="R226" s="29">
        <f>Item_Enchant_Old!R230</f>
        <v>1</v>
      </c>
    </row>
    <row r="227" spans="1:18" s="29" customFormat="1" hidden="1">
      <c r="A227" s="29">
        <f>Item_Enchant_Old!A231</f>
        <v>226</v>
      </c>
      <c r="B227" s="29" t="str">
        <f>Item_Enchant_Old!B231</f>
        <v>ACTIVE_ENERGY_CRITICAL</v>
      </c>
      <c r="C227" s="29">
        <f>Item_Enchant_Old!C231</f>
        <v>633</v>
      </c>
      <c r="D227" s="29">
        <f>Item_Enchant_Old!D231</f>
        <v>0</v>
      </c>
      <c r="E227" s="29">
        <f>Item_Enchant_Old!E231</f>
        <v>0</v>
      </c>
      <c r="F227" s="29">
        <f>Item_Enchant_Old!F231</f>
        <v>0</v>
      </c>
      <c r="G227" s="29">
        <f>Item_Enchant_Old!G231</f>
        <v>5</v>
      </c>
      <c r="H227" s="29" t="str">
        <f>Item_Enchant_Old!H231</f>
        <v>@</v>
      </c>
      <c r="I227" s="29">
        <f>Item_Enchant_Old!I231</f>
        <v>1</v>
      </c>
      <c r="J227" s="29" t="str">
        <f>Item_Enchant_Old!J231</f>
        <v>절대값/상대값(%) 가능</v>
      </c>
      <c r="K227" s="29">
        <f>Item_Enchant_Old!K231</f>
        <v>4</v>
      </c>
      <c r="L227" s="29">
        <f>Item_Enchant_Old!L231</f>
        <v>0</v>
      </c>
      <c r="M227" s="29">
        <f>Item_Enchant_Old!M231</f>
        <v>9</v>
      </c>
      <c r="N227" s="29">
        <f>Item_Enchant_Old!N231</f>
        <v>24</v>
      </c>
      <c r="O227" s="29">
        <f>Item_Enchant_Old!O231</f>
        <v>1</v>
      </c>
      <c r="P227" s="29">
        <f>Item_Enchant_Old!P231</f>
        <v>1</v>
      </c>
      <c r="Q227" s="29">
        <f>Item_Enchant_Old!Q231</f>
        <v>1</v>
      </c>
      <c r="R227" s="29">
        <f>Item_Enchant_Old!R231</f>
        <v>1</v>
      </c>
    </row>
    <row r="228" spans="1:18" s="29" customFormat="1" hidden="1">
      <c r="A228" s="29">
        <f>Item_Enchant_Old!A232</f>
        <v>227</v>
      </c>
      <c r="B228" s="29" t="str">
        <f>Item_Enchant_Old!B232</f>
        <v>ACTIVE_DEX_UP</v>
      </c>
      <c r="C228" s="29">
        <f>Item_Enchant_Old!C232</f>
        <v>613</v>
      </c>
      <c r="D228" s="29">
        <f>Item_Enchant_Old!D232</f>
        <v>0</v>
      </c>
      <c r="E228" s="29">
        <f>Item_Enchant_Old!E232</f>
        <v>0</v>
      </c>
      <c r="F228" s="29">
        <f>Item_Enchant_Old!F232</f>
        <v>0</v>
      </c>
      <c r="G228" s="29">
        <f>Item_Enchant_Old!G232</f>
        <v>3</v>
      </c>
      <c r="H228" s="29" t="str">
        <f>Item_Enchant_Old!H232</f>
        <v>@</v>
      </c>
      <c r="I228" s="29">
        <f>Item_Enchant_Old!I232</f>
        <v>1</v>
      </c>
      <c r="J228" s="29" t="str">
        <f>Item_Enchant_Old!J232</f>
        <v>절대값/상대값(%) 가능</v>
      </c>
      <c r="K228" s="29">
        <f>Item_Enchant_Old!K232</f>
        <v>4</v>
      </c>
      <c r="L228" s="29">
        <f>Item_Enchant_Old!L232</f>
        <v>0</v>
      </c>
      <c r="M228" s="29">
        <f>Item_Enchant_Old!M232</f>
        <v>9</v>
      </c>
      <c r="N228" s="29">
        <f>Item_Enchant_Old!N232</f>
        <v>44</v>
      </c>
      <c r="O228" s="29">
        <f>Item_Enchant_Old!O232</f>
        <v>1</v>
      </c>
      <c r="P228" s="29">
        <f>Item_Enchant_Old!P232</f>
        <v>1</v>
      </c>
      <c r="Q228" s="29">
        <f>Item_Enchant_Old!Q232</f>
        <v>1</v>
      </c>
      <c r="R228" s="29">
        <f>Item_Enchant_Old!R232</f>
        <v>1</v>
      </c>
    </row>
    <row r="229" spans="1:18" s="29" customFormat="1" hidden="1">
      <c r="A229" s="29">
        <f>Item_Enchant_Old!A233</f>
        <v>228</v>
      </c>
      <c r="B229" s="29" t="str">
        <f>Item_Enchant_Old!B233</f>
        <v>ACTIVE_FOC_UP</v>
      </c>
      <c r="C229" s="29">
        <f>Item_Enchant_Old!C233</f>
        <v>612</v>
      </c>
      <c r="D229" s="29">
        <f>Item_Enchant_Old!D233</f>
        <v>0</v>
      </c>
      <c r="E229" s="29">
        <f>Item_Enchant_Old!E233</f>
        <v>0</v>
      </c>
      <c r="F229" s="29">
        <f>Item_Enchant_Old!F233</f>
        <v>0</v>
      </c>
      <c r="G229" s="29">
        <f>Item_Enchant_Old!G233</f>
        <v>2</v>
      </c>
      <c r="H229" s="29" t="str">
        <f>Item_Enchant_Old!H233</f>
        <v>@</v>
      </c>
      <c r="I229" s="29">
        <f>Item_Enchant_Old!I233</f>
        <v>1</v>
      </c>
      <c r="J229" s="29" t="str">
        <f>Item_Enchant_Old!J233</f>
        <v>절대값/상대값(%) 가능</v>
      </c>
      <c r="K229" s="29">
        <f>Item_Enchant_Old!K233</f>
        <v>4</v>
      </c>
      <c r="L229" s="29">
        <f>Item_Enchant_Old!L233</f>
        <v>0</v>
      </c>
      <c r="M229" s="29">
        <f>Item_Enchant_Old!M233</f>
        <v>9</v>
      </c>
      <c r="N229" s="29">
        <f>Item_Enchant_Old!N233</f>
        <v>53</v>
      </c>
      <c r="O229" s="29">
        <f>Item_Enchant_Old!O233</f>
        <v>1</v>
      </c>
      <c r="P229" s="29">
        <f>Item_Enchant_Old!P233</f>
        <v>1</v>
      </c>
      <c r="Q229" s="29">
        <f>Item_Enchant_Old!Q233</f>
        <v>1</v>
      </c>
      <c r="R229" s="29">
        <f>Item_Enchant_Old!R233</f>
        <v>1</v>
      </c>
    </row>
    <row r="230" spans="1:18" s="29" customFormat="1" hidden="1">
      <c r="A230" s="29">
        <f>Item_Enchant_Old!A234</f>
        <v>229</v>
      </c>
      <c r="B230" s="29" t="str">
        <f>Item_Enchant_Old!B234</f>
        <v>ACTIVE_PHYSICAL_CRITICAL_DAMAGE_UP</v>
      </c>
      <c r="C230" s="29">
        <f>Item_Enchant_Old!C234</f>
        <v>658</v>
      </c>
      <c r="D230" s="29">
        <f>Item_Enchant_Old!D234</f>
        <v>0</v>
      </c>
      <c r="E230" s="29">
        <f>Item_Enchant_Old!E234</f>
        <v>0</v>
      </c>
      <c r="F230" s="29">
        <f>Item_Enchant_Old!F234</f>
        <v>0</v>
      </c>
      <c r="G230" s="29">
        <f>Item_Enchant_Old!G234</f>
        <v>4</v>
      </c>
      <c r="H230" s="29" t="str">
        <f>Item_Enchant_Old!H234</f>
        <v>@</v>
      </c>
      <c r="I230" s="29">
        <f>Item_Enchant_Old!I234</f>
        <v>1</v>
      </c>
      <c r="J230" s="29" t="str">
        <f>Item_Enchant_Old!J234</f>
        <v>절대값만 가능</v>
      </c>
      <c r="K230" s="29">
        <f>Item_Enchant_Old!K234</f>
        <v>4</v>
      </c>
      <c r="L230" s="29">
        <f>Item_Enchant_Old!L234</f>
        <v>0</v>
      </c>
      <c r="M230" s="29">
        <f>Item_Enchant_Old!M234</f>
        <v>10</v>
      </c>
      <c r="N230" s="29">
        <f>Item_Enchant_Old!N234</f>
        <v>28</v>
      </c>
      <c r="O230" s="29">
        <f>Item_Enchant_Old!O234</f>
        <v>1</v>
      </c>
      <c r="P230" s="29">
        <f>Item_Enchant_Old!P234</f>
        <v>1</v>
      </c>
      <c r="Q230" s="29">
        <f>Item_Enchant_Old!Q234</f>
        <v>1</v>
      </c>
      <c r="R230" s="29">
        <f>Item_Enchant_Old!R234</f>
        <v>1</v>
      </c>
    </row>
    <row r="231" spans="1:18" s="29" customFormat="1" hidden="1">
      <c r="A231" s="29">
        <f>Item_Enchant_Old!A235</f>
        <v>230</v>
      </c>
      <c r="B231" s="29" t="str">
        <f>Item_Enchant_Old!B235</f>
        <v>ACTIVE_ENERGY_CRITICAL_DAMAGE_UP</v>
      </c>
      <c r="C231" s="29">
        <f>Item_Enchant_Old!C235</f>
        <v>659</v>
      </c>
      <c r="D231" s="29">
        <f>Item_Enchant_Old!D235</f>
        <v>0</v>
      </c>
      <c r="E231" s="29">
        <f>Item_Enchant_Old!E235</f>
        <v>0</v>
      </c>
      <c r="F231" s="29">
        <f>Item_Enchant_Old!F235</f>
        <v>0</v>
      </c>
      <c r="G231" s="29">
        <f>Item_Enchant_Old!G235</f>
        <v>4</v>
      </c>
      <c r="H231" s="29" t="str">
        <f>Item_Enchant_Old!H235</f>
        <v>@</v>
      </c>
      <c r="I231" s="29">
        <f>Item_Enchant_Old!I235</f>
        <v>1</v>
      </c>
      <c r="J231" s="29" t="str">
        <f>Item_Enchant_Old!J235</f>
        <v>절대값만 가능</v>
      </c>
      <c r="K231" s="29">
        <f>Item_Enchant_Old!K235</f>
        <v>4</v>
      </c>
      <c r="L231" s="29">
        <f>Item_Enchant_Old!L235</f>
        <v>0</v>
      </c>
      <c r="M231" s="29">
        <f>Item_Enchant_Old!M235</f>
        <v>10</v>
      </c>
      <c r="N231" s="29">
        <f>Item_Enchant_Old!N235</f>
        <v>32</v>
      </c>
      <c r="O231" s="29">
        <f>Item_Enchant_Old!O235</f>
        <v>1</v>
      </c>
      <c r="P231" s="29">
        <f>Item_Enchant_Old!P235</f>
        <v>1</v>
      </c>
      <c r="Q231" s="29">
        <f>Item_Enchant_Old!Q235</f>
        <v>1</v>
      </c>
      <c r="R231" s="29">
        <f>Item_Enchant_Old!R235</f>
        <v>1</v>
      </c>
    </row>
    <row r="232" spans="1:18" s="29" customFormat="1" hidden="1">
      <c r="A232" s="29">
        <f>Item_Enchant_Old!A236</f>
        <v>231</v>
      </c>
      <c r="B232" s="29" t="str">
        <f>Item_Enchant_Old!B236</f>
        <v>ACTIVE_DEX_UP</v>
      </c>
      <c r="C232" s="29">
        <f>Item_Enchant_Old!C236</f>
        <v>613</v>
      </c>
      <c r="D232" s="29">
        <f>Item_Enchant_Old!D236</f>
        <v>0</v>
      </c>
      <c r="E232" s="29">
        <f>Item_Enchant_Old!E236</f>
        <v>0</v>
      </c>
      <c r="F232" s="29">
        <f>Item_Enchant_Old!F236</f>
        <v>0</v>
      </c>
      <c r="G232" s="29">
        <f>Item_Enchant_Old!G236</f>
        <v>3</v>
      </c>
      <c r="H232" s="29" t="str">
        <f>Item_Enchant_Old!H236</f>
        <v>@</v>
      </c>
      <c r="I232" s="29">
        <f>Item_Enchant_Old!I236</f>
        <v>1</v>
      </c>
      <c r="J232" s="29" t="str">
        <f>Item_Enchant_Old!J236</f>
        <v>절대값/상대값(%) 가능</v>
      </c>
      <c r="K232" s="29">
        <f>Item_Enchant_Old!K236</f>
        <v>4</v>
      </c>
      <c r="L232" s="29">
        <f>Item_Enchant_Old!L236</f>
        <v>0</v>
      </c>
      <c r="M232" s="29">
        <f>Item_Enchant_Old!M236</f>
        <v>10</v>
      </c>
      <c r="N232" s="29">
        <f>Item_Enchant_Old!N236</f>
        <v>44</v>
      </c>
      <c r="O232" s="29">
        <f>Item_Enchant_Old!O236</f>
        <v>1</v>
      </c>
      <c r="P232" s="29">
        <f>Item_Enchant_Old!P236</f>
        <v>1</v>
      </c>
      <c r="Q232" s="29">
        <f>Item_Enchant_Old!Q236</f>
        <v>1</v>
      </c>
      <c r="R232" s="29">
        <f>Item_Enchant_Old!R236</f>
        <v>1</v>
      </c>
    </row>
    <row r="233" spans="1:18" s="29" customFormat="1" hidden="1">
      <c r="A233" s="29">
        <f>Item_Enchant_Old!A237</f>
        <v>232</v>
      </c>
      <c r="B233" s="29" t="str">
        <f>Item_Enchant_Old!B237</f>
        <v>ACTIVE_ATTACK_SPEED_UP</v>
      </c>
      <c r="C233" s="29">
        <f>Item_Enchant_Old!C237</f>
        <v>617</v>
      </c>
      <c r="D233" s="29">
        <f>Item_Enchant_Old!D237</f>
        <v>1</v>
      </c>
      <c r="E233" s="29">
        <f>Item_Enchant_Old!E237</f>
        <v>0</v>
      </c>
      <c r="F233" s="29">
        <f>Item_Enchant_Old!F237</f>
        <v>0</v>
      </c>
      <c r="G233" s="29">
        <f>Item_Enchant_Old!G237</f>
        <v>10</v>
      </c>
      <c r="H233" s="29" t="str">
        <f>Item_Enchant_Old!H237</f>
        <v>@</v>
      </c>
      <c r="I233" s="29">
        <f>Item_Enchant_Old!I237</f>
        <v>1</v>
      </c>
      <c r="J233" s="29" t="str">
        <f>Item_Enchant_Old!J237</f>
        <v>절대값/상대값(%) 가능</v>
      </c>
      <c r="K233" s="29">
        <f>Item_Enchant_Old!K237</f>
        <v>4</v>
      </c>
      <c r="L233" s="29">
        <f>Item_Enchant_Old!L237</f>
        <v>0</v>
      </c>
      <c r="M233" s="29">
        <f>Item_Enchant_Old!M237</f>
        <v>10</v>
      </c>
      <c r="N233" s="29">
        <f>Item_Enchant_Old!N237</f>
        <v>10</v>
      </c>
      <c r="O233" s="29">
        <f>Item_Enchant_Old!O237</f>
        <v>1</v>
      </c>
      <c r="P233" s="29">
        <f>Item_Enchant_Old!P237</f>
        <v>1</v>
      </c>
      <c r="Q233" s="29">
        <f>Item_Enchant_Old!Q237</f>
        <v>1</v>
      </c>
      <c r="R233" s="29">
        <f>Item_Enchant_Old!R237</f>
        <v>1</v>
      </c>
    </row>
    <row r="234" spans="1:18" s="29" customFormat="1" hidden="1">
      <c r="A234" s="29">
        <f>Item_Enchant_Old!A238</f>
        <v>233</v>
      </c>
      <c r="B234" s="29" t="str">
        <f>Item_Enchant_Old!B238</f>
        <v>ACTIVE_STR_UP</v>
      </c>
      <c r="C234" s="29">
        <f>Item_Enchant_Old!C238</f>
        <v>610</v>
      </c>
      <c r="D234" s="29">
        <f>Item_Enchant_Old!D238</f>
        <v>0</v>
      </c>
      <c r="E234" s="29">
        <f>Item_Enchant_Old!E238</f>
        <v>0</v>
      </c>
      <c r="F234" s="29">
        <f>Item_Enchant_Old!F238</f>
        <v>0</v>
      </c>
      <c r="G234" s="29">
        <f>Item_Enchant_Old!G238</f>
        <v>2</v>
      </c>
      <c r="H234" s="29" t="str">
        <f>Item_Enchant_Old!H238</f>
        <v>@</v>
      </c>
      <c r="I234" s="29">
        <f>Item_Enchant_Old!I238</f>
        <v>1</v>
      </c>
      <c r="J234" s="29" t="str">
        <f>Item_Enchant_Old!J238</f>
        <v>절대값/상대값(%) 가능</v>
      </c>
      <c r="K234" s="29">
        <f>Item_Enchant_Old!K238</f>
        <v>4</v>
      </c>
      <c r="L234" s="29">
        <f>Item_Enchant_Old!L238</f>
        <v>0</v>
      </c>
      <c r="M234" s="29">
        <f>Item_Enchant_Old!M238</f>
        <v>11</v>
      </c>
      <c r="N234" s="29">
        <f>Item_Enchant_Old!N238</f>
        <v>57</v>
      </c>
      <c r="O234" s="29">
        <f>Item_Enchant_Old!O238</f>
        <v>1</v>
      </c>
      <c r="P234" s="29">
        <f>Item_Enchant_Old!P238</f>
        <v>1</v>
      </c>
      <c r="Q234" s="29">
        <f>Item_Enchant_Old!Q238</f>
        <v>1</v>
      </c>
      <c r="R234" s="29">
        <f>Item_Enchant_Old!R238</f>
        <v>1</v>
      </c>
    </row>
    <row r="235" spans="1:18" s="29" customFormat="1" hidden="1">
      <c r="A235" s="29">
        <f>Item_Enchant_Old!A239</f>
        <v>234</v>
      </c>
      <c r="B235" s="29" t="str">
        <f>Item_Enchant_Old!B239</f>
        <v>ACTIVE_CON_UP</v>
      </c>
      <c r="C235" s="29">
        <f>Item_Enchant_Old!C239</f>
        <v>611</v>
      </c>
      <c r="D235" s="29">
        <f>Item_Enchant_Old!D239</f>
        <v>0</v>
      </c>
      <c r="E235" s="29">
        <f>Item_Enchant_Old!E239</f>
        <v>0</v>
      </c>
      <c r="F235" s="29">
        <f>Item_Enchant_Old!F239</f>
        <v>0</v>
      </c>
      <c r="G235" s="29">
        <f>Item_Enchant_Old!G239</f>
        <v>3</v>
      </c>
      <c r="H235" s="29" t="str">
        <f>Item_Enchant_Old!H239</f>
        <v>@</v>
      </c>
      <c r="I235" s="29">
        <f>Item_Enchant_Old!I239</f>
        <v>1</v>
      </c>
      <c r="J235" s="29" t="str">
        <f>Item_Enchant_Old!J239</f>
        <v>절대값/상대값(%) 가능</v>
      </c>
      <c r="K235" s="29">
        <f>Item_Enchant_Old!K239</f>
        <v>4</v>
      </c>
      <c r="L235" s="29">
        <f>Item_Enchant_Old!L239</f>
        <v>0</v>
      </c>
      <c r="M235" s="29">
        <f>Item_Enchant_Old!M239</f>
        <v>11</v>
      </c>
      <c r="N235" s="29">
        <f>Item_Enchant_Old!N239</f>
        <v>48</v>
      </c>
      <c r="O235" s="29">
        <f>Item_Enchant_Old!O239</f>
        <v>1</v>
      </c>
      <c r="P235" s="29">
        <f>Item_Enchant_Old!P239</f>
        <v>1</v>
      </c>
      <c r="Q235" s="29">
        <f>Item_Enchant_Old!Q239</f>
        <v>1</v>
      </c>
      <c r="R235" s="29">
        <f>Item_Enchant_Old!R239</f>
        <v>1</v>
      </c>
    </row>
    <row r="236" spans="1:18" s="29" customFormat="1" hidden="1">
      <c r="A236" s="29">
        <f>Item_Enchant_Old!A240</f>
        <v>235</v>
      </c>
      <c r="B236" s="29" t="str">
        <f>Item_Enchant_Old!B240</f>
        <v>ACTIVE_FOC_UP</v>
      </c>
      <c r="C236" s="29">
        <f>Item_Enchant_Old!C240</f>
        <v>612</v>
      </c>
      <c r="D236" s="29">
        <f>Item_Enchant_Old!D240</f>
        <v>0</v>
      </c>
      <c r="E236" s="29">
        <f>Item_Enchant_Old!E240</f>
        <v>0</v>
      </c>
      <c r="F236" s="29">
        <f>Item_Enchant_Old!F240</f>
        <v>0</v>
      </c>
      <c r="G236" s="29">
        <f>Item_Enchant_Old!G240</f>
        <v>2</v>
      </c>
      <c r="H236" s="29" t="str">
        <f>Item_Enchant_Old!H240</f>
        <v>@</v>
      </c>
      <c r="I236" s="29">
        <f>Item_Enchant_Old!I240</f>
        <v>1</v>
      </c>
      <c r="J236" s="29" t="str">
        <f>Item_Enchant_Old!J240</f>
        <v>절대값/상대값(%) 가능</v>
      </c>
      <c r="K236" s="29">
        <f>Item_Enchant_Old!K240</f>
        <v>4</v>
      </c>
      <c r="L236" s="29">
        <f>Item_Enchant_Old!L240</f>
        <v>0</v>
      </c>
      <c r="M236" s="29">
        <f>Item_Enchant_Old!M240</f>
        <v>11</v>
      </c>
      <c r="N236" s="29">
        <f>Item_Enchant_Old!N240</f>
        <v>53</v>
      </c>
      <c r="O236" s="29">
        <f>Item_Enchant_Old!O240</f>
        <v>1</v>
      </c>
      <c r="P236" s="29">
        <f>Item_Enchant_Old!P240</f>
        <v>1</v>
      </c>
      <c r="Q236" s="29">
        <f>Item_Enchant_Old!Q240</f>
        <v>1</v>
      </c>
      <c r="R236" s="29">
        <f>Item_Enchant_Old!R240</f>
        <v>1</v>
      </c>
    </row>
    <row r="237" spans="1:18" s="29" customFormat="1" hidden="1">
      <c r="A237" s="29">
        <f>Item_Enchant_Old!A241</f>
        <v>236</v>
      </c>
      <c r="B237" s="29" t="str">
        <f>Item_Enchant_Old!B241</f>
        <v>ACTIVE_DEX_UP</v>
      </c>
      <c r="C237" s="29">
        <f>Item_Enchant_Old!C241</f>
        <v>613</v>
      </c>
      <c r="D237" s="29">
        <f>Item_Enchant_Old!D241</f>
        <v>0</v>
      </c>
      <c r="E237" s="29">
        <f>Item_Enchant_Old!E241</f>
        <v>0</v>
      </c>
      <c r="F237" s="29">
        <f>Item_Enchant_Old!F241</f>
        <v>0</v>
      </c>
      <c r="G237" s="29">
        <f>Item_Enchant_Old!G241</f>
        <v>3</v>
      </c>
      <c r="H237" s="29" t="str">
        <f>Item_Enchant_Old!H241</f>
        <v>@</v>
      </c>
      <c r="I237" s="29">
        <f>Item_Enchant_Old!I241</f>
        <v>1</v>
      </c>
      <c r="J237" s="29" t="str">
        <f>Item_Enchant_Old!J241</f>
        <v>절대값/상대값(%) 가능</v>
      </c>
      <c r="K237" s="29">
        <f>Item_Enchant_Old!K241</f>
        <v>4</v>
      </c>
      <c r="L237" s="29">
        <f>Item_Enchant_Old!L241</f>
        <v>0</v>
      </c>
      <c r="M237" s="29">
        <f>Item_Enchant_Old!M241</f>
        <v>11</v>
      </c>
      <c r="N237" s="29">
        <f>Item_Enchant_Old!N241</f>
        <v>44</v>
      </c>
      <c r="O237" s="29">
        <f>Item_Enchant_Old!O241</f>
        <v>1</v>
      </c>
      <c r="P237" s="29">
        <f>Item_Enchant_Old!P241</f>
        <v>1</v>
      </c>
      <c r="Q237" s="29">
        <f>Item_Enchant_Old!Q241</f>
        <v>1</v>
      </c>
      <c r="R237" s="29">
        <f>Item_Enchant_Old!R241</f>
        <v>1</v>
      </c>
    </row>
    <row r="238" spans="1:18" s="29" customFormat="1" hidden="1">
      <c r="A238" s="29">
        <f>Item_Enchant_Old!A242</f>
        <v>237</v>
      </c>
      <c r="B238" s="29" t="str">
        <f>Item_Enchant_Old!B242</f>
        <v>ACTIVE_SOL_UP</v>
      </c>
      <c r="C238" s="29">
        <f>Item_Enchant_Old!C242</f>
        <v>614</v>
      </c>
      <c r="D238" s="29">
        <f>Item_Enchant_Old!D242</f>
        <v>0</v>
      </c>
      <c r="E238" s="29">
        <f>Item_Enchant_Old!E242</f>
        <v>0</v>
      </c>
      <c r="F238" s="29">
        <f>Item_Enchant_Old!F242</f>
        <v>0</v>
      </c>
      <c r="G238" s="29">
        <f>Item_Enchant_Old!G242</f>
        <v>2</v>
      </c>
      <c r="H238" s="29" t="str">
        <f>Item_Enchant_Old!H242</f>
        <v>@</v>
      </c>
      <c r="I238" s="29">
        <f>Item_Enchant_Old!I242</f>
        <v>1</v>
      </c>
      <c r="J238" s="29" t="str">
        <f>Item_Enchant_Old!J242</f>
        <v>절대값/상대값(%) 가능</v>
      </c>
      <c r="K238" s="29">
        <f>Item_Enchant_Old!K242</f>
        <v>4</v>
      </c>
      <c r="L238" s="29">
        <f>Item_Enchant_Old!L242</f>
        <v>0</v>
      </c>
      <c r="M238" s="29">
        <f>Item_Enchant_Old!M242</f>
        <v>11</v>
      </c>
      <c r="N238" s="29">
        <f>Item_Enchant_Old!N242</f>
        <v>53</v>
      </c>
      <c r="O238" s="29">
        <f>Item_Enchant_Old!O242</f>
        <v>1</v>
      </c>
      <c r="P238" s="29">
        <f>Item_Enchant_Old!P242</f>
        <v>1</v>
      </c>
      <c r="Q238" s="29">
        <f>Item_Enchant_Old!Q242</f>
        <v>1</v>
      </c>
      <c r="R238" s="29">
        <f>Item_Enchant_Old!R242</f>
        <v>1</v>
      </c>
    </row>
    <row r="239" spans="1:18" s="29" customFormat="1" hidden="1">
      <c r="A239" s="29">
        <f>Item_Enchant_Old!A243</f>
        <v>238</v>
      </c>
      <c r="B239" s="29" t="str">
        <f>Item_Enchant_Old!B243</f>
        <v>ACTIVE_ENG_UP</v>
      </c>
      <c r="C239" s="29">
        <f>Item_Enchant_Old!C243</f>
        <v>615</v>
      </c>
      <c r="D239" s="29">
        <f>Item_Enchant_Old!D243</f>
        <v>0</v>
      </c>
      <c r="E239" s="29">
        <f>Item_Enchant_Old!E243</f>
        <v>0</v>
      </c>
      <c r="F239" s="29">
        <f>Item_Enchant_Old!F243</f>
        <v>0</v>
      </c>
      <c r="G239" s="29">
        <f>Item_Enchant_Old!G243</f>
        <v>2</v>
      </c>
      <c r="H239" s="29" t="str">
        <f>Item_Enchant_Old!H243</f>
        <v>@</v>
      </c>
      <c r="I239" s="29">
        <f>Item_Enchant_Old!I243</f>
        <v>1</v>
      </c>
      <c r="J239" s="29" t="str">
        <f>Item_Enchant_Old!J243</f>
        <v>절대값/상대값(%) 가능</v>
      </c>
      <c r="K239" s="29">
        <f>Item_Enchant_Old!K243</f>
        <v>4</v>
      </c>
      <c r="L239" s="29">
        <f>Item_Enchant_Old!L243</f>
        <v>0</v>
      </c>
      <c r="M239" s="29">
        <f>Item_Enchant_Old!M243</f>
        <v>11</v>
      </c>
      <c r="N239" s="29">
        <f>Item_Enchant_Old!N243</f>
        <v>62</v>
      </c>
      <c r="O239" s="29">
        <f>Item_Enchant_Old!O243</f>
        <v>1</v>
      </c>
      <c r="P239" s="29">
        <f>Item_Enchant_Old!P243</f>
        <v>1</v>
      </c>
      <c r="Q239" s="29">
        <f>Item_Enchant_Old!Q243</f>
        <v>1</v>
      </c>
      <c r="R239" s="29">
        <f>Item_Enchant_Old!R243</f>
        <v>1</v>
      </c>
    </row>
    <row r="240" spans="1:18" s="29" customFormat="1" hidden="1">
      <c r="A240" s="29">
        <f>Item_Enchant_Old!A244</f>
        <v>239</v>
      </c>
      <c r="B240" s="29" t="str">
        <f>Item_Enchant_Old!B244</f>
        <v>ACTIVE_PHYSICAL_DEFENCE_UP</v>
      </c>
      <c r="C240" s="29">
        <f>Item_Enchant_Old!C244</f>
        <v>608</v>
      </c>
      <c r="D240" s="29">
        <f>Item_Enchant_Old!D244</f>
        <v>0</v>
      </c>
      <c r="E240" s="29">
        <f>Item_Enchant_Old!E244</f>
        <v>0</v>
      </c>
      <c r="F240" s="29">
        <f>Item_Enchant_Old!F244</f>
        <v>0</v>
      </c>
      <c r="G240" s="29">
        <f>Item_Enchant_Old!G244</f>
        <v>1</v>
      </c>
      <c r="H240" s="29" t="str">
        <f>Item_Enchant_Old!H244</f>
        <v>@</v>
      </c>
      <c r="I240" s="29">
        <f>Item_Enchant_Old!I244</f>
        <v>1</v>
      </c>
      <c r="J240" s="29" t="str">
        <f>Item_Enchant_Old!J244</f>
        <v>절대값/상대값(%) 가능</v>
      </c>
      <c r="K240" s="29">
        <f>Item_Enchant_Old!K244</f>
        <v>4</v>
      </c>
      <c r="L240" s="29">
        <f>Item_Enchant_Old!L244</f>
        <v>0</v>
      </c>
      <c r="M240" s="29">
        <f>Item_Enchant_Old!M244</f>
        <v>12</v>
      </c>
      <c r="N240" s="29">
        <f>Item_Enchant_Old!N244</f>
        <v>1350</v>
      </c>
      <c r="O240" s="29">
        <f>Item_Enchant_Old!O244</f>
        <v>1</v>
      </c>
      <c r="P240" s="29">
        <f>Item_Enchant_Old!P244</f>
        <v>1</v>
      </c>
      <c r="Q240" s="29">
        <f>Item_Enchant_Old!Q244</f>
        <v>1</v>
      </c>
      <c r="R240" s="29">
        <f>Item_Enchant_Old!R244</f>
        <v>1</v>
      </c>
    </row>
    <row r="241" spans="1:18" s="29" customFormat="1" hidden="1">
      <c r="A241" s="29">
        <f>Item_Enchant_Old!A245</f>
        <v>240</v>
      </c>
      <c r="B241" s="29" t="str">
        <f>Item_Enchant_Old!B245</f>
        <v>ACTIVE_BLOCK_RATE_UP</v>
      </c>
      <c r="C241" s="29">
        <f>Item_Enchant_Old!C245</f>
        <v>620</v>
      </c>
      <c r="D241" s="29">
        <f>Item_Enchant_Old!D245</f>
        <v>0</v>
      </c>
      <c r="E241" s="29">
        <f>Item_Enchant_Old!E245</f>
        <v>0</v>
      </c>
      <c r="F241" s="29">
        <f>Item_Enchant_Old!F245</f>
        <v>0</v>
      </c>
      <c r="G241" s="29">
        <f>Item_Enchant_Old!G245</f>
        <v>1</v>
      </c>
      <c r="H241" s="29" t="str">
        <f>Item_Enchant_Old!H245</f>
        <v>@</v>
      </c>
      <c r="I241" s="29">
        <f>Item_Enchant_Old!I245</f>
        <v>1</v>
      </c>
      <c r="J241" s="29" t="str">
        <f>Item_Enchant_Old!J245</f>
        <v>절대값/상대값(%) 가능</v>
      </c>
      <c r="K241" s="29">
        <f>Item_Enchant_Old!K245</f>
        <v>4</v>
      </c>
      <c r="L241" s="29">
        <f>Item_Enchant_Old!L245</f>
        <v>0</v>
      </c>
      <c r="M241" s="29">
        <f>Item_Enchant_Old!M245</f>
        <v>12</v>
      </c>
      <c r="N241" s="29">
        <f>Item_Enchant_Old!N245</f>
        <v>352</v>
      </c>
      <c r="O241" s="29">
        <f>Item_Enchant_Old!O245</f>
        <v>1</v>
      </c>
      <c r="P241" s="29">
        <f>Item_Enchant_Old!P245</f>
        <v>1</v>
      </c>
      <c r="Q241" s="29">
        <f>Item_Enchant_Old!Q245</f>
        <v>1</v>
      </c>
      <c r="R241" s="29">
        <f>Item_Enchant_Old!R245</f>
        <v>1</v>
      </c>
    </row>
    <row r="242" spans="1:18" s="29" customFormat="1" hidden="1">
      <c r="A242" s="29">
        <f>Item_Enchant_Old!A246</f>
        <v>241</v>
      </c>
      <c r="B242" s="29" t="str">
        <f>Item_Enchant_Old!B246</f>
        <v>ACTIVE_CON_UP</v>
      </c>
      <c r="C242" s="29">
        <f>Item_Enchant_Old!C246</f>
        <v>611</v>
      </c>
      <c r="D242" s="29">
        <f>Item_Enchant_Old!D246</f>
        <v>0</v>
      </c>
      <c r="E242" s="29">
        <f>Item_Enchant_Old!E246</f>
        <v>0</v>
      </c>
      <c r="F242" s="29">
        <f>Item_Enchant_Old!F246</f>
        <v>0</v>
      </c>
      <c r="G242" s="29">
        <f>Item_Enchant_Old!G246</f>
        <v>3</v>
      </c>
      <c r="H242" s="29" t="str">
        <f>Item_Enchant_Old!H246</f>
        <v>@</v>
      </c>
      <c r="I242" s="29">
        <f>Item_Enchant_Old!I246</f>
        <v>1</v>
      </c>
      <c r="J242" s="29" t="str">
        <f>Item_Enchant_Old!J246</f>
        <v>절대값/상대값(%) 가능</v>
      </c>
      <c r="K242" s="29">
        <f>Item_Enchant_Old!K246</f>
        <v>4</v>
      </c>
      <c r="L242" s="29">
        <f>Item_Enchant_Old!L246</f>
        <v>0</v>
      </c>
      <c r="M242" s="29">
        <f>Item_Enchant_Old!M246</f>
        <v>12</v>
      </c>
      <c r="N242" s="29">
        <f>Item_Enchant_Old!N246</f>
        <v>48</v>
      </c>
      <c r="O242" s="29">
        <f>Item_Enchant_Old!O246</f>
        <v>1</v>
      </c>
      <c r="P242" s="29">
        <f>Item_Enchant_Old!P246</f>
        <v>1</v>
      </c>
      <c r="Q242" s="29">
        <f>Item_Enchant_Old!Q246</f>
        <v>1</v>
      </c>
      <c r="R242" s="29">
        <f>Item_Enchant_Old!R246</f>
        <v>1</v>
      </c>
    </row>
    <row r="243" spans="1:18" s="29" customFormat="1" hidden="1">
      <c r="A243" s="29">
        <f>Item_Enchant_Old!A247</f>
        <v>242</v>
      </c>
      <c r="B243" s="29" t="str">
        <f>Item_Enchant_Old!B247</f>
        <v>ACTIVE_FOC_UP</v>
      </c>
      <c r="C243" s="29">
        <f>Item_Enchant_Old!C247</f>
        <v>612</v>
      </c>
      <c r="D243" s="29">
        <f>Item_Enchant_Old!D247</f>
        <v>0</v>
      </c>
      <c r="E243" s="29">
        <f>Item_Enchant_Old!E247</f>
        <v>0</v>
      </c>
      <c r="F243" s="29">
        <f>Item_Enchant_Old!F247</f>
        <v>0</v>
      </c>
      <c r="G243" s="29">
        <f>Item_Enchant_Old!G247</f>
        <v>2</v>
      </c>
      <c r="H243" s="29" t="str">
        <f>Item_Enchant_Old!H247</f>
        <v>@</v>
      </c>
      <c r="I243" s="29">
        <f>Item_Enchant_Old!I247</f>
        <v>1</v>
      </c>
      <c r="J243" s="29" t="str">
        <f>Item_Enchant_Old!J247</f>
        <v>절대값/상대값(%) 가능</v>
      </c>
      <c r="K243" s="29">
        <f>Item_Enchant_Old!K247</f>
        <v>4</v>
      </c>
      <c r="L243" s="29">
        <f>Item_Enchant_Old!L247</f>
        <v>0</v>
      </c>
      <c r="M243" s="29">
        <f>Item_Enchant_Old!M247</f>
        <v>12</v>
      </c>
      <c r="N243" s="29">
        <f>Item_Enchant_Old!N247</f>
        <v>53</v>
      </c>
      <c r="O243" s="29">
        <f>Item_Enchant_Old!O247</f>
        <v>1</v>
      </c>
      <c r="P243" s="29">
        <f>Item_Enchant_Old!P247</f>
        <v>1</v>
      </c>
      <c r="Q243" s="29">
        <f>Item_Enchant_Old!Q247</f>
        <v>1</v>
      </c>
      <c r="R243" s="29">
        <f>Item_Enchant_Old!R247</f>
        <v>1</v>
      </c>
    </row>
    <row r="244" spans="1:18" s="29" customFormat="1" hidden="1">
      <c r="A244" s="29">
        <f>Item_Enchant_Old!A248</f>
        <v>243</v>
      </c>
      <c r="B244" s="29" t="str">
        <f>Item_Enchant_Old!B248</f>
        <v>ACTIVE_PHYSICAL_OFFENCE_UP</v>
      </c>
      <c r="C244" s="29">
        <f>Item_Enchant_Old!C248</f>
        <v>606</v>
      </c>
      <c r="D244" s="29">
        <f>Item_Enchant_Old!D248</f>
        <v>0</v>
      </c>
      <c r="E244" s="29">
        <f>Item_Enchant_Old!E248</f>
        <v>0</v>
      </c>
      <c r="F244" s="29">
        <f>Item_Enchant_Old!F248</f>
        <v>0</v>
      </c>
      <c r="G244" s="29">
        <f>Item_Enchant_Old!G248</f>
        <v>1</v>
      </c>
      <c r="H244" s="29" t="str">
        <f>Item_Enchant_Old!H248</f>
        <v>@</v>
      </c>
      <c r="I244" s="29">
        <f>Item_Enchant_Old!I248</f>
        <v>1</v>
      </c>
      <c r="J244" s="29" t="str">
        <f>Item_Enchant_Old!J248</f>
        <v>절대값/상대값(%) 가능</v>
      </c>
      <c r="K244" s="29">
        <f>Item_Enchant_Old!K248</f>
        <v>5</v>
      </c>
      <c r="L244" s="29">
        <f>Item_Enchant_Old!L248</f>
        <v>0</v>
      </c>
      <c r="M244" s="29">
        <f>Item_Enchant_Old!M248</f>
        <v>1</v>
      </c>
      <c r="N244" s="29">
        <f>Item_Enchant_Old!N248</f>
        <v>125</v>
      </c>
      <c r="O244" s="29">
        <f>Item_Enchant_Old!O248</f>
        <v>1</v>
      </c>
      <c r="P244" s="29">
        <f>Item_Enchant_Old!P248</f>
        <v>1</v>
      </c>
      <c r="Q244" s="29">
        <f>Item_Enchant_Old!Q248</f>
        <v>1</v>
      </c>
      <c r="R244" s="29">
        <f>Item_Enchant_Old!R248</f>
        <v>1</v>
      </c>
    </row>
    <row r="245" spans="1:18" s="29" customFormat="1" hidden="1">
      <c r="A245" s="29">
        <f>Item_Enchant_Old!A249</f>
        <v>244</v>
      </c>
      <c r="B245" s="29" t="str">
        <f>Item_Enchant_Old!B249</f>
        <v>ACTIVE_STR_UP</v>
      </c>
      <c r="C245" s="29">
        <f>Item_Enchant_Old!C249</f>
        <v>610</v>
      </c>
      <c r="D245" s="29">
        <f>Item_Enchant_Old!D249</f>
        <v>0</v>
      </c>
      <c r="E245" s="29">
        <f>Item_Enchant_Old!E249</f>
        <v>0</v>
      </c>
      <c r="F245" s="29">
        <f>Item_Enchant_Old!F249</f>
        <v>0</v>
      </c>
      <c r="G245" s="29">
        <f>Item_Enchant_Old!G249</f>
        <v>2</v>
      </c>
      <c r="H245" s="29" t="str">
        <f>Item_Enchant_Old!H249</f>
        <v>@</v>
      </c>
      <c r="I245" s="29">
        <f>Item_Enchant_Old!I249</f>
        <v>1</v>
      </c>
      <c r="J245" s="29" t="str">
        <f>Item_Enchant_Old!J249</f>
        <v>절대값/상대값(%) 가능</v>
      </c>
      <c r="K245" s="29">
        <f>Item_Enchant_Old!K249</f>
        <v>5</v>
      </c>
      <c r="L245" s="29">
        <f>Item_Enchant_Old!L249</f>
        <v>0</v>
      </c>
      <c r="M245" s="29">
        <f>Item_Enchant_Old!M249</f>
        <v>1</v>
      </c>
      <c r="N245" s="29">
        <f>Item_Enchant_Old!N249</f>
        <v>57</v>
      </c>
      <c r="O245" s="29">
        <f>Item_Enchant_Old!O249</f>
        <v>1</v>
      </c>
      <c r="P245" s="29">
        <f>Item_Enchant_Old!P249</f>
        <v>1</v>
      </c>
      <c r="Q245" s="29">
        <f>Item_Enchant_Old!Q249</f>
        <v>1</v>
      </c>
      <c r="R245" s="29">
        <f>Item_Enchant_Old!R249</f>
        <v>1</v>
      </c>
    </row>
    <row r="246" spans="1:18" s="29" customFormat="1" hidden="1">
      <c r="A246" s="29">
        <f>Item_Enchant_Old!A250</f>
        <v>245</v>
      </c>
      <c r="B246" s="29" t="str">
        <f>Item_Enchant_Old!B250</f>
        <v>ACTIVE_DEX_UP</v>
      </c>
      <c r="C246" s="29">
        <f>Item_Enchant_Old!C250</f>
        <v>613</v>
      </c>
      <c r="D246" s="29">
        <f>Item_Enchant_Old!D250</f>
        <v>0</v>
      </c>
      <c r="E246" s="29">
        <f>Item_Enchant_Old!E250</f>
        <v>0</v>
      </c>
      <c r="F246" s="29">
        <f>Item_Enchant_Old!F250</f>
        <v>0</v>
      </c>
      <c r="G246" s="29">
        <f>Item_Enchant_Old!G250</f>
        <v>3</v>
      </c>
      <c r="H246" s="29" t="str">
        <f>Item_Enchant_Old!H250</f>
        <v>@</v>
      </c>
      <c r="I246" s="29">
        <f>Item_Enchant_Old!I250</f>
        <v>1</v>
      </c>
      <c r="J246" s="29" t="str">
        <f>Item_Enchant_Old!J250</f>
        <v>절대값/상대값(%) 가능</v>
      </c>
      <c r="K246" s="29">
        <f>Item_Enchant_Old!K250</f>
        <v>5</v>
      </c>
      <c r="L246" s="29">
        <f>Item_Enchant_Old!L250</f>
        <v>0</v>
      </c>
      <c r="M246" s="29">
        <f>Item_Enchant_Old!M250</f>
        <v>1</v>
      </c>
      <c r="N246" s="29">
        <f>Item_Enchant_Old!N250</f>
        <v>44</v>
      </c>
      <c r="O246" s="29">
        <f>Item_Enchant_Old!O250</f>
        <v>1</v>
      </c>
      <c r="P246" s="29">
        <f>Item_Enchant_Old!P250</f>
        <v>1</v>
      </c>
      <c r="Q246" s="29">
        <f>Item_Enchant_Old!Q250</f>
        <v>1</v>
      </c>
      <c r="R246" s="29">
        <f>Item_Enchant_Old!R250</f>
        <v>1</v>
      </c>
    </row>
    <row r="247" spans="1:18" s="29" customFormat="1" hidden="1">
      <c r="A247" s="29">
        <f>Item_Enchant_Old!A251</f>
        <v>246</v>
      </c>
      <c r="B247" s="29" t="str">
        <f>Item_Enchant_Old!B251</f>
        <v>ACTIVE_PHYSICAL_CRITICAL_DAMAGE_UP</v>
      </c>
      <c r="C247" s="29">
        <f>Item_Enchant_Old!C251</f>
        <v>658</v>
      </c>
      <c r="D247" s="29">
        <f>Item_Enchant_Old!D251</f>
        <v>0</v>
      </c>
      <c r="E247" s="29">
        <f>Item_Enchant_Old!E251</f>
        <v>0</v>
      </c>
      <c r="F247" s="29">
        <f>Item_Enchant_Old!F251</f>
        <v>0</v>
      </c>
      <c r="G247" s="29">
        <f>Item_Enchant_Old!G251</f>
        <v>4</v>
      </c>
      <c r="H247" s="29" t="str">
        <f>Item_Enchant_Old!H251</f>
        <v>@</v>
      </c>
      <c r="I247" s="29">
        <f>Item_Enchant_Old!I251</f>
        <v>1</v>
      </c>
      <c r="J247" s="29" t="str">
        <f>Item_Enchant_Old!J251</f>
        <v>절대값만 가능</v>
      </c>
      <c r="K247" s="29">
        <f>Item_Enchant_Old!K251</f>
        <v>5</v>
      </c>
      <c r="L247" s="29">
        <f>Item_Enchant_Old!L251</f>
        <v>0</v>
      </c>
      <c r="M247" s="29">
        <f>Item_Enchant_Old!M251</f>
        <v>1</v>
      </c>
      <c r="N247" s="29">
        <f>Item_Enchant_Old!N251</f>
        <v>28</v>
      </c>
      <c r="O247" s="29">
        <f>Item_Enchant_Old!O251</f>
        <v>1</v>
      </c>
      <c r="P247" s="29">
        <f>Item_Enchant_Old!P251</f>
        <v>1</v>
      </c>
      <c r="Q247" s="29">
        <f>Item_Enchant_Old!Q251</f>
        <v>1</v>
      </c>
      <c r="R247" s="29">
        <f>Item_Enchant_Old!R251</f>
        <v>1</v>
      </c>
    </row>
    <row r="248" spans="1:18" s="29" customFormat="1" hidden="1">
      <c r="A248" s="29">
        <f>Item_Enchant_Old!A252</f>
        <v>247</v>
      </c>
      <c r="B248" s="29" t="str">
        <f>Item_Enchant_Old!B252</f>
        <v>ACTIVE_PHYSICAL_CRITICAL_DAMAGE_UP</v>
      </c>
      <c r="C248" s="29">
        <f>Item_Enchant_Old!C252</f>
        <v>658</v>
      </c>
      <c r="D248" s="29">
        <f>Item_Enchant_Old!D252</f>
        <v>0</v>
      </c>
      <c r="E248" s="29">
        <f>Item_Enchant_Old!E252</f>
        <v>0</v>
      </c>
      <c r="F248" s="29">
        <f>Item_Enchant_Old!F252</f>
        <v>0</v>
      </c>
      <c r="G248" s="29">
        <f>Item_Enchant_Old!G252</f>
        <v>4</v>
      </c>
      <c r="H248" s="29" t="str">
        <f>Item_Enchant_Old!H252</f>
        <v>@</v>
      </c>
      <c r="I248" s="29">
        <f>Item_Enchant_Old!I252</f>
        <v>1</v>
      </c>
      <c r="J248" s="29" t="str">
        <f>Item_Enchant_Old!J252</f>
        <v>절대값만 가능</v>
      </c>
      <c r="K248" s="29">
        <f>Item_Enchant_Old!K252</f>
        <v>5</v>
      </c>
      <c r="L248" s="29">
        <f>Item_Enchant_Old!L252</f>
        <v>0</v>
      </c>
      <c r="M248" s="29">
        <f>Item_Enchant_Old!M252</f>
        <v>2</v>
      </c>
      <c r="N248" s="29">
        <f>Item_Enchant_Old!N252</f>
        <v>28</v>
      </c>
      <c r="O248" s="29">
        <f>Item_Enchant_Old!O252</f>
        <v>1</v>
      </c>
      <c r="P248" s="29">
        <f>Item_Enchant_Old!P252</f>
        <v>1</v>
      </c>
      <c r="Q248" s="29">
        <f>Item_Enchant_Old!Q252</f>
        <v>1</v>
      </c>
      <c r="R248" s="29">
        <f>Item_Enchant_Old!R252</f>
        <v>1</v>
      </c>
    </row>
    <row r="249" spans="1:18" s="29" customFormat="1" hidden="1">
      <c r="A249" s="29">
        <f>Item_Enchant_Old!A253</f>
        <v>248</v>
      </c>
      <c r="B249" s="29" t="str">
        <f>Item_Enchant_Old!B253</f>
        <v>ACTIVE_PHYSICAL_CRITICAL</v>
      </c>
      <c r="C249" s="29">
        <f>Item_Enchant_Old!C253</f>
        <v>632</v>
      </c>
      <c r="D249" s="29">
        <f>Item_Enchant_Old!D253</f>
        <v>0</v>
      </c>
      <c r="E249" s="29">
        <f>Item_Enchant_Old!E253</f>
        <v>0</v>
      </c>
      <c r="F249" s="29">
        <f>Item_Enchant_Old!F253</f>
        <v>0</v>
      </c>
      <c r="G249" s="29">
        <f>Item_Enchant_Old!G253</f>
        <v>5</v>
      </c>
      <c r="H249" s="29" t="str">
        <f>Item_Enchant_Old!H253</f>
        <v>@</v>
      </c>
      <c r="I249" s="29">
        <f>Item_Enchant_Old!I253</f>
        <v>1</v>
      </c>
      <c r="J249" s="29" t="str">
        <f>Item_Enchant_Old!J253</f>
        <v>절대값/상대값(%) 가능</v>
      </c>
      <c r="K249" s="29">
        <f>Item_Enchant_Old!K253</f>
        <v>5</v>
      </c>
      <c r="L249" s="29">
        <f>Item_Enchant_Old!L253</f>
        <v>0</v>
      </c>
      <c r="M249" s="29">
        <f>Item_Enchant_Old!M253</f>
        <v>2</v>
      </c>
      <c r="N249" s="29">
        <f>Item_Enchant_Old!N253</f>
        <v>21</v>
      </c>
      <c r="O249" s="29">
        <f>Item_Enchant_Old!O253</f>
        <v>1</v>
      </c>
      <c r="P249" s="29">
        <f>Item_Enchant_Old!P253</f>
        <v>1</v>
      </c>
      <c r="Q249" s="29">
        <f>Item_Enchant_Old!Q253</f>
        <v>1</v>
      </c>
      <c r="R249" s="29">
        <f>Item_Enchant_Old!R253</f>
        <v>1</v>
      </c>
    </row>
    <row r="250" spans="1:18" s="29" customFormat="1" hidden="1">
      <c r="A250" s="29">
        <f>Item_Enchant_Old!A254</f>
        <v>249</v>
      </c>
      <c r="B250" s="29" t="str">
        <f>Item_Enchant_Old!B254</f>
        <v>ACTIVE_DEX_UP</v>
      </c>
      <c r="C250" s="29">
        <f>Item_Enchant_Old!C254</f>
        <v>613</v>
      </c>
      <c r="D250" s="29">
        <f>Item_Enchant_Old!D254</f>
        <v>0</v>
      </c>
      <c r="E250" s="29">
        <f>Item_Enchant_Old!E254</f>
        <v>0</v>
      </c>
      <c r="F250" s="29">
        <f>Item_Enchant_Old!F254</f>
        <v>0</v>
      </c>
      <c r="G250" s="29">
        <f>Item_Enchant_Old!G254</f>
        <v>3</v>
      </c>
      <c r="H250" s="29" t="str">
        <f>Item_Enchant_Old!H254</f>
        <v>@</v>
      </c>
      <c r="I250" s="29">
        <f>Item_Enchant_Old!I254</f>
        <v>1</v>
      </c>
      <c r="J250" s="29" t="str">
        <f>Item_Enchant_Old!J254</f>
        <v>절대값/상대값(%) 가능</v>
      </c>
      <c r="K250" s="29">
        <f>Item_Enchant_Old!K254</f>
        <v>5</v>
      </c>
      <c r="L250" s="29">
        <f>Item_Enchant_Old!L254</f>
        <v>0</v>
      </c>
      <c r="M250" s="29">
        <f>Item_Enchant_Old!M254</f>
        <v>2</v>
      </c>
      <c r="N250" s="29">
        <f>Item_Enchant_Old!N254</f>
        <v>44</v>
      </c>
      <c r="O250" s="29">
        <f>Item_Enchant_Old!O254</f>
        <v>1</v>
      </c>
      <c r="P250" s="29">
        <f>Item_Enchant_Old!P254</f>
        <v>1</v>
      </c>
      <c r="Q250" s="29">
        <f>Item_Enchant_Old!Q254</f>
        <v>1</v>
      </c>
      <c r="R250" s="29">
        <f>Item_Enchant_Old!R254</f>
        <v>1</v>
      </c>
    </row>
    <row r="251" spans="1:18" s="29" customFormat="1" hidden="1">
      <c r="A251" s="29">
        <f>Item_Enchant_Old!A255</f>
        <v>250</v>
      </c>
      <c r="B251" s="29" t="str">
        <f>Item_Enchant_Old!B255</f>
        <v>ACTIVE_FOC_UP</v>
      </c>
      <c r="C251" s="29">
        <f>Item_Enchant_Old!C255</f>
        <v>612</v>
      </c>
      <c r="D251" s="29">
        <f>Item_Enchant_Old!D255</f>
        <v>0</v>
      </c>
      <c r="E251" s="29">
        <f>Item_Enchant_Old!E255</f>
        <v>0</v>
      </c>
      <c r="F251" s="29">
        <f>Item_Enchant_Old!F255</f>
        <v>0</v>
      </c>
      <c r="G251" s="29">
        <f>Item_Enchant_Old!G255</f>
        <v>2</v>
      </c>
      <c r="H251" s="29" t="str">
        <f>Item_Enchant_Old!H255</f>
        <v>@</v>
      </c>
      <c r="I251" s="29">
        <f>Item_Enchant_Old!I255</f>
        <v>1</v>
      </c>
      <c r="J251" s="29" t="str">
        <f>Item_Enchant_Old!J255</f>
        <v>절대값/상대값(%) 가능</v>
      </c>
      <c r="K251" s="29">
        <f>Item_Enchant_Old!K255</f>
        <v>5</v>
      </c>
      <c r="L251" s="29">
        <f>Item_Enchant_Old!L255</f>
        <v>0</v>
      </c>
      <c r="M251" s="29">
        <f>Item_Enchant_Old!M255</f>
        <v>2</v>
      </c>
      <c r="N251" s="29">
        <f>Item_Enchant_Old!N255</f>
        <v>53</v>
      </c>
      <c r="O251" s="29">
        <f>Item_Enchant_Old!O255</f>
        <v>1</v>
      </c>
      <c r="P251" s="29">
        <f>Item_Enchant_Old!P255</f>
        <v>1</v>
      </c>
      <c r="Q251" s="29">
        <f>Item_Enchant_Old!Q255</f>
        <v>1</v>
      </c>
      <c r="R251" s="29">
        <f>Item_Enchant_Old!R255</f>
        <v>1</v>
      </c>
    </row>
    <row r="252" spans="1:18" s="29" customFormat="1" hidden="1">
      <c r="A252" s="29">
        <f>Item_Enchant_Old!A256</f>
        <v>251</v>
      </c>
      <c r="B252" s="29" t="str">
        <f>Item_Enchant_Old!B256</f>
        <v>ACTIVE_ENERGY_OFFENCE_UP</v>
      </c>
      <c r="C252" s="29">
        <f>Item_Enchant_Old!C256</f>
        <v>607</v>
      </c>
      <c r="D252" s="29">
        <f>Item_Enchant_Old!D256</f>
        <v>0</v>
      </c>
      <c r="E252" s="29">
        <f>Item_Enchant_Old!E256</f>
        <v>0</v>
      </c>
      <c r="F252" s="29">
        <f>Item_Enchant_Old!F256</f>
        <v>0</v>
      </c>
      <c r="G252" s="29">
        <f>Item_Enchant_Old!G256</f>
        <v>1</v>
      </c>
      <c r="H252" s="29" t="str">
        <f>Item_Enchant_Old!H256</f>
        <v>@</v>
      </c>
      <c r="I252" s="29">
        <f>Item_Enchant_Old!I256</f>
        <v>1</v>
      </c>
      <c r="J252" s="29" t="str">
        <f>Item_Enchant_Old!J256</f>
        <v>절대값/상대값(%) 가능</v>
      </c>
      <c r="K252" s="29">
        <f>Item_Enchant_Old!K256</f>
        <v>5</v>
      </c>
      <c r="L252" s="29">
        <f>Item_Enchant_Old!L256</f>
        <v>0</v>
      </c>
      <c r="M252" s="29">
        <f>Item_Enchant_Old!M256</f>
        <v>3</v>
      </c>
      <c r="N252" s="29">
        <f>Item_Enchant_Old!N256</f>
        <v>104</v>
      </c>
      <c r="O252" s="29">
        <f>Item_Enchant_Old!O256</f>
        <v>1</v>
      </c>
      <c r="P252" s="29">
        <f>Item_Enchant_Old!P256</f>
        <v>1</v>
      </c>
      <c r="Q252" s="29">
        <f>Item_Enchant_Old!Q256</f>
        <v>1</v>
      </c>
      <c r="R252" s="29">
        <f>Item_Enchant_Old!R256</f>
        <v>1</v>
      </c>
    </row>
    <row r="253" spans="1:18" s="29" customFormat="1" hidden="1">
      <c r="A253" s="29">
        <f>Item_Enchant_Old!A257</f>
        <v>252</v>
      </c>
      <c r="B253" s="29" t="str">
        <f>Item_Enchant_Old!B257</f>
        <v>ACTIVE_FOC_UP</v>
      </c>
      <c r="C253" s="29">
        <f>Item_Enchant_Old!C257</f>
        <v>612</v>
      </c>
      <c r="D253" s="29">
        <f>Item_Enchant_Old!D257</f>
        <v>0</v>
      </c>
      <c r="E253" s="29">
        <f>Item_Enchant_Old!E257</f>
        <v>0</v>
      </c>
      <c r="F253" s="29">
        <f>Item_Enchant_Old!F257</f>
        <v>0</v>
      </c>
      <c r="G253" s="29">
        <f>Item_Enchant_Old!G257</f>
        <v>2</v>
      </c>
      <c r="H253" s="29" t="str">
        <f>Item_Enchant_Old!H257</f>
        <v>@</v>
      </c>
      <c r="I253" s="29">
        <f>Item_Enchant_Old!I257</f>
        <v>1</v>
      </c>
      <c r="J253" s="29" t="str">
        <f>Item_Enchant_Old!J257</f>
        <v>절대값/상대값(%) 가능</v>
      </c>
      <c r="K253" s="29">
        <f>Item_Enchant_Old!K257</f>
        <v>5</v>
      </c>
      <c r="L253" s="29">
        <f>Item_Enchant_Old!L257</f>
        <v>0</v>
      </c>
      <c r="M253" s="29">
        <f>Item_Enchant_Old!M257</f>
        <v>3</v>
      </c>
      <c r="N253" s="29">
        <f>Item_Enchant_Old!N257</f>
        <v>53</v>
      </c>
      <c r="O253" s="29">
        <f>Item_Enchant_Old!O257</f>
        <v>1</v>
      </c>
      <c r="P253" s="29">
        <f>Item_Enchant_Old!P257</f>
        <v>1</v>
      </c>
      <c r="Q253" s="29">
        <f>Item_Enchant_Old!Q257</f>
        <v>1</v>
      </c>
      <c r="R253" s="29">
        <f>Item_Enchant_Old!R257</f>
        <v>1</v>
      </c>
    </row>
    <row r="254" spans="1:18" s="29" customFormat="1" hidden="1">
      <c r="A254" s="29">
        <f>Item_Enchant_Old!A258</f>
        <v>253</v>
      </c>
      <c r="B254" s="29" t="str">
        <f>Item_Enchant_Old!B258</f>
        <v>ACTIVE_SOL_UP</v>
      </c>
      <c r="C254" s="29">
        <f>Item_Enchant_Old!C258</f>
        <v>614</v>
      </c>
      <c r="D254" s="29">
        <f>Item_Enchant_Old!D258</f>
        <v>0</v>
      </c>
      <c r="E254" s="29">
        <f>Item_Enchant_Old!E258</f>
        <v>0</v>
      </c>
      <c r="F254" s="29">
        <f>Item_Enchant_Old!F258</f>
        <v>0</v>
      </c>
      <c r="G254" s="29">
        <f>Item_Enchant_Old!G258</f>
        <v>2</v>
      </c>
      <c r="H254" s="29" t="str">
        <f>Item_Enchant_Old!H258</f>
        <v>@</v>
      </c>
      <c r="I254" s="29">
        <f>Item_Enchant_Old!I258</f>
        <v>1</v>
      </c>
      <c r="J254" s="29" t="str">
        <f>Item_Enchant_Old!J258</f>
        <v>절대값/상대값(%) 가능</v>
      </c>
      <c r="K254" s="29">
        <f>Item_Enchant_Old!K258</f>
        <v>5</v>
      </c>
      <c r="L254" s="29">
        <f>Item_Enchant_Old!L258</f>
        <v>0</v>
      </c>
      <c r="M254" s="29">
        <f>Item_Enchant_Old!M258</f>
        <v>3</v>
      </c>
      <c r="N254" s="29">
        <f>Item_Enchant_Old!N258</f>
        <v>53</v>
      </c>
      <c r="O254" s="29">
        <f>Item_Enchant_Old!O258</f>
        <v>1</v>
      </c>
      <c r="P254" s="29">
        <f>Item_Enchant_Old!P258</f>
        <v>1</v>
      </c>
      <c r="Q254" s="29">
        <f>Item_Enchant_Old!Q258</f>
        <v>1</v>
      </c>
      <c r="R254" s="29">
        <f>Item_Enchant_Old!R258</f>
        <v>1</v>
      </c>
    </row>
    <row r="255" spans="1:18" s="29" customFormat="1" hidden="1">
      <c r="A255" s="29">
        <f>Item_Enchant_Old!A259</f>
        <v>254</v>
      </c>
      <c r="B255" s="29" t="str">
        <f>Item_Enchant_Old!B259</f>
        <v>ACTIVE_ENERGY_CRITICAL_DAMAGE_UP</v>
      </c>
      <c r="C255" s="29">
        <f>Item_Enchant_Old!C259</f>
        <v>659</v>
      </c>
      <c r="D255" s="29">
        <f>Item_Enchant_Old!D259</f>
        <v>0</v>
      </c>
      <c r="E255" s="29">
        <f>Item_Enchant_Old!E259</f>
        <v>0</v>
      </c>
      <c r="F255" s="29">
        <f>Item_Enchant_Old!F259</f>
        <v>0</v>
      </c>
      <c r="G255" s="29">
        <f>Item_Enchant_Old!G259</f>
        <v>4</v>
      </c>
      <c r="H255" s="29" t="str">
        <f>Item_Enchant_Old!H259</f>
        <v>@</v>
      </c>
      <c r="I255" s="29">
        <f>Item_Enchant_Old!I259</f>
        <v>1</v>
      </c>
      <c r="J255" s="29" t="str">
        <f>Item_Enchant_Old!J259</f>
        <v>절대값만 가능</v>
      </c>
      <c r="K255" s="29">
        <f>Item_Enchant_Old!K259</f>
        <v>5</v>
      </c>
      <c r="L255" s="29">
        <f>Item_Enchant_Old!L259</f>
        <v>0</v>
      </c>
      <c r="M255" s="29">
        <f>Item_Enchant_Old!M259</f>
        <v>3</v>
      </c>
      <c r="N255" s="29">
        <f>Item_Enchant_Old!N259</f>
        <v>32</v>
      </c>
      <c r="O255" s="29">
        <f>Item_Enchant_Old!O259</f>
        <v>1</v>
      </c>
      <c r="P255" s="29">
        <f>Item_Enchant_Old!P259</f>
        <v>1</v>
      </c>
      <c r="Q255" s="29">
        <f>Item_Enchant_Old!Q259</f>
        <v>1</v>
      </c>
      <c r="R255" s="29">
        <f>Item_Enchant_Old!R259</f>
        <v>1</v>
      </c>
    </row>
    <row r="256" spans="1:18" s="29" customFormat="1" hidden="1">
      <c r="A256" s="29">
        <f>Item_Enchant_Old!A260</f>
        <v>255</v>
      </c>
      <c r="B256" s="29" t="str">
        <f>Item_Enchant_Old!B260</f>
        <v>ACTIVE_ENERGY_CRITICAL</v>
      </c>
      <c r="C256" s="29">
        <f>Item_Enchant_Old!C260</f>
        <v>633</v>
      </c>
      <c r="D256" s="29">
        <f>Item_Enchant_Old!D260</f>
        <v>0</v>
      </c>
      <c r="E256" s="29">
        <f>Item_Enchant_Old!E260</f>
        <v>0</v>
      </c>
      <c r="F256" s="29">
        <f>Item_Enchant_Old!F260</f>
        <v>0</v>
      </c>
      <c r="G256" s="29">
        <f>Item_Enchant_Old!G260</f>
        <v>5</v>
      </c>
      <c r="H256" s="29" t="str">
        <f>Item_Enchant_Old!H260</f>
        <v>@</v>
      </c>
      <c r="I256" s="29">
        <f>Item_Enchant_Old!I260</f>
        <v>1</v>
      </c>
      <c r="J256" s="29" t="str">
        <f>Item_Enchant_Old!J260</f>
        <v>절대값/상대값(%) 가능</v>
      </c>
      <c r="K256" s="29">
        <f>Item_Enchant_Old!K260</f>
        <v>5</v>
      </c>
      <c r="L256" s="29">
        <f>Item_Enchant_Old!L260</f>
        <v>0</v>
      </c>
      <c r="M256" s="29">
        <f>Item_Enchant_Old!M260</f>
        <v>4</v>
      </c>
      <c r="N256" s="29">
        <f>Item_Enchant_Old!N260</f>
        <v>24</v>
      </c>
      <c r="O256" s="29">
        <f>Item_Enchant_Old!O260</f>
        <v>1</v>
      </c>
      <c r="P256" s="29">
        <f>Item_Enchant_Old!P260</f>
        <v>1</v>
      </c>
      <c r="Q256" s="29">
        <f>Item_Enchant_Old!Q260</f>
        <v>1</v>
      </c>
      <c r="R256" s="29">
        <f>Item_Enchant_Old!R260</f>
        <v>1</v>
      </c>
    </row>
    <row r="257" spans="1:18" s="29" customFormat="1" hidden="1">
      <c r="A257" s="29">
        <f>Item_Enchant_Old!A261</f>
        <v>256</v>
      </c>
      <c r="B257" s="29" t="str">
        <f>Item_Enchant_Old!B261</f>
        <v>ACTIVE_ENERGY_CRITICAL_DAMAGE_UP</v>
      </c>
      <c r="C257" s="29">
        <f>Item_Enchant_Old!C261</f>
        <v>659</v>
      </c>
      <c r="D257" s="29">
        <f>Item_Enchant_Old!D261</f>
        <v>0</v>
      </c>
      <c r="E257" s="29">
        <f>Item_Enchant_Old!E261</f>
        <v>0</v>
      </c>
      <c r="F257" s="29">
        <f>Item_Enchant_Old!F261</f>
        <v>0</v>
      </c>
      <c r="G257" s="29">
        <f>Item_Enchant_Old!G261</f>
        <v>4</v>
      </c>
      <c r="H257" s="29" t="str">
        <f>Item_Enchant_Old!H261</f>
        <v>@</v>
      </c>
      <c r="I257" s="29">
        <f>Item_Enchant_Old!I261</f>
        <v>1</v>
      </c>
      <c r="J257" s="29" t="str">
        <f>Item_Enchant_Old!J261</f>
        <v>절대값만 가능</v>
      </c>
      <c r="K257" s="29">
        <f>Item_Enchant_Old!K261</f>
        <v>5</v>
      </c>
      <c r="L257" s="29">
        <f>Item_Enchant_Old!L261</f>
        <v>0</v>
      </c>
      <c r="M257" s="29">
        <f>Item_Enchant_Old!M261</f>
        <v>4</v>
      </c>
      <c r="N257" s="29">
        <f>Item_Enchant_Old!N261</f>
        <v>32</v>
      </c>
      <c r="O257" s="29">
        <f>Item_Enchant_Old!O261</f>
        <v>1</v>
      </c>
      <c r="P257" s="29">
        <f>Item_Enchant_Old!P261</f>
        <v>1</v>
      </c>
      <c r="Q257" s="29">
        <f>Item_Enchant_Old!Q261</f>
        <v>1</v>
      </c>
      <c r="R257" s="29">
        <f>Item_Enchant_Old!R261</f>
        <v>1</v>
      </c>
    </row>
    <row r="258" spans="1:18" s="29" customFormat="1" hidden="1">
      <c r="A258" s="29">
        <f>Item_Enchant_Old!A262</f>
        <v>257</v>
      </c>
      <c r="B258" s="29" t="str">
        <f>Item_Enchant_Old!B262</f>
        <v>ACTIVE_FOC_UP</v>
      </c>
      <c r="C258" s="29">
        <f>Item_Enchant_Old!C262</f>
        <v>612</v>
      </c>
      <c r="D258" s="29">
        <f>Item_Enchant_Old!D262</f>
        <v>0</v>
      </c>
      <c r="E258" s="29">
        <f>Item_Enchant_Old!E262</f>
        <v>0</v>
      </c>
      <c r="F258" s="29">
        <f>Item_Enchant_Old!F262</f>
        <v>0</v>
      </c>
      <c r="G258" s="29">
        <f>Item_Enchant_Old!G262</f>
        <v>2</v>
      </c>
      <c r="H258" s="29" t="str">
        <f>Item_Enchant_Old!H262</f>
        <v>@</v>
      </c>
      <c r="I258" s="29">
        <f>Item_Enchant_Old!I262</f>
        <v>1</v>
      </c>
      <c r="J258" s="29" t="str">
        <f>Item_Enchant_Old!J262</f>
        <v>절대값/상대값(%) 가능</v>
      </c>
      <c r="K258" s="29">
        <f>Item_Enchant_Old!K262</f>
        <v>5</v>
      </c>
      <c r="L258" s="29">
        <f>Item_Enchant_Old!L262</f>
        <v>0</v>
      </c>
      <c r="M258" s="29">
        <f>Item_Enchant_Old!M262</f>
        <v>4</v>
      </c>
      <c r="N258" s="29">
        <f>Item_Enchant_Old!N262</f>
        <v>53</v>
      </c>
      <c r="O258" s="29">
        <f>Item_Enchant_Old!O262</f>
        <v>1</v>
      </c>
      <c r="P258" s="29">
        <f>Item_Enchant_Old!P262</f>
        <v>1</v>
      </c>
      <c r="Q258" s="29">
        <f>Item_Enchant_Old!Q262</f>
        <v>1</v>
      </c>
      <c r="R258" s="29">
        <f>Item_Enchant_Old!R262</f>
        <v>1</v>
      </c>
    </row>
    <row r="259" spans="1:18" s="29" customFormat="1" hidden="1">
      <c r="A259" s="29">
        <f>Item_Enchant_Old!A263</f>
        <v>258</v>
      </c>
      <c r="B259" s="29" t="str">
        <f>Item_Enchant_Old!B263</f>
        <v>ACTIVE_DEX_UP</v>
      </c>
      <c r="C259" s="29">
        <f>Item_Enchant_Old!C263</f>
        <v>613</v>
      </c>
      <c r="D259" s="29">
        <f>Item_Enchant_Old!D263</f>
        <v>0</v>
      </c>
      <c r="E259" s="29">
        <f>Item_Enchant_Old!E263</f>
        <v>0</v>
      </c>
      <c r="F259" s="29">
        <f>Item_Enchant_Old!F263</f>
        <v>0</v>
      </c>
      <c r="G259" s="29">
        <f>Item_Enchant_Old!G263</f>
        <v>3</v>
      </c>
      <c r="H259" s="29" t="str">
        <f>Item_Enchant_Old!H263</f>
        <v>@</v>
      </c>
      <c r="I259" s="29">
        <f>Item_Enchant_Old!I263</f>
        <v>1</v>
      </c>
      <c r="J259" s="29" t="str">
        <f>Item_Enchant_Old!J263</f>
        <v>절대값/상대값(%) 가능</v>
      </c>
      <c r="K259" s="29">
        <f>Item_Enchant_Old!K263</f>
        <v>5</v>
      </c>
      <c r="L259" s="29">
        <f>Item_Enchant_Old!L263</f>
        <v>0</v>
      </c>
      <c r="M259" s="29">
        <f>Item_Enchant_Old!M263</f>
        <v>4</v>
      </c>
      <c r="N259" s="29">
        <f>Item_Enchant_Old!N263</f>
        <v>44</v>
      </c>
      <c r="O259" s="29">
        <f>Item_Enchant_Old!O263</f>
        <v>1</v>
      </c>
      <c r="P259" s="29">
        <f>Item_Enchant_Old!P263</f>
        <v>1</v>
      </c>
      <c r="Q259" s="29">
        <f>Item_Enchant_Old!Q263</f>
        <v>1</v>
      </c>
      <c r="R259" s="29">
        <f>Item_Enchant_Old!R263</f>
        <v>1</v>
      </c>
    </row>
    <row r="260" spans="1:18" s="29" customFormat="1" hidden="1">
      <c r="A260" s="29">
        <f>Item_Enchant_Old!A264</f>
        <v>259</v>
      </c>
      <c r="B260" s="29" t="str">
        <f>Item_Enchant_Old!B264</f>
        <v>ACTIVE_ATTACK_SPEED_UP</v>
      </c>
      <c r="C260" s="29">
        <f>Item_Enchant_Old!C264</f>
        <v>617</v>
      </c>
      <c r="D260" s="29">
        <f>Item_Enchant_Old!D264</f>
        <v>1</v>
      </c>
      <c r="E260" s="29">
        <f>Item_Enchant_Old!E264</f>
        <v>0</v>
      </c>
      <c r="F260" s="29">
        <f>Item_Enchant_Old!F264</f>
        <v>0</v>
      </c>
      <c r="G260" s="29">
        <f>Item_Enchant_Old!G264</f>
        <v>10</v>
      </c>
      <c r="H260" s="29" t="str">
        <f>Item_Enchant_Old!H264</f>
        <v>@</v>
      </c>
      <c r="I260" s="29">
        <f>Item_Enchant_Old!I264</f>
        <v>1</v>
      </c>
      <c r="J260" s="29" t="str">
        <f>Item_Enchant_Old!J264</f>
        <v>절대값/상대값(%) 가능</v>
      </c>
      <c r="K260" s="29">
        <f>Item_Enchant_Old!K264</f>
        <v>5</v>
      </c>
      <c r="L260" s="29">
        <f>Item_Enchant_Old!L264</f>
        <v>0</v>
      </c>
      <c r="M260" s="29">
        <f>Item_Enchant_Old!M264</f>
        <v>5</v>
      </c>
      <c r="N260" s="29">
        <f>Item_Enchant_Old!N264</f>
        <v>10</v>
      </c>
      <c r="O260" s="29">
        <f>Item_Enchant_Old!O264</f>
        <v>1</v>
      </c>
      <c r="P260" s="29">
        <f>Item_Enchant_Old!P264</f>
        <v>1</v>
      </c>
      <c r="Q260" s="29">
        <f>Item_Enchant_Old!Q264</f>
        <v>1</v>
      </c>
      <c r="R260" s="29">
        <f>Item_Enchant_Old!R264</f>
        <v>1</v>
      </c>
    </row>
    <row r="261" spans="1:18" s="29" customFormat="1" hidden="1">
      <c r="A261" s="29">
        <f>Item_Enchant_Old!A265</f>
        <v>260</v>
      </c>
      <c r="B261" s="29" t="str">
        <f>Item_Enchant_Old!B265</f>
        <v>ACTIVE_DEX_UP</v>
      </c>
      <c r="C261" s="29">
        <f>Item_Enchant_Old!C265</f>
        <v>613</v>
      </c>
      <c r="D261" s="29">
        <f>Item_Enchant_Old!D265</f>
        <v>0</v>
      </c>
      <c r="E261" s="29">
        <f>Item_Enchant_Old!E265</f>
        <v>0</v>
      </c>
      <c r="F261" s="29">
        <f>Item_Enchant_Old!F265</f>
        <v>0</v>
      </c>
      <c r="G261" s="29">
        <f>Item_Enchant_Old!G265</f>
        <v>3</v>
      </c>
      <c r="H261" s="29" t="str">
        <f>Item_Enchant_Old!H265</f>
        <v>@</v>
      </c>
      <c r="I261" s="29">
        <f>Item_Enchant_Old!I265</f>
        <v>1</v>
      </c>
      <c r="J261" s="29" t="str">
        <f>Item_Enchant_Old!J265</f>
        <v>절대값/상대값(%) 가능</v>
      </c>
      <c r="K261" s="29">
        <f>Item_Enchant_Old!K265</f>
        <v>5</v>
      </c>
      <c r="L261" s="29">
        <f>Item_Enchant_Old!L265</f>
        <v>0</v>
      </c>
      <c r="M261" s="29">
        <f>Item_Enchant_Old!M265</f>
        <v>5</v>
      </c>
      <c r="N261" s="29">
        <f>Item_Enchant_Old!N265</f>
        <v>44</v>
      </c>
      <c r="O261" s="29">
        <f>Item_Enchant_Old!O265</f>
        <v>1</v>
      </c>
      <c r="P261" s="29">
        <f>Item_Enchant_Old!P265</f>
        <v>1</v>
      </c>
      <c r="Q261" s="29">
        <f>Item_Enchant_Old!Q265</f>
        <v>1</v>
      </c>
      <c r="R261" s="29">
        <f>Item_Enchant_Old!R265</f>
        <v>1</v>
      </c>
    </row>
    <row r="262" spans="1:18" s="29" customFormat="1" hidden="1">
      <c r="A262" s="29">
        <f>Item_Enchant_Old!A266</f>
        <v>261</v>
      </c>
      <c r="B262" s="29" t="str">
        <f>Item_Enchant_Old!B266</f>
        <v>ACTIVE_FOC_UP</v>
      </c>
      <c r="C262" s="29">
        <f>Item_Enchant_Old!C266</f>
        <v>612</v>
      </c>
      <c r="D262" s="29">
        <f>Item_Enchant_Old!D266</f>
        <v>0</v>
      </c>
      <c r="E262" s="29">
        <f>Item_Enchant_Old!E266</f>
        <v>0</v>
      </c>
      <c r="F262" s="29">
        <f>Item_Enchant_Old!F266</f>
        <v>0</v>
      </c>
      <c r="G262" s="29">
        <f>Item_Enchant_Old!G266</f>
        <v>2</v>
      </c>
      <c r="H262" s="29" t="str">
        <f>Item_Enchant_Old!H266</f>
        <v>@</v>
      </c>
      <c r="I262" s="29">
        <f>Item_Enchant_Old!I266</f>
        <v>1</v>
      </c>
      <c r="J262" s="29" t="str">
        <f>Item_Enchant_Old!J266</f>
        <v>절대값/상대값(%) 가능</v>
      </c>
      <c r="K262" s="29">
        <f>Item_Enchant_Old!K266</f>
        <v>5</v>
      </c>
      <c r="L262" s="29">
        <f>Item_Enchant_Old!L266</f>
        <v>0</v>
      </c>
      <c r="M262" s="29">
        <f>Item_Enchant_Old!M266</f>
        <v>5</v>
      </c>
      <c r="N262" s="29">
        <f>Item_Enchant_Old!N266</f>
        <v>53</v>
      </c>
      <c r="O262" s="29">
        <f>Item_Enchant_Old!O266</f>
        <v>1</v>
      </c>
      <c r="P262" s="29">
        <f>Item_Enchant_Old!P266</f>
        <v>1</v>
      </c>
      <c r="Q262" s="29">
        <f>Item_Enchant_Old!Q266</f>
        <v>1</v>
      </c>
      <c r="R262" s="29">
        <f>Item_Enchant_Old!R266</f>
        <v>1</v>
      </c>
    </row>
    <row r="263" spans="1:18" s="29" customFormat="1" hidden="1">
      <c r="A263" s="29">
        <f>Item_Enchant_Old!A267</f>
        <v>262</v>
      </c>
      <c r="B263" s="29" t="str">
        <f>Item_Enchant_Old!B267</f>
        <v>ACTIVE_PHYSICAL_OFFENCE_UP</v>
      </c>
      <c r="C263" s="29">
        <f>Item_Enchant_Old!C267</f>
        <v>606</v>
      </c>
      <c r="D263" s="29">
        <f>Item_Enchant_Old!D267</f>
        <v>0</v>
      </c>
      <c r="E263" s="29">
        <f>Item_Enchant_Old!E267</f>
        <v>0</v>
      </c>
      <c r="F263" s="29">
        <f>Item_Enchant_Old!F267</f>
        <v>0</v>
      </c>
      <c r="G263" s="29">
        <f>Item_Enchant_Old!G267</f>
        <v>1</v>
      </c>
      <c r="H263" s="29" t="str">
        <f>Item_Enchant_Old!H267</f>
        <v>@</v>
      </c>
      <c r="I263" s="29">
        <f>Item_Enchant_Old!I267</f>
        <v>1</v>
      </c>
      <c r="J263" s="29" t="str">
        <f>Item_Enchant_Old!J267</f>
        <v>절대값/상대값(%) 가능</v>
      </c>
      <c r="K263" s="29">
        <f>Item_Enchant_Old!K267</f>
        <v>5</v>
      </c>
      <c r="L263" s="29">
        <f>Item_Enchant_Old!L267</f>
        <v>0</v>
      </c>
      <c r="M263" s="29">
        <f>Item_Enchant_Old!M267</f>
        <v>5</v>
      </c>
      <c r="N263" s="29">
        <f>Item_Enchant_Old!N267</f>
        <v>125</v>
      </c>
      <c r="O263" s="29">
        <f>Item_Enchant_Old!O267</f>
        <v>1</v>
      </c>
      <c r="P263" s="29">
        <f>Item_Enchant_Old!P267</f>
        <v>1</v>
      </c>
      <c r="Q263" s="29">
        <f>Item_Enchant_Old!Q267</f>
        <v>1</v>
      </c>
      <c r="R263" s="29">
        <f>Item_Enchant_Old!R267</f>
        <v>1</v>
      </c>
    </row>
    <row r="264" spans="1:18" s="29" customFormat="1" hidden="1">
      <c r="A264" s="29">
        <f>Item_Enchant_Old!A268</f>
        <v>263</v>
      </c>
      <c r="B264" s="29" t="str">
        <f>Item_Enchant_Old!B268</f>
        <v>ACTIVE_ENERGY_OFFENCE_UP</v>
      </c>
      <c r="C264" s="29">
        <f>Item_Enchant_Old!C268</f>
        <v>607</v>
      </c>
      <c r="D264" s="29">
        <f>Item_Enchant_Old!D268</f>
        <v>0</v>
      </c>
      <c r="E264" s="29">
        <f>Item_Enchant_Old!E268</f>
        <v>0</v>
      </c>
      <c r="F264" s="29">
        <f>Item_Enchant_Old!F268</f>
        <v>0</v>
      </c>
      <c r="G264" s="29">
        <f>Item_Enchant_Old!G268</f>
        <v>1</v>
      </c>
      <c r="H264" s="29" t="str">
        <f>Item_Enchant_Old!H268</f>
        <v>@</v>
      </c>
      <c r="I264" s="29">
        <f>Item_Enchant_Old!I268</f>
        <v>1</v>
      </c>
      <c r="J264" s="29" t="str">
        <f>Item_Enchant_Old!J268</f>
        <v>절대값/상대값(%) 가능</v>
      </c>
      <c r="K264" s="29">
        <f>Item_Enchant_Old!K268</f>
        <v>5</v>
      </c>
      <c r="L264" s="29">
        <f>Item_Enchant_Old!L268</f>
        <v>0</v>
      </c>
      <c r="M264" s="29">
        <f>Item_Enchant_Old!M268</f>
        <v>5</v>
      </c>
      <c r="N264" s="29">
        <f>Item_Enchant_Old!N268</f>
        <v>104</v>
      </c>
      <c r="O264" s="29">
        <f>Item_Enchant_Old!O268</f>
        <v>1</v>
      </c>
      <c r="P264" s="29">
        <f>Item_Enchant_Old!P268</f>
        <v>1</v>
      </c>
      <c r="Q264" s="29">
        <f>Item_Enchant_Old!Q268</f>
        <v>1</v>
      </c>
      <c r="R264" s="29">
        <f>Item_Enchant_Old!R268</f>
        <v>1</v>
      </c>
    </row>
    <row r="265" spans="1:18" s="29" customFormat="1" hidden="1">
      <c r="A265" s="29">
        <f>Item_Enchant_Old!A269</f>
        <v>264</v>
      </c>
      <c r="B265" s="29" t="str">
        <f>Item_Enchant_Old!B269</f>
        <v>ACTIVE_PHYSICAL_OFFENCE_UP</v>
      </c>
      <c r="C265" s="29">
        <f>Item_Enchant_Old!C269</f>
        <v>606</v>
      </c>
      <c r="D265" s="29">
        <f>Item_Enchant_Old!D269</f>
        <v>0</v>
      </c>
      <c r="E265" s="29">
        <f>Item_Enchant_Old!E269</f>
        <v>0</v>
      </c>
      <c r="F265" s="29">
        <f>Item_Enchant_Old!F269</f>
        <v>0</v>
      </c>
      <c r="G265" s="29">
        <f>Item_Enchant_Old!G269</f>
        <v>1</v>
      </c>
      <c r="H265" s="29" t="str">
        <f>Item_Enchant_Old!H269</f>
        <v>@</v>
      </c>
      <c r="I265" s="29">
        <f>Item_Enchant_Old!I269</f>
        <v>1</v>
      </c>
      <c r="J265" s="29" t="str">
        <f>Item_Enchant_Old!J269</f>
        <v>절대값/상대값(%) 가능</v>
      </c>
      <c r="K265" s="29">
        <f>Item_Enchant_Old!K269</f>
        <v>5</v>
      </c>
      <c r="L265" s="29">
        <f>Item_Enchant_Old!L269</f>
        <v>0</v>
      </c>
      <c r="M265" s="29">
        <f>Item_Enchant_Old!M269</f>
        <v>6</v>
      </c>
      <c r="N265" s="29">
        <f>Item_Enchant_Old!N269</f>
        <v>125</v>
      </c>
      <c r="O265" s="29">
        <f>Item_Enchant_Old!O269</f>
        <v>1</v>
      </c>
      <c r="P265" s="29">
        <f>Item_Enchant_Old!P269</f>
        <v>1</v>
      </c>
      <c r="Q265" s="29">
        <f>Item_Enchant_Old!Q269</f>
        <v>1</v>
      </c>
      <c r="R265" s="29">
        <f>Item_Enchant_Old!R269</f>
        <v>1</v>
      </c>
    </row>
    <row r="266" spans="1:18" s="29" customFormat="1" hidden="1">
      <c r="A266" s="29">
        <f>Item_Enchant_Old!A270</f>
        <v>265</v>
      </c>
      <c r="B266" s="29" t="str">
        <f>Item_Enchant_Old!B270</f>
        <v>ACTIVE_ENERGY_OFFENCE_UP</v>
      </c>
      <c r="C266" s="29">
        <f>Item_Enchant_Old!C270</f>
        <v>607</v>
      </c>
      <c r="D266" s="29">
        <f>Item_Enchant_Old!D270</f>
        <v>0</v>
      </c>
      <c r="E266" s="29">
        <f>Item_Enchant_Old!E270</f>
        <v>0</v>
      </c>
      <c r="F266" s="29">
        <f>Item_Enchant_Old!F270</f>
        <v>0</v>
      </c>
      <c r="G266" s="29">
        <f>Item_Enchant_Old!G270</f>
        <v>1</v>
      </c>
      <c r="H266" s="29" t="str">
        <f>Item_Enchant_Old!H270</f>
        <v>@</v>
      </c>
      <c r="I266" s="29">
        <f>Item_Enchant_Old!I270</f>
        <v>1</v>
      </c>
      <c r="J266" s="29" t="str">
        <f>Item_Enchant_Old!J270</f>
        <v>절대값/상대값(%) 가능</v>
      </c>
      <c r="K266" s="29">
        <f>Item_Enchant_Old!K270</f>
        <v>5</v>
      </c>
      <c r="L266" s="29">
        <f>Item_Enchant_Old!L270</f>
        <v>0</v>
      </c>
      <c r="M266" s="29">
        <f>Item_Enchant_Old!M270</f>
        <v>6</v>
      </c>
      <c r="N266" s="29">
        <f>Item_Enchant_Old!N270</f>
        <v>104</v>
      </c>
      <c r="O266" s="29">
        <f>Item_Enchant_Old!O270</f>
        <v>1</v>
      </c>
      <c r="P266" s="29">
        <f>Item_Enchant_Old!P270</f>
        <v>1</v>
      </c>
      <c r="Q266" s="29">
        <f>Item_Enchant_Old!Q270</f>
        <v>1</v>
      </c>
      <c r="R266" s="29">
        <f>Item_Enchant_Old!R270</f>
        <v>1</v>
      </c>
    </row>
    <row r="267" spans="1:18" s="29" customFormat="1" hidden="1">
      <c r="A267" s="29">
        <f>Item_Enchant_Old!A271</f>
        <v>266</v>
      </c>
      <c r="B267" s="29" t="str">
        <f>Item_Enchant_Old!B271</f>
        <v>ACTIVE_STR_UP</v>
      </c>
      <c r="C267" s="29">
        <f>Item_Enchant_Old!C271</f>
        <v>610</v>
      </c>
      <c r="D267" s="29">
        <f>Item_Enchant_Old!D271</f>
        <v>0</v>
      </c>
      <c r="E267" s="29">
        <f>Item_Enchant_Old!E271</f>
        <v>0</v>
      </c>
      <c r="F267" s="29">
        <f>Item_Enchant_Old!F271</f>
        <v>0</v>
      </c>
      <c r="G267" s="29">
        <f>Item_Enchant_Old!G271</f>
        <v>2</v>
      </c>
      <c r="H267" s="29" t="str">
        <f>Item_Enchant_Old!H271</f>
        <v>@</v>
      </c>
      <c r="I267" s="29">
        <f>Item_Enchant_Old!I271</f>
        <v>1</v>
      </c>
      <c r="J267" s="29" t="str">
        <f>Item_Enchant_Old!J271</f>
        <v>절대값/상대값(%) 가능</v>
      </c>
      <c r="K267" s="29">
        <f>Item_Enchant_Old!K271</f>
        <v>5</v>
      </c>
      <c r="L267" s="29">
        <f>Item_Enchant_Old!L271</f>
        <v>0</v>
      </c>
      <c r="M267" s="29">
        <f>Item_Enchant_Old!M271</f>
        <v>6</v>
      </c>
      <c r="N267" s="29">
        <f>Item_Enchant_Old!N271</f>
        <v>57</v>
      </c>
      <c r="O267" s="29">
        <f>Item_Enchant_Old!O271</f>
        <v>1</v>
      </c>
      <c r="P267" s="29">
        <f>Item_Enchant_Old!P271</f>
        <v>1</v>
      </c>
      <c r="Q267" s="29">
        <f>Item_Enchant_Old!Q271</f>
        <v>1</v>
      </c>
      <c r="R267" s="29">
        <f>Item_Enchant_Old!R271</f>
        <v>1</v>
      </c>
    </row>
    <row r="268" spans="1:18" s="29" customFormat="1" hidden="1">
      <c r="A268" s="29">
        <f>Item_Enchant_Old!A272</f>
        <v>267</v>
      </c>
      <c r="B268" s="29" t="str">
        <f>Item_Enchant_Old!B272</f>
        <v>ACTIVE_SOL_UP</v>
      </c>
      <c r="C268" s="29">
        <f>Item_Enchant_Old!C272</f>
        <v>614</v>
      </c>
      <c r="D268" s="29">
        <f>Item_Enchant_Old!D272</f>
        <v>0</v>
      </c>
      <c r="E268" s="29">
        <f>Item_Enchant_Old!E272</f>
        <v>0</v>
      </c>
      <c r="F268" s="29">
        <f>Item_Enchant_Old!F272</f>
        <v>0</v>
      </c>
      <c r="G268" s="29">
        <f>Item_Enchant_Old!G272</f>
        <v>2</v>
      </c>
      <c r="H268" s="29" t="str">
        <f>Item_Enchant_Old!H272</f>
        <v>@</v>
      </c>
      <c r="I268" s="29">
        <f>Item_Enchant_Old!I272</f>
        <v>1</v>
      </c>
      <c r="J268" s="29" t="str">
        <f>Item_Enchant_Old!J272</f>
        <v>절대값/상대값(%) 가능</v>
      </c>
      <c r="K268" s="29">
        <f>Item_Enchant_Old!K272</f>
        <v>5</v>
      </c>
      <c r="L268" s="29">
        <f>Item_Enchant_Old!L272</f>
        <v>0</v>
      </c>
      <c r="M268" s="29">
        <f>Item_Enchant_Old!M272</f>
        <v>6</v>
      </c>
      <c r="N268" s="29">
        <f>Item_Enchant_Old!N272</f>
        <v>53</v>
      </c>
      <c r="O268" s="29">
        <f>Item_Enchant_Old!O272</f>
        <v>1</v>
      </c>
      <c r="P268" s="29">
        <f>Item_Enchant_Old!P272</f>
        <v>1</v>
      </c>
      <c r="Q268" s="29">
        <f>Item_Enchant_Old!Q272</f>
        <v>1</v>
      </c>
      <c r="R268" s="29">
        <f>Item_Enchant_Old!R272</f>
        <v>1</v>
      </c>
    </row>
    <row r="269" spans="1:18" s="29" customFormat="1" hidden="1">
      <c r="A269" s="29">
        <f>Item_Enchant_Old!A273</f>
        <v>268</v>
      </c>
      <c r="B269" s="29" t="str">
        <f>Item_Enchant_Old!B273</f>
        <v>ACTIVE_PHYSICAL_CRITICAL_DAMAGE_UP</v>
      </c>
      <c r="C269" s="29">
        <f>Item_Enchant_Old!C273</f>
        <v>658</v>
      </c>
      <c r="D269" s="29">
        <f>Item_Enchant_Old!D273</f>
        <v>0</v>
      </c>
      <c r="E269" s="29">
        <f>Item_Enchant_Old!E273</f>
        <v>0</v>
      </c>
      <c r="F269" s="29">
        <f>Item_Enchant_Old!F273</f>
        <v>0</v>
      </c>
      <c r="G269" s="29">
        <f>Item_Enchant_Old!G273</f>
        <v>4</v>
      </c>
      <c r="H269" s="29" t="str">
        <f>Item_Enchant_Old!H273</f>
        <v>@</v>
      </c>
      <c r="I269" s="29">
        <f>Item_Enchant_Old!I273</f>
        <v>1</v>
      </c>
      <c r="J269" s="29" t="str">
        <f>Item_Enchant_Old!J273</f>
        <v>절대값만 가능</v>
      </c>
      <c r="K269" s="29">
        <f>Item_Enchant_Old!K273</f>
        <v>5</v>
      </c>
      <c r="L269" s="29">
        <f>Item_Enchant_Old!L273</f>
        <v>0</v>
      </c>
      <c r="M269" s="29">
        <f>Item_Enchant_Old!M273</f>
        <v>6</v>
      </c>
      <c r="N269" s="29">
        <f>Item_Enchant_Old!N273</f>
        <v>28</v>
      </c>
      <c r="O269" s="29">
        <f>Item_Enchant_Old!O273</f>
        <v>1</v>
      </c>
      <c r="P269" s="29">
        <f>Item_Enchant_Old!P273</f>
        <v>1</v>
      </c>
      <c r="Q269" s="29">
        <f>Item_Enchant_Old!Q273</f>
        <v>1</v>
      </c>
      <c r="R269" s="29">
        <f>Item_Enchant_Old!R273</f>
        <v>1</v>
      </c>
    </row>
    <row r="270" spans="1:18" s="29" customFormat="1" hidden="1">
      <c r="A270" s="29">
        <f>Item_Enchant_Old!A274</f>
        <v>269</v>
      </c>
      <c r="B270" s="29" t="str">
        <f>Item_Enchant_Old!B274</f>
        <v>ACTIVE_ENERGY_CRITICAL_DAMAGE_UP</v>
      </c>
      <c r="C270" s="29">
        <f>Item_Enchant_Old!C274</f>
        <v>659</v>
      </c>
      <c r="D270" s="29">
        <f>Item_Enchant_Old!D274</f>
        <v>0</v>
      </c>
      <c r="E270" s="29">
        <f>Item_Enchant_Old!E274</f>
        <v>0</v>
      </c>
      <c r="F270" s="29">
        <f>Item_Enchant_Old!F274</f>
        <v>0</v>
      </c>
      <c r="G270" s="29">
        <f>Item_Enchant_Old!G274</f>
        <v>4</v>
      </c>
      <c r="H270" s="29" t="str">
        <f>Item_Enchant_Old!H274</f>
        <v>@</v>
      </c>
      <c r="I270" s="29">
        <f>Item_Enchant_Old!I274</f>
        <v>1</v>
      </c>
      <c r="J270" s="29" t="str">
        <f>Item_Enchant_Old!J274</f>
        <v>절대값만 가능</v>
      </c>
      <c r="K270" s="29">
        <f>Item_Enchant_Old!K274</f>
        <v>5</v>
      </c>
      <c r="L270" s="29">
        <f>Item_Enchant_Old!L274</f>
        <v>0</v>
      </c>
      <c r="M270" s="29">
        <f>Item_Enchant_Old!M274</f>
        <v>6</v>
      </c>
      <c r="N270" s="29">
        <f>Item_Enchant_Old!N274</f>
        <v>32</v>
      </c>
      <c r="O270" s="29">
        <f>Item_Enchant_Old!O274</f>
        <v>1</v>
      </c>
      <c r="P270" s="29">
        <f>Item_Enchant_Old!P274</f>
        <v>1</v>
      </c>
      <c r="Q270" s="29">
        <f>Item_Enchant_Old!Q274</f>
        <v>1</v>
      </c>
      <c r="R270" s="29">
        <f>Item_Enchant_Old!R274</f>
        <v>1</v>
      </c>
    </row>
    <row r="271" spans="1:18" s="29" customFormat="1" hidden="1">
      <c r="A271" s="29">
        <f>Item_Enchant_Old!A275</f>
        <v>270</v>
      </c>
      <c r="B271" s="29" t="str">
        <f>Item_Enchant_Old!B275</f>
        <v>ACTIVE_FOC_UP</v>
      </c>
      <c r="C271" s="29">
        <f>Item_Enchant_Old!C275</f>
        <v>612</v>
      </c>
      <c r="D271" s="29">
        <f>Item_Enchant_Old!D275</f>
        <v>0</v>
      </c>
      <c r="E271" s="29">
        <f>Item_Enchant_Old!E275</f>
        <v>0</v>
      </c>
      <c r="F271" s="29">
        <f>Item_Enchant_Old!F275</f>
        <v>0</v>
      </c>
      <c r="G271" s="29">
        <f>Item_Enchant_Old!G275</f>
        <v>2</v>
      </c>
      <c r="H271" s="29" t="str">
        <f>Item_Enchant_Old!H275</f>
        <v>@</v>
      </c>
      <c r="I271" s="29">
        <f>Item_Enchant_Old!I275</f>
        <v>1</v>
      </c>
      <c r="J271" s="29" t="str">
        <f>Item_Enchant_Old!J275</f>
        <v>절대값/상대값(%) 가능</v>
      </c>
      <c r="K271" s="29">
        <f>Item_Enchant_Old!K275</f>
        <v>5</v>
      </c>
      <c r="L271" s="29">
        <f>Item_Enchant_Old!L275</f>
        <v>0</v>
      </c>
      <c r="M271" s="29">
        <f>Item_Enchant_Old!M275</f>
        <v>7</v>
      </c>
      <c r="N271" s="29">
        <f>Item_Enchant_Old!N275</f>
        <v>53</v>
      </c>
      <c r="O271" s="29">
        <f>Item_Enchant_Old!O275</f>
        <v>1</v>
      </c>
      <c r="P271" s="29">
        <f>Item_Enchant_Old!P275</f>
        <v>1</v>
      </c>
      <c r="Q271" s="29">
        <f>Item_Enchant_Old!Q275</f>
        <v>1</v>
      </c>
      <c r="R271" s="29">
        <f>Item_Enchant_Old!R275</f>
        <v>1</v>
      </c>
    </row>
    <row r="272" spans="1:18" s="29" customFormat="1" hidden="1">
      <c r="A272" s="29">
        <f>Item_Enchant_Old!A276</f>
        <v>271</v>
      </c>
      <c r="B272" s="29" t="str">
        <f>Item_Enchant_Old!B276</f>
        <v>ACTIVE_ATTACK_RATE_UP</v>
      </c>
      <c r="C272" s="29">
        <f>Item_Enchant_Old!C276</f>
        <v>618</v>
      </c>
      <c r="D272" s="29">
        <f>Item_Enchant_Old!D276</f>
        <v>0</v>
      </c>
      <c r="E272" s="29">
        <f>Item_Enchant_Old!E276</f>
        <v>0</v>
      </c>
      <c r="F272" s="29">
        <f>Item_Enchant_Old!F276</f>
        <v>0</v>
      </c>
      <c r="G272" s="29">
        <f>Item_Enchant_Old!G276</f>
        <v>1</v>
      </c>
      <c r="H272" s="29" t="str">
        <f>Item_Enchant_Old!H276</f>
        <v>@</v>
      </c>
      <c r="I272" s="29">
        <f>Item_Enchant_Old!I276</f>
        <v>1</v>
      </c>
      <c r="J272" s="29" t="str">
        <f>Item_Enchant_Old!J276</f>
        <v>절대값/상대값(%) 가능</v>
      </c>
      <c r="K272" s="29">
        <f>Item_Enchant_Old!K276</f>
        <v>5</v>
      </c>
      <c r="L272" s="29">
        <f>Item_Enchant_Old!L276</f>
        <v>0</v>
      </c>
      <c r="M272" s="29">
        <f>Item_Enchant_Old!M276</f>
        <v>7</v>
      </c>
      <c r="N272" s="29">
        <f>Item_Enchant_Old!N276</f>
        <v>528</v>
      </c>
      <c r="O272" s="29">
        <f>Item_Enchant_Old!O276</f>
        <v>1</v>
      </c>
      <c r="P272" s="29">
        <f>Item_Enchant_Old!P276</f>
        <v>1</v>
      </c>
      <c r="Q272" s="29">
        <f>Item_Enchant_Old!Q276</f>
        <v>1</v>
      </c>
      <c r="R272" s="29">
        <f>Item_Enchant_Old!R276</f>
        <v>1</v>
      </c>
    </row>
    <row r="273" spans="1:18" s="29" customFormat="1" hidden="1">
      <c r="A273" s="29">
        <f>Item_Enchant_Old!A277</f>
        <v>272</v>
      </c>
      <c r="B273" s="29" t="str">
        <f>Item_Enchant_Old!B277</f>
        <v>ACTIVE_ENG_UP</v>
      </c>
      <c r="C273" s="29">
        <f>Item_Enchant_Old!C277</f>
        <v>615</v>
      </c>
      <c r="D273" s="29">
        <f>Item_Enchant_Old!D277</f>
        <v>0</v>
      </c>
      <c r="E273" s="29">
        <f>Item_Enchant_Old!E277</f>
        <v>0</v>
      </c>
      <c r="F273" s="29">
        <f>Item_Enchant_Old!F277</f>
        <v>0</v>
      </c>
      <c r="G273" s="29">
        <f>Item_Enchant_Old!G277</f>
        <v>2</v>
      </c>
      <c r="H273" s="29" t="str">
        <f>Item_Enchant_Old!H277</f>
        <v>@</v>
      </c>
      <c r="I273" s="29">
        <f>Item_Enchant_Old!I277</f>
        <v>1</v>
      </c>
      <c r="J273" s="29" t="str">
        <f>Item_Enchant_Old!J277</f>
        <v>절대값/상대값(%) 가능</v>
      </c>
      <c r="K273" s="29">
        <f>Item_Enchant_Old!K277</f>
        <v>5</v>
      </c>
      <c r="L273" s="29">
        <f>Item_Enchant_Old!L277</f>
        <v>0</v>
      </c>
      <c r="M273" s="29">
        <f>Item_Enchant_Old!M277</f>
        <v>7</v>
      </c>
      <c r="N273" s="29">
        <f>Item_Enchant_Old!N277</f>
        <v>62</v>
      </c>
      <c r="O273" s="29">
        <f>Item_Enchant_Old!O277</f>
        <v>1</v>
      </c>
      <c r="P273" s="29">
        <f>Item_Enchant_Old!P277</f>
        <v>1</v>
      </c>
      <c r="Q273" s="29">
        <f>Item_Enchant_Old!Q277</f>
        <v>1</v>
      </c>
      <c r="R273" s="29">
        <f>Item_Enchant_Old!R277</f>
        <v>1</v>
      </c>
    </row>
    <row r="274" spans="1:18" s="29" customFormat="1" hidden="1">
      <c r="A274" s="29">
        <f>Item_Enchant_Old!A278</f>
        <v>273</v>
      </c>
      <c r="B274" s="29" t="str">
        <f>Item_Enchant_Old!B278</f>
        <v>ACTIVE_PHYSICAL_CRITICAL</v>
      </c>
      <c r="C274" s="29">
        <f>Item_Enchant_Old!C278</f>
        <v>632</v>
      </c>
      <c r="D274" s="29">
        <f>Item_Enchant_Old!D278</f>
        <v>0</v>
      </c>
      <c r="E274" s="29">
        <f>Item_Enchant_Old!E278</f>
        <v>0</v>
      </c>
      <c r="F274" s="29">
        <f>Item_Enchant_Old!F278</f>
        <v>0</v>
      </c>
      <c r="G274" s="29">
        <f>Item_Enchant_Old!G278</f>
        <v>5</v>
      </c>
      <c r="H274" s="29" t="str">
        <f>Item_Enchant_Old!H278</f>
        <v>@</v>
      </c>
      <c r="I274" s="29">
        <f>Item_Enchant_Old!I278</f>
        <v>1</v>
      </c>
      <c r="J274" s="29" t="str">
        <f>Item_Enchant_Old!J278</f>
        <v>절대값/상대값(%) 가능</v>
      </c>
      <c r="K274" s="29">
        <f>Item_Enchant_Old!K278</f>
        <v>5</v>
      </c>
      <c r="L274" s="29">
        <f>Item_Enchant_Old!L278</f>
        <v>0</v>
      </c>
      <c r="M274" s="29">
        <f>Item_Enchant_Old!M278</f>
        <v>7</v>
      </c>
      <c r="N274" s="29">
        <f>Item_Enchant_Old!N278</f>
        <v>21</v>
      </c>
      <c r="O274" s="29">
        <f>Item_Enchant_Old!O278</f>
        <v>1</v>
      </c>
      <c r="P274" s="29">
        <f>Item_Enchant_Old!P278</f>
        <v>1</v>
      </c>
      <c r="Q274" s="29">
        <f>Item_Enchant_Old!Q278</f>
        <v>1</v>
      </c>
      <c r="R274" s="29">
        <f>Item_Enchant_Old!R278</f>
        <v>1</v>
      </c>
    </row>
    <row r="275" spans="1:18" s="29" customFormat="1" hidden="1">
      <c r="A275" s="29">
        <f>Item_Enchant_Old!A279</f>
        <v>274</v>
      </c>
      <c r="B275" s="29" t="str">
        <f>Item_Enchant_Old!B279</f>
        <v>ACTIVE_ENERGY_CRITICAL</v>
      </c>
      <c r="C275" s="29">
        <f>Item_Enchant_Old!C279</f>
        <v>633</v>
      </c>
      <c r="D275" s="29">
        <f>Item_Enchant_Old!D279</f>
        <v>0</v>
      </c>
      <c r="E275" s="29">
        <f>Item_Enchant_Old!E279</f>
        <v>0</v>
      </c>
      <c r="F275" s="29">
        <f>Item_Enchant_Old!F279</f>
        <v>0</v>
      </c>
      <c r="G275" s="29">
        <f>Item_Enchant_Old!G279</f>
        <v>5</v>
      </c>
      <c r="H275" s="29" t="str">
        <f>Item_Enchant_Old!H279</f>
        <v>@</v>
      </c>
      <c r="I275" s="29">
        <f>Item_Enchant_Old!I279</f>
        <v>1</v>
      </c>
      <c r="J275" s="29" t="str">
        <f>Item_Enchant_Old!J279</f>
        <v>절대값/상대값(%) 가능</v>
      </c>
      <c r="K275" s="29">
        <f>Item_Enchant_Old!K279</f>
        <v>5</v>
      </c>
      <c r="L275" s="29">
        <f>Item_Enchant_Old!L279</f>
        <v>0</v>
      </c>
      <c r="M275" s="29">
        <f>Item_Enchant_Old!M279</f>
        <v>7</v>
      </c>
      <c r="N275" s="29">
        <f>Item_Enchant_Old!N279</f>
        <v>24</v>
      </c>
      <c r="O275" s="29">
        <f>Item_Enchant_Old!O279</f>
        <v>1</v>
      </c>
      <c r="P275" s="29">
        <f>Item_Enchant_Old!P279</f>
        <v>1</v>
      </c>
      <c r="Q275" s="29">
        <f>Item_Enchant_Old!Q279</f>
        <v>1</v>
      </c>
      <c r="R275" s="29">
        <f>Item_Enchant_Old!R279</f>
        <v>1</v>
      </c>
    </row>
    <row r="276" spans="1:18" s="29" customFormat="1" hidden="1">
      <c r="A276" s="29">
        <f>Item_Enchant_Old!A280</f>
        <v>275</v>
      </c>
      <c r="B276" s="29" t="str">
        <f>Item_Enchant_Old!B280</f>
        <v>ACTIVE_FOC_UP</v>
      </c>
      <c r="C276" s="29">
        <f>Item_Enchant_Old!C280</f>
        <v>612</v>
      </c>
      <c r="D276" s="29">
        <f>Item_Enchant_Old!D280</f>
        <v>0</v>
      </c>
      <c r="E276" s="29">
        <f>Item_Enchant_Old!E280</f>
        <v>0</v>
      </c>
      <c r="F276" s="29">
        <f>Item_Enchant_Old!F280</f>
        <v>0</v>
      </c>
      <c r="G276" s="29">
        <f>Item_Enchant_Old!G280</f>
        <v>2</v>
      </c>
      <c r="H276" s="29" t="str">
        <f>Item_Enchant_Old!H280</f>
        <v>@</v>
      </c>
      <c r="I276" s="29">
        <f>Item_Enchant_Old!I280</f>
        <v>1</v>
      </c>
      <c r="J276" s="29" t="str">
        <f>Item_Enchant_Old!J280</f>
        <v>절대값/상대값(%) 가능</v>
      </c>
      <c r="K276" s="29">
        <f>Item_Enchant_Old!K280</f>
        <v>5</v>
      </c>
      <c r="L276" s="29">
        <f>Item_Enchant_Old!L280</f>
        <v>0</v>
      </c>
      <c r="M276" s="29">
        <f>Item_Enchant_Old!M280</f>
        <v>8</v>
      </c>
      <c r="N276" s="29">
        <f>Item_Enchant_Old!N280</f>
        <v>53</v>
      </c>
      <c r="O276" s="29">
        <f>Item_Enchant_Old!O280</f>
        <v>1</v>
      </c>
      <c r="P276" s="29">
        <f>Item_Enchant_Old!P280</f>
        <v>1</v>
      </c>
      <c r="Q276" s="29">
        <f>Item_Enchant_Old!Q280</f>
        <v>1</v>
      </c>
      <c r="R276" s="29">
        <f>Item_Enchant_Old!R280</f>
        <v>1</v>
      </c>
    </row>
    <row r="277" spans="1:18" s="29" customFormat="1" hidden="1">
      <c r="A277" s="29">
        <f>Item_Enchant_Old!A281</f>
        <v>276</v>
      </c>
      <c r="B277" s="29" t="str">
        <f>Item_Enchant_Old!B281</f>
        <v>ACTIVE_CON_UP</v>
      </c>
      <c r="C277" s="29">
        <f>Item_Enchant_Old!C281</f>
        <v>611</v>
      </c>
      <c r="D277" s="29">
        <f>Item_Enchant_Old!D281</f>
        <v>0</v>
      </c>
      <c r="E277" s="29">
        <f>Item_Enchant_Old!E281</f>
        <v>0</v>
      </c>
      <c r="F277" s="29">
        <f>Item_Enchant_Old!F281</f>
        <v>0</v>
      </c>
      <c r="G277" s="29">
        <f>Item_Enchant_Old!G281</f>
        <v>3</v>
      </c>
      <c r="H277" s="29" t="str">
        <f>Item_Enchant_Old!H281</f>
        <v>@</v>
      </c>
      <c r="I277" s="29">
        <f>Item_Enchant_Old!I281</f>
        <v>1</v>
      </c>
      <c r="J277" s="29" t="str">
        <f>Item_Enchant_Old!J281</f>
        <v>절대값/상대값(%) 가능</v>
      </c>
      <c r="K277" s="29">
        <f>Item_Enchant_Old!K281</f>
        <v>5</v>
      </c>
      <c r="L277" s="29">
        <f>Item_Enchant_Old!L281</f>
        <v>0</v>
      </c>
      <c r="M277" s="29">
        <f>Item_Enchant_Old!M281</f>
        <v>8</v>
      </c>
      <c r="N277" s="29">
        <f>Item_Enchant_Old!N281</f>
        <v>48</v>
      </c>
      <c r="O277" s="29">
        <f>Item_Enchant_Old!O281</f>
        <v>1</v>
      </c>
      <c r="P277" s="29">
        <f>Item_Enchant_Old!P281</f>
        <v>1</v>
      </c>
      <c r="Q277" s="29">
        <f>Item_Enchant_Old!Q281</f>
        <v>1</v>
      </c>
      <c r="R277" s="29">
        <f>Item_Enchant_Old!R281</f>
        <v>1</v>
      </c>
    </row>
    <row r="278" spans="1:18" s="29" customFormat="1" hidden="1">
      <c r="A278" s="29">
        <f>Item_Enchant_Old!A282</f>
        <v>277</v>
      </c>
      <c r="B278" s="29" t="str">
        <f>Item_Enchant_Old!B282</f>
        <v>ACTIVE_BLOCK_RATE_UP</v>
      </c>
      <c r="C278" s="29">
        <f>Item_Enchant_Old!C282</f>
        <v>620</v>
      </c>
      <c r="D278" s="29">
        <f>Item_Enchant_Old!D282</f>
        <v>0</v>
      </c>
      <c r="E278" s="29">
        <f>Item_Enchant_Old!E282</f>
        <v>0</v>
      </c>
      <c r="F278" s="29">
        <f>Item_Enchant_Old!F282</f>
        <v>0</v>
      </c>
      <c r="G278" s="29">
        <f>Item_Enchant_Old!G282</f>
        <v>1</v>
      </c>
      <c r="H278" s="29" t="str">
        <f>Item_Enchant_Old!H282</f>
        <v>@</v>
      </c>
      <c r="I278" s="29">
        <f>Item_Enchant_Old!I282</f>
        <v>1</v>
      </c>
      <c r="J278" s="29" t="str">
        <f>Item_Enchant_Old!J282</f>
        <v>절대값/상대값(%) 가능</v>
      </c>
      <c r="K278" s="29">
        <f>Item_Enchant_Old!K282</f>
        <v>5</v>
      </c>
      <c r="L278" s="29">
        <f>Item_Enchant_Old!L282</f>
        <v>0</v>
      </c>
      <c r="M278" s="29">
        <f>Item_Enchant_Old!M282</f>
        <v>8</v>
      </c>
      <c r="N278" s="29">
        <f>Item_Enchant_Old!N282</f>
        <v>352</v>
      </c>
      <c r="O278" s="29">
        <f>Item_Enchant_Old!O282</f>
        <v>1</v>
      </c>
      <c r="P278" s="29">
        <f>Item_Enchant_Old!P282</f>
        <v>1</v>
      </c>
      <c r="Q278" s="29">
        <f>Item_Enchant_Old!Q282</f>
        <v>1</v>
      </c>
      <c r="R278" s="29">
        <f>Item_Enchant_Old!R282</f>
        <v>1</v>
      </c>
    </row>
    <row r="279" spans="1:18" s="29" customFormat="1" hidden="1">
      <c r="A279" s="29">
        <f>Item_Enchant_Old!A283</f>
        <v>278</v>
      </c>
      <c r="B279" s="29" t="str">
        <f>Item_Enchant_Old!B283</f>
        <v>ACTIVE_ENG_UP</v>
      </c>
      <c r="C279" s="29">
        <f>Item_Enchant_Old!C283</f>
        <v>615</v>
      </c>
      <c r="D279" s="29">
        <f>Item_Enchant_Old!D283</f>
        <v>0</v>
      </c>
      <c r="E279" s="29">
        <f>Item_Enchant_Old!E283</f>
        <v>0</v>
      </c>
      <c r="F279" s="29">
        <f>Item_Enchant_Old!F283</f>
        <v>0</v>
      </c>
      <c r="G279" s="29">
        <f>Item_Enchant_Old!G283</f>
        <v>2</v>
      </c>
      <c r="H279" s="29" t="str">
        <f>Item_Enchant_Old!H283</f>
        <v>@</v>
      </c>
      <c r="I279" s="29">
        <f>Item_Enchant_Old!I283</f>
        <v>1</v>
      </c>
      <c r="J279" s="29" t="str">
        <f>Item_Enchant_Old!J283</f>
        <v>절대값/상대값(%) 가능</v>
      </c>
      <c r="K279" s="29">
        <f>Item_Enchant_Old!K283</f>
        <v>5</v>
      </c>
      <c r="L279" s="29">
        <f>Item_Enchant_Old!L283</f>
        <v>0</v>
      </c>
      <c r="M279" s="29">
        <f>Item_Enchant_Old!M283</f>
        <v>8</v>
      </c>
      <c r="N279" s="29">
        <f>Item_Enchant_Old!N283</f>
        <v>62</v>
      </c>
      <c r="O279" s="29">
        <f>Item_Enchant_Old!O283</f>
        <v>1</v>
      </c>
      <c r="P279" s="29">
        <f>Item_Enchant_Old!P283</f>
        <v>1</v>
      </c>
      <c r="Q279" s="29">
        <f>Item_Enchant_Old!Q283</f>
        <v>1</v>
      </c>
      <c r="R279" s="29">
        <f>Item_Enchant_Old!R283</f>
        <v>1</v>
      </c>
    </row>
    <row r="280" spans="1:18" s="29" customFormat="1" hidden="1">
      <c r="A280" s="29">
        <f>Item_Enchant_Old!A284</f>
        <v>279</v>
      </c>
      <c r="B280" s="29" t="str">
        <f>Item_Enchant_Old!B284</f>
        <v>ACTIVE_PHYSICAL_CRITICAL</v>
      </c>
      <c r="C280" s="29">
        <f>Item_Enchant_Old!C284</f>
        <v>632</v>
      </c>
      <c r="D280" s="29">
        <f>Item_Enchant_Old!D284</f>
        <v>0</v>
      </c>
      <c r="E280" s="29">
        <f>Item_Enchant_Old!E284</f>
        <v>0</v>
      </c>
      <c r="F280" s="29">
        <f>Item_Enchant_Old!F284</f>
        <v>0</v>
      </c>
      <c r="G280" s="29">
        <f>Item_Enchant_Old!G284</f>
        <v>5</v>
      </c>
      <c r="H280" s="29" t="str">
        <f>Item_Enchant_Old!H284</f>
        <v>@</v>
      </c>
      <c r="I280" s="29">
        <f>Item_Enchant_Old!I284</f>
        <v>1</v>
      </c>
      <c r="J280" s="29" t="str">
        <f>Item_Enchant_Old!J284</f>
        <v>절대값/상대값(%) 가능</v>
      </c>
      <c r="K280" s="29">
        <f>Item_Enchant_Old!K284</f>
        <v>5</v>
      </c>
      <c r="L280" s="29">
        <f>Item_Enchant_Old!L284</f>
        <v>0</v>
      </c>
      <c r="M280" s="29">
        <f>Item_Enchant_Old!M284</f>
        <v>9</v>
      </c>
      <c r="N280" s="29">
        <f>Item_Enchant_Old!N284</f>
        <v>21</v>
      </c>
      <c r="O280" s="29">
        <f>Item_Enchant_Old!O284</f>
        <v>1</v>
      </c>
      <c r="P280" s="29">
        <f>Item_Enchant_Old!P284</f>
        <v>1</v>
      </c>
      <c r="Q280" s="29">
        <f>Item_Enchant_Old!Q284</f>
        <v>1</v>
      </c>
      <c r="R280" s="29">
        <f>Item_Enchant_Old!R284</f>
        <v>1</v>
      </c>
    </row>
    <row r="281" spans="1:18" s="29" customFormat="1" hidden="1">
      <c r="A281" s="29">
        <f>Item_Enchant_Old!A285</f>
        <v>280</v>
      </c>
      <c r="B281" s="29" t="str">
        <f>Item_Enchant_Old!B285</f>
        <v>ACTIVE_ENERGY_CRITICAL</v>
      </c>
      <c r="C281" s="29">
        <f>Item_Enchant_Old!C285</f>
        <v>633</v>
      </c>
      <c r="D281" s="29">
        <f>Item_Enchant_Old!D285</f>
        <v>0</v>
      </c>
      <c r="E281" s="29">
        <f>Item_Enchant_Old!E285</f>
        <v>0</v>
      </c>
      <c r="F281" s="29">
        <f>Item_Enchant_Old!F285</f>
        <v>0</v>
      </c>
      <c r="G281" s="29">
        <f>Item_Enchant_Old!G285</f>
        <v>5</v>
      </c>
      <c r="H281" s="29" t="str">
        <f>Item_Enchant_Old!H285</f>
        <v>@</v>
      </c>
      <c r="I281" s="29">
        <f>Item_Enchant_Old!I285</f>
        <v>1</v>
      </c>
      <c r="J281" s="29" t="str">
        <f>Item_Enchant_Old!J285</f>
        <v>절대값/상대값(%) 가능</v>
      </c>
      <c r="K281" s="29">
        <f>Item_Enchant_Old!K285</f>
        <v>5</v>
      </c>
      <c r="L281" s="29">
        <f>Item_Enchant_Old!L285</f>
        <v>0</v>
      </c>
      <c r="M281" s="29">
        <f>Item_Enchant_Old!M285</f>
        <v>9</v>
      </c>
      <c r="N281" s="29">
        <f>Item_Enchant_Old!N285</f>
        <v>24</v>
      </c>
      <c r="O281" s="29">
        <f>Item_Enchant_Old!O285</f>
        <v>1</v>
      </c>
      <c r="P281" s="29">
        <f>Item_Enchant_Old!P285</f>
        <v>1</v>
      </c>
      <c r="Q281" s="29">
        <f>Item_Enchant_Old!Q285</f>
        <v>1</v>
      </c>
      <c r="R281" s="29">
        <f>Item_Enchant_Old!R285</f>
        <v>1</v>
      </c>
    </row>
    <row r="282" spans="1:18" s="29" customFormat="1" hidden="1">
      <c r="A282" s="29">
        <f>Item_Enchant_Old!A286</f>
        <v>281</v>
      </c>
      <c r="B282" s="29" t="str">
        <f>Item_Enchant_Old!B286</f>
        <v>ACTIVE_DEX_UP</v>
      </c>
      <c r="C282" s="29">
        <f>Item_Enchant_Old!C286</f>
        <v>613</v>
      </c>
      <c r="D282" s="29">
        <f>Item_Enchant_Old!D286</f>
        <v>0</v>
      </c>
      <c r="E282" s="29">
        <f>Item_Enchant_Old!E286</f>
        <v>0</v>
      </c>
      <c r="F282" s="29">
        <f>Item_Enchant_Old!F286</f>
        <v>0</v>
      </c>
      <c r="G282" s="29">
        <f>Item_Enchant_Old!G286</f>
        <v>3</v>
      </c>
      <c r="H282" s="29" t="str">
        <f>Item_Enchant_Old!H286</f>
        <v>@</v>
      </c>
      <c r="I282" s="29">
        <f>Item_Enchant_Old!I286</f>
        <v>1</v>
      </c>
      <c r="J282" s="29" t="str">
        <f>Item_Enchant_Old!J286</f>
        <v>절대값/상대값(%) 가능</v>
      </c>
      <c r="K282" s="29">
        <f>Item_Enchant_Old!K286</f>
        <v>5</v>
      </c>
      <c r="L282" s="29">
        <f>Item_Enchant_Old!L286</f>
        <v>0</v>
      </c>
      <c r="M282" s="29">
        <f>Item_Enchant_Old!M286</f>
        <v>9</v>
      </c>
      <c r="N282" s="29">
        <f>Item_Enchant_Old!N286</f>
        <v>44</v>
      </c>
      <c r="O282" s="29">
        <f>Item_Enchant_Old!O286</f>
        <v>1</v>
      </c>
      <c r="P282" s="29">
        <f>Item_Enchant_Old!P286</f>
        <v>1</v>
      </c>
      <c r="Q282" s="29">
        <f>Item_Enchant_Old!Q286</f>
        <v>1</v>
      </c>
      <c r="R282" s="29">
        <f>Item_Enchant_Old!R286</f>
        <v>1</v>
      </c>
    </row>
    <row r="283" spans="1:18" s="29" customFormat="1" hidden="1">
      <c r="A283" s="29">
        <f>Item_Enchant_Old!A287</f>
        <v>282</v>
      </c>
      <c r="B283" s="29" t="str">
        <f>Item_Enchant_Old!B287</f>
        <v>ACTIVE_FOC_UP</v>
      </c>
      <c r="C283" s="29">
        <f>Item_Enchant_Old!C287</f>
        <v>612</v>
      </c>
      <c r="D283" s="29">
        <f>Item_Enchant_Old!D287</f>
        <v>0</v>
      </c>
      <c r="E283" s="29">
        <f>Item_Enchant_Old!E287</f>
        <v>0</v>
      </c>
      <c r="F283" s="29">
        <f>Item_Enchant_Old!F287</f>
        <v>0</v>
      </c>
      <c r="G283" s="29">
        <f>Item_Enchant_Old!G287</f>
        <v>2</v>
      </c>
      <c r="H283" s="29" t="str">
        <f>Item_Enchant_Old!H287</f>
        <v>@</v>
      </c>
      <c r="I283" s="29">
        <f>Item_Enchant_Old!I287</f>
        <v>1</v>
      </c>
      <c r="J283" s="29" t="str">
        <f>Item_Enchant_Old!J287</f>
        <v>절대값/상대값(%) 가능</v>
      </c>
      <c r="K283" s="29">
        <f>Item_Enchant_Old!K287</f>
        <v>5</v>
      </c>
      <c r="L283" s="29">
        <f>Item_Enchant_Old!L287</f>
        <v>0</v>
      </c>
      <c r="M283" s="29">
        <f>Item_Enchant_Old!M287</f>
        <v>9</v>
      </c>
      <c r="N283" s="29">
        <f>Item_Enchant_Old!N287</f>
        <v>53</v>
      </c>
      <c r="O283" s="29">
        <f>Item_Enchant_Old!O287</f>
        <v>1</v>
      </c>
      <c r="P283" s="29">
        <f>Item_Enchant_Old!P287</f>
        <v>1</v>
      </c>
      <c r="Q283" s="29">
        <f>Item_Enchant_Old!Q287</f>
        <v>1</v>
      </c>
      <c r="R283" s="29">
        <f>Item_Enchant_Old!R287</f>
        <v>1</v>
      </c>
    </row>
    <row r="284" spans="1:18" s="29" customFormat="1" hidden="1">
      <c r="A284" s="29">
        <f>Item_Enchant_Old!A288</f>
        <v>283</v>
      </c>
      <c r="B284" s="29" t="str">
        <f>Item_Enchant_Old!B288</f>
        <v>ACTIVE_PHYSICAL_CRITICAL_DAMAGE_UP</v>
      </c>
      <c r="C284" s="29">
        <f>Item_Enchant_Old!C288</f>
        <v>658</v>
      </c>
      <c r="D284" s="29">
        <f>Item_Enchant_Old!D288</f>
        <v>0</v>
      </c>
      <c r="E284" s="29">
        <f>Item_Enchant_Old!E288</f>
        <v>0</v>
      </c>
      <c r="F284" s="29">
        <f>Item_Enchant_Old!F288</f>
        <v>0</v>
      </c>
      <c r="G284" s="29">
        <f>Item_Enchant_Old!G288</f>
        <v>4</v>
      </c>
      <c r="H284" s="29" t="str">
        <f>Item_Enchant_Old!H288</f>
        <v>@</v>
      </c>
      <c r="I284" s="29">
        <f>Item_Enchant_Old!I288</f>
        <v>1</v>
      </c>
      <c r="J284" s="29" t="str">
        <f>Item_Enchant_Old!J288</f>
        <v>절대값만 가능</v>
      </c>
      <c r="K284" s="29">
        <f>Item_Enchant_Old!K288</f>
        <v>5</v>
      </c>
      <c r="L284" s="29">
        <f>Item_Enchant_Old!L288</f>
        <v>0</v>
      </c>
      <c r="M284" s="29">
        <f>Item_Enchant_Old!M288</f>
        <v>10</v>
      </c>
      <c r="N284" s="29">
        <f>Item_Enchant_Old!N288</f>
        <v>28</v>
      </c>
      <c r="O284" s="29">
        <f>Item_Enchant_Old!O288</f>
        <v>1</v>
      </c>
      <c r="P284" s="29">
        <f>Item_Enchant_Old!P288</f>
        <v>1</v>
      </c>
      <c r="Q284" s="29">
        <f>Item_Enchant_Old!Q288</f>
        <v>1</v>
      </c>
      <c r="R284" s="29">
        <f>Item_Enchant_Old!R288</f>
        <v>1</v>
      </c>
    </row>
    <row r="285" spans="1:18" s="29" customFormat="1" hidden="1">
      <c r="A285" s="29">
        <f>Item_Enchant_Old!A289</f>
        <v>284</v>
      </c>
      <c r="B285" s="29" t="str">
        <f>Item_Enchant_Old!B289</f>
        <v>ACTIVE_ENERGY_CRITICAL_DAMAGE_UP</v>
      </c>
      <c r="C285" s="29">
        <f>Item_Enchant_Old!C289</f>
        <v>659</v>
      </c>
      <c r="D285" s="29">
        <f>Item_Enchant_Old!D289</f>
        <v>0</v>
      </c>
      <c r="E285" s="29">
        <f>Item_Enchant_Old!E289</f>
        <v>0</v>
      </c>
      <c r="F285" s="29">
        <f>Item_Enchant_Old!F289</f>
        <v>0</v>
      </c>
      <c r="G285" s="29">
        <f>Item_Enchant_Old!G289</f>
        <v>4</v>
      </c>
      <c r="H285" s="29" t="str">
        <f>Item_Enchant_Old!H289</f>
        <v>@</v>
      </c>
      <c r="I285" s="29">
        <f>Item_Enchant_Old!I289</f>
        <v>1</v>
      </c>
      <c r="J285" s="29" t="str">
        <f>Item_Enchant_Old!J289</f>
        <v>절대값만 가능</v>
      </c>
      <c r="K285" s="29">
        <f>Item_Enchant_Old!K289</f>
        <v>5</v>
      </c>
      <c r="L285" s="29">
        <f>Item_Enchant_Old!L289</f>
        <v>0</v>
      </c>
      <c r="M285" s="29">
        <f>Item_Enchant_Old!M289</f>
        <v>10</v>
      </c>
      <c r="N285" s="29">
        <f>Item_Enchant_Old!N289</f>
        <v>32</v>
      </c>
      <c r="O285" s="29">
        <f>Item_Enchant_Old!O289</f>
        <v>1</v>
      </c>
      <c r="P285" s="29">
        <f>Item_Enchant_Old!P289</f>
        <v>1</v>
      </c>
      <c r="Q285" s="29">
        <f>Item_Enchant_Old!Q289</f>
        <v>1</v>
      </c>
      <c r="R285" s="29">
        <f>Item_Enchant_Old!R289</f>
        <v>1</v>
      </c>
    </row>
    <row r="286" spans="1:18" s="29" customFormat="1" hidden="1">
      <c r="A286" s="29">
        <f>Item_Enchant_Old!A290</f>
        <v>285</v>
      </c>
      <c r="B286" s="29" t="str">
        <f>Item_Enchant_Old!B290</f>
        <v>ACTIVE_DEX_UP</v>
      </c>
      <c r="C286" s="29">
        <f>Item_Enchant_Old!C290</f>
        <v>613</v>
      </c>
      <c r="D286" s="29">
        <f>Item_Enchant_Old!D290</f>
        <v>0</v>
      </c>
      <c r="E286" s="29">
        <f>Item_Enchant_Old!E290</f>
        <v>0</v>
      </c>
      <c r="F286" s="29">
        <f>Item_Enchant_Old!F290</f>
        <v>0</v>
      </c>
      <c r="G286" s="29">
        <f>Item_Enchant_Old!G290</f>
        <v>3</v>
      </c>
      <c r="H286" s="29" t="str">
        <f>Item_Enchant_Old!H290</f>
        <v>@</v>
      </c>
      <c r="I286" s="29">
        <f>Item_Enchant_Old!I290</f>
        <v>1</v>
      </c>
      <c r="J286" s="29" t="str">
        <f>Item_Enchant_Old!J290</f>
        <v>절대값/상대값(%) 가능</v>
      </c>
      <c r="K286" s="29">
        <f>Item_Enchant_Old!K290</f>
        <v>5</v>
      </c>
      <c r="L286" s="29">
        <f>Item_Enchant_Old!L290</f>
        <v>0</v>
      </c>
      <c r="M286" s="29">
        <f>Item_Enchant_Old!M290</f>
        <v>10</v>
      </c>
      <c r="N286" s="29">
        <f>Item_Enchant_Old!N290</f>
        <v>44</v>
      </c>
      <c r="O286" s="29">
        <f>Item_Enchant_Old!O290</f>
        <v>1</v>
      </c>
      <c r="P286" s="29">
        <f>Item_Enchant_Old!P290</f>
        <v>1</v>
      </c>
      <c r="Q286" s="29">
        <f>Item_Enchant_Old!Q290</f>
        <v>1</v>
      </c>
      <c r="R286" s="29">
        <f>Item_Enchant_Old!R290</f>
        <v>1</v>
      </c>
    </row>
    <row r="287" spans="1:18" s="29" customFormat="1" hidden="1">
      <c r="A287" s="29">
        <f>Item_Enchant_Old!A291</f>
        <v>286</v>
      </c>
      <c r="B287" s="29" t="str">
        <f>Item_Enchant_Old!B291</f>
        <v>ACTIVE_ATTACK_SPEED_UP</v>
      </c>
      <c r="C287" s="29">
        <f>Item_Enchant_Old!C291</f>
        <v>617</v>
      </c>
      <c r="D287" s="29">
        <f>Item_Enchant_Old!D291</f>
        <v>1</v>
      </c>
      <c r="E287" s="29">
        <f>Item_Enchant_Old!E291</f>
        <v>0</v>
      </c>
      <c r="F287" s="29">
        <f>Item_Enchant_Old!F291</f>
        <v>0</v>
      </c>
      <c r="G287" s="29">
        <f>Item_Enchant_Old!G291</f>
        <v>10</v>
      </c>
      <c r="H287" s="29" t="str">
        <f>Item_Enchant_Old!H291</f>
        <v>@</v>
      </c>
      <c r="I287" s="29">
        <f>Item_Enchant_Old!I291</f>
        <v>1</v>
      </c>
      <c r="J287" s="29" t="str">
        <f>Item_Enchant_Old!J291</f>
        <v>절대값/상대값(%) 가능</v>
      </c>
      <c r="K287" s="29">
        <f>Item_Enchant_Old!K291</f>
        <v>5</v>
      </c>
      <c r="L287" s="29">
        <f>Item_Enchant_Old!L291</f>
        <v>0</v>
      </c>
      <c r="M287" s="29">
        <f>Item_Enchant_Old!M291</f>
        <v>10</v>
      </c>
      <c r="N287" s="29">
        <f>Item_Enchant_Old!N291</f>
        <v>10</v>
      </c>
      <c r="O287" s="29">
        <f>Item_Enchant_Old!O291</f>
        <v>1</v>
      </c>
      <c r="P287" s="29">
        <f>Item_Enchant_Old!P291</f>
        <v>1</v>
      </c>
      <c r="Q287" s="29">
        <f>Item_Enchant_Old!Q291</f>
        <v>1</v>
      </c>
      <c r="R287" s="29">
        <f>Item_Enchant_Old!R291</f>
        <v>1</v>
      </c>
    </row>
    <row r="288" spans="1:18" s="29" customFormat="1" hidden="1">
      <c r="A288" s="29">
        <f>Item_Enchant_Old!A292</f>
        <v>287</v>
      </c>
      <c r="B288" s="29" t="str">
        <f>Item_Enchant_Old!B292</f>
        <v>ACTIVE_STR_UP</v>
      </c>
      <c r="C288" s="29">
        <f>Item_Enchant_Old!C292</f>
        <v>610</v>
      </c>
      <c r="D288" s="29">
        <f>Item_Enchant_Old!D292</f>
        <v>0</v>
      </c>
      <c r="E288" s="29">
        <f>Item_Enchant_Old!E292</f>
        <v>0</v>
      </c>
      <c r="F288" s="29">
        <f>Item_Enchant_Old!F292</f>
        <v>0</v>
      </c>
      <c r="G288" s="29">
        <f>Item_Enchant_Old!G292</f>
        <v>2</v>
      </c>
      <c r="H288" s="29" t="str">
        <f>Item_Enchant_Old!H292</f>
        <v>@</v>
      </c>
      <c r="I288" s="29">
        <f>Item_Enchant_Old!I292</f>
        <v>1</v>
      </c>
      <c r="J288" s="29" t="str">
        <f>Item_Enchant_Old!J292</f>
        <v>절대값/상대값(%) 가능</v>
      </c>
      <c r="K288" s="29">
        <f>Item_Enchant_Old!K292</f>
        <v>5</v>
      </c>
      <c r="L288" s="29">
        <f>Item_Enchant_Old!L292</f>
        <v>0</v>
      </c>
      <c r="M288" s="29">
        <f>Item_Enchant_Old!M292</f>
        <v>11</v>
      </c>
      <c r="N288" s="29">
        <f>Item_Enchant_Old!N292</f>
        <v>57</v>
      </c>
      <c r="O288" s="29">
        <f>Item_Enchant_Old!O292</f>
        <v>1</v>
      </c>
      <c r="P288" s="29">
        <f>Item_Enchant_Old!P292</f>
        <v>1</v>
      </c>
      <c r="Q288" s="29">
        <f>Item_Enchant_Old!Q292</f>
        <v>1</v>
      </c>
      <c r="R288" s="29">
        <f>Item_Enchant_Old!R292</f>
        <v>1</v>
      </c>
    </row>
    <row r="289" spans="1:18" s="29" customFormat="1" hidden="1">
      <c r="A289" s="29">
        <f>Item_Enchant_Old!A293</f>
        <v>288</v>
      </c>
      <c r="B289" s="29" t="str">
        <f>Item_Enchant_Old!B293</f>
        <v>ACTIVE_CON_UP</v>
      </c>
      <c r="C289" s="29">
        <f>Item_Enchant_Old!C293</f>
        <v>611</v>
      </c>
      <c r="D289" s="29">
        <f>Item_Enchant_Old!D293</f>
        <v>0</v>
      </c>
      <c r="E289" s="29">
        <f>Item_Enchant_Old!E293</f>
        <v>0</v>
      </c>
      <c r="F289" s="29">
        <f>Item_Enchant_Old!F293</f>
        <v>0</v>
      </c>
      <c r="G289" s="29">
        <f>Item_Enchant_Old!G293</f>
        <v>3</v>
      </c>
      <c r="H289" s="29" t="str">
        <f>Item_Enchant_Old!H293</f>
        <v>@</v>
      </c>
      <c r="I289" s="29">
        <f>Item_Enchant_Old!I293</f>
        <v>1</v>
      </c>
      <c r="J289" s="29" t="str">
        <f>Item_Enchant_Old!J293</f>
        <v>절대값/상대값(%) 가능</v>
      </c>
      <c r="K289" s="29">
        <f>Item_Enchant_Old!K293</f>
        <v>5</v>
      </c>
      <c r="L289" s="29">
        <f>Item_Enchant_Old!L293</f>
        <v>0</v>
      </c>
      <c r="M289" s="29">
        <f>Item_Enchant_Old!M293</f>
        <v>11</v>
      </c>
      <c r="N289" s="29">
        <f>Item_Enchant_Old!N293</f>
        <v>48</v>
      </c>
      <c r="O289" s="29">
        <f>Item_Enchant_Old!O293</f>
        <v>1</v>
      </c>
      <c r="P289" s="29">
        <f>Item_Enchant_Old!P293</f>
        <v>1</v>
      </c>
      <c r="Q289" s="29">
        <f>Item_Enchant_Old!Q293</f>
        <v>1</v>
      </c>
      <c r="R289" s="29">
        <f>Item_Enchant_Old!R293</f>
        <v>1</v>
      </c>
    </row>
    <row r="290" spans="1:18" s="29" customFormat="1" hidden="1">
      <c r="A290" s="29">
        <f>Item_Enchant_Old!A294</f>
        <v>289</v>
      </c>
      <c r="B290" s="29" t="str">
        <f>Item_Enchant_Old!B294</f>
        <v>ACTIVE_FOC_UP</v>
      </c>
      <c r="C290" s="29">
        <f>Item_Enchant_Old!C294</f>
        <v>612</v>
      </c>
      <c r="D290" s="29">
        <f>Item_Enchant_Old!D294</f>
        <v>0</v>
      </c>
      <c r="E290" s="29">
        <f>Item_Enchant_Old!E294</f>
        <v>0</v>
      </c>
      <c r="F290" s="29">
        <f>Item_Enchant_Old!F294</f>
        <v>0</v>
      </c>
      <c r="G290" s="29">
        <f>Item_Enchant_Old!G294</f>
        <v>2</v>
      </c>
      <c r="H290" s="29" t="str">
        <f>Item_Enchant_Old!H294</f>
        <v>@</v>
      </c>
      <c r="I290" s="29">
        <f>Item_Enchant_Old!I294</f>
        <v>1</v>
      </c>
      <c r="J290" s="29" t="str">
        <f>Item_Enchant_Old!J294</f>
        <v>절대값/상대값(%) 가능</v>
      </c>
      <c r="K290" s="29">
        <f>Item_Enchant_Old!K294</f>
        <v>5</v>
      </c>
      <c r="L290" s="29">
        <f>Item_Enchant_Old!L294</f>
        <v>0</v>
      </c>
      <c r="M290" s="29">
        <f>Item_Enchant_Old!M294</f>
        <v>11</v>
      </c>
      <c r="N290" s="29">
        <f>Item_Enchant_Old!N294</f>
        <v>53</v>
      </c>
      <c r="O290" s="29">
        <f>Item_Enchant_Old!O294</f>
        <v>1</v>
      </c>
      <c r="P290" s="29">
        <f>Item_Enchant_Old!P294</f>
        <v>1</v>
      </c>
      <c r="Q290" s="29">
        <f>Item_Enchant_Old!Q294</f>
        <v>1</v>
      </c>
      <c r="R290" s="29">
        <f>Item_Enchant_Old!R294</f>
        <v>1</v>
      </c>
    </row>
    <row r="291" spans="1:18" s="29" customFormat="1" hidden="1">
      <c r="A291" s="29">
        <f>Item_Enchant_Old!A295</f>
        <v>290</v>
      </c>
      <c r="B291" s="29" t="str">
        <f>Item_Enchant_Old!B295</f>
        <v>ACTIVE_DEX_UP</v>
      </c>
      <c r="C291" s="29">
        <f>Item_Enchant_Old!C295</f>
        <v>613</v>
      </c>
      <c r="D291" s="29">
        <f>Item_Enchant_Old!D295</f>
        <v>0</v>
      </c>
      <c r="E291" s="29">
        <f>Item_Enchant_Old!E295</f>
        <v>0</v>
      </c>
      <c r="F291" s="29">
        <f>Item_Enchant_Old!F295</f>
        <v>0</v>
      </c>
      <c r="G291" s="29">
        <f>Item_Enchant_Old!G295</f>
        <v>3</v>
      </c>
      <c r="H291" s="29" t="str">
        <f>Item_Enchant_Old!H295</f>
        <v>@</v>
      </c>
      <c r="I291" s="29">
        <f>Item_Enchant_Old!I295</f>
        <v>1</v>
      </c>
      <c r="J291" s="29" t="str">
        <f>Item_Enchant_Old!J295</f>
        <v>절대값/상대값(%) 가능</v>
      </c>
      <c r="K291" s="29">
        <f>Item_Enchant_Old!K295</f>
        <v>5</v>
      </c>
      <c r="L291" s="29">
        <f>Item_Enchant_Old!L295</f>
        <v>0</v>
      </c>
      <c r="M291" s="29">
        <f>Item_Enchant_Old!M295</f>
        <v>11</v>
      </c>
      <c r="N291" s="29">
        <f>Item_Enchant_Old!N295</f>
        <v>44</v>
      </c>
      <c r="O291" s="29">
        <f>Item_Enchant_Old!O295</f>
        <v>1</v>
      </c>
      <c r="P291" s="29">
        <f>Item_Enchant_Old!P295</f>
        <v>1</v>
      </c>
      <c r="Q291" s="29">
        <f>Item_Enchant_Old!Q295</f>
        <v>1</v>
      </c>
      <c r="R291" s="29">
        <f>Item_Enchant_Old!R295</f>
        <v>1</v>
      </c>
    </row>
    <row r="292" spans="1:18" s="29" customFormat="1" hidden="1">
      <c r="A292" s="29">
        <f>Item_Enchant_Old!A296</f>
        <v>291</v>
      </c>
      <c r="B292" s="29" t="str">
        <f>Item_Enchant_Old!B296</f>
        <v>ACTIVE_SOL_UP</v>
      </c>
      <c r="C292" s="29">
        <f>Item_Enchant_Old!C296</f>
        <v>614</v>
      </c>
      <c r="D292" s="29">
        <f>Item_Enchant_Old!D296</f>
        <v>0</v>
      </c>
      <c r="E292" s="29">
        <f>Item_Enchant_Old!E296</f>
        <v>0</v>
      </c>
      <c r="F292" s="29">
        <f>Item_Enchant_Old!F296</f>
        <v>0</v>
      </c>
      <c r="G292" s="29">
        <f>Item_Enchant_Old!G296</f>
        <v>2</v>
      </c>
      <c r="H292" s="29" t="str">
        <f>Item_Enchant_Old!H296</f>
        <v>@</v>
      </c>
      <c r="I292" s="29">
        <f>Item_Enchant_Old!I296</f>
        <v>1</v>
      </c>
      <c r="J292" s="29" t="str">
        <f>Item_Enchant_Old!J296</f>
        <v>절대값/상대값(%) 가능</v>
      </c>
      <c r="K292" s="29">
        <f>Item_Enchant_Old!K296</f>
        <v>5</v>
      </c>
      <c r="L292" s="29">
        <f>Item_Enchant_Old!L296</f>
        <v>0</v>
      </c>
      <c r="M292" s="29">
        <f>Item_Enchant_Old!M296</f>
        <v>11</v>
      </c>
      <c r="N292" s="29">
        <f>Item_Enchant_Old!N296</f>
        <v>53</v>
      </c>
      <c r="O292" s="29">
        <f>Item_Enchant_Old!O296</f>
        <v>1</v>
      </c>
      <c r="P292" s="29">
        <f>Item_Enchant_Old!P296</f>
        <v>1</v>
      </c>
      <c r="Q292" s="29">
        <f>Item_Enchant_Old!Q296</f>
        <v>1</v>
      </c>
      <c r="R292" s="29">
        <f>Item_Enchant_Old!R296</f>
        <v>1</v>
      </c>
    </row>
    <row r="293" spans="1:18" s="29" customFormat="1" hidden="1">
      <c r="A293" s="29">
        <f>Item_Enchant_Old!A297</f>
        <v>292</v>
      </c>
      <c r="B293" s="29" t="str">
        <f>Item_Enchant_Old!B297</f>
        <v>ACTIVE_ENG_UP</v>
      </c>
      <c r="C293" s="29">
        <f>Item_Enchant_Old!C297</f>
        <v>615</v>
      </c>
      <c r="D293" s="29">
        <f>Item_Enchant_Old!D297</f>
        <v>0</v>
      </c>
      <c r="E293" s="29">
        <f>Item_Enchant_Old!E297</f>
        <v>0</v>
      </c>
      <c r="F293" s="29">
        <f>Item_Enchant_Old!F297</f>
        <v>0</v>
      </c>
      <c r="G293" s="29">
        <f>Item_Enchant_Old!G297</f>
        <v>2</v>
      </c>
      <c r="H293" s="29" t="str">
        <f>Item_Enchant_Old!H297</f>
        <v>@</v>
      </c>
      <c r="I293" s="29">
        <f>Item_Enchant_Old!I297</f>
        <v>1</v>
      </c>
      <c r="J293" s="29" t="str">
        <f>Item_Enchant_Old!J297</f>
        <v>절대값/상대값(%) 가능</v>
      </c>
      <c r="K293" s="29">
        <f>Item_Enchant_Old!K297</f>
        <v>5</v>
      </c>
      <c r="L293" s="29">
        <f>Item_Enchant_Old!L297</f>
        <v>0</v>
      </c>
      <c r="M293" s="29">
        <f>Item_Enchant_Old!M297</f>
        <v>11</v>
      </c>
      <c r="N293" s="29">
        <f>Item_Enchant_Old!N297</f>
        <v>62</v>
      </c>
      <c r="O293" s="29">
        <f>Item_Enchant_Old!O297</f>
        <v>1</v>
      </c>
      <c r="P293" s="29">
        <f>Item_Enchant_Old!P297</f>
        <v>1</v>
      </c>
      <c r="Q293" s="29">
        <f>Item_Enchant_Old!Q297</f>
        <v>1</v>
      </c>
      <c r="R293" s="29">
        <f>Item_Enchant_Old!R297</f>
        <v>1</v>
      </c>
    </row>
    <row r="294" spans="1:18" s="29" customFormat="1" hidden="1">
      <c r="A294" s="29">
        <f>Item_Enchant_Old!A298</f>
        <v>293</v>
      </c>
      <c r="B294" s="29" t="str">
        <f>Item_Enchant_Old!B298</f>
        <v>ACTIVE_PHYSICAL_DEFENCE_UP</v>
      </c>
      <c r="C294" s="29">
        <f>Item_Enchant_Old!C298</f>
        <v>608</v>
      </c>
      <c r="D294" s="29">
        <f>Item_Enchant_Old!D298</f>
        <v>0</v>
      </c>
      <c r="E294" s="29">
        <f>Item_Enchant_Old!E298</f>
        <v>0</v>
      </c>
      <c r="F294" s="29">
        <f>Item_Enchant_Old!F298</f>
        <v>0</v>
      </c>
      <c r="G294" s="29">
        <f>Item_Enchant_Old!G298</f>
        <v>1</v>
      </c>
      <c r="H294" s="29" t="str">
        <f>Item_Enchant_Old!H298</f>
        <v>@</v>
      </c>
      <c r="I294" s="29">
        <f>Item_Enchant_Old!I298</f>
        <v>1</v>
      </c>
      <c r="J294" s="29" t="str">
        <f>Item_Enchant_Old!J298</f>
        <v>절대값/상대값(%) 가능</v>
      </c>
      <c r="K294" s="29">
        <f>Item_Enchant_Old!K298</f>
        <v>5</v>
      </c>
      <c r="L294" s="29">
        <f>Item_Enchant_Old!L298</f>
        <v>0</v>
      </c>
      <c r="M294" s="29">
        <f>Item_Enchant_Old!M298</f>
        <v>12</v>
      </c>
      <c r="N294" s="29">
        <f>Item_Enchant_Old!N298</f>
        <v>1350</v>
      </c>
      <c r="O294" s="29">
        <f>Item_Enchant_Old!O298</f>
        <v>1</v>
      </c>
      <c r="P294" s="29">
        <f>Item_Enchant_Old!P298</f>
        <v>1</v>
      </c>
      <c r="Q294" s="29">
        <f>Item_Enchant_Old!Q298</f>
        <v>1</v>
      </c>
      <c r="R294" s="29">
        <f>Item_Enchant_Old!R298</f>
        <v>1</v>
      </c>
    </row>
    <row r="295" spans="1:18" s="29" customFormat="1" hidden="1">
      <c r="A295" s="29">
        <f>Item_Enchant_Old!A299</f>
        <v>294</v>
      </c>
      <c r="B295" s="29" t="str">
        <f>Item_Enchant_Old!B299</f>
        <v>ACTIVE_BLOCK_RATE_UP</v>
      </c>
      <c r="C295" s="29">
        <f>Item_Enchant_Old!C299</f>
        <v>620</v>
      </c>
      <c r="D295" s="29">
        <f>Item_Enchant_Old!D299</f>
        <v>0</v>
      </c>
      <c r="E295" s="29">
        <f>Item_Enchant_Old!E299</f>
        <v>0</v>
      </c>
      <c r="F295" s="29">
        <f>Item_Enchant_Old!F299</f>
        <v>0</v>
      </c>
      <c r="G295" s="29">
        <f>Item_Enchant_Old!G299</f>
        <v>1</v>
      </c>
      <c r="H295" s="29" t="str">
        <f>Item_Enchant_Old!H299</f>
        <v>@</v>
      </c>
      <c r="I295" s="29">
        <f>Item_Enchant_Old!I299</f>
        <v>1</v>
      </c>
      <c r="J295" s="29" t="str">
        <f>Item_Enchant_Old!J299</f>
        <v>절대값/상대값(%) 가능</v>
      </c>
      <c r="K295" s="29">
        <f>Item_Enchant_Old!K299</f>
        <v>5</v>
      </c>
      <c r="L295" s="29">
        <f>Item_Enchant_Old!L299</f>
        <v>0</v>
      </c>
      <c r="M295" s="29">
        <f>Item_Enchant_Old!M299</f>
        <v>12</v>
      </c>
      <c r="N295" s="29">
        <f>Item_Enchant_Old!N299</f>
        <v>352</v>
      </c>
      <c r="O295" s="29">
        <f>Item_Enchant_Old!O299</f>
        <v>1</v>
      </c>
      <c r="P295" s="29">
        <f>Item_Enchant_Old!P299</f>
        <v>1</v>
      </c>
      <c r="Q295" s="29">
        <f>Item_Enchant_Old!Q299</f>
        <v>1</v>
      </c>
      <c r="R295" s="29">
        <f>Item_Enchant_Old!R299</f>
        <v>1</v>
      </c>
    </row>
    <row r="296" spans="1:18" s="29" customFormat="1" hidden="1">
      <c r="A296" s="29">
        <f>Item_Enchant_Old!A300</f>
        <v>295</v>
      </c>
      <c r="B296" s="29" t="str">
        <f>Item_Enchant_Old!B300</f>
        <v>ACTIVE_CON_UP</v>
      </c>
      <c r="C296" s="29">
        <f>Item_Enchant_Old!C300</f>
        <v>611</v>
      </c>
      <c r="D296" s="29">
        <f>Item_Enchant_Old!D300</f>
        <v>0</v>
      </c>
      <c r="E296" s="29">
        <f>Item_Enchant_Old!E300</f>
        <v>0</v>
      </c>
      <c r="F296" s="29">
        <f>Item_Enchant_Old!F300</f>
        <v>0</v>
      </c>
      <c r="G296" s="29">
        <f>Item_Enchant_Old!G300</f>
        <v>3</v>
      </c>
      <c r="H296" s="29" t="str">
        <f>Item_Enchant_Old!H300</f>
        <v>@</v>
      </c>
      <c r="I296" s="29">
        <f>Item_Enchant_Old!I300</f>
        <v>1</v>
      </c>
      <c r="J296" s="29" t="str">
        <f>Item_Enchant_Old!J300</f>
        <v>절대값/상대값(%) 가능</v>
      </c>
      <c r="K296" s="29">
        <f>Item_Enchant_Old!K300</f>
        <v>5</v>
      </c>
      <c r="L296" s="29">
        <f>Item_Enchant_Old!L300</f>
        <v>0</v>
      </c>
      <c r="M296" s="29">
        <f>Item_Enchant_Old!M300</f>
        <v>12</v>
      </c>
      <c r="N296" s="29">
        <f>Item_Enchant_Old!N300</f>
        <v>48</v>
      </c>
      <c r="O296" s="29">
        <f>Item_Enchant_Old!O300</f>
        <v>1</v>
      </c>
      <c r="P296" s="29">
        <f>Item_Enchant_Old!P300</f>
        <v>1</v>
      </c>
      <c r="Q296" s="29">
        <f>Item_Enchant_Old!Q300</f>
        <v>1</v>
      </c>
      <c r="R296" s="29">
        <f>Item_Enchant_Old!R300</f>
        <v>1</v>
      </c>
    </row>
    <row r="297" spans="1:18" s="29" customFormat="1" hidden="1">
      <c r="A297" s="29">
        <f>Item_Enchant_Old!A301</f>
        <v>296</v>
      </c>
      <c r="B297" s="29" t="str">
        <f>Item_Enchant_Old!B301</f>
        <v>ACTIVE_FOC_UP</v>
      </c>
      <c r="C297" s="29">
        <f>Item_Enchant_Old!C301</f>
        <v>612</v>
      </c>
      <c r="D297" s="29">
        <f>Item_Enchant_Old!D301</f>
        <v>0</v>
      </c>
      <c r="E297" s="29">
        <f>Item_Enchant_Old!E301</f>
        <v>0</v>
      </c>
      <c r="F297" s="29">
        <f>Item_Enchant_Old!F301</f>
        <v>0</v>
      </c>
      <c r="G297" s="29">
        <f>Item_Enchant_Old!G301</f>
        <v>2</v>
      </c>
      <c r="H297" s="29" t="str">
        <f>Item_Enchant_Old!H301</f>
        <v>@</v>
      </c>
      <c r="I297" s="29">
        <f>Item_Enchant_Old!I301</f>
        <v>1</v>
      </c>
      <c r="J297" s="29" t="str">
        <f>Item_Enchant_Old!J301</f>
        <v>절대값/상대값(%) 가능</v>
      </c>
      <c r="K297" s="29">
        <f>Item_Enchant_Old!K301</f>
        <v>5</v>
      </c>
      <c r="L297" s="29">
        <f>Item_Enchant_Old!L301</f>
        <v>0</v>
      </c>
      <c r="M297" s="29">
        <f>Item_Enchant_Old!M301</f>
        <v>12</v>
      </c>
      <c r="N297" s="29">
        <f>Item_Enchant_Old!N301</f>
        <v>53</v>
      </c>
      <c r="O297" s="29">
        <f>Item_Enchant_Old!O301</f>
        <v>1</v>
      </c>
      <c r="P297" s="29">
        <f>Item_Enchant_Old!P301</f>
        <v>1</v>
      </c>
      <c r="Q297" s="29">
        <f>Item_Enchant_Old!Q301</f>
        <v>1</v>
      </c>
      <c r="R297" s="29">
        <f>Item_Enchant_Old!R301</f>
        <v>1</v>
      </c>
    </row>
    <row r="298" spans="1:18" s="29" customFormat="1" hidden="1">
      <c r="A298" s="29">
        <f>Item_Enchant_Old!A302</f>
        <v>297</v>
      </c>
      <c r="B298" s="29" t="str">
        <f>Item_Enchant_Old!B302</f>
        <v>ACTIVE_ENERGY_OFFENCE_UP</v>
      </c>
      <c r="C298" s="29">
        <f>Item_Enchant_Old!C302</f>
        <v>607</v>
      </c>
      <c r="D298" s="29">
        <f>Item_Enchant_Old!D302</f>
        <v>0</v>
      </c>
      <c r="E298" s="29">
        <f>Item_Enchant_Old!E302</f>
        <v>0</v>
      </c>
      <c r="F298" s="29">
        <f>Item_Enchant_Old!F302</f>
        <v>0</v>
      </c>
      <c r="G298" s="29">
        <f>Item_Enchant_Old!G302</f>
        <v>1</v>
      </c>
      <c r="H298" s="29" t="str">
        <f>Item_Enchant_Old!H302</f>
        <v>@</v>
      </c>
      <c r="I298" s="29">
        <f>Item_Enchant_Old!I302</f>
        <v>1</v>
      </c>
      <c r="J298" s="29" t="str">
        <f>Item_Enchant_Old!J302</f>
        <v>절대값/상대값(%) 가능</v>
      </c>
      <c r="K298" s="29">
        <f>Item_Enchant_Old!K302</f>
        <v>6</v>
      </c>
      <c r="L298" s="29">
        <f>Item_Enchant_Old!L302</f>
        <v>0</v>
      </c>
      <c r="M298" s="29">
        <f>Item_Enchant_Old!M302</f>
        <v>3</v>
      </c>
      <c r="N298" s="29">
        <f>Item_Enchant_Old!N302</f>
        <v>104</v>
      </c>
      <c r="O298" s="29">
        <f>Item_Enchant_Old!O302</f>
        <v>1</v>
      </c>
      <c r="P298" s="29">
        <f>Item_Enchant_Old!P302</f>
        <v>1</v>
      </c>
      <c r="Q298" s="29">
        <f>Item_Enchant_Old!Q302</f>
        <v>1</v>
      </c>
      <c r="R298" s="29">
        <f>Item_Enchant_Old!R302</f>
        <v>1</v>
      </c>
    </row>
    <row r="299" spans="1:18" s="29" customFormat="1" hidden="1">
      <c r="A299" s="29">
        <f>Item_Enchant_Old!A303</f>
        <v>298</v>
      </c>
      <c r="B299" s="29" t="str">
        <f>Item_Enchant_Old!B303</f>
        <v>ACTIVE_FOC_UP</v>
      </c>
      <c r="C299" s="29">
        <f>Item_Enchant_Old!C303</f>
        <v>612</v>
      </c>
      <c r="D299" s="29">
        <f>Item_Enchant_Old!D303</f>
        <v>0</v>
      </c>
      <c r="E299" s="29">
        <f>Item_Enchant_Old!E303</f>
        <v>0</v>
      </c>
      <c r="F299" s="29">
        <f>Item_Enchant_Old!F303</f>
        <v>0</v>
      </c>
      <c r="G299" s="29">
        <f>Item_Enchant_Old!G303</f>
        <v>2</v>
      </c>
      <c r="H299" s="29" t="str">
        <f>Item_Enchant_Old!H303</f>
        <v>@</v>
      </c>
      <c r="I299" s="29">
        <f>Item_Enchant_Old!I303</f>
        <v>1</v>
      </c>
      <c r="J299" s="29" t="str">
        <f>Item_Enchant_Old!J303</f>
        <v>절대값/상대값(%) 가능</v>
      </c>
      <c r="K299" s="29">
        <f>Item_Enchant_Old!K303</f>
        <v>6</v>
      </c>
      <c r="L299" s="29">
        <f>Item_Enchant_Old!L303</f>
        <v>0</v>
      </c>
      <c r="M299" s="29">
        <f>Item_Enchant_Old!M303</f>
        <v>3</v>
      </c>
      <c r="N299" s="29">
        <f>Item_Enchant_Old!N303</f>
        <v>53</v>
      </c>
      <c r="O299" s="29">
        <f>Item_Enchant_Old!O303</f>
        <v>1</v>
      </c>
      <c r="P299" s="29">
        <f>Item_Enchant_Old!P303</f>
        <v>1</v>
      </c>
      <c r="Q299" s="29">
        <f>Item_Enchant_Old!Q303</f>
        <v>1</v>
      </c>
      <c r="R299" s="29">
        <f>Item_Enchant_Old!R303</f>
        <v>1</v>
      </c>
    </row>
    <row r="300" spans="1:18" s="29" customFormat="1" hidden="1">
      <c r="A300" s="29">
        <f>Item_Enchant_Old!A304</f>
        <v>299</v>
      </c>
      <c r="B300" s="29" t="str">
        <f>Item_Enchant_Old!B304</f>
        <v>ACTIVE_SOL_UP</v>
      </c>
      <c r="C300" s="29">
        <f>Item_Enchant_Old!C304</f>
        <v>614</v>
      </c>
      <c r="D300" s="29">
        <f>Item_Enchant_Old!D304</f>
        <v>0</v>
      </c>
      <c r="E300" s="29">
        <f>Item_Enchant_Old!E304</f>
        <v>0</v>
      </c>
      <c r="F300" s="29">
        <f>Item_Enchant_Old!F304</f>
        <v>0</v>
      </c>
      <c r="G300" s="29">
        <f>Item_Enchant_Old!G304</f>
        <v>2</v>
      </c>
      <c r="H300" s="29" t="str">
        <f>Item_Enchant_Old!H304</f>
        <v>@</v>
      </c>
      <c r="I300" s="29">
        <f>Item_Enchant_Old!I304</f>
        <v>1</v>
      </c>
      <c r="J300" s="29" t="str">
        <f>Item_Enchant_Old!J304</f>
        <v>절대값/상대값(%) 가능</v>
      </c>
      <c r="K300" s="29">
        <f>Item_Enchant_Old!K304</f>
        <v>6</v>
      </c>
      <c r="L300" s="29">
        <f>Item_Enchant_Old!L304</f>
        <v>0</v>
      </c>
      <c r="M300" s="29">
        <f>Item_Enchant_Old!M304</f>
        <v>3</v>
      </c>
      <c r="N300" s="29">
        <f>Item_Enchant_Old!N304</f>
        <v>53</v>
      </c>
      <c r="O300" s="29">
        <f>Item_Enchant_Old!O304</f>
        <v>1</v>
      </c>
      <c r="P300" s="29">
        <f>Item_Enchant_Old!P304</f>
        <v>1</v>
      </c>
      <c r="Q300" s="29">
        <f>Item_Enchant_Old!Q304</f>
        <v>1</v>
      </c>
      <c r="R300" s="29">
        <f>Item_Enchant_Old!R304</f>
        <v>1</v>
      </c>
    </row>
    <row r="301" spans="1:18" s="29" customFormat="1" hidden="1">
      <c r="A301" s="29">
        <f>Item_Enchant_Old!A305</f>
        <v>300</v>
      </c>
      <c r="B301" s="29" t="str">
        <f>Item_Enchant_Old!B305</f>
        <v>ACTIVE_ENERGY_CRITICAL_DAMAGE_UP</v>
      </c>
      <c r="C301" s="29">
        <f>Item_Enchant_Old!C305</f>
        <v>659</v>
      </c>
      <c r="D301" s="29">
        <f>Item_Enchant_Old!D305</f>
        <v>0</v>
      </c>
      <c r="E301" s="29">
        <f>Item_Enchant_Old!E305</f>
        <v>0</v>
      </c>
      <c r="F301" s="29">
        <f>Item_Enchant_Old!F305</f>
        <v>0</v>
      </c>
      <c r="G301" s="29">
        <f>Item_Enchant_Old!G305</f>
        <v>4</v>
      </c>
      <c r="H301" s="29" t="str">
        <f>Item_Enchant_Old!H305</f>
        <v>@</v>
      </c>
      <c r="I301" s="29">
        <f>Item_Enchant_Old!I305</f>
        <v>1</v>
      </c>
      <c r="J301" s="29" t="str">
        <f>Item_Enchant_Old!J305</f>
        <v>절대값만 가능</v>
      </c>
      <c r="K301" s="29">
        <f>Item_Enchant_Old!K305</f>
        <v>6</v>
      </c>
      <c r="L301" s="29">
        <f>Item_Enchant_Old!L305</f>
        <v>0</v>
      </c>
      <c r="M301" s="29">
        <f>Item_Enchant_Old!M305</f>
        <v>3</v>
      </c>
      <c r="N301" s="29">
        <f>Item_Enchant_Old!N305</f>
        <v>32</v>
      </c>
      <c r="O301" s="29">
        <f>Item_Enchant_Old!O305</f>
        <v>1</v>
      </c>
      <c r="P301" s="29">
        <f>Item_Enchant_Old!P305</f>
        <v>1</v>
      </c>
      <c r="Q301" s="29">
        <f>Item_Enchant_Old!Q305</f>
        <v>1</v>
      </c>
      <c r="R301" s="29">
        <f>Item_Enchant_Old!R305</f>
        <v>1</v>
      </c>
    </row>
    <row r="302" spans="1:18" s="29" customFormat="1" hidden="1">
      <c r="A302" s="29">
        <f>Item_Enchant_Old!A306</f>
        <v>301</v>
      </c>
      <c r="B302" s="29" t="str">
        <f>Item_Enchant_Old!B306</f>
        <v>ACTIVE_ENERGY_CRITICAL</v>
      </c>
      <c r="C302" s="29">
        <f>Item_Enchant_Old!C306</f>
        <v>633</v>
      </c>
      <c r="D302" s="29">
        <f>Item_Enchant_Old!D306</f>
        <v>0</v>
      </c>
      <c r="E302" s="29">
        <f>Item_Enchant_Old!E306</f>
        <v>0</v>
      </c>
      <c r="F302" s="29">
        <f>Item_Enchant_Old!F306</f>
        <v>0</v>
      </c>
      <c r="G302" s="29">
        <f>Item_Enchant_Old!G306</f>
        <v>5</v>
      </c>
      <c r="H302" s="29" t="str">
        <f>Item_Enchant_Old!H306</f>
        <v>@</v>
      </c>
      <c r="I302" s="29">
        <f>Item_Enchant_Old!I306</f>
        <v>1</v>
      </c>
      <c r="J302" s="29" t="str">
        <f>Item_Enchant_Old!J306</f>
        <v>절대값/상대값(%) 가능</v>
      </c>
      <c r="K302" s="29">
        <f>Item_Enchant_Old!K306</f>
        <v>6</v>
      </c>
      <c r="L302" s="29">
        <f>Item_Enchant_Old!L306</f>
        <v>0</v>
      </c>
      <c r="M302" s="29">
        <f>Item_Enchant_Old!M306</f>
        <v>4</v>
      </c>
      <c r="N302" s="29">
        <f>Item_Enchant_Old!N306</f>
        <v>24</v>
      </c>
      <c r="O302" s="29">
        <f>Item_Enchant_Old!O306</f>
        <v>1</v>
      </c>
      <c r="P302" s="29">
        <f>Item_Enchant_Old!P306</f>
        <v>1</v>
      </c>
      <c r="Q302" s="29">
        <f>Item_Enchant_Old!Q306</f>
        <v>1</v>
      </c>
      <c r="R302" s="29">
        <f>Item_Enchant_Old!R306</f>
        <v>1</v>
      </c>
    </row>
    <row r="303" spans="1:18" s="29" customFormat="1" hidden="1">
      <c r="A303" s="29">
        <f>Item_Enchant_Old!A307</f>
        <v>302</v>
      </c>
      <c r="B303" s="29" t="str">
        <f>Item_Enchant_Old!B307</f>
        <v>ACTIVE_ENERGY_CRITICAL_DAMAGE_UP</v>
      </c>
      <c r="C303" s="29">
        <f>Item_Enchant_Old!C307</f>
        <v>659</v>
      </c>
      <c r="D303" s="29">
        <f>Item_Enchant_Old!D307</f>
        <v>0</v>
      </c>
      <c r="E303" s="29">
        <f>Item_Enchant_Old!E307</f>
        <v>0</v>
      </c>
      <c r="F303" s="29">
        <f>Item_Enchant_Old!F307</f>
        <v>0</v>
      </c>
      <c r="G303" s="29">
        <f>Item_Enchant_Old!G307</f>
        <v>4</v>
      </c>
      <c r="H303" s="29" t="str">
        <f>Item_Enchant_Old!H307</f>
        <v>@</v>
      </c>
      <c r="I303" s="29">
        <f>Item_Enchant_Old!I307</f>
        <v>1</v>
      </c>
      <c r="J303" s="29" t="str">
        <f>Item_Enchant_Old!J307</f>
        <v>절대값만 가능</v>
      </c>
      <c r="K303" s="29">
        <f>Item_Enchant_Old!K307</f>
        <v>6</v>
      </c>
      <c r="L303" s="29">
        <f>Item_Enchant_Old!L307</f>
        <v>0</v>
      </c>
      <c r="M303" s="29">
        <f>Item_Enchant_Old!M307</f>
        <v>4</v>
      </c>
      <c r="N303" s="29">
        <f>Item_Enchant_Old!N307</f>
        <v>32</v>
      </c>
      <c r="O303" s="29">
        <f>Item_Enchant_Old!O307</f>
        <v>1</v>
      </c>
      <c r="P303" s="29">
        <f>Item_Enchant_Old!P307</f>
        <v>1</v>
      </c>
      <c r="Q303" s="29">
        <f>Item_Enchant_Old!Q307</f>
        <v>1</v>
      </c>
      <c r="R303" s="29">
        <f>Item_Enchant_Old!R307</f>
        <v>1</v>
      </c>
    </row>
    <row r="304" spans="1:18" s="29" customFormat="1" hidden="1">
      <c r="A304" s="29">
        <f>Item_Enchant_Old!A308</f>
        <v>303</v>
      </c>
      <c r="B304" s="29" t="str">
        <f>Item_Enchant_Old!B308</f>
        <v>ACTIVE_FOC_UP</v>
      </c>
      <c r="C304" s="29">
        <f>Item_Enchant_Old!C308</f>
        <v>612</v>
      </c>
      <c r="D304" s="29">
        <f>Item_Enchant_Old!D308</f>
        <v>0</v>
      </c>
      <c r="E304" s="29">
        <f>Item_Enchant_Old!E308</f>
        <v>0</v>
      </c>
      <c r="F304" s="29">
        <f>Item_Enchant_Old!F308</f>
        <v>0</v>
      </c>
      <c r="G304" s="29">
        <f>Item_Enchant_Old!G308</f>
        <v>2</v>
      </c>
      <c r="H304" s="29" t="str">
        <f>Item_Enchant_Old!H308</f>
        <v>@</v>
      </c>
      <c r="I304" s="29">
        <f>Item_Enchant_Old!I308</f>
        <v>1</v>
      </c>
      <c r="J304" s="29" t="str">
        <f>Item_Enchant_Old!J308</f>
        <v>절대값/상대값(%) 가능</v>
      </c>
      <c r="K304" s="29">
        <f>Item_Enchant_Old!K308</f>
        <v>6</v>
      </c>
      <c r="L304" s="29">
        <f>Item_Enchant_Old!L308</f>
        <v>0</v>
      </c>
      <c r="M304" s="29">
        <f>Item_Enchant_Old!M308</f>
        <v>4</v>
      </c>
      <c r="N304" s="29">
        <f>Item_Enchant_Old!N308</f>
        <v>53</v>
      </c>
      <c r="O304" s="29">
        <f>Item_Enchant_Old!O308</f>
        <v>1</v>
      </c>
      <c r="P304" s="29">
        <f>Item_Enchant_Old!P308</f>
        <v>1</v>
      </c>
      <c r="Q304" s="29">
        <f>Item_Enchant_Old!Q308</f>
        <v>1</v>
      </c>
      <c r="R304" s="29">
        <f>Item_Enchant_Old!R308</f>
        <v>1</v>
      </c>
    </row>
    <row r="305" spans="1:18" s="29" customFormat="1" hidden="1">
      <c r="A305" s="29">
        <f>Item_Enchant_Old!A309</f>
        <v>304</v>
      </c>
      <c r="B305" s="29" t="str">
        <f>Item_Enchant_Old!B309</f>
        <v>ACTIVE_DEX_UP</v>
      </c>
      <c r="C305" s="29">
        <f>Item_Enchant_Old!C309</f>
        <v>613</v>
      </c>
      <c r="D305" s="29">
        <f>Item_Enchant_Old!D309</f>
        <v>0</v>
      </c>
      <c r="E305" s="29">
        <f>Item_Enchant_Old!E309</f>
        <v>0</v>
      </c>
      <c r="F305" s="29">
        <f>Item_Enchant_Old!F309</f>
        <v>0</v>
      </c>
      <c r="G305" s="29">
        <f>Item_Enchant_Old!G309</f>
        <v>3</v>
      </c>
      <c r="H305" s="29" t="str">
        <f>Item_Enchant_Old!H309</f>
        <v>@</v>
      </c>
      <c r="I305" s="29">
        <f>Item_Enchant_Old!I309</f>
        <v>1</v>
      </c>
      <c r="J305" s="29" t="str">
        <f>Item_Enchant_Old!J309</f>
        <v>절대값/상대값(%) 가능</v>
      </c>
      <c r="K305" s="29">
        <f>Item_Enchant_Old!K309</f>
        <v>6</v>
      </c>
      <c r="L305" s="29">
        <f>Item_Enchant_Old!L309</f>
        <v>0</v>
      </c>
      <c r="M305" s="29">
        <f>Item_Enchant_Old!M309</f>
        <v>4</v>
      </c>
      <c r="N305" s="29">
        <f>Item_Enchant_Old!N309</f>
        <v>44</v>
      </c>
      <c r="O305" s="29">
        <f>Item_Enchant_Old!O309</f>
        <v>1</v>
      </c>
      <c r="P305" s="29">
        <f>Item_Enchant_Old!P309</f>
        <v>1</v>
      </c>
      <c r="Q305" s="29">
        <f>Item_Enchant_Old!Q309</f>
        <v>1</v>
      </c>
      <c r="R305" s="29">
        <f>Item_Enchant_Old!R309</f>
        <v>1</v>
      </c>
    </row>
    <row r="306" spans="1:18" s="29" customFormat="1" hidden="1">
      <c r="A306" s="29">
        <f>Item_Enchant_Old!A310</f>
        <v>305</v>
      </c>
      <c r="B306" s="29" t="str">
        <f>Item_Enchant_Old!B310</f>
        <v>ACTIVE_ATTACK_SPEED_UP</v>
      </c>
      <c r="C306" s="29">
        <f>Item_Enchant_Old!C310</f>
        <v>617</v>
      </c>
      <c r="D306" s="29">
        <f>Item_Enchant_Old!D310</f>
        <v>1</v>
      </c>
      <c r="E306" s="29">
        <f>Item_Enchant_Old!E310</f>
        <v>0</v>
      </c>
      <c r="F306" s="29">
        <f>Item_Enchant_Old!F310</f>
        <v>0</v>
      </c>
      <c r="G306" s="29">
        <f>Item_Enchant_Old!G310</f>
        <v>10</v>
      </c>
      <c r="H306" s="29" t="str">
        <f>Item_Enchant_Old!H310</f>
        <v>@</v>
      </c>
      <c r="I306" s="29">
        <f>Item_Enchant_Old!I310</f>
        <v>1</v>
      </c>
      <c r="J306" s="29" t="str">
        <f>Item_Enchant_Old!J310</f>
        <v>절대값/상대값(%) 가능</v>
      </c>
      <c r="K306" s="29">
        <f>Item_Enchant_Old!K310</f>
        <v>6</v>
      </c>
      <c r="L306" s="29">
        <f>Item_Enchant_Old!L310</f>
        <v>0</v>
      </c>
      <c r="M306" s="29">
        <f>Item_Enchant_Old!M310</f>
        <v>5</v>
      </c>
      <c r="N306" s="29">
        <f>Item_Enchant_Old!N310</f>
        <v>10</v>
      </c>
      <c r="O306" s="29">
        <f>Item_Enchant_Old!O310</f>
        <v>1</v>
      </c>
      <c r="P306" s="29">
        <f>Item_Enchant_Old!P310</f>
        <v>1</v>
      </c>
      <c r="Q306" s="29">
        <f>Item_Enchant_Old!Q310</f>
        <v>1</v>
      </c>
      <c r="R306" s="29">
        <f>Item_Enchant_Old!R310</f>
        <v>1</v>
      </c>
    </row>
    <row r="307" spans="1:18" s="29" customFormat="1" hidden="1">
      <c r="A307" s="29">
        <f>Item_Enchant_Old!A311</f>
        <v>306</v>
      </c>
      <c r="B307" s="29" t="str">
        <f>Item_Enchant_Old!B311</f>
        <v>ACTIVE_DEX_UP</v>
      </c>
      <c r="C307" s="29">
        <f>Item_Enchant_Old!C311</f>
        <v>613</v>
      </c>
      <c r="D307" s="29">
        <f>Item_Enchant_Old!D311</f>
        <v>0</v>
      </c>
      <c r="E307" s="29">
        <f>Item_Enchant_Old!E311</f>
        <v>0</v>
      </c>
      <c r="F307" s="29">
        <f>Item_Enchant_Old!F311</f>
        <v>0</v>
      </c>
      <c r="G307" s="29">
        <f>Item_Enchant_Old!G311</f>
        <v>3</v>
      </c>
      <c r="H307" s="29" t="str">
        <f>Item_Enchant_Old!H311</f>
        <v>@</v>
      </c>
      <c r="I307" s="29">
        <f>Item_Enchant_Old!I311</f>
        <v>1</v>
      </c>
      <c r="J307" s="29" t="str">
        <f>Item_Enchant_Old!J311</f>
        <v>절대값/상대값(%) 가능</v>
      </c>
      <c r="K307" s="29">
        <f>Item_Enchant_Old!K311</f>
        <v>6</v>
      </c>
      <c r="L307" s="29">
        <f>Item_Enchant_Old!L311</f>
        <v>0</v>
      </c>
      <c r="M307" s="29">
        <f>Item_Enchant_Old!M311</f>
        <v>5</v>
      </c>
      <c r="N307" s="29">
        <f>Item_Enchant_Old!N311</f>
        <v>44</v>
      </c>
      <c r="O307" s="29">
        <f>Item_Enchant_Old!O311</f>
        <v>1</v>
      </c>
      <c r="P307" s="29">
        <f>Item_Enchant_Old!P311</f>
        <v>1</v>
      </c>
      <c r="Q307" s="29">
        <f>Item_Enchant_Old!Q311</f>
        <v>1</v>
      </c>
      <c r="R307" s="29">
        <f>Item_Enchant_Old!R311</f>
        <v>1</v>
      </c>
    </row>
    <row r="308" spans="1:18" s="29" customFormat="1" hidden="1">
      <c r="A308" s="29">
        <f>Item_Enchant_Old!A312</f>
        <v>307</v>
      </c>
      <c r="B308" s="29" t="str">
        <f>Item_Enchant_Old!B312</f>
        <v>ACTIVE_FOC_UP</v>
      </c>
      <c r="C308" s="29">
        <f>Item_Enchant_Old!C312</f>
        <v>612</v>
      </c>
      <c r="D308" s="29">
        <f>Item_Enchant_Old!D312</f>
        <v>0</v>
      </c>
      <c r="E308" s="29">
        <f>Item_Enchant_Old!E312</f>
        <v>0</v>
      </c>
      <c r="F308" s="29">
        <f>Item_Enchant_Old!F312</f>
        <v>0</v>
      </c>
      <c r="G308" s="29">
        <f>Item_Enchant_Old!G312</f>
        <v>2</v>
      </c>
      <c r="H308" s="29" t="str">
        <f>Item_Enchant_Old!H312</f>
        <v>@</v>
      </c>
      <c r="I308" s="29">
        <f>Item_Enchant_Old!I312</f>
        <v>1</v>
      </c>
      <c r="J308" s="29" t="str">
        <f>Item_Enchant_Old!J312</f>
        <v>절대값/상대값(%) 가능</v>
      </c>
      <c r="K308" s="29">
        <f>Item_Enchant_Old!K312</f>
        <v>6</v>
      </c>
      <c r="L308" s="29">
        <f>Item_Enchant_Old!L312</f>
        <v>0</v>
      </c>
      <c r="M308" s="29">
        <f>Item_Enchant_Old!M312</f>
        <v>5</v>
      </c>
      <c r="N308" s="29">
        <f>Item_Enchant_Old!N312</f>
        <v>53</v>
      </c>
      <c r="O308" s="29">
        <f>Item_Enchant_Old!O312</f>
        <v>1</v>
      </c>
      <c r="P308" s="29">
        <f>Item_Enchant_Old!P312</f>
        <v>1</v>
      </c>
      <c r="Q308" s="29">
        <f>Item_Enchant_Old!Q312</f>
        <v>1</v>
      </c>
      <c r="R308" s="29">
        <f>Item_Enchant_Old!R312</f>
        <v>1</v>
      </c>
    </row>
    <row r="309" spans="1:18" s="29" customFormat="1" hidden="1">
      <c r="A309" s="29">
        <f>Item_Enchant_Old!A313</f>
        <v>308</v>
      </c>
      <c r="B309" s="29" t="str">
        <f>Item_Enchant_Old!B313</f>
        <v>ACTIVE_PHYSICAL_OFFENCE_UP</v>
      </c>
      <c r="C309" s="29">
        <f>Item_Enchant_Old!C313</f>
        <v>606</v>
      </c>
      <c r="D309" s="29">
        <f>Item_Enchant_Old!D313</f>
        <v>0</v>
      </c>
      <c r="E309" s="29">
        <f>Item_Enchant_Old!E313</f>
        <v>0</v>
      </c>
      <c r="F309" s="29">
        <f>Item_Enchant_Old!F313</f>
        <v>0</v>
      </c>
      <c r="G309" s="29">
        <f>Item_Enchant_Old!G313</f>
        <v>1</v>
      </c>
      <c r="H309" s="29" t="str">
        <f>Item_Enchant_Old!H313</f>
        <v>@</v>
      </c>
      <c r="I309" s="29">
        <f>Item_Enchant_Old!I313</f>
        <v>1</v>
      </c>
      <c r="J309" s="29" t="str">
        <f>Item_Enchant_Old!J313</f>
        <v>절대값/상대값(%) 가능</v>
      </c>
      <c r="K309" s="29">
        <f>Item_Enchant_Old!K313</f>
        <v>6</v>
      </c>
      <c r="L309" s="29">
        <f>Item_Enchant_Old!L313</f>
        <v>0</v>
      </c>
      <c r="M309" s="29">
        <f>Item_Enchant_Old!M313</f>
        <v>5</v>
      </c>
      <c r="N309" s="29">
        <f>Item_Enchant_Old!N313</f>
        <v>125</v>
      </c>
      <c r="O309" s="29">
        <f>Item_Enchant_Old!O313</f>
        <v>1</v>
      </c>
      <c r="P309" s="29">
        <f>Item_Enchant_Old!P313</f>
        <v>1</v>
      </c>
      <c r="Q309" s="29">
        <f>Item_Enchant_Old!Q313</f>
        <v>1</v>
      </c>
      <c r="R309" s="29">
        <f>Item_Enchant_Old!R313</f>
        <v>1</v>
      </c>
    </row>
    <row r="310" spans="1:18" s="29" customFormat="1" hidden="1">
      <c r="A310" s="29">
        <f>Item_Enchant_Old!A314</f>
        <v>309</v>
      </c>
      <c r="B310" s="29" t="str">
        <f>Item_Enchant_Old!B314</f>
        <v>ACTIVE_ENERGY_OFFENCE_UP</v>
      </c>
      <c r="C310" s="29">
        <f>Item_Enchant_Old!C314</f>
        <v>607</v>
      </c>
      <c r="D310" s="29">
        <f>Item_Enchant_Old!D314</f>
        <v>0</v>
      </c>
      <c r="E310" s="29">
        <f>Item_Enchant_Old!E314</f>
        <v>0</v>
      </c>
      <c r="F310" s="29">
        <f>Item_Enchant_Old!F314</f>
        <v>0</v>
      </c>
      <c r="G310" s="29">
        <f>Item_Enchant_Old!G314</f>
        <v>1</v>
      </c>
      <c r="H310" s="29" t="str">
        <f>Item_Enchant_Old!H314</f>
        <v>@</v>
      </c>
      <c r="I310" s="29">
        <f>Item_Enchant_Old!I314</f>
        <v>1</v>
      </c>
      <c r="J310" s="29" t="str">
        <f>Item_Enchant_Old!J314</f>
        <v>절대값/상대값(%) 가능</v>
      </c>
      <c r="K310" s="29">
        <f>Item_Enchant_Old!K314</f>
        <v>6</v>
      </c>
      <c r="L310" s="29">
        <f>Item_Enchant_Old!L314</f>
        <v>0</v>
      </c>
      <c r="M310" s="29">
        <f>Item_Enchant_Old!M314</f>
        <v>5</v>
      </c>
      <c r="N310" s="29">
        <f>Item_Enchant_Old!N314</f>
        <v>104</v>
      </c>
      <c r="O310" s="29">
        <f>Item_Enchant_Old!O314</f>
        <v>1</v>
      </c>
      <c r="P310" s="29">
        <f>Item_Enchant_Old!P314</f>
        <v>1</v>
      </c>
      <c r="Q310" s="29">
        <f>Item_Enchant_Old!Q314</f>
        <v>1</v>
      </c>
      <c r="R310" s="29">
        <f>Item_Enchant_Old!R314</f>
        <v>1</v>
      </c>
    </row>
    <row r="311" spans="1:18" s="29" customFormat="1" hidden="1">
      <c r="A311" s="29">
        <f>Item_Enchant_Old!A315</f>
        <v>310</v>
      </c>
      <c r="B311" s="29" t="str">
        <f>Item_Enchant_Old!B315</f>
        <v>ACTIVE_PHYSICAL_OFFENCE_UP</v>
      </c>
      <c r="C311" s="29">
        <f>Item_Enchant_Old!C315</f>
        <v>606</v>
      </c>
      <c r="D311" s="29">
        <f>Item_Enchant_Old!D315</f>
        <v>0</v>
      </c>
      <c r="E311" s="29">
        <f>Item_Enchant_Old!E315</f>
        <v>0</v>
      </c>
      <c r="F311" s="29">
        <f>Item_Enchant_Old!F315</f>
        <v>0</v>
      </c>
      <c r="G311" s="29">
        <f>Item_Enchant_Old!G315</f>
        <v>1</v>
      </c>
      <c r="H311" s="29" t="str">
        <f>Item_Enchant_Old!H315</f>
        <v>@</v>
      </c>
      <c r="I311" s="29">
        <f>Item_Enchant_Old!I315</f>
        <v>1</v>
      </c>
      <c r="J311" s="29" t="str">
        <f>Item_Enchant_Old!J315</f>
        <v>절대값/상대값(%) 가능</v>
      </c>
      <c r="K311" s="29">
        <f>Item_Enchant_Old!K315</f>
        <v>6</v>
      </c>
      <c r="L311" s="29">
        <f>Item_Enchant_Old!L315</f>
        <v>0</v>
      </c>
      <c r="M311" s="29">
        <f>Item_Enchant_Old!M315</f>
        <v>6</v>
      </c>
      <c r="N311" s="29">
        <f>Item_Enchant_Old!N315</f>
        <v>125</v>
      </c>
      <c r="O311" s="29">
        <f>Item_Enchant_Old!O315</f>
        <v>1</v>
      </c>
      <c r="P311" s="29">
        <f>Item_Enchant_Old!P315</f>
        <v>1</v>
      </c>
      <c r="Q311" s="29">
        <f>Item_Enchant_Old!Q315</f>
        <v>1</v>
      </c>
      <c r="R311" s="29">
        <f>Item_Enchant_Old!R315</f>
        <v>1</v>
      </c>
    </row>
    <row r="312" spans="1:18" s="29" customFormat="1" hidden="1">
      <c r="A312" s="29">
        <f>Item_Enchant_Old!A316</f>
        <v>311</v>
      </c>
      <c r="B312" s="29" t="str">
        <f>Item_Enchant_Old!B316</f>
        <v>ACTIVE_ENERGY_OFFENCE_UP</v>
      </c>
      <c r="C312" s="29">
        <f>Item_Enchant_Old!C316</f>
        <v>607</v>
      </c>
      <c r="D312" s="29">
        <f>Item_Enchant_Old!D316</f>
        <v>0</v>
      </c>
      <c r="E312" s="29">
        <f>Item_Enchant_Old!E316</f>
        <v>0</v>
      </c>
      <c r="F312" s="29">
        <f>Item_Enchant_Old!F316</f>
        <v>0</v>
      </c>
      <c r="G312" s="29">
        <f>Item_Enchant_Old!G316</f>
        <v>1</v>
      </c>
      <c r="H312" s="29" t="str">
        <f>Item_Enchant_Old!H316</f>
        <v>@</v>
      </c>
      <c r="I312" s="29">
        <f>Item_Enchant_Old!I316</f>
        <v>1</v>
      </c>
      <c r="J312" s="29" t="str">
        <f>Item_Enchant_Old!J316</f>
        <v>절대값/상대값(%) 가능</v>
      </c>
      <c r="K312" s="29">
        <f>Item_Enchant_Old!K316</f>
        <v>6</v>
      </c>
      <c r="L312" s="29">
        <f>Item_Enchant_Old!L316</f>
        <v>0</v>
      </c>
      <c r="M312" s="29">
        <f>Item_Enchant_Old!M316</f>
        <v>6</v>
      </c>
      <c r="N312" s="29">
        <f>Item_Enchant_Old!N316</f>
        <v>104</v>
      </c>
      <c r="O312" s="29">
        <f>Item_Enchant_Old!O316</f>
        <v>1</v>
      </c>
      <c r="P312" s="29">
        <f>Item_Enchant_Old!P316</f>
        <v>1</v>
      </c>
      <c r="Q312" s="29">
        <f>Item_Enchant_Old!Q316</f>
        <v>1</v>
      </c>
      <c r="R312" s="29">
        <f>Item_Enchant_Old!R316</f>
        <v>1</v>
      </c>
    </row>
    <row r="313" spans="1:18" s="29" customFormat="1" hidden="1">
      <c r="A313" s="29">
        <f>Item_Enchant_Old!A317</f>
        <v>312</v>
      </c>
      <c r="B313" s="29" t="str">
        <f>Item_Enchant_Old!B317</f>
        <v>ACTIVE_STR_UP</v>
      </c>
      <c r="C313" s="29">
        <f>Item_Enchant_Old!C317</f>
        <v>610</v>
      </c>
      <c r="D313" s="29">
        <f>Item_Enchant_Old!D317</f>
        <v>0</v>
      </c>
      <c r="E313" s="29">
        <f>Item_Enchant_Old!E317</f>
        <v>0</v>
      </c>
      <c r="F313" s="29">
        <f>Item_Enchant_Old!F317</f>
        <v>0</v>
      </c>
      <c r="G313" s="29">
        <f>Item_Enchant_Old!G317</f>
        <v>2</v>
      </c>
      <c r="H313" s="29" t="str">
        <f>Item_Enchant_Old!H317</f>
        <v>@</v>
      </c>
      <c r="I313" s="29">
        <f>Item_Enchant_Old!I317</f>
        <v>1</v>
      </c>
      <c r="J313" s="29" t="str">
        <f>Item_Enchant_Old!J317</f>
        <v>절대값/상대값(%) 가능</v>
      </c>
      <c r="K313" s="29">
        <f>Item_Enchant_Old!K317</f>
        <v>6</v>
      </c>
      <c r="L313" s="29">
        <f>Item_Enchant_Old!L317</f>
        <v>0</v>
      </c>
      <c r="M313" s="29">
        <f>Item_Enchant_Old!M317</f>
        <v>6</v>
      </c>
      <c r="N313" s="29">
        <f>Item_Enchant_Old!N317</f>
        <v>57</v>
      </c>
      <c r="O313" s="29">
        <f>Item_Enchant_Old!O317</f>
        <v>1</v>
      </c>
      <c r="P313" s="29">
        <f>Item_Enchant_Old!P317</f>
        <v>1</v>
      </c>
      <c r="Q313" s="29">
        <f>Item_Enchant_Old!Q317</f>
        <v>1</v>
      </c>
      <c r="R313" s="29">
        <f>Item_Enchant_Old!R317</f>
        <v>1</v>
      </c>
    </row>
    <row r="314" spans="1:18" s="29" customFormat="1" hidden="1">
      <c r="A314" s="29">
        <f>Item_Enchant_Old!A318</f>
        <v>313</v>
      </c>
      <c r="B314" s="29" t="str">
        <f>Item_Enchant_Old!B318</f>
        <v>ACTIVE_SOL_UP</v>
      </c>
      <c r="C314" s="29">
        <f>Item_Enchant_Old!C318</f>
        <v>614</v>
      </c>
      <c r="D314" s="29">
        <f>Item_Enchant_Old!D318</f>
        <v>0</v>
      </c>
      <c r="E314" s="29">
        <f>Item_Enchant_Old!E318</f>
        <v>0</v>
      </c>
      <c r="F314" s="29">
        <f>Item_Enchant_Old!F318</f>
        <v>0</v>
      </c>
      <c r="G314" s="29">
        <f>Item_Enchant_Old!G318</f>
        <v>2</v>
      </c>
      <c r="H314" s="29" t="str">
        <f>Item_Enchant_Old!H318</f>
        <v>@</v>
      </c>
      <c r="I314" s="29">
        <f>Item_Enchant_Old!I318</f>
        <v>1</v>
      </c>
      <c r="J314" s="29" t="str">
        <f>Item_Enchant_Old!J318</f>
        <v>절대값/상대값(%) 가능</v>
      </c>
      <c r="K314" s="29">
        <f>Item_Enchant_Old!K318</f>
        <v>6</v>
      </c>
      <c r="L314" s="29">
        <f>Item_Enchant_Old!L318</f>
        <v>0</v>
      </c>
      <c r="M314" s="29">
        <f>Item_Enchant_Old!M318</f>
        <v>6</v>
      </c>
      <c r="N314" s="29">
        <f>Item_Enchant_Old!N318</f>
        <v>53</v>
      </c>
      <c r="O314" s="29">
        <f>Item_Enchant_Old!O318</f>
        <v>1</v>
      </c>
      <c r="P314" s="29">
        <f>Item_Enchant_Old!P318</f>
        <v>1</v>
      </c>
      <c r="Q314" s="29">
        <f>Item_Enchant_Old!Q318</f>
        <v>1</v>
      </c>
      <c r="R314" s="29">
        <f>Item_Enchant_Old!R318</f>
        <v>1</v>
      </c>
    </row>
    <row r="315" spans="1:18" s="29" customFormat="1" hidden="1">
      <c r="A315" s="29">
        <f>Item_Enchant_Old!A319</f>
        <v>314</v>
      </c>
      <c r="B315" s="29" t="str">
        <f>Item_Enchant_Old!B319</f>
        <v>ACTIVE_PHYSICAL_CRITICAL_DAMAGE_UP</v>
      </c>
      <c r="C315" s="29">
        <f>Item_Enchant_Old!C319</f>
        <v>658</v>
      </c>
      <c r="D315" s="29">
        <f>Item_Enchant_Old!D319</f>
        <v>0</v>
      </c>
      <c r="E315" s="29">
        <f>Item_Enchant_Old!E319</f>
        <v>0</v>
      </c>
      <c r="F315" s="29">
        <f>Item_Enchant_Old!F319</f>
        <v>0</v>
      </c>
      <c r="G315" s="29">
        <f>Item_Enchant_Old!G319</f>
        <v>4</v>
      </c>
      <c r="H315" s="29" t="str">
        <f>Item_Enchant_Old!H319</f>
        <v>@</v>
      </c>
      <c r="I315" s="29">
        <f>Item_Enchant_Old!I319</f>
        <v>1</v>
      </c>
      <c r="J315" s="29" t="str">
        <f>Item_Enchant_Old!J319</f>
        <v>절대값만 가능</v>
      </c>
      <c r="K315" s="29">
        <f>Item_Enchant_Old!K319</f>
        <v>6</v>
      </c>
      <c r="L315" s="29">
        <f>Item_Enchant_Old!L319</f>
        <v>0</v>
      </c>
      <c r="M315" s="29">
        <f>Item_Enchant_Old!M319</f>
        <v>6</v>
      </c>
      <c r="N315" s="29">
        <f>Item_Enchant_Old!N319</f>
        <v>28</v>
      </c>
      <c r="O315" s="29">
        <f>Item_Enchant_Old!O319</f>
        <v>1</v>
      </c>
      <c r="P315" s="29">
        <f>Item_Enchant_Old!P319</f>
        <v>1</v>
      </c>
      <c r="Q315" s="29">
        <f>Item_Enchant_Old!Q319</f>
        <v>1</v>
      </c>
      <c r="R315" s="29">
        <f>Item_Enchant_Old!R319</f>
        <v>1</v>
      </c>
    </row>
    <row r="316" spans="1:18" s="29" customFormat="1" hidden="1">
      <c r="A316" s="29">
        <f>Item_Enchant_Old!A320</f>
        <v>315</v>
      </c>
      <c r="B316" s="29" t="str">
        <f>Item_Enchant_Old!B320</f>
        <v>ACTIVE_ENERGY_CRITICAL_DAMAGE_UP</v>
      </c>
      <c r="C316" s="29">
        <f>Item_Enchant_Old!C320</f>
        <v>659</v>
      </c>
      <c r="D316" s="29">
        <f>Item_Enchant_Old!D320</f>
        <v>0</v>
      </c>
      <c r="E316" s="29">
        <f>Item_Enchant_Old!E320</f>
        <v>0</v>
      </c>
      <c r="F316" s="29">
        <f>Item_Enchant_Old!F320</f>
        <v>0</v>
      </c>
      <c r="G316" s="29">
        <f>Item_Enchant_Old!G320</f>
        <v>4</v>
      </c>
      <c r="H316" s="29" t="str">
        <f>Item_Enchant_Old!H320</f>
        <v>@</v>
      </c>
      <c r="I316" s="29">
        <f>Item_Enchant_Old!I320</f>
        <v>1</v>
      </c>
      <c r="J316" s="29" t="str">
        <f>Item_Enchant_Old!J320</f>
        <v>절대값만 가능</v>
      </c>
      <c r="K316" s="29">
        <f>Item_Enchant_Old!K320</f>
        <v>6</v>
      </c>
      <c r="L316" s="29">
        <f>Item_Enchant_Old!L320</f>
        <v>0</v>
      </c>
      <c r="M316" s="29">
        <f>Item_Enchant_Old!M320</f>
        <v>6</v>
      </c>
      <c r="N316" s="29">
        <f>Item_Enchant_Old!N320</f>
        <v>32</v>
      </c>
      <c r="O316" s="29">
        <f>Item_Enchant_Old!O320</f>
        <v>1</v>
      </c>
      <c r="P316" s="29">
        <f>Item_Enchant_Old!P320</f>
        <v>1</v>
      </c>
      <c r="Q316" s="29">
        <f>Item_Enchant_Old!Q320</f>
        <v>1</v>
      </c>
      <c r="R316" s="29">
        <f>Item_Enchant_Old!R320</f>
        <v>1</v>
      </c>
    </row>
    <row r="317" spans="1:18" s="29" customFormat="1" hidden="1">
      <c r="A317" s="29">
        <f>Item_Enchant_Old!A321</f>
        <v>316</v>
      </c>
      <c r="B317" s="29" t="str">
        <f>Item_Enchant_Old!B321</f>
        <v>ACTIVE_FOC_UP</v>
      </c>
      <c r="C317" s="29">
        <f>Item_Enchant_Old!C321</f>
        <v>612</v>
      </c>
      <c r="D317" s="29">
        <f>Item_Enchant_Old!D321</f>
        <v>0</v>
      </c>
      <c r="E317" s="29">
        <f>Item_Enchant_Old!E321</f>
        <v>0</v>
      </c>
      <c r="F317" s="29">
        <f>Item_Enchant_Old!F321</f>
        <v>0</v>
      </c>
      <c r="G317" s="29">
        <f>Item_Enchant_Old!G321</f>
        <v>2</v>
      </c>
      <c r="H317" s="29" t="str">
        <f>Item_Enchant_Old!H321</f>
        <v>@</v>
      </c>
      <c r="I317" s="29">
        <f>Item_Enchant_Old!I321</f>
        <v>1</v>
      </c>
      <c r="J317" s="29" t="str">
        <f>Item_Enchant_Old!J321</f>
        <v>절대값/상대값(%) 가능</v>
      </c>
      <c r="K317" s="29">
        <f>Item_Enchant_Old!K321</f>
        <v>6</v>
      </c>
      <c r="L317" s="29">
        <f>Item_Enchant_Old!L321</f>
        <v>0</v>
      </c>
      <c r="M317" s="29">
        <f>Item_Enchant_Old!M321</f>
        <v>7</v>
      </c>
      <c r="N317" s="29">
        <f>Item_Enchant_Old!N321</f>
        <v>53</v>
      </c>
      <c r="O317" s="29">
        <f>Item_Enchant_Old!O321</f>
        <v>1</v>
      </c>
      <c r="P317" s="29">
        <f>Item_Enchant_Old!P321</f>
        <v>1</v>
      </c>
      <c r="Q317" s="29">
        <f>Item_Enchant_Old!Q321</f>
        <v>1</v>
      </c>
      <c r="R317" s="29">
        <f>Item_Enchant_Old!R321</f>
        <v>1</v>
      </c>
    </row>
    <row r="318" spans="1:18" s="29" customFormat="1" hidden="1">
      <c r="A318" s="29">
        <f>Item_Enchant_Old!A322</f>
        <v>317</v>
      </c>
      <c r="B318" s="29" t="str">
        <f>Item_Enchant_Old!B322</f>
        <v>ACTIVE_ATTACK_RATE_UP</v>
      </c>
      <c r="C318" s="29">
        <f>Item_Enchant_Old!C322</f>
        <v>618</v>
      </c>
      <c r="D318" s="29">
        <f>Item_Enchant_Old!D322</f>
        <v>0</v>
      </c>
      <c r="E318" s="29">
        <f>Item_Enchant_Old!E322</f>
        <v>0</v>
      </c>
      <c r="F318" s="29">
        <f>Item_Enchant_Old!F322</f>
        <v>0</v>
      </c>
      <c r="G318" s="29">
        <f>Item_Enchant_Old!G322</f>
        <v>1</v>
      </c>
      <c r="H318" s="29" t="str">
        <f>Item_Enchant_Old!H322</f>
        <v>@</v>
      </c>
      <c r="I318" s="29">
        <f>Item_Enchant_Old!I322</f>
        <v>1</v>
      </c>
      <c r="J318" s="29" t="str">
        <f>Item_Enchant_Old!J322</f>
        <v>절대값/상대값(%) 가능</v>
      </c>
      <c r="K318" s="29">
        <f>Item_Enchant_Old!K322</f>
        <v>6</v>
      </c>
      <c r="L318" s="29">
        <f>Item_Enchant_Old!L322</f>
        <v>0</v>
      </c>
      <c r="M318" s="29">
        <f>Item_Enchant_Old!M322</f>
        <v>7</v>
      </c>
      <c r="N318" s="29">
        <f>Item_Enchant_Old!N322</f>
        <v>528</v>
      </c>
      <c r="O318" s="29">
        <f>Item_Enchant_Old!O322</f>
        <v>1</v>
      </c>
      <c r="P318" s="29">
        <f>Item_Enchant_Old!P322</f>
        <v>1</v>
      </c>
      <c r="Q318" s="29">
        <f>Item_Enchant_Old!Q322</f>
        <v>1</v>
      </c>
      <c r="R318" s="29">
        <f>Item_Enchant_Old!R322</f>
        <v>1</v>
      </c>
    </row>
    <row r="319" spans="1:18" s="29" customFormat="1" hidden="1">
      <c r="A319" s="29">
        <f>Item_Enchant_Old!A323</f>
        <v>318</v>
      </c>
      <c r="B319" s="29" t="str">
        <f>Item_Enchant_Old!B323</f>
        <v>ACTIVE_ENG_UP</v>
      </c>
      <c r="C319" s="29">
        <f>Item_Enchant_Old!C323</f>
        <v>615</v>
      </c>
      <c r="D319" s="29">
        <f>Item_Enchant_Old!D323</f>
        <v>0</v>
      </c>
      <c r="E319" s="29">
        <f>Item_Enchant_Old!E323</f>
        <v>0</v>
      </c>
      <c r="F319" s="29">
        <f>Item_Enchant_Old!F323</f>
        <v>0</v>
      </c>
      <c r="G319" s="29">
        <f>Item_Enchant_Old!G323</f>
        <v>2</v>
      </c>
      <c r="H319" s="29" t="str">
        <f>Item_Enchant_Old!H323</f>
        <v>@</v>
      </c>
      <c r="I319" s="29">
        <f>Item_Enchant_Old!I323</f>
        <v>1</v>
      </c>
      <c r="J319" s="29" t="str">
        <f>Item_Enchant_Old!J323</f>
        <v>절대값/상대값(%) 가능</v>
      </c>
      <c r="K319" s="29">
        <f>Item_Enchant_Old!K323</f>
        <v>6</v>
      </c>
      <c r="L319" s="29">
        <f>Item_Enchant_Old!L323</f>
        <v>0</v>
      </c>
      <c r="M319" s="29">
        <f>Item_Enchant_Old!M323</f>
        <v>7</v>
      </c>
      <c r="N319" s="29">
        <f>Item_Enchant_Old!N323</f>
        <v>62</v>
      </c>
      <c r="O319" s="29">
        <f>Item_Enchant_Old!O323</f>
        <v>1</v>
      </c>
      <c r="P319" s="29">
        <f>Item_Enchant_Old!P323</f>
        <v>1</v>
      </c>
      <c r="Q319" s="29">
        <f>Item_Enchant_Old!Q323</f>
        <v>1</v>
      </c>
      <c r="R319" s="29">
        <f>Item_Enchant_Old!R323</f>
        <v>1</v>
      </c>
    </row>
    <row r="320" spans="1:18" s="29" customFormat="1" hidden="1">
      <c r="A320" s="29">
        <f>Item_Enchant_Old!A324</f>
        <v>319</v>
      </c>
      <c r="B320" s="29" t="str">
        <f>Item_Enchant_Old!B324</f>
        <v>ACTIVE_PHYSICAL_CRITICAL</v>
      </c>
      <c r="C320" s="29">
        <f>Item_Enchant_Old!C324</f>
        <v>632</v>
      </c>
      <c r="D320" s="29">
        <f>Item_Enchant_Old!D324</f>
        <v>0</v>
      </c>
      <c r="E320" s="29">
        <f>Item_Enchant_Old!E324</f>
        <v>0</v>
      </c>
      <c r="F320" s="29">
        <f>Item_Enchant_Old!F324</f>
        <v>0</v>
      </c>
      <c r="G320" s="29">
        <f>Item_Enchant_Old!G324</f>
        <v>5</v>
      </c>
      <c r="H320" s="29" t="str">
        <f>Item_Enchant_Old!H324</f>
        <v>@</v>
      </c>
      <c r="I320" s="29">
        <f>Item_Enchant_Old!I324</f>
        <v>1</v>
      </c>
      <c r="J320" s="29" t="str">
        <f>Item_Enchant_Old!J324</f>
        <v>절대값/상대값(%) 가능</v>
      </c>
      <c r="K320" s="29">
        <f>Item_Enchant_Old!K324</f>
        <v>6</v>
      </c>
      <c r="L320" s="29">
        <f>Item_Enchant_Old!L324</f>
        <v>0</v>
      </c>
      <c r="M320" s="29">
        <f>Item_Enchant_Old!M324</f>
        <v>7</v>
      </c>
      <c r="N320" s="29">
        <f>Item_Enchant_Old!N324</f>
        <v>21</v>
      </c>
      <c r="O320" s="29">
        <f>Item_Enchant_Old!O324</f>
        <v>1</v>
      </c>
      <c r="P320" s="29">
        <f>Item_Enchant_Old!P324</f>
        <v>1</v>
      </c>
      <c r="Q320" s="29">
        <f>Item_Enchant_Old!Q324</f>
        <v>1</v>
      </c>
      <c r="R320" s="29">
        <f>Item_Enchant_Old!R324</f>
        <v>1</v>
      </c>
    </row>
    <row r="321" spans="1:18" s="29" customFormat="1" hidden="1">
      <c r="A321" s="29">
        <f>Item_Enchant_Old!A325</f>
        <v>320</v>
      </c>
      <c r="B321" s="29" t="str">
        <f>Item_Enchant_Old!B325</f>
        <v>ACTIVE_ENERGY_CRITICAL</v>
      </c>
      <c r="C321" s="29">
        <f>Item_Enchant_Old!C325</f>
        <v>633</v>
      </c>
      <c r="D321" s="29">
        <f>Item_Enchant_Old!D325</f>
        <v>0</v>
      </c>
      <c r="E321" s="29">
        <f>Item_Enchant_Old!E325</f>
        <v>0</v>
      </c>
      <c r="F321" s="29">
        <f>Item_Enchant_Old!F325</f>
        <v>0</v>
      </c>
      <c r="G321" s="29">
        <f>Item_Enchant_Old!G325</f>
        <v>5</v>
      </c>
      <c r="H321" s="29" t="str">
        <f>Item_Enchant_Old!H325</f>
        <v>@</v>
      </c>
      <c r="I321" s="29">
        <f>Item_Enchant_Old!I325</f>
        <v>1</v>
      </c>
      <c r="J321" s="29" t="str">
        <f>Item_Enchant_Old!J325</f>
        <v>절대값/상대값(%) 가능</v>
      </c>
      <c r="K321" s="29">
        <f>Item_Enchant_Old!K325</f>
        <v>6</v>
      </c>
      <c r="L321" s="29">
        <f>Item_Enchant_Old!L325</f>
        <v>0</v>
      </c>
      <c r="M321" s="29">
        <f>Item_Enchant_Old!M325</f>
        <v>7</v>
      </c>
      <c r="N321" s="29">
        <f>Item_Enchant_Old!N325</f>
        <v>24</v>
      </c>
      <c r="O321" s="29">
        <f>Item_Enchant_Old!O325</f>
        <v>1</v>
      </c>
      <c r="P321" s="29">
        <f>Item_Enchant_Old!P325</f>
        <v>1</v>
      </c>
      <c r="Q321" s="29">
        <f>Item_Enchant_Old!Q325</f>
        <v>1</v>
      </c>
      <c r="R321" s="29">
        <f>Item_Enchant_Old!R325</f>
        <v>1</v>
      </c>
    </row>
    <row r="322" spans="1:18" s="29" customFormat="1" hidden="1">
      <c r="A322" s="29">
        <f>Item_Enchant_Old!A326</f>
        <v>321</v>
      </c>
      <c r="B322" s="29" t="str">
        <f>Item_Enchant_Old!B326</f>
        <v>ACTIVE_FOC_UP</v>
      </c>
      <c r="C322" s="29">
        <f>Item_Enchant_Old!C326</f>
        <v>612</v>
      </c>
      <c r="D322" s="29">
        <f>Item_Enchant_Old!D326</f>
        <v>0</v>
      </c>
      <c r="E322" s="29">
        <f>Item_Enchant_Old!E326</f>
        <v>0</v>
      </c>
      <c r="F322" s="29">
        <f>Item_Enchant_Old!F326</f>
        <v>0</v>
      </c>
      <c r="G322" s="29">
        <f>Item_Enchant_Old!G326</f>
        <v>2</v>
      </c>
      <c r="H322" s="29" t="str">
        <f>Item_Enchant_Old!H326</f>
        <v>@</v>
      </c>
      <c r="I322" s="29">
        <f>Item_Enchant_Old!I326</f>
        <v>1</v>
      </c>
      <c r="J322" s="29" t="str">
        <f>Item_Enchant_Old!J326</f>
        <v>절대값/상대값(%) 가능</v>
      </c>
      <c r="K322" s="29">
        <f>Item_Enchant_Old!K326</f>
        <v>6</v>
      </c>
      <c r="L322" s="29">
        <f>Item_Enchant_Old!L326</f>
        <v>0</v>
      </c>
      <c r="M322" s="29">
        <f>Item_Enchant_Old!M326</f>
        <v>8</v>
      </c>
      <c r="N322" s="29">
        <f>Item_Enchant_Old!N326</f>
        <v>53</v>
      </c>
      <c r="O322" s="29">
        <f>Item_Enchant_Old!O326</f>
        <v>1</v>
      </c>
      <c r="P322" s="29">
        <f>Item_Enchant_Old!P326</f>
        <v>1</v>
      </c>
      <c r="Q322" s="29">
        <f>Item_Enchant_Old!Q326</f>
        <v>1</v>
      </c>
      <c r="R322" s="29">
        <f>Item_Enchant_Old!R326</f>
        <v>1</v>
      </c>
    </row>
    <row r="323" spans="1:18" s="29" customFormat="1" hidden="1">
      <c r="A323" s="29">
        <f>Item_Enchant_Old!A327</f>
        <v>322</v>
      </c>
      <c r="B323" s="29" t="str">
        <f>Item_Enchant_Old!B327</f>
        <v>ACTIVE_CON_UP</v>
      </c>
      <c r="C323" s="29">
        <f>Item_Enchant_Old!C327</f>
        <v>611</v>
      </c>
      <c r="D323" s="29">
        <f>Item_Enchant_Old!D327</f>
        <v>0</v>
      </c>
      <c r="E323" s="29">
        <f>Item_Enchant_Old!E327</f>
        <v>0</v>
      </c>
      <c r="F323" s="29">
        <f>Item_Enchant_Old!F327</f>
        <v>0</v>
      </c>
      <c r="G323" s="29">
        <f>Item_Enchant_Old!G327</f>
        <v>3</v>
      </c>
      <c r="H323" s="29" t="str">
        <f>Item_Enchant_Old!H327</f>
        <v>@</v>
      </c>
      <c r="I323" s="29">
        <f>Item_Enchant_Old!I327</f>
        <v>1</v>
      </c>
      <c r="J323" s="29" t="str">
        <f>Item_Enchant_Old!J327</f>
        <v>절대값/상대값(%) 가능</v>
      </c>
      <c r="K323" s="29">
        <f>Item_Enchant_Old!K327</f>
        <v>6</v>
      </c>
      <c r="L323" s="29">
        <f>Item_Enchant_Old!L327</f>
        <v>0</v>
      </c>
      <c r="M323" s="29">
        <f>Item_Enchant_Old!M327</f>
        <v>8</v>
      </c>
      <c r="N323" s="29">
        <f>Item_Enchant_Old!N327</f>
        <v>48</v>
      </c>
      <c r="O323" s="29">
        <f>Item_Enchant_Old!O327</f>
        <v>1</v>
      </c>
      <c r="P323" s="29">
        <f>Item_Enchant_Old!P327</f>
        <v>1</v>
      </c>
      <c r="Q323" s="29">
        <f>Item_Enchant_Old!Q327</f>
        <v>1</v>
      </c>
      <c r="R323" s="29">
        <f>Item_Enchant_Old!R327</f>
        <v>1</v>
      </c>
    </row>
    <row r="324" spans="1:18" s="29" customFormat="1" hidden="1">
      <c r="A324" s="29">
        <f>Item_Enchant_Old!A328</f>
        <v>323</v>
      </c>
      <c r="B324" s="29" t="str">
        <f>Item_Enchant_Old!B328</f>
        <v>ACTIVE_BLOCK_RATE_UP</v>
      </c>
      <c r="C324" s="29">
        <f>Item_Enchant_Old!C328</f>
        <v>620</v>
      </c>
      <c r="D324" s="29">
        <f>Item_Enchant_Old!D328</f>
        <v>0</v>
      </c>
      <c r="E324" s="29">
        <f>Item_Enchant_Old!E328</f>
        <v>0</v>
      </c>
      <c r="F324" s="29">
        <f>Item_Enchant_Old!F328</f>
        <v>0</v>
      </c>
      <c r="G324" s="29">
        <f>Item_Enchant_Old!G328</f>
        <v>1</v>
      </c>
      <c r="H324" s="29" t="str">
        <f>Item_Enchant_Old!H328</f>
        <v>@</v>
      </c>
      <c r="I324" s="29">
        <f>Item_Enchant_Old!I328</f>
        <v>1</v>
      </c>
      <c r="J324" s="29" t="str">
        <f>Item_Enchant_Old!J328</f>
        <v>절대값/상대값(%) 가능</v>
      </c>
      <c r="K324" s="29">
        <f>Item_Enchant_Old!K328</f>
        <v>6</v>
      </c>
      <c r="L324" s="29">
        <f>Item_Enchant_Old!L328</f>
        <v>0</v>
      </c>
      <c r="M324" s="29">
        <f>Item_Enchant_Old!M328</f>
        <v>8</v>
      </c>
      <c r="N324" s="29">
        <f>Item_Enchant_Old!N328</f>
        <v>352</v>
      </c>
      <c r="O324" s="29">
        <f>Item_Enchant_Old!O328</f>
        <v>1</v>
      </c>
      <c r="P324" s="29">
        <f>Item_Enchant_Old!P328</f>
        <v>1</v>
      </c>
      <c r="Q324" s="29">
        <f>Item_Enchant_Old!Q328</f>
        <v>1</v>
      </c>
      <c r="R324" s="29">
        <f>Item_Enchant_Old!R328</f>
        <v>1</v>
      </c>
    </row>
    <row r="325" spans="1:18" s="29" customFormat="1" hidden="1">
      <c r="A325" s="29">
        <f>Item_Enchant_Old!A329</f>
        <v>324</v>
      </c>
      <c r="B325" s="29" t="str">
        <f>Item_Enchant_Old!B329</f>
        <v>ACTIVE_ENG_UP</v>
      </c>
      <c r="C325" s="29">
        <f>Item_Enchant_Old!C329</f>
        <v>615</v>
      </c>
      <c r="D325" s="29">
        <f>Item_Enchant_Old!D329</f>
        <v>0</v>
      </c>
      <c r="E325" s="29">
        <f>Item_Enchant_Old!E329</f>
        <v>0</v>
      </c>
      <c r="F325" s="29">
        <f>Item_Enchant_Old!F329</f>
        <v>0</v>
      </c>
      <c r="G325" s="29">
        <f>Item_Enchant_Old!G329</f>
        <v>2</v>
      </c>
      <c r="H325" s="29" t="str">
        <f>Item_Enchant_Old!H329</f>
        <v>@</v>
      </c>
      <c r="I325" s="29">
        <f>Item_Enchant_Old!I329</f>
        <v>1</v>
      </c>
      <c r="J325" s="29" t="str">
        <f>Item_Enchant_Old!J329</f>
        <v>절대값/상대값(%) 가능</v>
      </c>
      <c r="K325" s="29">
        <f>Item_Enchant_Old!K329</f>
        <v>6</v>
      </c>
      <c r="L325" s="29">
        <f>Item_Enchant_Old!L329</f>
        <v>0</v>
      </c>
      <c r="M325" s="29">
        <f>Item_Enchant_Old!M329</f>
        <v>8</v>
      </c>
      <c r="N325" s="29">
        <f>Item_Enchant_Old!N329</f>
        <v>62</v>
      </c>
      <c r="O325" s="29">
        <f>Item_Enchant_Old!O329</f>
        <v>1</v>
      </c>
      <c r="P325" s="29">
        <f>Item_Enchant_Old!P329</f>
        <v>1</v>
      </c>
      <c r="Q325" s="29">
        <f>Item_Enchant_Old!Q329</f>
        <v>1</v>
      </c>
      <c r="R325" s="29">
        <f>Item_Enchant_Old!R329</f>
        <v>1</v>
      </c>
    </row>
    <row r="326" spans="1:18" s="29" customFormat="1" hidden="1">
      <c r="A326" s="29">
        <f>Item_Enchant_Old!A330</f>
        <v>325</v>
      </c>
      <c r="B326" s="29" t="str">
        <f>Item_Enchant_Old!B330</f>
        <v>ACTIVE_PHYSICAL_CRITICAL</v>
      </c>
      <c r="C326" s="29">
        <f>Item_Enchant_Old!C330</f>
        <v>632</v>
      </c>
      <c r="D326" s="29">
        <f>Item_Enchant_Old!D330</f>
        <v>0</v>
      </c>
      <c r="E326" s="29">
        <f>Item_Enchant_Old!E330</f>
        <v>0</v>
      </c>
      <c r="F326" s="29">
        <f>Item_Enchant_Old!F330</f>
        <v>0</v>
      </c>
      <c r="G326" s="29">
        <f>Item_Enchant_Old!G330</f>
        <v>5</v>
      </c>
      <c r="H326" s="29" t="str">
        <f>Item_Enchant_Old!H330</f>
        <v>@</v>
      </c>
      <c r="I326" s="29">
        <f>Item_Enchant_Old!I330</f>
        <v>1</v>
      </c>
      <c r="J326" s="29" t="str">
        <f>Item_Enchant_Old!J330</f>
        <v>절대값/상대값(%) 가능</v>
      </c>
      <c r="K326" s="29">
        <f>Item_Enchant_Old!K330</f>
        <v>6</v>
      </c>
      <c r="L326" s="29">
        <f>Item_Enchant_Old!L330</f>
        <v>0</v>
      </c>
      <c r="M326" s="29">
        <f>Item_Enchant_Old!M330</f>
        <v>9</v>
      </c>
      <c r="N326" s="29">
        <f>Item_Enchant_Old!N330</f>
        <v>21</v>
      </c>
      <c r="O326" s="29">
        <f>Item_Enchant_Old!O330</f>
        <v>1</v>
      </c>
      <c r="P326" s="29">
        <f>Item_Enchant_Old!P330</f>
        <v>1</v>
      </c>
      <c r="Q326" s="29">
        <f>Item_Enchant_Old!Q330</f>
        <v>1</v>
      </c>
      <c r="R326" s="29">
        <f>Item_Enchant_Old!R330</f>
        <v>1</v>
      </c>
    </row>
    <row r="327" spans="1:18" s="29" customFormat="1" hidden="1">
      <c r="A327" s="29">
        <f>Item_Enchant_Old!A331</f>
        <v>326</v>
      </c>
      <c r="B327" s="29" t="str">
        <f>Item_Enchant_Old!B331</f>
        <v>ACTIVE_ENERGY_CRITICAL</v>
      </c>
      <c r="C327" s="29">
        <f>Item_Enchant_Old!C331</f>
        <v>633</v>
      </c>
      <c r="D327" s="29">
        <f>Item_Enchant_Old!D331</f>
        <v>0</v>
      </c>
      <c r="E327" s="29">
        <f>Item_Enchant_Old!E331</f>
        <v>0</v>
      </c>
      <c r="F327" s="29">
        <f>Item_Enchant_Old!F331</f>
        <v>0</v>
      </c>
      <c r="G327" s="29">
        <f>Item_Enchant_Old!G331</f>
        <v>5</v>
      </c>
      <c r="H327" s="29" t="str">
        <f>Item_Enchant_Old!H331</f>
        <v>@</v>
      </c>
      <c r="I327" s="29">
        <f>Item_Enchant_Old!I331</f>
        <v>1</v>
      </c>
      <c r="J327" s="29" t="str">
        <f>Item_Enchant_Old!J331</f>
        <v>절대값/상대값(%) 가능</v>
      </c>
      <c r="K327" s="29">
        <f>Item_Enchant_Old!K331</f>
        <v>6</v>
      </c>
      <c r="L327" s="29">
        <f>Item_Enchant_Old!L331</f>
        <v>0</v>
      </c>
      <c r="M327" s="29">
        <f>Item_Enchant_Old!M331</f>
        <v>9</v>
      </c>
      <c r="N327" s="29">
        <f>Item_Enchant_Old!N331</f>
        <v>24</v>
      </c>
      <c r="O327" s="29">
        <f>Item_Enchant_Old!O331</f>
        <v>1</v>
      </c>
      <c r="P327" s="29">
        <f>Item_Enchant_Old!P331</f>
        <v>1</v>
      </c>
      <c r="Q327" s="29">
        <f>Item_Enchant_Old!Q331</f>
        <v>1</v>
      </c>
      <c r="R327" s="29">
        <f>Item_Enchant_Old!R331</f>
        <v>1</v>
      </c>
    </row>
    <row r="328" spans="1:18" s="29" customFormat="1" hidden="1">
      <c r="A328" s="29">
        <f>Item_Enchant_Old!A332</f>
        <v>327</v>
      </c>
      <c r="B328" s="29" t="str">
        <f>Item_Enchant_Old!B332</f>
        <v>ACTIVE_DEX_UP</v>
      </c>
      <c r="C328" s="29">
        <f>Item_Enchant_Old!C332</f>
        <v>613</v>
      </c>
      <c r="D328" s="29">
        <f>Item_Enchant_Old!D332</f>
        <v>0</v>
      </c>
      <c r="E328" s="29">
        <f>Item_Enchant_Old!E332</f>
        <v>0</v>
      </c>
      <c r="F328" s="29">
        <f>Item_Enchant_Old!F332</f>
        <v>0</v>
      </c>
      <c r="G328" s="29">
        <f>Item_Enchant_Old!G332</f>
        <v>3</v>
      </c>
      <c r="H328" s="29" t="str">
        <f>Item_Enchant_Old!H332</f>
        <v>@</v>
      </c>
      <c r="I328" s="29">
        <f>Item_Enchant_Old!I332</f>
        <v>1</v>
      </c>
      <c r="J328" s="29" t="str">
        <f>Item_Enchant_Old!J332</f>
        <v>절대값/상대값(%) 가능</v>
      </c>
      <c r="K328" s="29">
        <f>Item_Enchant_Old!K332</f>
        <v>6</v>
      </c>
      <c r="L328" s="29">
        <f>Item_Enchant_Old!L332</f>
        <v>0</v>
      </c>
      <c r="M328" s="29">
        <f>Item_Enchant_Old!M332</f>
        <v>9</v>
      </c>
      <c r="N328" s="29">
        <f>Item_Enchant_Old!N332</f>
        <v>44</v>
      </c>
      <c r="O328" s="29">
        <f>Item_Enchant_Old!O332</f>
        <v>1</v>
      </c>
      <c r="P328" s="29">
        <f>Item_Enchant_Old!P332</f>
        <v>1</v>
      </c>
      <c r="Q328" s="29">
        <f>Item_Enchant_Old!Q332</f>
        <v>1</v>
      </c>
      <c r="R328" s="29">
        <f>Item_Enchant_Old!R332</f>
        <v>1</v>
      </c>
    </row>
    <row r="329" spans="1:18" s="29" customFormat="1" hidden="1">
      <c r="A329" s="29">
        <f>Item_Enchant_Old!A333</f>
        <v>328</v>
      </c>
      <c r="B329" s="29" t="str">
        <f>Item_Enchant_Old!B333</f>
        <v>ACTIVE_FOC_UP</v>
      </c>
      <c r="C329" s="29">
        <f>Item_Enchant_Old!C333</f>
        <v>612</v>
      </c>
      <c r="D329" s="29">
        <f>Item_Enchant_Old!D333</f>
        <v>0</v>
      </c>
      <c r="E329" s="29">
        <f>Item_Enchant_Old!E333</f>
        <v>0</v>
      </c>
      <c r="F329" s="29">
        <f>Item_Enchant_Old!F333</f>
        <v>0</v>
      </c>
      <c r="G329" s="29">
        <f>Item_Enchant_Old!G333</f>
        <v>2</v>
      </c>
      <c r="H329" s="29" t="str">
        <f>Item_Enchant_Old!H333</f>
        <v>@</v>
      </c>
      <c r="I329" s="29">
        <f>Item_Enchant_Old!I333</f>
        <v>1</v>
      </c>
      <c r="J329" s="29" t="str">
        <f>Item_Enchant_Old!J333</f>
        <v>절대값/상대값(%) 가능</v>
      </c>
      <c r="K329" s="29">
        <f>Item_Enchant_Old!K333</f>
        <v>6</v>
      </c>
      <c r="L329" s="29">
        <f>Item_Enchant_Old!L333</f>
        <v>0</v>
      </c>
      <c r="M329" s="29">
        <f>Item_Enchant_Old!M333</f>
        <v>9</v>
      </c>
      <c r="N329" s="29">
        <f>Item_Enchant_Old!N333</f>
        <v>53</v>
      </c>
      <c r="O329" s="29">
        <f>Item_Enchant_Old!O333</f>
        <v>1</v>
      </c>
      <c r="P329" s="29">
        <f>Item_Enchant_Old!P333</f>
        <v>1</v>
      </c>
      <c r="Q329" s="29">
        <f>Item_Enchant_Old!Q333</f>
        <v>1</v>
      </c>
      <c r="R329" s="29">
        <f>Item_Enchant_Old!R333</f>
        <v>1</v>
      </c>
    </row>
    <row r="330" spans="1:18" s="29" customFormat="1" hidden="1">
      <c r="A330" s="29">
        <f>Item_Enchant_Old!A334</f>
        <v>329</v>
      </c>
      <c r="B330" s="29" t="str">
        <f>Item_Enchant_Old!B334</f>
        <v>ACTIVE_PHYSICAL_CRITICAL_DAMAGE_UP</v>
      </c>
      <c r="C330" s="29">
        <f>Item_Enchant_Old!C334</f>
        <v>658</v>
      </c>
      <c r="D330" s="29">
        <f>Item_Enchant_Old!D334</f>
        <v>0</v>
      </c>
      <c r="E330" s="29">
        <f>Item_Enchant_Old!E334</f>
        <v>0</v>
      </c>
      <c r="F330" s="29">
        <f>Item_Enchant_Old!F334</f>
        <v>0</v>
      </c>
      <c r="G330" s="29">
        <f>Item_Enchant_Old!G334</f>
        <v>4</v>
      </c>
      <c r="H330" s="29" t="str">
        <f>Item_Enchant_Old!H334</f>
        <v>@</v>
      </c>
      <c r="I330" s="29">
        <f>Item_Enchant_Old!I334</f>
        <v>1</v>
      </c>
      <c r="J330" s="29" t="str">
        <f>Item_Enchant_Old!J334</f>
        <v>절대값만 가능</v>
      </c>
      <c r="K330" s="29">
        <f>Item_Enchant_Old!K334</f>
        <v>6</v>
      </c>
      <c r="L330" s="29">
        <f>Item_Enchant_Old!L334</f>
        <v>0</v>
      </c>
      <c r="M330" s="29">
        <f>Item_Enchant_Old!M334</f>
        <v>10</v>
      </c>
      <c r="N330" s="29">
        <f>Item_Enchant_Old!N334</f>
        <v>28</v>
      </c>
      <c r="O330" s="29">
        <f>Item_Enchant_Old!O334</f>
        <v>1</v>
      </c>
      <c r="P330" s="29">
        <f>Item_Enchant_Old!P334</f>
        <v>1</v>
      </c>
      <c r="Q330" s="29">
        <f>Item_Enchant_Old!Q334</f>
        <v>1</v>
      </c>
      <c r="R330" s="29">
        <f>Item_Enchant_Old!R334</f>
        <v>1</v>
      </c>
    </row>
    <row r="331" spans="1:18" s="29" customFormat="1" hidden="1">
      <c r="A331" s="29">
        <f>Item_Enchant_Old!A335</f>
        <v>330</v>
      </c>
      <c r="B331" s="29" t="str">
        <f>Item_Enchant_Old!B335</f>
        <v>ACTIVE_ENERGY_CRITICAL_DAMAGE_UP</v>
      </c>
      <c r="C331" s="29">
        <f>Item_Enchant_Old!C335</f>
        <v>659</v>
      </c>
      <c r="D331" s="29">
        <f>Item_Enchant_Old!D335</f>
        <v>0</v>
      </c>
      <c r="E331" s="29">
        <f>Item_Enchant_Old!E335</f>
        <v>0</v>
      </c>
      <c r="F331" s="29">
        <f>Item_Enchant_Old!F335</f>
        <v>0</v>
      </c>
      <c r="G331" s="29">
        <f>Item_Enchant_Old!G335</f>
        <v>4</v>
      </c>
      <c r="H331" s="29" t="str">
        <f>Item_Enchant_Old!H335</f>
        <v>@</v>
      </c>
      <c r="I331" s="29">
        <f>Item_Enchant_Old!I335</f>
        <v>1</v>
      </c>
      <c r="J331" s="29" t="str">
        <f>Item_Enchant_Old!J335</f>
        <v>절대값만 가능</v>
      </c>
      <c r="K331" s="29">
        <f>Item_Enchant_Old!K335</f>
        <v>6</v>
      </c>
      <c r="L331" s="29">
        <f>Item_Enchant_Old!L335</f>
        <v>0</v>
      </c>
      <c r="M331" s="29">
        <f>Item_Enchant_Old!M335</f>
        <v>10</v>
      </c>
      <c r="N331" s="29">
        <f>Item_Enchant_Old!N335</f>
        <v>32</v>
      </c>
      <c r="O331" s="29">
        <f>Item_Enchant_Old!O335</f>
        <v>1</v>
      </c>
      <c r="P331" s="29">
        <f>Item_Enchant_Old!P335</f>
        <v>1</v>
      </c>
      <c r="Q331" s="29">
        <f>Item_Enchant_Old!Q335</f>
        <v>1</v>
      </c>
      <c r="R331" s="29">
        <f>Item_Enchant_Old!R335</f>
        <v>1</v>
      </c>
    </row>
    <row r="332" spans="1:18" s="29" customFormat="1" hidden="1">
      <c r="A332" s="29">
        <f>Item_Enchant_Old!A336</f>
        <v>331</v>
      </c>
      <c r="B332" s="29" t="str">
        <f>Item_Enchant_Old!B336</f>
        <v>ACTIVE_DEX_UP</v>
      </c>
      <c r="C332" s="29">
        <f>Item_Enchant_Old!C336</f>
        <v>613</v>
      </c>
      <c r="D332" s="29">
        <f>Item_Enchant_Old!D336</f>
        <v>0</v>
      </c>
      <c r="E332" s="29">
        <f>Item_Enchant_Old!E336</f>
        <v>0</v>
      </c>
      <c r="F332" s="29">
        <f>Item_Enchant_Old!F336</f>
        <v>0</v>
      </c>
      <c r="G332" s="29">
        <f>Item_Enchant_Old!G336</f>
        <v>3</v>
      </c>
      <c r="H332" s="29" t="str">
        <f>Item_Enchant_Old!H336</f>
        <v>@</v>
      </c>
      <c r="I332" s="29">
        <f>Item_Enchant_Old!I336</f>
        <v>1</v>
      </c>
      <c r="J332" s="29" t="str">
        <f>Item_Enchant_Old!J336</f>
        <v>절대값/상대값(%) 가능</v>
      </c>
      <c r="K332" s="29">
        <f>Item_Enchant_Old!K336</f>
        <v>6</v>
      </c>
      <c r="L332" s="29">
        <f>Item_Enchant_Old!L336</f>
        <v>0</v>
      </c>
      <c r="M332" s="29">
        <f>Item_Enchant_Old!M336</f>
        <v>10</v>
      </c>
      <c r="N332" s="29">
        <f>Item_Enchant_Old!N336</f>
        <v>44</v>
      </c>
      <c r="O332" s="29">
        <f>Item_Enchant_Old!O336</f>
        <v>1</v>
      </c>
      <c r="P332" s="29">
        <f>Item_Enchant_Old!P336</f>
        <v>1</v>
      </c>
      <c r="Q332" s="29">
        <f>Item_Enchant_Old!Q336</f>
        <v>1</v>
      </c>
      <c r="R332" s="29">
        <f>Item_Enchant_Old!R336</f>
        <v>1</v>
      </c>
    </row>
    <row r="333" spans="1:18" s="29" customFormat="1" hidden="1">
      <c r="A333" s="29">
        <f>Item_Enchant_Old!A337</f>
        <v>332</v>
      </c>
      <c r="B333" s="29" t="str">
        <f>Item_Enchant_Old!B337</f>
        <v>ACTIVE_ATTACK_SPEED_UP</v>
      </c>
      <c r="C333" s="29">
        <f>Item_Enchant_Old!C337</f>
        <v>617</v>
      </c>
      <c r="D333" s="29">
        <f>Item_Enchant_Old!D337</f>
        <v>1</v>
      </c>
      <c r="E333" s="29">
        <f>Item_Enchant_Old!E337</f>
        <v>0</v>
      </c>
      <c r="F333" s="29">
        <f>Item_Enchant_Old!F337</f>
        <v>0</v>
      </c>
      <c r="G333" s="29">
        <f>Item_Enchant_Old!G337</f>
        <v>10</v>
      </c>
      <c r="H333" s="29" t="str">
        <f>Item_Enchant_Old!H337</f>
        <v>@</v>
      </c>
      <c r="I333" s="29">
        <f>Item_Enchant_Old!I337</f>
        <v>1</v>
      </c>
      <c r="J333" s="29" t="str">
        <f>Item_Enchant_Old!J337</f>
        <v>절대값/상대값(%) 가능</v>
      </c>
      <c r="K333" s="29">
        <f>Item_Enchant_Old!K337</f>
        <v>6</v>
      </c>
      <c r="L333" s="29">
        <f>Item_Enchant_Old!L337</f>
        <v>0</v>
      </c>
      <c r="M333" s="29">
        <f>Item_Enchant_Old!M337</f>
        <v>10</v>
      </c>
      <c r="N333" s="29">
        <f>Item_Enchant_Old!N337</f>
        <v>10</v>
      </c>
      <c r="O333" s="29">
        <f>Item_Enchant_Old!O337</f>
        <v>1</v>
      </c>
      <c r="P333" s="29">
        <f>Item_Enchant_Old!P337</f>
        <v>1</v>
      </c>
      <c r="Q333" s="29">
        <f>Item_Enchant_Old!Q337</f>
        <v>1</v>
      </c>
      <c r="R333" s="29">
        <f>Item_Enchant_Old!R337</f>
        <v>1</v>
      </c>
    </row>
    <row r="334" spans="1:18" s="29" customFormat="1" hidden="1">
      <c r="A334" s="29">
        <f>Item_Enchant_Old!A338</f>
        <v>333</v>
      </c>
      <c r="B334" s="29" t="str">
        <f>Item_Enchant_Old!B338</f>
        <v>ACTIVE_STR_UP</v>
      </c>
      <c r="C334" s="29">
        <f>Item_Enchant_Old!C338</f>
        <v>610</v>
      </c>
      <c r="D334" s="29">
        <f>Item_Enchant_Old!D338</f>
        <v>0</v>
      </c>
      <c r="E334" s="29">
        <f>Item_Enchant_Old!E338</f>
        <v>0</v>
      </c>
      <c r="F334" s="29">
        <f>Item_Enchant_Old!F338</f>
        <v>0</v>
      </c>
      <c r="G334" s="29">
        <f>Item_Enchant_Old!G338</f>
        <v>2</v>
      </c>
      <c r="H334" s="29" t="str">
        <f>Item_Enchant_Old!H338</f>
        <v>@</v>
      </c>
      <c r="I334" s="29">
        <f>Item_Enchant_Old!I338</f>
        <v>1</v>
      </c>
      <c r="J334" s="29" t="str">
        <f>Item_Enchant_Old!J338</f>
        <v>절대값/상대값(%) 가능</v>
      </c>
      <c r="K334" s="29">
        <f>Item_Enchant_Old!K338</f>
        <v>6</v>
      </c>
      <c r="L334" s="29">
        <f>Item_Enchant_Old!L338</f>
        <v>0</v>
      </c>
      <c r="M334" s="29">
        <f>Item_Enchant_Old!M338</f>
        <v>11</v>
      </c>
      <c r="N334" s="29">
        <f>Item_Enchant_Old!N338</f>
        <v>57</v>
      </c>
      <c r="O334" s="29">
        <f>Item_Enchant_Old!O338</f>
        <v>1</v>
      </c>
      <c r="P334" s="29">
        <f>Item_Enchant_Old!P338</f>
        <v>1</v>
      </c>
      <c r="Q334" s="29">
        <f>Item_Enchant_Old!Q338</f>
        <v>1</v>
      </c>
      <c r="R334" s="29">
        <f>Item_Enchant_Old!R338</f>
        <v>1</v>
      </c>
    </row>
    <row r="335" spans="1:18" s="29" customFormat="1" hidden="1">
      <c r="A335" s="29">
        <f>Item_Enchant_Old!A339</f>
        <v>334</v>
      </c>
      <c r="B335" s="29" t="str">
        <f>Item_Enchant_Old!B339</f>
        <v>ACTIVE_CON_UP</v>
      </c>
      <c r="C335" s="29">
        <f>Item_Enchant_Old!C339</f>
        <v>611</v>
      </c>
      <c r="D335" s="29">
        <f>Item_Enchant_Old!D339</f>
        <v>0</v>
      </c>
      <c r="E335" s="29">
        <f>Item_Enchant_Old!E339</f>
        <v>0</v>
      </c>
      <c r="F335" s="29">
        <f>Item_Enchant_Old!F339</f>
        <v>0</v>
      </c>
      <c r="G335" s="29">
        <f>Item_Enchant_Old!G339</f>
        <v>3</v>
      </c>
      <c r="H335" s="29" t="str">
        <f>Item_Enchant_Old!H339</f>
        <v>@</v>
      </c>
      <c r="I335" s="29">
        <f>Item_Enchant_Old!I339</f>
        <v>1</v>
      </c>
      <c r="J335" s="29" t="str">
        <f>Item_Enchant_Old!J339</f>
        <v>절대값/상대값(%) 가능</v>
      </c>
      <c r="K335" s="29">
        <f>Item_Enchant_Old!K339</f>
        <v>6</v>
      </c>
      <c r="L335" s="29">
        <f>Item_Enchant_Old!L339</f>
        <v>0</v>
      </c>
      <c r="M335" s="29">
        <f>Item_Enchant_Old!M339</f>
        <v>11</v>
      </c>
      <c r="N335" s="29">
        <f>Item_Enchant_Old!N339</f>
        <v>48</v>
      </c>
      <c r="O335" s="29">
        <f>Item_Enchant_Old!O339</f>
        <v>1</v>
      </c>
      <c r="P335" s="29">
        <f>Item_Enchant_Old!P339</f>
        <v>1</v>
      </c>
      <c r="Q335" s="29">
        <f>Item_Enchant_Old!Q339</f>
        <v>1</v>
      </c>
      <c r="R335" s="29">
        <f>Item_Enchant_Old!R339</f>
        <v>1</v>
      </c>
    </row>
    <row r="336" spans="1:18" s="29" customFormat="1" hidden="1">
      <c r="A336" s="29">
        <f>Item_Enchant_Old!A340</f>
        <v>335</v>
      </c>
      <c r="B336" s="29" t="str">
        <f>Item_Enchant_Old!B340</f>
        <v>ACTIVE_FOC_UP</v>
      </c>
      <c r="C336" s="29">
        <f>Item_Enchant_Old!C340</f>
        <v>612</v>
      </c>
      <c r="D336" s="29">
        <f>Item_Enchant_Old!D340</f>
        <v>0</v>
      </c>
      <c r="E336" s="29">
        <f>Item_Enchant_Old!E340</f>
        <v>0</v>
      </c>
      <c r="F336" s="29">
        <f>Item_Enchant_Old!F340</f>
        <v>0</v>
      </c>
      <c r="G336" s="29">
        <f>Item_Enchant_Old!G340</f>
        <v>2</v>
      </c>
      <c r="H336" s="29" t="str">
        <f>Item_Enchant_Old!H340</f>
        <v>@</v>
      </c>
      <c r="I336" s="29">
        <f>Item_Enchant_Old!I340</f>
        <v>1</v>
      </c>
      <c r="J336" s="29" t="str">
        <f>Item_Enchant_Old!J340</f>
        <v>절대값/상대값(%) 가능</v>
      </c>
      <c r="K336" s="29">
        <f>Item_Enchant_Old!K340</f>
        <v>6</v>
      </c>
      <c r="L336" s="29">
        <f>Item_Enchant_Old!L340</f>
        <v>0</v>
      </c>
      <c r="M336" s="29">
        <f>Item_Enchant_Old!M340</f>
        <v>11</v>
      </c>
      <c r="N336" s="29">
        <f>Item_Enchant_Old!N340</f>
        <v>53</v>
      </c>
      <c r="O336" s="29">
        <f>Item_Enchant_Old!O340</f>
        <v>1</v>
      </c>
      <c r="P336" s="29">
        <f>Item_Enchant_Old!P340</f>
        <v>1</v>
      </c>
      <c r="Q336" s="29">
        <f>Item_Enchant_Old!Q340</f>
        <v>1</v>
      </c>
      <c r="R336" s="29">
        <f>Item_Enchant_Old!R340</f>
        <v>1</v>
      </c>
    </row>
    <row r="337" spans="1:18" s="29" customFormat="1" hidden="1">
      <c r="A337" s="29">
        <f>Item_Enchant_Old!A341</f>
        <v>336</v>
      </c>
      <c r="B337" s="29" t="str">
        <f>Item_Enchant_Old!B341</f>
        <v>ACTIVE_DEX_UP</v>
      </c>
      <c r="C337" s="29">
        <f>Item_Enchant_Old!C341</f>
        <v>613</v>
      </c>
      <c r="D337" s="29">
        <f>Item_Enchant_Old!D341</f>
        <v>0</v>
      </c>
      <c r="E337" s="29">
        <f>Item_Enchant_Old!E341</f>
        <v>0</v>
      </c>
      <c r="F337" s="29">
        <f>Item_Enchant_Old!F341</f>
        <v>0</v>
      </c>
      <c r="G337" s="29">
        <f>Item_Enchant_Old!G341</f>
        <v>3</v>
      </c>
      <c r="H337" s="29" t="str">
        <f>Item_Enchant_Old!H341</f>
        <v>@</v>
      </c>
      <c r="I337" s="29">
        <f>Item_Enchant_Old!I341</f>
        <v>1</v>
      </c>
      <c r="J337" s="29" t="str">
        <f>Item_Enchant_Old!J341</f>
        <v>절대값/상대값(%) 가능</v>
      </c>
      <c r="K337" s="29">
        <f>Item_Enchant_Old!K341</f>
        <v>6</v>
      </c>
      <c r="L337" s="29">
        <f>Item_Enchant_Old!L341</f>
        <v>0</v>
      </c>
      <c r="M337" s="29">
        <f>Item_Enchant_Old!M341</f>
        <v>11</v>
      </c>
      <c r="N337" s="29">
        <f>Item_Enchant_Old!N341</f>
        <v>44</v>
      </c>
      <c r="O337" s="29">
        <f>Item_Enchant_Old!O341</f>
        <v>1</v>
      </c>
      <c r="P337" s="29">
        <f>Item_Enchant_Old!P341</f>
        <v>1</v>
      </c>
      <c r="Q337" s="29">
        <f>Item_Enchant_Old!Q341</f>
        <v>1</v>
      </c>
      <c r="R337" s="29">
        <f>Item_Enchant_Old!R341</f>
        <v>1</v>
      </c>
    </row>
    <row r="338" spans="1:18" s="29" customFormat="1" hidden="1">
      <c r="A338" s="29">
        <f>Item_Enchant_Old!A342</f>
        <v>337</v>
      </c>
      <c r="B338" s="29" t="str">
        <f>Item_Enchant_Old!B342</f>
        <v>ACTIVE_SOL_UP</v>
      </c>
      <c r="C338" s="29">
        <f>Item_Enchant_Old!C342</f>
        <v>614</v>
      </c>
      <c r="D338" s="29">
        <f>Item_Enchant_Old!D342</f>
        <v>0</v>
      </c>
      <c r="E338" s="29">
        <f>Item_Enchant_Old!E342</f>
        <v>0</v>
      </c>
      <c r="F338" s="29">
        <f>Item_Enchant_Old!F342</f>
        <v>0</v>
      </c>
      <c r="G338" s="29">
        <f>Item_Enchant_Old!G342</f>
        <v>2</v>
      </c>
      <c r="H338" s="29" t="str">
        <f>Item_Enchant_Old!H342</f>
        <v>@</v>
      </c>
      <c r="I338" s="29">
        <f>Item_Enchant_Old!I342</f>
        <v>1</v>
      </c>
      <c r="J338" s="29" t="str">
        <f>Item_Enchant_Old!J342</f>
        <v>절대값/상대값(%) 가능</v>
      </c>
      <c r="K338" s="29">
        <f>Item_Enchant_Old!K342</f>
        <v>6</v>
      </c>
      <c r="L338" s="29">
        <f>Item_Enchant_Old!L342</f>
        <v>0</v>
      </c>
      <c r="M338" s="29">
        <f>Item_Enchant_Old!M342</f>
        <v>11</v>
      </c>
      <c r="N338" s="29">
        <f>Item_Enchant_Old!N342</f>
        <v>53</v>
      </c>
      <c r="O338" s="29">
        <f>Item_Enchant_Old!O342</f>
        <v>1</v>
      </c>
      <c r="P338" s="29">
        <f>Item_Enchant_Old!P342</f>
        <v>1</v>
      </c>
      <c r="Q338" s="29">
        <f>Item_Enchant_Old!Q342</f>
        <v>1</v>
      </c>
      <c r="R338" s="29">
        <f>Item_Enchant_Old!R342</f>
        <v>1</v>
      </c>
    </row>
    <row r="339" spans="1:18" s="29" customFormat="1" hidden="1">
      <c r="A339" s="29">
        <f>Item_Enchant_Old!A343</f>
        <v>338</v>
      </c>
      <c r="B339" s="29" t="str">
        <f>Item_Enchant_Old!B343</f>
        <v>ACTIVE_ENG_UP</v>
      </c>
      <c r="C339" s="29">
        <f>Item_Enchant_Old!C343</f>
        <v>615</v>
      </c>
      <c r="D339" s="29">
        <f>Item_Enchant_Old!D343</f>
        <v>0</v>
      </c>
      <c r="E339" s="29">
        <f>Item_Enchant_Old!E343</f>
        <v>0</v>
      </c>
      <c r="F339" s="29">
        <f>Item_Enchant_Old!F343</f>
        <v>0</v>
      </c>
      <c r="G339" s="29">
        <f>Item_Enchant_Old!G343</f>
        <v>2</v>
      </c>
      <c r="H339" s="29" t="str">
        <f>Item_Enchant_Old!H343</f>
        <v>@</v>
      </c>
      <c r="I339" s="29">
        <f>Item_Enchant_Old!I343</f>
        <v>1</v>
      </c>
      <c r="J339" s="29" t="str">
        <f>Item_Enchant_Old!J343</f>
        <v>절대값/상대값(%) 가능</v>
      </c>
      <c r="K339" s="29">
        <f>Item_Enchant_Old!K343</f>
        <v>6</v>
      </c>
      <c r="L339" s="29">
        <f>Item_Enchant_Old!L343</f>
        <v>0</v>
      </c>
      <c r="M339" s="29">
        <f>Item_Enchant_Old!M343</f>
        <v>11</v>
      </c>
      <c r="N339" s="29">
        <f>Item_Enchant_Old!N343</f>
        <v>62</v>
      </c>
      <c r="O339" s="29">
        <f>Item_Enchant_Old!O343</f>
        <v>1</v>
      </c>
      <c r="P339" s="29">
        <f>Item_Enchant_Old!P343</f>
        <v>1</v>
      </c>
      <c r="Q339" s="29">
        <f>Item_Enchant_Old!Q343</f>
        <v>1</v>
      </c>
      <c r="R339" s="29">
        <f>Item_Enchant_Old!R343</f>
        <v>1</v>
      </c>
    </row>
    <row r="340" spans="1:18" s="29" customFormat="1" hidden="1">
      <c r="A340" s="29">
        <f>Item_Enchant_Old!A344</f>
        <v>339</v>
      </c>
      <c r="B340" s="29" t="str">
        <f>Item_Enchant_Old!B344</f>
        <v>ACTIVE_PHYSICAL_DEFENCE_UP</v>
      </c>
      <c r="C340" s="29">
        <f>Item_Enchant_Old!C344</f>
        <v>608</v>
      </c>
      <c r="D340" s="29">
        <f>Item_Enchant_Old!D344</f>
        <v>0</v>
      </c>
      <c r="E340" s="29">
        <f>Item_Enchant_Old!E344</f>
        <v>0</v>
      </c>
      <c r="F340" s="29">
        <f>Item_Enchant_Old!F344</f>
        <v>0</v>
      </c>
      <c r="G340" s="29">
        <f>Item_Enchant_Old!G344</f>
        <v>1</v>
      </c>
      <c r="H340" s="29" t="str">
        <f>Item_Enchant_Old!H344</f>
        <v>@</v>
      </c>
      <c r="I340" s="29">
        <f>Item_Enchant_Old!I344</f>
        <v>1</v>
      </c>
      <c r="J340" s="29" t="str">
        <f>Item_Enchant_Old!J344</f>
        <v>절대값/상대값(%) 가능</v>
      </c>
      <c r="K340" s="29">
        <f>Item_Enchant_Old!K344</f>
        <v>6</v>
      </c>
      <c r="L340" s="29">
        <f>Item_Enchant_Old!L344</f>
        <v>0</v>
      </c>
      <c r="M340" s="29">
        <f>Item_Enchant_Old!M344</f>
        <v>12</v>
      </c>
      <c r="N340" s="29">
        <f>Item_Enchant_Old!N344</f>
        <v>1350</v>
      </c>
      <c r="O340" s="29">
        <f>Item_Enchant_Old!O344</f>
        <v>1</v>
      </c>
      <c r="P340" s="29">
        <f>Item_Enchant_Old!P344</f>
        <v>1</v>
      </c>
      <c r="Q340" s="29">
        <f>Item_Enchant_Old!Q344</f>
        <v>1</v>
      </c>
      <c r="R340" s="29">
        <f>Item_Enchant_Old!R344</f>
        <v>1</v>
      </c>
    </row>
    <row r="341" spans="1:18" s="29" customFormat="1" hidden="1">
      <c r="A341" s="29">
        <f>Item_Enchant_Old!A345</f>
        <v>340</v>
      </c>
      <c r="B341" s="29" t="str">
        <f>Item_Enchant_Old!B345</f>
        <v>ACTIVE_BLOCK_RATE_UP</v>
      </c>
      <c r="C341" s="29">
        <f>Item_Enchant_Old!C345</f>
        <v>620</v>
      </c>
      <c r="D341" s="29">
        <f>Item_Enchant_Old!D345</f>
        <v>0</v>
      </c>
      <c r="E341" s="29">
        <f>Item_Enchant_Old!E345</f>
        <v>0</v>
      </c>
      <c r="F341" s="29">
        <f>Item_Enchant_Old!F345</f>
        <v>0</v>
      </c>
      <c r="G341" s="29">
        <f>Item_Enchant_Old!G345</f>
        <v>1</v>
      </c>
      <c r="H341" s="29" t="str">
        <f>Item_Enchant_Old!H345</f>
        <v>@</v>
      </c>
      <c r="I341" s="29">
        <f>Item_Enchant_Old!I345</f>
        <v>1</v>
      </c>
      <c r="J341" s="29" t="str">
        <f>Item_Enchant_Old!J345</f>
        <v>절대값/상대값(%) 가능</v>
      </c>
      <c r="K341" s="29">
        <f>Item_Enchant_Old!K345</f>
        <v>6</v>
      </c>
      <c r="L341" s="29">
        <f>Item_Enchant_Old!L345</f>
        <v>0</v>
      </c>
      <c r="M341" s="29">
        <f>Item_Enchant_Old!M345</f>
        <v>12</v>
      </c>
      <c r="N341" s="29">
        <f>Item_Enchant_Old!N345</f>
        <v>352</v>
      </c>
      <c r="O341" s="29">
        <f>Item_Enchant_Old!O345</f>
        <v>1</v>
      </c>
      <c r="P341" s="29">
        <f>Item_Enchant_Old!P345</f>
        <v>1</v>
      </c>
      <c r="Q341" s="29">
        <f>Item_Enchant_Old!Q345</f>
        <v>1</v>
      </c>
      <c r="R341" s="29">
        <f>Item_Enchant_Old!R345</f>
        <v>1</v>
      </c>
    </row>
    <row r="342" spans="1:18" s="29" customFormat="1" hidden="1">
      <c r="A342" s="29">
        <f>Item_Enchant_Old!A346</f>
        <v>341</v>
      </c>
      <c r="B342" s="29" t="str">
        <f>Item_Enchant_Old!B346</f>
        <v>ACTIVE_CON_UP</v>
      </c>
      <c r="C342" s="29">
        <f>Item_Enchant_Old!C346</f>
        <v>611</v>
      </c>
      <c r="D342" s="29">
        <f>Item_Enchant_Old!D346</f>
        <v>0</v>
      </c>
      <c r="E342" s="29">
        <f>Item_Enchant_Old!E346</f>
        <v>0</v>
      </c>
      <c r="F342" s="29">
        <f>Item_Enchant_Old!F346</f>
        <v>0</v>
      </c>
      <c r="G342" s="29">
        <f>Item_Enchant_Old!G346</f>
        <v>3</v>
      </c>
      <c r="H342" s="29" t="str">
        <f>Item_Enchant_Old!H346</f>
        <v>@</v>
      </c>
      <c r="I342" s="29">
        <f>Item_Enchant_Old!I346</f>
        <v>1</v>
      </c>
      <c r="J342" s="29" t="str">
        <f>Item_Enchant_Old!J346</f>
        <v>절대값/상대값(%) 가능</v>
      </c>
      <c r="K342" s="29">
        <f>Item_Enchant_Old!K346</f>
        <v>6</v>
      </c>
      <c r="L342" s="29">
        <f>Item_Enchant_Old!L346</f>
        <v>0</v>
      </c>
      <c r="M342" s="29">
        <f>Item_Enchant_Old!M346</f>
        <v>12</v>
      </c>
      <c r="N342" s="29">
        <f>Item_Enchant_Old!N346</f>
        <v>48</v>
      </c>
      <c r="O342" s="29">
        <f>Item_Enchant_Old!O346</f>
        <v>1</v>
      </c>
      <c r="P342" s="29">
        <f>Item_Enchant_Old!P346</f>
        <v>1</v>
      </c>
      <c r="Q342" s="29">
        <f>Item_Enchant_Old!Q346</f>
        <v>1</v>
      </c>
      <c r="R342" s="29">
        <f>Item_Enchant_Old!R346</f>
        <v>1</v>
      </c>
    </row>
    <row r="343" spans="1:18" s="29" customFormat="1" hidden="1">
      <c r="A343" s="29">
        <f>Item_Enchant_Old!A347</f>
        <v>342</v>
      </c>
      <c r="B343" s="29" t="str">
        <f>Item_Enchant_Old!B347</f>
        <v>ACTIVE_FOC_UP</v>
      </c>
      <c r="C343" s="29">
        <f>Item_Enchant_Old!C347</f>
        <v>612</v>
      </c>
      <c r="D343" s="29">
        <f>Item_Enchant_Old!D347</f>
        <v>0</v>
      </c>
      <c r="E343" s="29">
        <f>Item_Enchant_Old!E347</f>
        <v>0</v>
      </c>
      <c r="F343" s="29">
        <f>Item_Enchant_Old!F347</f>
        <v>0</v>
      </c>
      <c r="G343" s="29">
        <f>Item_Enchant_Old!G347</f>
        <v>2</v>
      </c>
      <c r="H343" s="29" t="str">
        <f>Item_Enchant_Old!H347</f>
        <v>@</v>
      </c>
      <c r="I343" s="29">
        <f>Item_Enchant_Old!I347</f>
        <v>1</v>
      </c>
      <c r="J343" s="29" t="str">
        <f>Item_Enchant_Old!J347</f>
        <v>절대값/상대값(%) 가능</v>
      </c>
      <c r="K343" s="29">
        <f>Item_Enchant_Old!K347</f>
        <v>6</v>
      </c>
      <c r="L343" s="29">
        <f>Item_Enchant_Old!L347</f>
        <v>0</v>
      </c>
      <c r="M343" s="29">
        <f>Item_Enchant_Old!M347</f>
        <v>12</v>
      </c>
      <c r="N343" s="29">
        <f>Item_Enchant_Old!N347</f>
        <v>53</v>
      </c>
      <c r="O343" s="29">
        <f>Item_Enchant_Old!O347</f>
        <v>1</v>
      </c>
      <c r="P343" s="29">
        <f>Item_Enchant_Old!P347</f>
        <v>1</v>
      </c>
      <c r="Q343" s="29">
        <f>Item_Enchant_Old!Q347</f>
        <v>1</v>
      </c>
      <c r="R343" s="29">
        <f>Item_Enchant_Old!R347</f>
        <v>1</v>
      </c>
    </row>
    <row r="344" spans="1:18" s="29" customFormat="1" hidden="1">
      <c r="A344" s="29">
        <f>Item_Enchant_Old!A348</f>
        <v>343</v>
      </c>
      <c r="B344" s="29" t="str">
        <f>Item_Enchant_Old!B348</f>
        <v>ACTIVE_ENERGY_OFFENCE_UP</v>
      </c>
      <c r="C344" s="29">
        <f>Item_Enchant_Old!C348</f>
        <v>607</v>
      </c>
      <c r="D344" s="29">
        <f>Item_Enchant_Old!D348</f>
        <v>0</v>
      </c>
      <c r="E344" s="29">
        <f>Item_Enchant_Old!E348</f>
        <v>0</v>
      </c>
      <c r="F344" s="29">
        <f>Item_Enchant_Old!F348</f>
        <v>0</v>
      </c>
      <c r="G344" s="29">
        <f>Item_Enchant_Old!G348</f>
        <v>1</v>
      </c>
      <c r="H344" s="29" t="str">
        <f>Item_Enchant_Old!H348</f>
        <v>@</v>
      </c>
      <c r="I344" s="29">
        <f>Item_Enchant_Old!I348</f>
        <v>1</v>
      </c>
      <c r="J344" s="29" t="str">
        <f>Item_Enchant_Old!J348</f>
        <v>절대값/상대값(%) 가능</v>
      </c>
      <c r="K344" s="29">
        <f>Item_Enchant_Old!K348</f>
        <v>7</v>
      </c>
      <c r="L344" s="29">
        <f>Item_Enchant_Old!L348</f>
        <v>0</v>
      </c>
      <c r="M344" s="29">
        <f>Item_Enchant_Old!M348</f>
        <v>3</v>
      </c>
      <c r="N344" s="29">
        <f>Item_Enchant_Old!N348</f>
        <v>104</v>
      </c>
      <c r="O344" s="29">
        <f>Item_Enchant_Old!O348</f>
        <v>1</v>
      </c>
      <c r="P344" s="29">
        <f>Item_Enchant_Old!P348</f>
        <v>1</v>
      </c>
      <c r="Q344" s="29">
        <f>Item_Enchant_Old!Q348</f>
        <v>1</v>
      </c>
      <c r="R344" s="29">
        <f>Item_Enchant_Old!R348</f>
        <v>1</v>
      </c>
    </row>
    <row r="345" spans="1:18" s="29" customFormat="1" hidden="1">
      <c r="A345" s="29">
        <f>Item_Enchant_Old!A349</f>
        <v>344</v>
      </c>
      <c r="B345" s="29" t="str">
        <f>Item_Enchant_Old!B349</f>
        <v>ACTIVE_FOC_UP</v>
      </c>
      <c r="C345" s="29">
        <f>Item_Enchant_Old!C349</f>
        <v>612</v>
      </c>
      <c r="D345" s="29">
        <f>Item_Enchant_Old!D349</f>
        <v>0</v>
      </c>
      <c r="E345" s="29">
        <f>Item_Enchant_Old!E349</f>
        <v>0</v>
      </c>
      <c r="F345" s="29">
        <f>Item_Enchant_Old!F349</f>
        <v>0</v>
      </c>
      <c r="G345" s="29">
        <f>Item_Enchant_Old!G349</f>
        <v>2</v>
      </c>
      <c r="H345" s="29" t="str">
        <f>Item_Enchant_Old!H349</f>
        <v>@</v>
      </c>
      <c r="I345" s="29">
        <f>Item_Enchant_Old!I349</f>
        <v>1</v>
      </c>
      <c r="J345" s="29" t="str">
        <f>Item_Enchant_Old!J349</f>
        <v>절대값/상대값(%) 가능</v>
      </c>
      <c r="K345" s="29">
        <f>Item_Enchant_Old!K349</f>
        <v>7</v>
      </c>
      <c r="L345" s="29">
        <f>Item_Enchant_Old!L349</f>
        <v>0</v>
      </c>
      <c r="M345" s="29">
        <f>Item_Enchant_Old!M349</f>
        <v>3</v>
      </c>
      <c r="N345" s="29">
        <f>Item_Enchant_Old!N349</f>
        <v>53</v>
      </c>
      <c r="O345" s="29">
        <f>Item_Enchant_Old!O349</f>
        <v>1</v>
      </c>
      <c r="P345" s="29">
        <f>Item_Enchant_Old!P349</f>
        <v>1</v>
      </c>
      <c r="Q345" s="29">
        <f>Item_Enchant_Old!Q349</f>
        <v>1</v>
      </c>
      <c r="R345" s="29">
        <f>Item_Enchant_Old!R349</f>
        <v>1</v>
      </c>
    </row>
    <row r="346" spans="1:18" s="29" customFormat="1" hidden="1">
      <c r="A346" s="29">
        <f>Item_Enchant_Old!A350</f>
        <v>345</v>
      </c>
      <c r="B346" s="29" t="str">
        <f>Item_Enchant_Old!B350</f>
        <v>ACTIVE_SOL_UP</v>
      </c>
      <c r="C346" s="29">
        <f>Item_Enchant_Old!C350</f>
        <v>614</v>
      </c>
      <c r="D346" s="29">
        <f>Item_Enchant_Old!D350</f>
        <v>0</v>
      </c>
      <c r="E346" s="29">
        <f>Item_Enchant_Old!E350</f>
        <v>0</v>
      </c>
      <c r="F346" s="29">
        <f>Item_Enchant_Old!F350</f>
        <v>0</v>
      </c>
      <c r="G346" s="29">
        <f>Item_Enchant_Old!G350</f>
        <v>2</v>
      </c>
      <c r="H346" s="29" t="str">
        <f>Item_Enchant_Old!H350</f>
        <v>@</v>
      </c>
      <c r="I346" s="29">
        <f>Item_Enchant_Old!I350</f>
        <v>1</v>
      </c>
      <c r="J346" s="29" t="str">
        <f>Item_Enchant_Old!J350</f>
        <v>절대값/상대값(%) 가능</v>
      </c>
      <c r="K346" s="29">
        <f>Item_Enchant_Old!K350</f>
        <v>7</v>
      </c>
      <c r="L346" s="29">
        <f>Item_Enchant_Old!L350</f>
        <v>0</v>
      </c>
      <c r="M346" s="29">
        <f>Item_Enchant_Old!M350</f>
        <v>3</v>
      </c>
      <c r="N346" s="29">
        <f>Item_Enchant_Old!N350</f>
        <v>53</v>
      </c>
      <c r="O346" s="29">
        <f>Item_Enchant_Old!O350</f>
        <v>1</v>
      </c>
      <c r="P346" s="29">
        <f>Item_Enchant_Old!P350</f>
        <v>1</v>
      </c>
      <c r="Q346" s="29">
        <f>Item_Enchant_Old!Q350</f>
        <v>1</v>
      </c>
      <c r="R346" s="29">
        <f>Item_Enchant_Old!R350</f>
        <v>1</v>
      </c>
    </row>
    <row r="347" spans="1:18" s="29" customFormat="1" hidden="1">
      <c r="A347" s="29">
        <f>Item_Enchant_Old!A351</f>
        <v>346</v>
      </c>
      <c r="B347" s="29" t="str">
        <f>Item_Enchant_Old!B351</f>
        <v>ACTIVE_ENERGY_CRITICAL_DAMAGE_UP</v>
      </c>
      <c r="C347" s="29">
        <f>Item_Enchant_Old!C351</f>
        <v>659</v>
      </c>
      <c r="D347" s="29">
        <f>Item_Enchant_Old!D351</f>
        <v>0</v>
      </c>
      <c r="E347" s="29">
        <f>Item_Enchant_Old!E351</f>
        <v>0</v>
      </c>
      <c r="F347" s="29">
        <f>Item_Enchant_Old!F351</f>
        <v>0</v>
      </c>
      <c r="G347" s="29">
        <f>Item_Enchant_Old!G351</f>
        <v>4</v>
      </c>
      <c r="H347" s="29" t="str">
        <f>Item_Enchant_Old!H351</f>
        <v>@</v>
      </c>
      <c r="I347" s="29">
        <f>Item_Enchant_Old!I351</f>
        <v>1</v>
      </c>
      <c r="J347" s="29" t="str">
        <f>Item_Enchant_Old!J351</f>
        <v>절대값만 가능</v>
      </c>
      <c r="K347" s="29">
        <f>Item_Enchant_Old!K351</f>
        <v>7</v>
      </c>
      <c r="L347" s="29">
        <f>Item_Enchant_Old!L351</f>
        <v>0</v>
      </c>
      <c r="M347" s="29">
        <f>Item_Enchant_Old!M351</f>
        <v>3</v>
      </c>
      <c r="N347" s="29">
        <f>Item_Enchant_Old!N351</f>
        <v>32</v>
      </c>
      <c r="O347" s="29">
        <f>Item_Enchant_Old!O351</f>
        <v>1</v>
      </c>
      <c r="P347" s="29">
        <f>Item_Enchant_Old!P351</f>
        <v>1</v>
      </c>
      <c r="Q347" s="29">
        <f>Item_Enchant_Old!Q351</f>
        <v>1</v>
      </c>
      <c r="R347" s="29">
        <f>Item_Enchant_Old!R351</f>
        <v>1</v>
      </c>
    </row>
    <row r="348" spans="1:18" s="29" customFormat="1" hidden="1">
      <c r="A348" s="29">
        <f>Item_Enchant_Old!A352</f>
        <v>347</v>
      </c>
      <c r="B348" s="29" t="str">
        <f>Item_Enchant_Old!B352</f>
        <v>ACTIVE_ENERGY_CRITICAL</v>
      </c>
      <c r="C348" s="29">
        <f>Item_Enchant_Old!C352</f>
        <v>633</v>
      </c>
      <c r="D348" s="29">
        <f>Item_Enchant_Old!D352</f>
        <v>0</v>
      </c>
      <c r="E348" s="29">
        <f>Item_Enchant_Old!E352</f>
        <v>0</v>
      </c>
      <c r="F348" s="29">
        <f>Item_Enchant_Old!F352</f>
        <v>0</v>
      </c>
      <c r="G348" s="29">
        <f>Item_Enchant_Old!G352</f>
        <v>5</v>
      </c>
      <c r="H348" s="29" t="str">
        <f>Item_Enchant_Old!H352</f>
        <v>@</v>
      </c>
      <c r="I348" s="29">
        <f>Item_Enchant_Old!I352</f>
        <v>1</v>
      </c>
      <c r="J348" s="29" t="str">
        <f>Item_Enchant_Old!J352</f>
        <v>절대값/상대값(%) 가능</v>
      </c>
      <c r="K348" s="29">
        <f>Item_Enchant_Old!K352</f>
        <v>7</v>
      </c>
      <c r="L348" s="29">
        <f>Item_Enchant_Old!L352</f>
        <v>0</v>
      </c>
      <c r="M348" s="29">
        <f>Item_Enchant_Old!M352</f>
        <v>4</v>
      </c>
      <c r="N348" s="29">
        <f>Item_Enchant_Old!N352</f>
        <v>24</v>
      </c>
      <c r="O348" s="29">
        <f>Item_Enchant_Old!O352</f>
        <v>1</v>
      </c>
      <c r="P348" s="29">
        <f>Item_Enchant_Old!P352</f>
        <v>1</v>
      </c>
      <c r="Q348" s="29">
        <f>Item_Enchant_Old!Q352</f>
        <v>1</v>
      </c>
      <c r="R348" s="29">
        <f>Item_Enchant_Old!R352</f>
        <v>1</v>
      </c>
    </row>
    <row r="349" spans="1:18" s="29" customFormat="1" hidden="1">
      <c r="A349" s="29">
        <f>Item_Enchant_Old!A353</f>
        <v>348</v>
      </c>
      <c r="B349" s="29" t="str">
        <f>Item_Enchant_Old!B353</f>
        <v>ACTIVE_ENERGY_CRITICAL_DAMAGE_UP</v>
      </c>
      <c r="C349" s="29">
        <f>Item_Enchant_Old!C353</f>
        <v>659</v>
      </c>
      <c r="D349" s="29">
        <f>Item_Enchant_Old!D353</f>
        <v>0</v>
      </c>
      <c r="E349" s="29">
        <f>Item_Enchant_Old!E353</f>
        <v>0</v>
      </c>
      <c r="F349" s="29">
        <f>Item_Enchant_Old!F353</f>
        <v>0</v>
      </c>
      <c r="G349" s="29">
        <f>Item_Enchant_Old!G353</f>
        <v>4</v>
      </c>
      <c r="H349" s="29" t="str">
        <f>Item_Enchant_Old!H353</f>
        <v>@</v>
      </c>
      <c r="I349" s="29">
        <f>Item_Enchant_Old!I353</f>
        <v>1</v>
      </c>
      <c r="J349" s="29" t="str">
        <f>Item_Enchant_Old!J353</f>
        <v>절대값만 가능</v>
      </c>
      <c r="K349" s="29">
        <f>Item_Enchant_Old!K353</f>
        <v>7</v>
      </c>
      <c r="L349" s="29">
        <f>Item_Enchant_Old!L353</f>
        <v>0</v>
      </c>
      <c r="M349" s="29">
        <f>Item_Enchant_Old!M353</f>
        <v>4</v>
      </c>
      <c r="N349" s="29">
        <f>Item_Enchant_Old!N353</f>
        <v>32</v>
      </c>
      <c r="O349" s="29">
        <f>Item_Enchant_Old!O353</f>
        <v>1</v>
      </c>
      <c r="P349" s="29">
        <f>Item_Enchant_Old!P353</f>
        <v>1</v>
      </c>
      <c r="Q349" s="29">
        <f>Item_Enchant_Old!Q353</f>
        <v>1</v>
      </c>
      <c r="R349" s="29">
        <f>Item_Enchant_Old!R353</f>
        <v>1</v>
      </c>
    </row>
    <row r="350" spans="1:18" s="29" customFormat="1" hidden="1">
      <c r="A350" s="29">
        <f>Item_Enchant_Old!A354</f>
        <v>349</v>
      </c>
      <c r="B350" s="29" t="str">
        <f>Item_Enchant_Old!B354</f>
        <v>ACTIVE_FOC_UP</v>
      </c>
      <c r="C350" s="29">
        <f>Item_Enchant_Old!C354</f>
        <v>612</v>
      </c>
      <c r="D350" s="29">
        <f>Item_Enchant_Old!D354</f>
        <v>0</v>
      </c>
      <c r="E350" s="29">
        <f>Item_Enchant_Old!E354</f>
        <v>0</v>
      </c>
      <c r="F350" s="29">
        <f>Item_Enchant_Old!F354</f>
        <v>0</v>
      </c>
      <c r="G350" s="29">
        <f>Item_Enchant_Old!G354</f>
        <v>2</v>
      </c>
      <c r="H350" s="29" t="str">
        <f>Item_Enchant_Old!H354</f>
        <v>@</v>
      </c>
      <c r="I350" s="29">
        <f>Item_Enchant_Old!I354</f>
        <v>1</v>
      </c>
      <c r="J350" s="29" t="str">
        <f>Item_Enchant_Old!J354</f>
        <v>절대값/상대값(%) 가능</v>
      </c>
      <c r="K350" s="29">
        <f>Item_Enchant_Old!K354</f>
        <v>7</v>
      </c>
      <c r="L350" s="29">
        <f>Item_Enchant_Old!L354</f>
        <v>0</v>
      </c>
      <c r="M350" s="29">
        <f>Item_Enchant_Old!M354</f>
        <v>4</v>
      </c>
      <c r="N350" s="29">
        <f>Item_Enchant_Old!N354</f>
        <v>53</v>
      </c>
      <c r="O350" s="29">
        <f>Item_Enchant_Old!O354</f>
        <v>1</v>
      </c>
      <c r="P350" s="29">
        <f>Item_Enchant_Old!P354</f>
        <v>1</v>
      </c>
      <c r="Q350" s="29">
        <f>Item_Enchant_Old!Q354</f>
        <v>1</v>
      </c>
      <c r="R350" s="29">
        <f>Item_Enchant_Old!R354</f>
        <v>1</v>
      </c>
    </row>
    <row r="351" spans="1:18" s="29" customFormat="1" hidden="1">
      <c r="A351" s="29">
        <f>Item_Enchant_Old!A355</f>
        <v>350</v>
      </c>
      <c r="B351" s="29" t="str">
        <f>Item_Enchant_Old!B355</f>
        <v>ACTIVE_DEX_UP</v>
      </c>
      <c r="C351" s="29">
        <f>Item_Enchant_Old!C355</f>
        <v>613</v>
      </c>
      <c r="D351" s="29">
        <f>Item_Enchant_Old!D355</f>
        <v>0</v>
      </c>
      <c r="E351" s="29">
        <f>Item_Enchant_Old!E355</f>
        <v>0</v>
      </c>
      <c r="F351" s="29">
        <f>Item_Enchant_Old!F355</f>
        <v>0</v>
      </c>
      <c r="G351" s="29">
        <f>Item_Enchant_Old!G355</f>
        <v>3</v>
      </c>
      <c r="H351" s="29" t="str">
        <f>Item_Enchant_Old!H355</f>
        <v>@</v>
      </c>
      <c r="I351" s="29">
        <f>Item_Enchant_Old!I355</f>
        <v>1</v>
      </c>
      <c r="J351" s="29" t="str">
        <f>Item_Enchant_Old!J355</f>
        <v>절대값/상대값(%) 가능</v>
      </c>
      <c r="K351" s="29">
        <f>Item_Enchant_Old!K355</f>
        <v>7</v>
      </c>
      <c r="L351" s="29">
        <f>Item_Enchant_Old!L355</f>
        <v>0</v>
      </c>
      <c r="M351" s="29">
        <f>Item_Enchant_Old!M355</f>
        <v>4</v>
      </c>
      <c r="N351" s="29">
        <f>Item_Enchant_Old!N355</f>
        <v>44</v>
      </c>
      <c r="O351" s="29">
        <f>Item_Enchant_Old!O355</f>
        <v>1</v>
      </c>
      <c r="P351" s="29">
        <f>Item_Enchant_Old!P355</f>
        <v>1</v>
      </c>
      <c r="Q351" s="29">
        <f>Item_Enchant_Old!Q355</f>
        <v>1</v>
      </c>
      <c r="R351" s="29">
        <f>Item_Enchant_Old!R355</f>
        <v>1</v>
      </c>
    </row>
    <row r="352" spans="1:18" s="29" customFormat="1" hidden="1">
      <c r="A352" s="29">
        <f>Item_Enchant_Old!A356</f>
        <v>351</v>
      </c>
      <c r="B352" s="29" t="str">
        <f>Item_Enchant_Old!B356</f>
        <v>ACTIVE_ATTACK_SPEED_UP</v>
      </c>
      <c r="C352" s="29">
        <f>Item_Enchant_Old!C356</f>
        <v>617</v>
      </c>
      <c r="D352" s="29">
        <f>Item_Enchant_Old!D356</f>
        <v>1</v>
      </c>
      <c r="E352" s="29">
        <f>Item_Enchant_Old!E356</f>
        <v>0</v>
      </c>
      <c r="F352" s="29">
        <f>Item_Enchant_Old!F356</f>
        <v>0</v>
      </c>
      <c r="G352" s="29">
        <f>Item_Enchant_Old!G356</f>
        <v>10</v>
      </c>
      <c r="H352" s="29" t="str">
        <f>Item_Enchant_Old!H356</f>
        <v>@</v>
      </c>
      <c r="I352" s="29">
        <f>Item_Enchant_Old!I356</f>
        <v>1</v>
      </c>
      <c r="J352" s="29" t="str">
        <f>Item_Enchant_Old!J356</f>
        <v>절대값/상대값(%) 가능</v>
      </c>
      <c r="K352" s="29">
        <f>Item_Enchant_Old!K356</f>
        <v>7</v>
      </c>
      <c r="L352" s="29">
        <f>Item_Enchant_Old!L356</f>
        <v>0</v>
      </c>
      <c r="M352" s="29">
        <f>Item_Enchant_Old!M356</f>
        <v>5</v>
      </c>
      <c r="N352" s="29">
        <f>Item_Enchant_Old!N356</f>
        <v>10</v>
      </c>
      <c r="O352" s="29">
        <f>Item_Enchant_Old!O356</f>
        <v>1</v>
      </c>
      <c r="P352" s="29">
        <f>Item_Enchant_Old!P356</f>
        <v>1</v>
      </c>
      <c r="Q352" s="29">
        <f>Item_Enchant_Old!Q356</f>
        <v>1</v>
      </c>
      <c r="R352" s="29">
        <f>Item_Enchant_Old!R356</f>
        <v>1</v>
      </c>
    </row>
    <row r="353" spans="1:18" s="29" customFormat="1" hidden="1">
      <c r="A353" s="29">
        <f>Item_Enchant_Old!A357</f>
        <v>352</v>
      </c>
      <c r="B353" s="29" t="str">
        <f>Item_Enchant_Old!B357</f>
        <v>ACTIVE_DEX_UP</v>
      </c>
      <c r="C353" s="29">
        <f>Item_Enchant_Old!C357</f>
        <v>613</v>
      </c>
      <c r="D353" s="29">
        <f>Item_Enchant_Old!D357</f>
        <v>0</v>
      </c>
      <c r="E353" s="29">
        <f>Item_Enchant_Old!E357</f>
        <v>0</v>
      </c>
      <c r="F353" s="29">
        <f>Item_Enchant_Old!F357</f>
        <v>0</v>
      </c>
      <c r="G353" s="29">
        <f>Item_Enchant_Old!G357</f>
        <v>3</v>
      </c>
      <c r="H353" s="29" t="str">
        <f>Item_Enchant_Old!H357</f>
        <v>@</v>
      </c>
      <c r="I353" s="29">
        <f>Item_Enchant_Old!I357</f>
        <v>1</v>
      </c>
      <c r="J353" s="29" t="str">
        <f>Item_Enchant_Old!J357</f>
        <v>절대값/상대값(%) 가능</v>
      </c>
      <c r="K353" s="29">
        <f>Item_Enchant_Old!K357</f>
        <v>7</v>
      </c>
      <c r="L353" s="29">
        <f>Item_Enchant_Old!L357</f>
        <v>0</v>
      </c>
      <c r="M353" s="29">
        <f>Item_Enchant_Old!M357</f>
        <v>5</v>
      </c>
      <c r="N353" s="29">
        <f>Item_Enchant_Old!N357</f>
        <v>44</v>
      </c>
      <c r="O353" s="29">
        <f>Item_Enchant_Old!O357</f>
        <v>1</v>
      </c>
      <c r="P353" s="29">
        <f>Item_Enchant_Old!P357</f>
        <v>1</v>
      </c>
      <c r="Q353" s="29">
        <f>Item_Enchant_Old!Q357</f>
        <v>1</v>
      </c>
      <c r="R353" s="29">
        <f>Item_Enchant_Old!R357</f>
        <v>1</v>
      </c>
    </row>
    <row r="354" spans="1:18" s="29" customFormat="1" hidden="1">
      <c r="A354" s="29">
        <f>Item_Enchant_Old!A358</f>
        <v>353</v>
      </c>
      <c r="B354" s="29" t="str">
        <f>Item_Enchant_Old!B358</f>
        <v>ACTIVE_FOC_UP</v>
      </c>
      <c r="C354" s="29">
        <f>Item_Enchant_Old!C358</f>
        <v>612</v>
      </c>
      <c r="D354" s="29">
        <f>Item_Enchant_Old!D358</f>
        <v>0</v>
      </c>
      <c r="E354" s="29">
        <f>Item_Enchant_Old!E358</f>
        <v>0</v>
      </c>
      <c r="F354" s="29">
        <f>Item_Enchant_Old!F358</f>
        <v>0</v>
      </c>
      <c r="G354" s="29">
        <f>Item_Enchant_Old!G358</f>
        <v>2</v>
      </c>
      <c r="H354" s="29" t="str">
        <f>Item_Enchant_Old!H358</f>
        <v>@</v>
      </c>
      <c r="I354" s="29">
        <f>Item_Enchant_Old!I358</f>
        <v>1</v>
      </c>
      <c r="J354" s="29" t="str">
        <f>Item_Enchant_Old!J358</f>
        <v>절대값/상대값(%) 가능</v>
      </c>
      <c r="K354" s="29">
        <f>Item_Enchant_Old!K358</f>
        <v>7</v>
      </c>
      <c r="L354" s="29">
        <f>Item_Enchant_Old!L358</f>
        <v>0</v>
      </c>
      <c r="M354" s="29">
        <f>Item_Enchant_Old!M358</f>
        <v>5</v>
      </c>
      <c r="N354" s="29">
        <f>Item_Enchant_Old!N358</f>
        <v>53</v>
      </c>
      <c r="O354" s="29">
        <f>Item_Enchant_Old!O358</f>
        <v>1</v>
      </c>
      <c r="P354" s="29">
        <f>Item_Enchant_Old!P358</f>
        <v>1</v>
      </c>
      <c r="Q354" s="29">
        <f>Item_Enchant_Old!Q358</f>
        <v>1</v>
      </c>
      <c r="R354" s="29">
        <f>Item_Enchant_Old!R358</f>
        <v>1</v>
      </c>
    </row>
    <row r="355" spans="1:18" s="29" customFormat="1" hidden="1">
      <c r="A355" s="29">
        <f>Item_Enchant_Old!A359</f>
        <v>354</v>
      </c>
      <c r="B355" s="29" t="str">
        <f>Item_Enchant_Old!B359</f>
        <v>ACTIVE_PHYSICAL_OFFENCE_UP</v>
      </c>
      <c r="C355" s="29">
        <f>Item_Enchant_Old!C359</f>
        <v>606</v>
      </c>
      <c r="D355" s="29">
        <f>Item_Enchant_Old!D359</f>
        <v>0</v>
      </c>
      <c r="E355" s="29">
        <f>Item_Enchant_Old!E359</f>
        <v>0</v>
      </c>
      <c r="F355" s="29">
        <f>Item_Enchant_Old!F359</f>
        <v>0</v>
      </c>
      <c r="G355" s="29">
        <f>Item_Enchant_Old!G359</f>
        <v>1</v>
      </c>
      <c r="H355" s="29" t="str">
        <f>Item_Enchant_Old!H359</f>
        <v>@</v>
      </c>
      <c r="I355" s="29">
        <f>Item_Enchant_Old!I359</f>
        <v>1</v>
      </c>
      <c r="J355" s="29" t="str">
        <f>Item_Enchant_Old!J359</f>
        <v>절대값/상대값(%) 가능</v>
      </c>
      <c r="K355" s="29">
        <f>Item_Enchant_Old!K359</f>
        <v>7</v>
      </c>
      <c r="L355" s="29">
        <f>Item_Enchant_Old!L359</f>
        <v>0</v>
      </c>
      <c r="M355" s="29">
        <f>Item_Enchant_Old!M359</f>
        <v>5</v>
      </c>
      <c r="N355" s="29">
        <f>Item_Enchant_Old!N359</f>
        <v>125</v>
      </c>
      <c r="O355" s="29">
        <f>Item_Enchant_Old!O359</f>
        <v>1</v>
      </c>
      <c r="P355" s="29">
        <f>Item_Enchant_Old!P359</f>
        <v>1</v>
      </c>
      <c r="Q355" s="29">
        <f>Item_Enchant_Old!Q359</f>
        <v>1</v>
      </c>
      <c r="R355" s="29">
        <f>Item_Enchant_Old!R359</f>
        <v>1</v>
      </c>
    </row>
    <row r="356" spans="1:18" s="29" customFormat="1" hidden="1">
      <c r="A356" s="29">
        <f>Item_Enchant_Old!A360</f>
        <v>355</v>
      </c>
      <c r="B356" s="29" t="str">
        <f>Item_Enchant_Old!B360</f>
        <v>ACTIVE_ENERGY_OFFENCE_UP</v>
      </c>
      <c r="C356" s="29">
        <f>Item_Enchant_Old!C360</f>
        <v>607</v>
      </c>
      <c r="D356" s="29">
        <f>Item_Enchant_Old!D360</f>
        <v>0</v>
      </c>
      <c r="E356" s="29">
        <f>Item_Enchant_Old!E360</f>
        <v>0</v>
      </c>
      <c r="F356" s="29">
        <f>Item_Enchant_Old!F360</f>
        <v>0</v>
      </c>
      <c r="G356" s="29">
        <f>Item_Enchant_Old!G360</f>
        <v>1</v>
      </c>
      <c r="H356" s="29" t="str">
        <f>Item_Enchant_Old!H360</f>
        <v>@</v>
      </c>
      <c r="I356" s="29">
        <f>Item_Enchant_Old!I360</f>
        <v>1</v>
      </c>
      <c r="J356" s="29" t="str">
        <f>Item_Enchant_Old!J360</f>
        <v>절대값/상대값(%) 가능</v>
      </c>
      <c r="K356" s="29">
        <f>Item_Enchant_Old!K360</f>
        <v>7</v>
      </c>
      <c r="L356" s="29">
        <f>Item_Enchant_Old!L360</f>
        <v>0</v>
      </c>
      <c r="M356" s="29">
        <f>Item_Enchant_Old!M360</f>
        <v>5</v>
      </c>
      <c r="N356" s="29">
        <f>Item_Enchant_Old!N360</f>
        <v>104</v>
      </c>
      <c r="O356" s="29">
        <f>Item_Enchant_Old!O360</f>
        <v>1</v>
      </c>
      <c r="P356" s="29">
        <f>Item_Enchant_Old!P360</f>
        <v>1</v>
      </c>
      <c r="Q356" s="29">
        <f>Item_Enchant_Old!Q360</f>
        <v>1</v>
      </c>
      <c r="R356" s="29">
        <f>Item_Enchant_Old!R360</f>
        <v>1</v>
      </c>
    </row>
    <row r="357" spans="1:18" s="29" customFormat="1" hidden="1">
      <c r="A357" s="29">
        <f>Item_Enchant_Old!A361</f>
        <v>356</v>
      </c>
      <c r="B357" s="29" t="str">
        <f>Item_Enchant_Old!B361</f>
        <v>ACTIVE_PHYSICAL_OFFENCE_UP</v>
      </c>
      <c r="C357" s="29">
        <f>Item_Enchant_Old!C361</f>
        <v>606</v>
      </c>
      <c r="D357" s="29">
        <f>Item_Enchant_Old!D361</f>
        <v>0</v>
      </c>
      <c r="E357" s="29">
        <f>Item_Enchant_Old!E361</f>
        <v>0</v>
      </c>
      <c r="F357" s="29">
        <f>Item_Enchant_Old!F361</f>
        <v>0</v>
      </c>
      <c r="G357" s="29">
        <f>Item_Enchant_Old!G361</f>
        <v>1</v>
      </c>
      <c r="H357" s="29" t="str">
        <f>Item_Enchant_Old!H361</f>
        <v>@</v>
      </c>
      <c r="I357" s="29">
        <f>Item_Enchant_Old!I361</f>
        <v>1</v>
      </c>
      <c r="J357" s="29" t="str">
        <f>Item_Enchant_Old!J361</f>
        <v>절대값/상대값(%) 가능</v>
      </c>
      <c r="K357" s="29">
        <f>Item_Enchant_Old!K361</f>
        <v>7</v>
      </c>
      <c r="L357" s="29">
        <f>Item_Enchant_Old!L361</f>
        <v>0</v>
      </c>
      <c r="M357" s="29">
        <f>Item_Enchant_Old!M361</f>
        <v>6</v>
      </c>
      <c r="N357" s="29">
        <f>Item_Enchant_Old!N361</f>
        <v>125</v>
      </c>
      <c r="O357" s="29">
        <f>Item_Enchant_Old!O361</f>
        <v>1</v>
      </c>
      <c r="P357" s="29">
        <f>Item_Enchant_Old!P361</f>
        <v>1</v>
      </c>
      <c r="Q357" s="29">
        <f>Item_Enchant_Old!Q361</f>
        <v>1</v>
      </c>
      <c r="R357" s="29">
        <f>Item_Enchant_Old!R361</f>
        <v>1</v>
      </c>
    </row>
    <row r="358" spans="1:18" s="29" customFormat="1" hidden="1">
      <c r="A358" s="29">
        <f>Item_Enchant_Old!A362</f>
        <v>357</v>
      </c>
      <c r="B358" s="29" t="str">
        <f>Item_Enchant_Old!B362</f>
        <v>ACTIVE_ENERGY_OFFENCE_UP</v>
      </c>
      <c r="C358" s="29">
        <f>Item_Enchant_Old!C362</f>
        <v>607</v>
      </c>
      <c r="D358" s="29">
        <f>Item_Enchant_Old!D362</f>
        <v>0</v>
      </c>
      <c r="E358" s="29">
        <f>Item_Enchant_Old!E362</f>
        <v>0</v>
      </c>
      <c r="F358" s="29">
        <f>Item_Enchant_Old!F362</f>
        <v>0</v>
      </c>
      <c r="G358" s="29">
        <f>Item_Enchant_Old!G362</f>
        <v>1</v>
      </c>
      <c r="H358" s="29" t="str">
        <f>Item_Enchant_Old!H362</f>
        <v>@</v>
      </c>
      <c r="I358" s="29">
        <f>Item_Enchant_Old!I362</f>
        <v>1</v>
      </c>
      <c r="J358" s="29" t="str">
        <f>Item_Enchant_Old!J362</f>
        <v>절대값/상대값(%) 가능</v>
      </c>
      <c r="K358" s="29">
        <f>Item_Enchant_Old!K362</f>
        <v>7</v>
      </c>
      <c r="L358" s="29">
        <f>Item_Enchant_Old!L362</f>
        <v>0</v>
      </c>
      <c r="M358" s="29">
        <f>Item_Enchant_Old!M362</f>
        <v>6</v>
      </c>
      <c r="N358" s="29">
        <f>Item_Enchant_Old!N362</f>
        <v>104</v>
      </c>
      <c r="O358" s="29">
        <f>Item_Enchant_Old!O362</f>
        <v>1</v>
      </c>
      <c r="P358" s="29">
        <f>Item_Enchant_Old!P362</f>
        <v>1</v>
      </c>
      <c r="Q358" s="29">
        <f>Item_Enchant_Old!Q362</f>
        <v>1</v>
      </c>
      <c r="R358" s="29">
        <f>Item_Enchant_Old!R362</f>
        <v>1</v>
      </c>
    </row>
    <row r="359" spans="1:18" s="29" customFormat="1" hidden="1">
      <c r="A359" s="29">
        <f>Item_Enchant_Old!A363</f>
        <v>358</v>
      </c>
      <c r="B359" s="29" t="str">
        <f>Item_Enchant_Old!B363</f>
        <v>ACTIVE_STR_UP</v>
      </c>
      <c r="C359" s="29">
        <f>Item_Enchant_Old!C363</f>
        <v>610</v>
      </c>
      <c r="D359" s="29">
        <f>Item_Enchant_Old!D363</f>
        <v>0</v>
      </c>
      <c r="E359" s="29">
        <f>Item_Enchant_Old!E363</f>
        <v>0</v>
      </c>
      <c r="F359" s="29">
        <f>Item_Enchant_Old!F363</f>
        <v>0</v>
      </c>
      <c r="G359" s="29">
        <f>Item_Enchant_Old!G363</f>
        <v>2</v>
      </c>
      <c r="H359" s="29" t="str">
        <f>Item_Enchant_Old!H363</f>
        <v>@</v>
      </c>
      <c r="I359" s="29">
        <f>Item_Enchant_Old!I363</f>
        <v>1</v>
      </c>
      <c r="J359" s="29" t="str">
        <f>Item_Enchant_Old!J363</f>
        <v>절대값/상대값(%) 가능</v>
      </c>
      <c r="K359" s="29">
        <f>Item_Enchant_Old!K363</f>
        <v>7</v>
      </c>
      <c r="L359" s="29">
        <f>Item_Enchant_Old!L363</f>
        <v>0</v>
      </c>
      <c r="M359" s="29">
        <f>Item_Enchant_Old!M363</f>
        <v>6</v>
      </c>
      <c r="N359" s="29">
        <f>Item_Enchant_Old!N363</f>
        <v>57</v>
      </c>
      <c r="O359" s="29">
        <f>Item_Enchant_Old!O363</f>
        <v>1</v>
      </c>
      <c r="P359" s="29">
        <f>Item_Enchant_Old!P363</f>
        <v>1</v>
      </c>
      <c r="Q359" s="29">
        <f>Item_Enchant_Old!Q363</f>
        <v>1</v>
      </c>
      <c r="R359" s="29">
        <f>Item_Enchant_Old!R363</f>
        <v>1</v>
      </c>
    </row>
    <row r="360" spans="1:18" s="29" customFormat="1" hidden="1">
      <c r="A360" s="29">
        <f>Item_Enchant_Old!A364</f>
        <v>359</v>
      </c>
      <c r="B360" s="29" t="str">
        <f>Item_Enchant_Old!B364</f>
        <v>ACTIVE_SOL_UP</v>
      </c>
      <c r="C360" s="29">
        <f>Item_Enchant_Old!C364</f>
        <v>614</v>
      </c>
      <c r="D360" s="29">
        <f>Item_Enchant_Old!D364</f>
        <v>0</v>
      </c>
      <c r="E360" s="29">
        <f>Item_Enchant_Old!E364</f>
        <v>0</v>
      </c>
      <c r="F360" s="29">
        <f>Item_Enchant_Old!F364</f>
        <v>0</v>
      </c>
      <c r="G360" s="29">
        <f>Item_Enchant_Old!G364</f>
        <v>2</v>
      </c>
      <c r="H360" s="29" t="str">
        <f>Item_Enchant_Old!H364</f>
        <v>@</v>
      </c>
      <c r="I360" s="29">
        <f>Item_Enchant_Old!I364</f>
        <v>1</v>
      </c>
      <c r="J360" s="29" t="str">
        <f>Item_Enchant_Old!J364</f>
        <v>절대값/상대값(%) 가능</v>
      </c>
      <c r="K360" s="29">
        <f>Item_Enchant_Old!K364</f>
        <v>7</v>
      </c>
      <c r="L360" s="29">
        <f>Item_Enchant_Old!L364</f>
        <v>0</v>
      </c>
      <c r="M360" s="29">
        <f>Item_Enchant_Old!M364</f>
        <v>6</v>
      </c>
      <c r="N360" s="29">
        <f>Item_Enchant_Old!N364</f>
        <v>53</v>
      </c>
      <c r="O360" s="29">
        <f>Item_Enchant_Old!O364</f>
        <v>1</v>
      </c>
      <c r="P360" s="29">
        <f>Item_Enchant_Old!P364</f>
        <v>1</v>
      </c>
      <c r="Q360" s="29">
        <f>Item_Enchant_Old!Q364</f>
        <v>1</v>
      </c>
      <c r="R360" s="29">
        <f>Item_Enchant_Old!R364</f>
        <v>1</v>
      </c>
    </row>
    <row r="361" spans="1:18" s="29" customFormat="1" hidden="1">
      <c r="A361" s="29">
        <f>Item_Enchant_Old!A365</f>
        <v>360</v>
      </c>
      <c r="B361" s="29" t="str">
        <f>Item_Enchant_Old!B365</f>
        <v>ACTIVE_PHYSICAL_CRITICAL_DAMAGE_UP</v>
      </c>
      <c r="C361" s="29">
        <f>Item_Enchant_Old!C365</f>
        <v>658</v>
      </c>
      <c r="D361" s="29">
        <f>Item_Enchant_Old!D365</f>
        <v>0</v>
      </c>
      <c r="E361" s="29">
        <f>Item_Enchant_Old!E365</f>
        <v>0</v>
      </c>
      <c r="F361" s="29">
        <f>Item_Enchant_Old!F365</f>
        <v>0</v>
      </c>
      <c r="G361" s="29">
        <f>Item_Enchant_Old!G365</f>
        <v>4</v>
      </c>
      <c r="H361" s="29" t="str">
        <f>Item_Enchant_Old!H365</f>
        <v>@</v>
      </c>
      <c r="I361" s="29">
        <f>Item_Enchant_Old!I365</f>
        <v>1</v>
      </c>
      <c r="J361" s="29" t="str">
        <f>Item_Enchant_Old!J365</f>
        <v>절대값만 가능</v>
      </c>
      <c r="K361" s="29">
        <f>Item_Enchant_Old!K365</f>
        <v>7</v>
      </c>
      <c r="L361" s="29">
        <f>Item_Enchant_Old!L365</f>
        <v>0</v>
      </c>
      <c r="M361" s="29">
        <f>Item_Enchant_Old!M365</f>
        <v>6</v>
      </c>
      <c r="N361" s="29">
        <f>Item_Enchant_Old!N365</f>
        <v>28</v>
      </c>
      <c r="O361" s="29">
        <f>Item_Enchant_Old!O365</f>
        <v>1</v>
      </c>
      <c r="P361" s="29">
        <f>Item_Enchant_Old!P365</f>
        <v>1</v>
      </c>
      <c r="Q361" s="29">
        <f>Item_Enchant_Old!Q365</f>
        <v>1</v>
      </c>
      <c r="R361" s="29">
        <f>Item_Enchant_Old!R365</f>
        <v>1</v>
      </c>
    </row>
    <row r="362" spans="1:18" s="29" customFormat="1" hidden="1">
      <c r="A362" s="29">
        <f>Item_Enchant_Old!A366</f>
        <v>361</v>
      </c>
      <c r="B362" s="29" t="str">
        <f>Item_Enchant_Old!B366</f>
        <v>ACTIVE_ENERGY_CRITICAL_DAMAGE_UP</v>
      </c>
      <c r="C362" s="29">
        <f>Item_Enchant_Old!C366</f>
        <v>659</v>
      </c>
      <c r="D362" s="29">
        <f>Item_Enchant_Old!D366</f>
        <v>0</v>
      </c>
      <c r="E362" s="29">
        <f>Item_Enchant_Old!E366</f>
        <v>0</v>
      </c>
      <c r="F362" s="29">
        <f>Item_Enchant_Old!F366</f>
        <v>0</v>
      </c>
      <c r="G362" s="29">
        <f>Item_Enchant_Old!G366</f>
        <v>4</v>
      </c>
      <c r="H362" s="29" t="str">
        <f>Item_Enchant_Old!H366</f>
        <v>@</v>
      </c>
      <c r="I362" s="29">
        <f>Item_Enchant_Old!I366</f>
        <v>1</v>
      </c>
      <c r="J362" s="29" t="str">
        <f>Item_Enchant_Old!J366</f>
        <v>절대값만 가능</v>
      </c>
      <c r="K362" s="29">
        <f>Item_Enchant_Old!K366</f>
        <v>7</v>
      </c>
      <c r="L362" s="29">
        <f>Item_Enchant_Old!L366</f>
        <v>0</v>
      </c>
      <c r="M362" s="29">
        <f>Item_Enchant_Old!M366</f>
        <v>6</v>
      </c>
      <c r="N362" s="29">
        <f>Item_Enchant_Old!N366</f>
        <v>32</v>
      </c>
      <c r="O362" s="29">
        <f>Item_Enchant_Old!O366</f>
        <v>1</v>
      </c>
      <c r="P362" s="29">
        <f>Item_Enchant_Old!P366</f>
        <v>1</v>
      </c>
      <c r="Q362" s="29">
        <f>Item_Enchant_Old!Q366</f>
        <v>1</v>
      </c>
      <c r="R362" s="29">
        <f>Item_Enchant_Old!R366</f>
        <v>1</v>
      </c>
    </row>
    <row r="363" spans="1:18" s="29" customFormat="1" hidden="1">
      <c r="A363" s="29">
        <f>Item_Enchant_Old!A367</f>
        <v>362</v>
      </c>
      <c r="B363" s="29" t="str">
        <f>Item_Enchant_Old!B367</f>
        <v>ACTIVE_FOC_UP</v>
      </c>
      <c r="C363" s="29">
        <f>Item_Enchant_Old!C367</f>
        <v>612</v>
      </c>
      <c r="D363" s="29">
        <f>Item_Enchant_Old!D367</f>
        <v>0</v>
      </c>
      <c r="E363" s="29">
        <f>Item_Enchant_Old!E367</f>
        <v>0</v>
      </c>
      <c r="F363" s="29">
        <f>Item_Enchant_Old!F367</f>
        <v>0</v>
      </c>
      <c r="G363" s="29">
        <f>Item_Enchant_Old!G367</f>
        <v>2</v>
      </c>
      <c r="H363" s="29" t="str">
        <f>Item_Enchant_Old!H367</f>
        <v>@</v>
      </c>
      <c r="I363" s="29">
        <f>Item_Enchant_Old!I367</f>
        <v>1</v>
      </c>
      <c r="J363" s="29" t="str">
        <f>Item_Enchant_Old!J367</f>
        <v>절대값/상대값(%) 가능</v>
      </c>
      <c r="K363" s="29">
        <f>Item_Enchant_Old!K367</f>
        <v>7</v>
      </c>
      <c r="L363" s="29">
        <f>Item_Enchant_Old!L367</f>
        <v>0</v>
      </c>
      <c r="M363" s="29">
        <f>Item_Enchant_Old!M367</f>
        <v>7</v>
      </c>
      <c r="N363" s="29">
        <f>Item_Enchant_Old!N367</f>
        <v>53</v>
      </c>
      <c r="O363" s="29">
        <f>Item_Enchant_Old!O367</f>
        <v>1</v>
      </c>
      <c r="P363" s="29">
        <f>Item_Enchant_Old!P367</f>
        <v>1</v>
      </c>
      <c r="Q363" s="29">
        <f>Item_Enchant_Old!Q367</f>
        <v>1</v>
      </c>
      <c r="R363" s="29">
        <f>Item_Enchant_Old!R367</f>
        <v>1</v>
      </c>
    </row>
    <row r="364" spans="1:18" s="29" customFormat="1" hidden="1">
      <c r="A364" s="29">
        <f>Item_Enchant_Old!A368</f>
        <v>363</v>
      </c>
      <c r="B364" s="29" t="str">
        <f>Item_Enchant_Old!B368</f>
        <v>ACTIVE_ATTACK_RATE_UP</v>
      </c>
      <c r="C364" s="29">
        <f>Item_Enchant_Old!C368</f>
        <v>618</v>
      </c>
      <c r="D364" s="29">
        <f>Item_Enchant_Old!D368</f>
        <v>0</v>
      </c>
      <c r="E364" s="29">
        <f>Item_Enchant_Old!E368</f>
        <v>0</v>
      </c>
      <c r="F364" s="29">
        <f>Item_Enchant_Old!F368</f>
        <v>0</v>
      </c>
      <c r="G364" s="29">
        <f>Item_Enchant_Old!G368</f>
        <v>1</v>
      </c>
      <c r="H364" s="29" t="str">
        <f>Item_Enchant_Old!H368</f>
        <v>@</v>
      </c>
      <c r="I364" s="29">
        <f>Item_Enchant_Old!I368</f>
        <v>1</v>
      </c>
      <c r="J364" s="29" t="str">
        <f>Item_Enchant_Old!J368</f>
        <v>절대값/상대값(%) 가능</v>
      </c>
      <c r="K364" s="29">
        <f>Item_Enchant_Old!K368</f>
        <v>7</v>
      </c>
      <c r="L364" s="29">
        <f>Item_Enchant_Old!L368</f>
        <v>0</v>
      </c>
      <c r="M364" s="29">
        <f>Item_Enchant_Old!M368</f>
        <v>7</v>
      </c>
      <c r="N364" s="29">
        <f>Item_Enchant_Old!N368</f>
        <v>528</v>
      </c>
      <c r="O364" s="29">
        <f>Item_Enchant_Old!O368</f>
        <v>1</v>
      </c>
      <c r="P364" s="29">
        <f>Item_Enchant_Old!P368</f>
        <v>1</v>
      </c>
      <c r="Q364" s="29">
        <f>Item_Enchant_Old!Q368</f>
        <v>1</v>
      </c>
      <c r="R364" s="29">
        <f>Item_Enchant_Old!R368</f>
        <v>1</v>
      </c>
    </row>
    <row r="365" spans="1:18" s="29" customFormat="1" hidden="1">
      <c r="A365" s="29">
        <f>Item_Enchant_Old!A369</f>
        <v>364</v>
      </c>
      <c r="B365" s="29" t="str">
        <f>Item_Enchant_Old!B369</f>
        <v>ACTIVE_ENG_UP</v>
      </c>
      <c r="C365" s="29">
        <f>Item_Enchant_Old!C369</f>
        <v>615</v>
      </c>
      <c r="D365" s="29">
        <f>Item_Enchant_Old!D369</f>
        <v>0</v>
      </c>
      <c r="E365" s="29">
        <f>Item_Enchant_Old!E369</f>
        <v>0</v>
      </c>
      <c r="F365" s="29">
        <f>Item_Enchant_Old!F369</f>
        <v>0</v>
      </c>
      <c r="G365" s="29">
        <f>Item_Enchant_Old!G369</f>
        <v>2</v>
      </c>
      <c r="H365" s="29" t="str">
        <f>Item_Enchant_Old!H369</f>
        <v>@</v>
      </c>
      <c r="I365" s="29">
        <f>Item_Enchant_Old!I369</f>
        <v>1</v>
      </c>
      <c r="J365" s="29" t="str">
        <f>Item_Enchant_Old!J369</f>
        <v>절대값/상대값(%) 가능</v>
      </c>
      <c r="K365" s="29">
        <f>Item_Enchant_Old!K369</f>
        <v>7</v>
      </c>
      <c r="L365" s="29">
        <f>Item_Enchant_Old!L369</f>
        <v>0</v>
      </c>
      <c r="M365" s="29">
        <f>Item_Enchant_Old!M369</f>
        <v>7</v>
      </c>
      <c r="N365" s="29">
        <f>Item_Enchant_Old!N369</f>
        <v>62</v>
      </c>
      <c r="O365" s="29">
        <f>Item_Enchant_Old!O369</f>
        <v>1</v>
      </c>
      <c r="P365" s="29">
        <f>Item_Enchant_Old!P369</f>
        <v>1</v>
      </c>
      <c r="Q365" s="29">
        <f>Item_Enchant_Old!Q369</f>
        <v>1</v>
      </c>
      <c r="R365" s="29">
        <f>Item_Enchant_Old!R369</f>
        <v>1</v>
      </c>
    </row>
    <row r="366" spans="1:18" s="29" customFormat="1" hidden="1">
      <c r="A366" s="29">
        <f>Item_Enchant_Old!A370</f>
        <v>365</v>
      </c>
      <c r="B366" s="29" t="str">
        <f>Item_Enchant_Old!B370</f>
        <v>ACTIVE_PHYSICAL_CRITICAL</v>
      </c>
      <c r="C366" s="29">
        <f>Item_Enchant_Old!C370</f>
        <v>632</v>
      </c>
      <c r="D366" s="29">
        <f>Item_Enchant_Old!D370</f>
        <v>0</v>
      </c>
      <c r="E366" s="29">
        <f>Item_Enchant_Old!E370</f>
        <v>0</v>
      </c>
      <c r="F366" s="29">
        <f>Item_Enchant_Old!F370</f>
        <v>0</v>
      </c>
      <c r="G366" s="29">
        <f>Item_Enchant_Old!G370</f>
        <v>5</v>
      </c>
      <c r="H366" s="29" t="str">
        <f>Item_Enchant_Old!H370</f>
        <v>@</v>
      </c>
      <c r="I366" s="29">
        <f>Item_Enchant_Old!I370</f>
        <v>1</v>
      </c>
      <c r="J366" s="29" t="str">
        <f>Item_Enchant_Old!J370</f>
        <v>절대값/상대값(%) 가능</v>
      </c>
      <c r="K366" s="29">
        <f>Item_Enchant_Old!K370</f>
        <v>7</v>
      </c>
      <c r="L366" s="29">
        <f>Item_Enchant_Old!L370</f>
        <v>0</v>
      </c>
      <c r="M366" s="29">
        <f>Item_Enchant_Old!M370</f>
        <v>7</v>
      </c>
      <c r="N366" s="29">
        <f>Item_Enchant_Old!N370</f>
        <v>21</v>
      </c>
      <c r="O366" s="29">
        <f>Item_Enchant_Old!O370</f>
        <v>1</v>
      </c>
      <c r="P366" s="29">
        <f>Item_Enchant_Old!P370</f>
        <v>1</v>
      </c>
      <c r="Q366" s="29">
        <f>Item_Enchant_Old!Q370</f>
        <v>1</v>
      </c>
      <c r="R366" s="29">
        <f>Item_Enchant_Old!R370</f>
        <v>1</v>
      </c>
    </row>
    <row r="367" spans="1:18" s="29" customFormat="1" hidden="1">
      <c r="A367" s="29">
        <f>Item_Enchant_Old!A371</f>
        <v>366</v>
      </c>
      <c r="B367" s="29" t="str">
        <f>Item_Enchant_Old!B371</f>
        <v>ACTIVE_ENERGY_CRITICAL</v>
      </c>
      <c r="C367" s="29">
        <f>Item_Enchant_Old!C371</f>
        <v>633</v>
      </c>
      <c r="D367" s="29">
        <f>Item_Enchant_Old!D371</f>
        <v>0</v>
      </c>
      <c r="E367" s="29">
        <f>Item_Enchant_Old!E371</f>
        <v>0</v>
      </c>
      <c r="F367" s="29">
        <f>Item_Enchant_Old!F371</f>
        <v>0</v>
      </c>
      <c r="G367" s="29">
        <f>Item_Enchant_Old!G371</f>
        <v>5</v>
      </c>
      <c r="H367" s="29" t="str">
        <f>Item_Enchant_Old!H371</f>
        <v>@</v>
      </c>
      <c r="I367" s="29">
        <f>Item_Enchant_Old!I371</f>
        <v>1</v>
      </c>
      <c r="J367" s="29" t="str">
        <f>Item_Enchant_Old!J371</f>
        <v>절대값/상대값(%) 가능</v>
      </c>
      <c r="K367" s="29">
        <f>Item_Enchant_Old!K371</f>
        <v>7</v>
      </c>
      <c r="L367" s="29">
        <f>Item_Enchant_Old!L371</f>
        <v>0</v>
      </c>
      <c r="M367" s="29">
        <f>Item_Enchant_Old!M371</f>
        <v>7</v>
      </c>
      <c r="N367" s="29">
        <f>Item_Enchant_Old!N371</f>
        <v>24</v>
      </c>
      <c r="O367" s="29">
        <f>Item_Enchant_Old!O371</f>
        <v>1</v>
      </c>
      <c r="P367" s="29">
        <f>Item_Enchant_Old!P371</f>
        <v>1</v>
      </c>
      <c r="Q367" s="29">
        <f>Item_Enchant_Old!Q371</f>
        <v>1</v>
      </c>
      <c r="R367" s="29">
        <f>Item_Enchant_Old!R371</f>
        <v>1</v>
      </c>
    </row>
    <row r="368" spans="1:18" s="29" customFormat="1" hidden="1">
      <c r="A368" s="29">
        <f>Item_Enchant_Old!A372</f>
        <v>367</v>
      </c>
      <c r="B368" s="29" t="str">
        <f>Item_Enchant_Old!B372</f>
        <v>ACTIVE_FOC_UP</v>
      </c>
      <c r="C368" s="29">
        <f>Item_Enchant_Old!C372</f>
        <v>612</v>
      </c>
      <c r="D368" s="29">
        <f>Item_Enchant_Old!D372</f>
        <v>0</v>
      </c>
      <c r="E368" s="29">
        <f>Item_Enchant_Old!E372</f>
        <v>0</v>
      </c>
      <c r="F368" s="29">
        <f>Item_Enchant_Old!F372</f>
        <v>0</v>
      </c>
      <c r="G368" s="29">
        <f>Item_Enchant_Old!G372</f>
        <v>2</v>
      </c>
      <c r="H368" s="29" t="str">
        <f>Item_Enchant_Old!H372</f>
        <v>@</v>
      </c>
      <c r="I368" s="29">
        <f>Item_Enchant_Old!I372</f>
        <v>1</v>
      </c>
      <c r="J368" s="29" t="str">
        <f>Item_Enchant_Old!J372</f>
        <v>절대값/상대값(%) 가능</v>
      </c>
      <c r="K368" s="29">
        <f>Item_Enchant_Old!K372</f>
        <v>7</v>
      </c>
      <c r="L368" s="29">
        <f>Item_Enchant_Old!L372</f>
        <v>0</v>
      </c>
      <c r="M368" s="29">
        <f>Item_Enchant_Old!M372</f>
        <v>8</v>
      </c>
      <c r="N368" s="29">
        <f>Item_Enchant_Old!N372</f>
        <v>53</v>
      </c>
      <c r="O368" s="29">
        <f>Item_Enchant_Old!O372</f>
        <v>1</v>
      </c>
      <c r="P368" s="29">
        <f>Item_Enchant_Old!P372</f>
        <v>1</v>
      </c>
      <c r="Q368" s="29">
        <f>Item_Enchant_Old!Q372</f>
        <v>1</v>
      </c>
      <c r="R368" s="29">
        <f>Item_Enchant_Old!R372</f>
        <v>1</v>
      </c>
    </row>
    <row r="369" spans="1:18" s="29" customFormat="1" hidden="1">
      <c r="A369" s="29">
        <f>Item_Enchant_Old!A373</f>
        <v>368</v>
      </c>
      <c r="B369" s="29" t="str">
        <f>Item_Enchant_Old!B373</f>
        <v>ACTIVE_CON_UP</v>
      </c>
      <c r="C369" s="29">
        <f>Item_Enchant_Old!C373</f>
        <v>611</v>
      </c>
      <c r="D369" s="29">
        <f>Item_Enchant_Old!D373</f>
        <v>0</v>
      </c>
      <c r="E369" s="29">
        <f>Item_Enchant_Old!E373</f>
        <v>0</v>
      </c>
      <c r="F369" s="29">
        <f>Item_Enchant_Old!F373</f>
        <v>0</v>
      </c>
      <c r="G369" s="29">
        <f>Item_Enchant_Old!G373</f>
        <v>3</v>
      </c>
      <c r="H369" s="29" t="str">
        <f>Item_Enchant_Old!H373</f>
        <v>@</v>
      </c>
      <c r="I369" s="29">
        <f>Item_Enchant_Old!I373</f>
        <v>1</v>
      </c>
      <c r="J369" s="29" t="str">
        <f>Item_Enchant_Old!J373</f>
        <v>절대값/상대값(%) 가능</v>
      </c>
      <c r="K369" s="29">
        <f>Item_Enchant_Old!K373</f>
        <v>7</v>
      </c>
      <c r="L369" s="29">
        <f>Item_Enchant_Old!L373</f>
        <v>0</v>
      </c>
      <c r="M369" s="29">
        <f>Item_Enchant_Old!M373</f>
        <v>8</v>
      </c>
      <c r="N369" s="29">
        <f>Item_Enchant_Old!N373</f>
        <v>48</v>
      </c>
      <c r="O369" s="29">
        <f>Item_Enchant_Old!O373</f>
        <v>1</v>
      </c>
      <c r="P369" s="29">
        <f>Item_Enchant_Old!P373</f>
        <v>1</v>
      </c>
      <c r="Q369" s="29">
        <f>Item_Enchant_Old!Q373</f>
        <v>1</v>
      </c>
      <c r="R369" s="29">
        <f>Item_Enchant_Old!R373</f>
        <v>1</v>
      </c>
    </row>
    <row r="370" spans="1:18" s="29" customFormat="1" hidden="1">
      <c r="A370" s="29">
        <f>Item_Enchant_Old!A374</f>
        <v>369</v>
      </c>
      <c r="B370" s="29" t="str">
        <f>Item_Enchant_Old!B374</f>
        <v>ACTIVE_BLOCK_RATE_UP</v>
      </c>
      <c r="C370" s="29">
        <f>Item_Enchant_Old!C374</f>
        <v>620</v>
      </c>
      <c r="D370" s="29">
        <f>Item_Enchant_Old!D374</f>
        <v>0</v>
      </c>
      <c r="E370" s="29">
        <f>Item_Enchant_Old!E374</f>
        <v>0</v>
      </c>
      <c r="F370" s="29">
        <f>Item_Enchant_Old!F374</f>
        <v>0</v>
      </c>
      <c r="G370" s="29">
        <f>Item_Enchant_Old!G374</f>
        <v>1</v>
      </c>
      <c r="H370" s="29" t="str">
        <f>Item_Enchant_Old!H374</f>
        <v>@</v>
      </c>
      <c r="I370" s="29">
        <f>Item_Enchant_Old!I374</f>
        <v>1</v>
      </c>
      <c r="J370" s="29" t="str">
        <f>Item_Enchant_Old!J374</f>
        <v>절대값/상대값(%) 가능</v>
      </c>
      <c r="K370" s="29">
        <f>Item_Enchant_Old!K374</f>
        <v>7</v>
      </c>
      <c r="L370" s="29">
        <f>Item_Enchant_Old!L374</f>
        <v>0</v>
      </c>
      <c r="M370" s="29">
        <f>Item_Enchant_Old!M374</f>
        <v>8</v>
      </c>
      <c r="N370" s="29">
        <f>Item_Enchant_Old!N374</f>
        <v>352</v>
      </c>
      <c r="O370" s="29">
        <f>Item_Enchant_Old!O374</f>
        <v>1</v>
      </c>
      <c r="P370" s="29">
        <f>Item_Enchant_Old!P374</f>
        <v>1</v>
      </c>
      <c r="Q370" s="29">
        <f>Item_Enchant_Old!Q374</f>
        <v>1</v>
      </c>
      <c r="R370" s="29">
        <f>Item_Enchant_Old!R374</f>
        <v>1</v>
      </c>
    </row>
    <row r="371" spans="1:18" s="29" customFormat="1" hidden="1">
      <c r="A371" s="29">
        <f>Item_Enchant_Old!A375</f>
        <v>370</v>
      </c>
      <c r="B371" s="29" t="str">
        <f>Item_Enchant_Old!B375</f>
        <v>ACTIVE_ENG_UP</v>
      </c>
      <c r="C371" s="29">
        <f>Item_Enchant_Old!C375</f>
        <v>615</v>
      </c>
      <c r="D371" s="29">
        <f>Item_Enchant_Old!D375</f>
        <v>0</v>
      </c>
      <c r="E371" s="29">
        <f>Item_Enchant_Old!E375</f>
        <v>0</v>
      </c>
      <c r="F371" s="29">
        <f>Item_Enchant_Old!F375</f>
        <v>0</v>
      </c>
      <c r="G371" s="29">
        <f>Item_Enchant_Old!G375</f>
        <v>2</v>
      </c>
      <c r="H371" s="29" t="str">
        <f>Item_Enchant_Old!H375</f>
        <v>@</v>
      </c>
      <c r="I371" s="29">
        <f>Item_Enchant_Old!I375</f>
        <v>1</v>
      </c>
      <c r="J371" s="29" t="str">
        <f>Item_Enchant_Old!J375</f>
        <v>절대값/상대값(%) 가능</v>
      </c>
      <c r="K371" s="29">
        <f>Item_Enchant_Old!K375</f>
        <v>7</v>
      </c>
      <c r="L371" s="29">
        <f>Item_Enchant_Old!L375</f>
        <v>0</v>
      </c>
      <c r="M371" s="29">
        <f>Item_Enchant_Old!M375</f>
        <v>8</v>
      </c>
      <c r="N371" s="29">
        <f>Item_Enchant_Old!N375</f>
        <v>62</v>
      </c>
      <c r="O371" s="29">
        <f>Item_Enchant_Old!O375</f>
        <v>1</v>
      </c>
      <c r="P371" s="29">
        <f>Item_Enchant_Old!P375</f>
        <v>1</v>
      </c>
      <c r="Q371" s="29">
        <f>Item_Enchant_Old!Q375</f>
        <v>1</v>
      </c>
      <c r="R371" s="29">
        <f>Item_Enchant_Old!R375</f>
        <v>1</v>
      </c>
    </row>
    <row r="372" spans="1:18" s="29" customFormat="1" hidden="1">
      <c r="A372" s="29">
        <f>Item_Enchant_Old!A376</f>
        <v>371</v>
      </c>
      <c r="B372" s="29" t="str">
        <f>Item_Enchant_Old!B376</f>
        <v>ACTIVE_PHYSICAL_CRITICAL</v>
      </c>
      <c r="C372" s="29">
        <f>Item_Enchant_Old!C376</f>
        <v>632</v>
      </c>
      <c r="D372" s="29">
        <f>Item_Enchant_Old!D376</f>
        <v>0</v>
      </c>
      <c r="E372" s="29">
        <f>Item_Enchant_Old!E376</f>
        <v>0</v>
      </c>
      <c r="F372" s="29">
        <f>Item_Enchant_Old!F376</f>
        <v>0</v>
      </c>
      <c r="G372" s="29">
        <f>Item_Enchant_Old!G376</f>
        <v>5</v>
      </c>
      <c r="H372" s="29" t="str">
        <f>Item_Enchant_Old!H376</f>
        <v>@</v>
      </c>
      <c r="I372" s="29">
        <f>Item_Enchant_Old!I376</f>
        <v>1</v>
      </c>
      <c r="J372" s="29" t="str">
        <f>Item_Enchant_Old!J376</f>
        <v>절대값/상대값(%) 가능</v>
      </c>
      <c r="K372" s="29">
        <f>Item_Enchant_Old!K376</f>
        <v>7</v>
      </c>
      <c r="L372" s="29">
        <f>Item_Enchant_Old!L376</f>
        <v>0</v>
      </c>
      <c r="M372" s="29">
        <f>Item_Enchant_Old!M376</f>
        <v>9</v>
      </c>
      <c r="N372" s="29">
        <f>Item_Enchant_Old!N376</f>
        <v>21</v>
      </c>
      <c r="O372" s="29">
        <f>Item_Enchant_Old!O376</f>
        <v>1</v>
      </c>
      <c r="P372" s="29">
        <f>Item_Enchant_Old!P376</f>
        <v>1</v>
      </c>
      <c r="Q372" s="29">
        <f>Item_Enchant_Old!Q376</f>
        <v>1</v>
      </c>
      <c r="R372" s="29">
        <f>Item_Enchant_Old!R376</f>
        <v>1</v>
      </c>
    </row>
    <row r="373" spans="1:18" s="29" customFormat="1" hidden="1">
      <c r="A373" s="29">
        <f>Item_Enchant_Old!A377</f>
        <v>372</v>
      </c>
      <c r="B373" s="29" t="str">
        <f>Item_Enchant_Old!B377</f>
        <v>ACTIVE_ENERGY_CRITICAL</v>
      </c>
      <c r="C373" s="29">
        <f>Item_Enchant_Old!C377</f>
        <v>633</v>
      </c>
      <c r="D373" s="29">
        <f>Item_Enchant_Old!D377</f>
        <v>0</v>
      </c>
      <c r="E373" s="29">
        <f>Item_Enchant_Old!E377</f>
        <v>0</v>
      </c>
      <c r="F373" s="29">
        <f>Item_Enchant_Old!F377</f>
        <v>0</v>
      </c>
      <c r="G373" s="29">
        <f>Item_Enchant_Old!G377</f>
        <v>5</v>
      </c>
      <c r="H373" s="29" t="str">
        <f>Item_Enchant_Old!H377</f>
        <v>@</v>
      </c>
      <c r="I373" s="29">
        <f>Item_Enchant_Old!I377</f>
        <v>1</v>
      </c>
      <c r="J373" s="29" t="str">
        <f>Item_Enchant_Old!J377</f>
        <v>절대값/상대값(%) 가능</v>
      </c>
      <c r="K373" s="29">
        <f>Item_Enchant_Old!K377</f>
        <v>7</v>
      </c>
      <c r="L373" s="29">
        <f>Item_Enchant_Old!L377</f>
        <v>0</v>
      </c>
      <c r="M373" s="29">
        <f>Item_Enchant_Old!M377</f>
        <v>9</v>
      </c>
      <c r="N373" s="29">
        <f>Item_Enchant_Old!N377</f>
        <v>24</v>
      </c>
      <c r="O373" s="29">
        <f>Item_Enchant_Old!O377</f>
        <v>1</v>
      </c>
      <c r="P373" s="29">
        <f>Item_Enchant_Old!P377</f>
        <v>1</v>
      </c>
      <c r="Q373" s="29">
        <f>Item_Enchant_Old!Q377</f>
        <v>1</v>
      </c>
      <c r="R373" s="29">
        <f>Item_Enchant_Old!R377</f>
        <v>1</v>
      </c>
    </row>
    <row r="374" spans="1:18" s="29" customFormat="1" hidden="1">
      <c r="A374" s="29">
        <f>Item_Enchant_Old!A378</f>
        <v>373</v>
      </c>
      <c r="B374" s="29" t="str">
        <f>Item_Enchant_Old!B378</f>
        <v>ACTIVE_DEX_UP</v>
      </c>
      <c r="C374" s="29">
        <f>Item_Enchant_Old!C378</f>
        <v>613</v>
      </c>
      <c r="D374" s="29">
        <f>Item_Enchant_Old!D378</f>
        <v>0</v>
      </c>
      <c r="E374" s="29">
        <f>Item_Enchant_Old!E378</f>
        <v>0</v>
      </c>
      <c r="F374" s="29">
        <f>Item_Enchant_Old!F378</f>
        <v>0</v>
      </c>
      <c r="G374" s="29">
        <f>Item_Enchant_Old!G378</f>
        <v>3</v>
      </c>
      <c r="H374" s="29" t="str">
        <f>Item_Enchant_Old!H378</f>
        <v>@</v>
      </c>
      <c r="I374" s="29">
        <f>Item_Enchant_Old!I378</f>
        <v>1</v>
      </c>
      <c r="J374" s="29" t="str">
        <f>Item_Enchant_Old!J378</f>
        <v>절대값/상대값(%) 가능</v>
      </c>
      <c r="K374" s="29">
        <f>Item_Enchant_Old!K378</f>
        <v>7</v>
      </c>
      <c r="L374" s="29">
        <f>Item_Enchant_Old!L378</f>
        <v>0</v>
      </c>
      <c r="M374" s="29">
        <f>Item_Enchant_Old!M378</f>
        <v>9</v>
      </c>
      <c r="N374" s="29">
        <f>Item_Enchant_Old!N378</f>
        <v>44</v>
      </c>
      <c r="O374" s="29">
        <f>Item_Enchant_Old!O378</f>
        <v>1</v>
      </c>
      <c r="P374" s="29">
        <f>Item_Enchant_Old!P378</f>
        <v>1</v>
      </c>
      <c r="Q374" s="29">
        <f>Item_Enchant_Old!Q378</f>
        <v>1</v>
      </c>
      <c r="R374" s="29">
        <f>Item_Enchant_Old!R378</f>
        <v>1</v>
      </c>
    </row>
    <row r="375" spans="1:18" s="29" customFormat="1" hidden="1">
      <c r="A375" s="29">
        <f>Item_Enchant_Old!A379</f>
        <v>374</v>
      </c>
      <c r="B375" s="29" t="str">
        <f>Item_Enchant_Old!B379</f>
        <v>ACTIVE_FOC_UP</v>
      </c>
      <c r="C375" s="29">
        <f>Item_Enchant_Old!C379</f>
        <v>612</v>
      </c>
      <c r="D375" s="29">
        <f>Item_Enchant_Old!D379</f>
        <v>0</v>
      </c>
      <c r="E375" s="29">
        <f>Item_Enchant_Old!E379</f>
        <v>0</v>
      </c>
      <c r="F375" s="29">
        <f>Item_Enchant_Old!F379</f>
        <v>0</v>
      </c>
      <c r="G375" s="29">
        <f>Item_Enchant_Old!G379</f>
        <v>2</v>
      </c>
      <c r="H375" s="29" t="str">
        <f>Item_Enchant_Old!H379</f>
        <v>@</v>
      </c>
      <c r="I375" s="29">
        <f>Item_Enchant_Old!I379</f>
        <v>1</v>
      </c>
      <c r="J375" s="29" t="str">
        <f>Item_Enchant_Old!J379</f>
        <v>절대값/상대값(%) 가능</v>
      </c>
      <c r="K375" s="29">
        <f>Item_Enchant_Old!K379</f>
        <v>7</v>
      </c>
      <c r="L375" s="29">
        <f>Item_Enchant_Old!L379</f>
        <v>0</v>
      </c>
      <c r="M375" s="29">
        <f>Item_Enchant_Old!M379</f>
        <v>9</v>
      </c>
      <c r="N375" s="29">
        <f>Item_Enchant_Old!N379</f>
        <v>53</v>
      </c>
      <c r="O375" s="29">
        <f>Item_Enchant_Old!O379</f>
        <v>1</v>
      </c>
      <c r="P375" s="29">
        <f>Item_Enchant_Old!P379</f>
        <v>1</v>
      </c>
      <c r="Q375" s="29">
        <f>Item_Enchant_Old!Q379</f>
        <v>1</v>
      </c>
      <c r="R375" s="29">
        <f>Item_Enchant_Old!R379</f>
        <v>1</v>
      </c>
    </row>
    <row r="376" spans="1:18" s="29" customFormat="1" hidden="1">
      <c r="A376" s="29">
        <f>Item_Enchant_Old!A380</f>
        <v>375</v>
      </c>
      <c r="B376" s="29" t="str">
        <f>Item_Enchant_Old!B380</f>
        <v>ACTIVE_PHYSICAL_CRITICAL_DAMAGE_UP</v>
      </c>
      <c r="C376" s="29">
        <f>Item_Enchant_Old!C380</f>
        <v>658</v>
      </c>
      <c r="D376" s="29">
        <f>Item_Enchant_Old!D380</f>
        <v>0</v>
      </c>
      <c r="E376" s="29">
        <f>Item_Enchant_Old!E380</f>
        <v>0</v>
      </c>
      <c r="F376" s="29">
        <f>Item_Enchant_Old!F380</f>
        <v>0</v>
      </c>
      <c r="G376" s="29">
        <f>Item_Enchant_Old!G380</f>
        <v>4</v>
      </c>
      <c r="H376" s="29" t="str">
        <f>Item_Enchant_Old!H380</f>
        <v>@</v>
      </c>
      <c r="I376" s="29">
        <f>Item_Enchant_Old!I380</f>
        <v>1</v>
      </c>
      <c r="J376" s="29" t="str">
        <f>Item_Enchant_Old!J380</f>
        <v>절대값만 가능</v>
      </c>
      <c r="K376" s="29">
        <f>Item_Enchant_Old!K380</f>
        <v>7</v>
      </c>
      <c r="L376" s="29">
        <f>Item_Enchant_Old!L380</f>
        <v>0</v>
      </c>
      <c r="M376" s="29">
        <f>Item_Enchant_Old!M380</f>
        <v>10</v>
      </c>
      <c r="N376" s="29">
        <f>Item_Enchant_Old!N380</f>
        <v>28</v>
      </c>
      <c r="O376" s="29">
        <f>Item_Enchant_Old!O380</f>
        <v>1</v>
      </c>
      <c r="P376" s="29">
        <f>Item_Enchant_Old!P380</f>
        <v>1</v>
      </c>
      <c r="Q376" s="29">
        <f>Item_Enchant_Old!Q380</f>
        <v>1</v>
      </c>
      <c r="R376" s="29">
        <f>Item_Enchant_Old!R380</f>
        <v>1</v>
      </c>
    </row>
    <row r="377" spans="1:18" s="29" customFormat="1" hidden="1">
      <c r="A377" s="29">
        <f>Item_Enchant_Old!A381</f>
        <v>376</v>
      </c>
      <c r="B377" s="29" t="str">
        <f>Item_Enchant_Old!B381</f>
        <v>ACTIVE_ENERGY_CRITICAL_DAMAGE_UP</v>
      </c>
      <c r="C377" s="29">
        <f>Item_Enchant_Old!C381</f>
        <v>659</v>
      </c>
      <c r="D377" s="29">
        <f>Item_Enchant_Old!D381</f>
        <v>0</v>
      </c>
      <c r="E377" s="29">
        <f>Item_Enchant_Old!E381</f>
        <v>0</v>
      </c>
      <c r="F377" s="29">
        <f>Item_Enchant_Old!F381</f>
        <v>0</v>
      </c>
      <c r="G377" s="29">
        <f>Item_Enchant_Old!G381</f>
        <v>4</v>
      </c>
      <c r="H377" s="29" t="str">
        <f>Item_Enchant_Old!H381</f>
        <v>@</v>
      </c>
      <c r="I377" s="29">
        <f>Item_Enchant_Old!I381</f>
        <v>1</v>
      </c>
      <c r="J377" s="29" t="str">
        <f>Item_Enchant_Old!J381</f>
        <v>절대값만 가능</v>
      </c>
      <c r="K377" s="29">
        <f>Item_Enchant_Old!K381</f>
        <v>7</v>
      </c>
      <c r="L377" s="29">
        <f>Item_Enchant_Old!L381</f>
        <v>0</v>
      </c>
      <c r="M377" s="29">
        <f>Item_Enchant_Old!M381</f>
        <v>10</v>
      </c>
      <c r="N377" s="29">
        <f>Item_Enchant_Old!N381</f>
        <v>32</v>
      </c>
      <c r="O377" s="29">
        <f>Item_Enchant_Old!O381</f>
        <v>1</v>
      </c>
      <c r="P377" s="29">
        <f>Item_Enchant_Old!P381</f>
        <v>1</v>
      </c>
      <c r="Q377" s="29">
        <f>Item_Enchant_Old!Q381</f>
        <v>1</v>
      </c>
      <c r="R377" s="29">
        <f>Item_Enchant_Old!R381</f>
        <v>1</v>
      </c>
    </row>
    <row r="378" spans="1:18" s="29" customFormat="1" hidden="1">
      <c r="A378" s="29">
        <f>Item_Enchant_Old!A382</f>
        <v>377</v>
      </c>
      <c r="B378" s="29" t="str">
        <f>Item_Enchant_Old!B382</f>
        <v>ACTIVE_DEX_UP</v>
      </c>
      <c r="C378" s="29">
        <f>Item_Enchant_Old!C382</f>
        <v>613</v>
      </c>
      <c r="D378" s="29">
        <f>Item_Enchant_Old!D382</f>
        <v>0</v>
      </c>
      <c r="E378" s="29">
        <f>Item_Enchant_Old!E382</f>
        <v>0</v>
      </c>
      <c r="F378" s="29">
        <f>Item_Enchant_Old!F382</f>
        <v>0</v>
      </c>
      <c r="G378" s="29">
        <f>Item_Enchant_Old!G382</f>
        <v>3</v>
      </c>
      <c r="H378" s="29" t="str">
        <f>Item_Enchant_Old!H382</f>
        <v>@</v>
      </c>
      <c r="I378" s="29">
        <f>Item_Enchant_Old!I382</f>
        <v>1</v>
      </c>
      <c r="J378" s="29" t="str">
        <f>Item_Enchant_Old!J382</f>
        <v>절대값/상대값(%) 가능</v>
      </c>
      <c r="K378" s="29">
        <f>Item_Enchant_Old!K382</f>
        <v>7</v>
      </c>
      <c r="L378" s="29">
        <f>Item_Enchant_Old!L382</f>
        <v>0</v>
      </c>
      <c r="M378" s="29">
        <f>Item_Enchant_Old!M382</f>
        <v>10</v>
      </c>
      <c r="N378" s="29">
        <f>Item_Enchant_Old!N382</f>
        <v>44</v>
      </c>
      <c r="O378" s="29">
        <f>Item_Enchant_Old!O382</f>
        <v>1</v>
      </c>
      <c r="P378" s="29">
        <f>Item_Enchant_Old!P382</f>
        <v>1</v>
      </c>
      <c r="Q378" s="29">
        <f>Item_Enchant_Old!Q382</f>
        <v>1</v>
      </c>
      <c r="R378" s="29">
        <f>Item_Enchant_Old!R382</f>
        <v>1</v>
      </c>
    </row>
    <row r="379" spans="1:18" s="29" customFormat="1" hidden="1">
      <c r="A379" s="29">
        <f>Item_Enchant_Old!A383</f>
        <v>378</v>
      </c>
      <c r="B379" s="29" t="str">
        <f>Item_Enchant_Old!B383</f>
        <v>ACTIVE_ATTACK_SPEED_UP</v>
      </c>
      <c r="C379" s="29">
        <f>Item_Enchant_Old!C383</f>
        <v>617</v>
      </c>
      <c r="D379" s="29">
        <f>Item_Enchant_Old!D383</f>
        <v>1</v>
      </c>
      <c r="E379" s="29">
        <f>Item_Enchant_Old!E383</f>
        <v>0</v>
      </c>
      <c r="F379" s="29">
        <f>Item_Enchant_Old!F383</f>
        <v>0</v>
      </c>
      <c r="G379" s="29">
        <f>Item_Enchant_Old!G383</f>
        <v>10</v>
      </c>
      <c r="H379" s="29" t="str">
        <f>Item_Enchant_Old!H383</f>
        <v>@</v>
      </c>
      <c r="I379" s="29">
        <f>Item_Enchant_Old!I383</f>
        <v>1</v>
      </c>
      <c r="J379" s="29" t="str">
        <f>Item_Enchant_Old!J383</f>
        <v>절대값/상대값(%) 가능</v>
      </c>
      <c r="K379" s="29">
        <f>Item_Enchant_Old!K383</f>
        <v>7</v>
      </c>
      <c r="L379" s="29">
        <f>Item_Enchant_Old!L383</f>
        <v>0</v>
      </c>
      <c r="M379" s="29">
        <f>Item_Enchant_Old!M383</f>
        <v>10</v>
      </c>
      <c r="N379" s="29">
        <f>Item_Enchant_Old!N383</f>
        <v>10</v>
      </c>
      <c r="O379" s="29">
        <f>Item_Enchant_Old!O383</f>
        <v>1</v>
      </c>
      <c r="P379" s="29">
        <f>Item_Enchant_Old!P383</f>
        <v>1</v>
      </c>
      <c r="Q379" s="29">
        <f>Item_Enchant_Old!Q383</f>
        <v>1</v>
      </c>
      <c r="R379" s="29">
        <f>Item_Enchant_Old!R383</f>
        <v>1</v>
      </c>
    </row>
    <row r="380" spans="1:18" s="29" customFormat="1" hidden="1">
      <c r="A380" s="29">
        <f>Item_Enchant_Old!A384</f>
        <v>379</v>
      </c>
      <c r="B380" s="29" t="str">
        <f>Item_Enchant_Old!B384</f>
        <v>ACTIVE_STR_UP</v>
      </c>
      <c r="C380" s="29">
        <f>Item_Enchant_Old!C384</f>
        <v>610</v>
      </c>
      <c r="D380" s="29">
        <f>Item_Enchant_Old!D384</f>
        <v>0</v>
      </c>
      <c r="E380" s="29">
        <f>Item_Enchant_Old!E384</f>
        <v>0</v>
      </c>
      <c r="F380" s="29">
        <f>Item_Enchant_Old!F384</f>
        <v>0</v>
      </c>
      <c r="G380" s="29">
        <f>Item_Enchant_Old!G384</f>
        <v>2</v>
      </c>
      <c r="H380" s="29" t="str">
        <f>Item_Enchant_Old!H384</f>
        <v>@</v>
      </c>
      <c r="I380" s="29">
        <f>Item_Enchant_Old!I384</f>
        <v>1</v>
      </c>
      <c r="J380" s="29" t="str">
        <f>Item_Enchant_Old!J384</f>
        <v>절대값/상대값(%) 가능</v>
      </c>
      <c r="K380" s="29">
        <f>Item_Enchant_Old!K384</f>
        <v>7</v>
      </c>
      <c r="L380" s="29">
        <f>Item_Enchant_Old!L384</f>
        <v>0</v>
      </c>
      <c r="M380" s="29">
        <f>Item_Enchant_Old!M384</f>
        <v>11</v>
      </c>
      <c r="N380" s="29">
        <f>Item_Enchant_Old!N384</f>
        <v>57</v>
      </c>
      <c r="O380" s="29">
        <f>Item_Enchant_Old!O384</f>
        <v>1</v>
      </c>
      <c r="P380" s="29">
        <f>Item_Enchant_Old!P384</f>
        <v>1</v>
      </c>
      <c r="Q380" s="29">
        <f>Item_Enchant_Old!Q384</f>
        <v>1</v>
      </c>
      <c r="R380" s="29">
        <f>Item_Enchant_Old!R384</f>
        <v>1</v>
      </c>
    </row>
    <row r="381" spans="1:18" s="29" customFormat="1" hidden="1">
      <c r="A381" s="29">
        <f>Item_Enchant_Old!A385</f>
        <v>380</v>
      </c>
      <c r="B381" s="29" t="str">
        <f>Item_Enchant_Old!B385</f>
        <v>ACTIVE_CON_UP</v>
      </c>
      <c r="C381" s="29">
        <f>Item_Enchant_Old!C385</f>
        <v>611</v>
      </c>
      <c r="D381" s="29">
        <f>Item_Enchant_Old!D385</f>
        <v>0</v>
      </c>
      <c r="E381" s="29">
        <f>Item_Enchant_Old!E385</f>
        <v>0</v>
      </c>
      <c r="F381" s="29">
        <f>Item_Enchant_Old!F385</f>
        <v>0</v>
      </c>
      <c r="G381" s="29">
        <f>Item_Enchant_Old!G385</f>
        <v>3</v>
      </c>
      <c r="H381" s="29" t="str">
        <f>Item_Enchant_Old!H385</f>
        <v>@</v>
      </c>
      <c r="I381" s="29">
        <f>Item_Enchant_Old!I385</f>
        <v>1</v>
      </c>
      <c r="J381" s="29" t="str">
        <f>Item_Enchant_Old!J385</f>
        <v>절대값/상대값(%) 가능</v>
      </c>
      <c r="K381" s="29">
        <f>Item_Enchant_Old!K385</f>
        <v>7</v>
      </c>
      <c r="L381" s="29">
        <f>Item_Enchant_Old!L385</f>
        <v>0</v>
      </c>
      <c r="M381" s="29">
        <f>Item_Enchant_Old!M385</f>
        <v>11</v>
      </c>
      <c r="N381" s="29">
        <f>Item_Enchant_Old!N385</f>
        <v>48</v>
      </c>
      <c r="O381" s="29">
        <f>Item_Enchant_Old!O385</f>
        <v>1</v>
      </c>
      <c r="P381" s="29">
        <f>Item_Enchant_Old!P385</f>
        <v>1</v>
      </c>
      <c r="Q381" s="29">
        <f>Item_Enchant_Old!Q385</f>
        <v>1</v>
      </c>
      <c r="R381" s="29">
        <f>Item_Enchant_Old!R385</f>
        <v>1</v>
      </c>
    </row>
    <row r="382" spans="1:18" s="29" customFormat="1" hidden="1">
      <c r="A382" s="29">
        <f>Item_Enchant_Old!A386</f>
        <v>381</v>
      </c>
      <c r="B382" s="29" t="str">
        <f>Item_Enchant_Old!B386</f>
        <v>ACTIVE_FOC_UP</v>
      </c>
      <c r="C382" s="29">
        <f>Item_Enchant_Old!C386</f>
        <v>612</v>
      </c>
      <c r="D382" s="29">
        <f>Item_Enchant_Old!D386</f>
        <v>0</v>
      </c>
      <c r="E382" s="29">
        <f>Item_Enchant_Old!E386</f>
        <v>0</v>
      </c>
      <c r="F382" s="29">
        <f>Item_Enchant_Old!F386</f>
        <v>0</v>
      </c>
      <c r="G382" s="29">
        <f>Item_Enchant_Old!G386</f>
        <v>2</v>
      </c>
      <c r="H382" s="29" t="str">
        <f>Item_Enchant_Old!H386</f>
        <v>@</v>
      </c>
      <c r="I382" s="29">
        <f>Item_Enchant_Old!I386</f>
        <v>1</v>
      </c>
      <c r="J382" s="29" t="str">
        <f>Item_Enchant_Old!J386</f>
        <v>절대값/상대값(%) 가능</v>
      </c>
      <c r="K382" s="29">
        <f>Item_Enchant_Old!K386</f>
        <v>7</v>
      </c>
      <c r="L382" s="29">
        <f>Item_Enchant_Old!L386</f>
        <v>0</v>
      </c>
      <c r="M382" s="29">
        <f>Item_Enchant_Old!M386</f>
        <v>11</v>
      </c>
      <c r="N382" s="29">
        <f>Item_Enchant_Old!N386</f>
        <v>53</v>
      </c>
      <c r="O382" s="29">
        <f>Item_Enchant_Old!O386</f>
        <v>1</v>
      </c>
      <c r="P382" s="29">
        <f>Item_Enchant_Old!P386</f>
        <v>1</v>
      </c>
      <c r="Q382" s="29">
        <f>Item_Enchant_Old!Q386</f>
        <v>1</v>
      </c>
      <c r="R382" s="29">
        <f>Item_Enchant_Old!R386</f>
        <v>1</v>
      </c>
    </row>
    <row r="383" spans="1:18" s="29" customFormat="1" hidden="1">
      <c r="A383" s="29">
        <f>Item_Enchant_Old!A387</f>
        <v>382</v>
      </c>
      <c r="B383" s="29" t="str">
        <f>Item_Enchant_Old!B387</f>
        <v>ACTIVE_DEX_UP</v>
      </c>
      <c r="C383" s="29">
        <f>Item_Enchant_Old!C387</f>
        <v>613</v>
      </c>
      <c r="D383" s="29">
        <f>Item_Enchant_Old!D387</f>
        <v>0</v>
      </c>
      <c r="E383" s="29">
        <f>Item_Enchant_Old!E387</f>
        <v>0</v>
      </c>
      <c r="F383" s="29">
        <f>Item_Enchant_Old!F387</f>
        <v>0</v>
      </c>
      <c r="G383" s="29">
        <f>Item_Enchant_Old!G387</f>
        <v>3</v>
      </c>
      <c r="H383" s="29" t="str">
        <f>Item_Enchant_Old!H387</f>
        <v>@</v>
      </c>
      <c r="I383" s="29">
        <f>Item_Enchant_Old!I387</f>
        <v>1</v>
      </c>
      <c r="J383" s="29" t="str">
        <f>Item_Enchant_Old!J387</f>
        <v>절대값/상대값(%) 가능</v>
      </c>
      <c r="K383" s="29">
        <f>Item_Enchant_Old!K387</f>
        <v>7</v>
      </c>
      <c r="L383" s="29">
        <f>Item_Enchant_Old!L387</f>
        <v>0</v>
      </c>
      <c r="M383" s="29">
        <f>Item_Enchant_Old!M387</f>
        <v>11</v>
      </c>
      <c r="N383" s="29">
        <f>Item_Enchant_Old!N387</f>
        <v>44</v>
      </c>
      <c r="O383" s="29">
        <f>Item_Enchant_Old!O387</f>
        <v>1</v>
      </c>
      <c r="P383" s="29">
        <f>Item_Enchant_Old!P387</f>
        <v>1</v>
      </c>
      <c r="Q383" s="29">
        <f>Item_Enchant_Old!Q387</f>
        <v>1</v>
      </c>
      <c r="R383" s="29">
        <f>Item_Enchant_Old!R387</f>
        <v>1</v>
      </c>
    </row>
    <row r="384" spans="1:18" s="29" customFormat="1" hidden="1">
      <c r="A384" s="29">
        <f>Item_Enchant_Old!A388</f>
        <v>383</v>
      </c>
      <c r="B384" s="29" t="str">
        <f>Item_Enchant_Old!B388</f>
        <v>ACTIVE_SOL_UP</v>
      </c>
      <c r="C384" s="29">
        <f>Item_Enchant_Old!C388</f>
        <v>614</v>
      </c>
      <c r="D384" s="29">
        <f>Item_Enchant_Old!D388</f>
        <v>0</v>
      </c>
      <c r="E384" s="29">
        <f>Item_Enchant_Old!E388</f>
        <v>0</v>
      </c>
      <c r="F384" s="29">
        <f>Item_Enchant_Old!F388</f>
        <v>0</v>
      </c>
      <c r="G384" s="29">
        <f>Item_Enchant_Old!G388</f>
        <v>2</v>
      </c>
      <c r="H384" s="29" t="str">
        <f>Item_Enchant_Old!H388</f>
        <v>@</v>
      </c>
      <c r="I384" s="29">
        <f>Item_Enchant_Old!I388</f>
        <v>1</v>
      </c>
      <c r="J384" s="29" t="str">
        <f>Item_Enchant_Old!J388</f>
        <v>절대값/상대값(%) 가능</v>
      </c>
      <c r="K384" s="29">
        <f>Item_Enchant_Old!K388</f>
        <v>7</v>
      </c>
      <c r="L384" s="29">
        <f>Item_Enchant_Old!L388</f>
        <v>0</v>
      </c>
      <c r="M384" s="29">
        <f>Item_Enchant_Old!M388</f>
        <v>11</v>
      </c>
      <c r="N384" s="29">
        <f>Item_Enchant_Old!N388</f>
        <v>53</v>
      </c>
      <c r="O384" s="29">
        <f>Item_Enchant_Old!O388</f>
        <v>1</v>
      </c>
      <c r="P384" s="29">
        <f>Item_Enchant_Old!P388</f>
        <v>1</v>
      </c>
      <c r="Q384" s="29">
        <f>Item_Enchant_Old!Q388</f>
        <v>1</v>
      </c>
      <c r="R384" s="29">
        <f>Item_Enchant_Old!R388</f>
        <v>1</v>
      </c>
    </row>
    <row r="385" spans="1:18" s="29" customFormat="1" hidden="1">
      <c r="A385" s="29">
        <f>Item_Enchant_Old!A389</f>
        <v>384</v>
      </c>
      <c r="B385" s="29" t="str">
        <f>Item_Enchant_Old!B389</f>
        <v>ACTIVE_ENG_UP</v>
      </c>
      <c r="C385" s="29">
        <f>Item_Enchant_Old!C389</f>
        <v>615</v>
      </c>
      <c r="D385" s="29">
        <f>Item_Enchant_Old!D389</f>
        <v>0</v>
      </c>
      <c r="E385" s="29">
        <f>Item_Enchant_Old!E389</f>
        <v>0</v>
      </c>
      <c r="F385" s="29">
        <f>Item_Enchant_Old!F389</f>
        <v>0</v>
      </c>
      <c r="G385" s="29">
        <f>Item_Enchant_Old!G389</f>
        <v>2</v>
      </c>
      <c r="H385" s="29" t="str">
        <f>Item_Enchant_Old!H389</f>
        <v>@</v>
      </c>
      <c r="I385" s="29">
        <f>Item_Enchant_Old!I389</f>
        <v>1</v>
      </c>
      <c r="J385" s="29" t="str">
        <f>Item_Enchant_Old!J389</f>
        <v>절대값/상대값(%) 가능</v>
      </c>
      <c r="K385" s="29">
        <f>Item_Enchant_Old!K389</f>
        <v>7</v>
      </c>
      <c r="L385" s="29">
        <f>Item_Enchant_Old!L389</f>
        <v>0</v>
      </c>
      <c r="M385" s="29">
        <f>Item_Enchant_Old!M389</f>
        <v>11</v>
      </c>
      <c r="N385" s="29">
        <f>Item_Enchant_Old!N389</f>
        <v>62</v>
      </c>
      <c r="O385" s="29">
        <f>Item_Enchant_Old!O389</f>
        <v>1</v>
      </c>
      <c r="P385" s="29">
        <f>Item_Enchant_Old!P389</f>
        <v>1</v>
      </c>
      <c r="Q385" s="29">
        <f>Item_Enchant_Old!Q389</f>
        <v>1</v>
      </c>
      <c r="R385" s="29">
        <f>Item_Enchant_Old!R389</f>
        <v>1</v>
      </c>
    </row>
    <row r="386" spans="1:18" s="29" customFormat="1" hidden="1">
      <c r="A386" s="29">
        <f>Item_Enchant_Old!A390</f>
        <v>385</v>
      </c>
      <c r="B386" s="29" t="str">
        <f>Item_Enchant_Old!B390</f>
        <v>ACTIVE_PHYSICAL_DEFENCE_UP</v>
      </c>
      <c r="C386" s="29">
        <f>Item_Enchant_Old!C390</f>
        <v>608</v>
      </c>
      <c r="D386" s="29">
        <f>Item_Enchant_Old!D390</f>
        <v>0</v>
      </c>
      <c r="E386" s="29">
        <f>Item_Enchant_Old!E390</f>
        <v>0</v>
      </c>
      <c r="F386" s="29">
        <f>Item_Enchant_Old!F390</f>
        <v>0</v>
      </c>
      <c r="G386" s="29">
        <f>Item_Enchant_Old!G390</f>
        <v>1</v>
      </c>
      <c r="H386" s="29" t="str">
        <f>Item_Enchant_Old!H390</f>
        <v>@</v>
      </c>
      <c r="I386" s="29">
        <f>Item_Enchant_Old!I390</f>
        <v>1</v>
      </c>
      <c r="J386" s="29" t="str">
        <f>Item_Enchant_Old!J390</f>
        <v>절대값/상대값(%) 가능</v>
      </c>
      <c r="K386" s="29">
        <f>Item_Enchant_Old!K390</f>
        <v>7</v>
      </c>
      <c r="L386" s="29">
        <f>Item_Enchant_Old!L390</f>
        <v>0</v>
      </c>
      <c r="M386" s="29">
        <f>Item_Enchant_Old!M390</f>
        <v>12</v>
      </c>
      <c r="N386" s="29">
        <f>Item_Enchant_Old!N390</f>
        <v>1350</v>
      </c>
      <c r="O386" s="29">
        <f>Item_Enchant_Old!O390</f>
        <v>1</v>
      </c>
      <c r="P386" s="29">
        <f>Item_Enchant_Old!P390</f>
        <v>1</v>
      </c>
      <c r="Q386" s="29">
        <f>Item_Enchant_Old!Q390</f>
        <v>1</v>
      </c>
      <c r="R386" s="29">
        <f>Item_Enchant_Old!R390</f>
        <v>1</v>
      </c>
    </row>
    <row r="387" spans="1:18" s="29" customFormat="1" hidden="1">
      <c r="A387" s="29">
        <f>Item_Enchant_Old!A391</f>
        <v>386</v>
      </c>
      <c r="B387" s="29" t="str">
        <f>Item_Enchant_Old!B391</f>
        <v>ACTIVE_BLOCK_RATE_UP</v>
      </c>
      <c r="C387" s="29">
        <f>Item_Enchant_Old!C391</f>
        <v>620</v>
      </c>
      <c r="D387" s="29">
        <f>Item_Enchant_Old!D391</f>
        <v>0</v>
      </c>
      <c r="E387" s="29">
        <f>Item_Enchant_Old!E391</f>
        <v>0</v>
      </c>
      <c r="F387" s="29">
        <f>Item_Enchant_Old!F391</f>
        <v>0</v>
      </c>
      <c r="G387" s="29">
        <f>Item_Enchant_Old!G391</f>
        <v>1</v>
      </c>
      <c r="H387" s="29" t="str">
        <f>Item_Enchant_Old!H391</f>
        <v>@</v>
      </c>
      <c r="I387" s="29">
        <f>Item_Enchant_Old!I391</f>
        <v>1</v>
      </c>
      <c r="J387" s="29" t="str">
        <f>Item_Enchant_Old!J391</f>
        <v>절대값/상대값(%) 가능</v>
      </c>
      <c r="K387" s="29">
        <f>Item_Enchant_Old!K391</f>
        <v>7</v>
      </c>
      <c r="L387" s="29">
        <f>Item_Enchant_Old!L391</f>
        <v>0</v>
      </c>
      <c r="M387" s="29">
        <f>Item_Enchant_Old!M391</f>
        <v>12</v>
      </c>
      <c r="N387" s="29">
        <f>Item_Enchant_Old!N391</f>
        <v>352</v>
      </c>
      <c r="O387" s="29">
        <f>Item_Enchant_Old!O391</f>
        <v>1</v>
      </c>
      <c r="P387" s="29">
        <f>Item_Enchant_Old!P391</f>
        <v>1</v>
      </c>
      <c r="Q387" s="29">
        <f>Item_Enchant_Old!Q391</f>
        <v>1</v>
      </c>
      <c r="R387" s="29">
        <f>Item_Enchant_Old!R391</f>
        <v>1</v>
      </c>
    </row>
    <row r="388" spans="1:18" s="29" customFormat="1" hidden="1">
      <c r="A388" s="29">
        <f>Item_Enchant_Old!A392</f>
        <v>387</v>
      </c>
      <c r="B388" s="29" t="str">
        <f>Item_Enchant_Old!B392</f>
        <v>ACTIVE_CON_UP</v>
      </c>
      <c r="C388" s="29">
        <f>Item_Enchant_Old!C392</f>
        <v>611</v>
      </c>
      <c r="D388" s="29">
        <f>Item_Enchant_Old!D392</f>
        <v>0</v>
      </c>
      <c r="E388" s="29">
        <f>Item_Enchant_Old!E392</f>
        <v>0</v>
      </c>
      <c r="F388" s="29">
        <f>Item_Enchant_Old!F392</f>
        <v>0</v>
      </c>
      <c r="G388" s="29">
        <f>Item_Enchant_Old!G392</f>
        <v>3</v>
      </c>
      <c r="H388" s="29" t="str">
        <f>Item_Enchant_Old!H392</f>
        <v>@</v>
      </c>
      <c r="I388" s="29">
        <f>Item_Enchant_Old!I392</f>
        <v>1</v>
      </c>
      <c r="J388" s="29" t="str">
        <f>Item_Enchant_Old!J392</f>
        <v>절대값/상대값(%) 가능</v>
      </c>
      <c r="K388" s="29">
        <f>Item_Enchant_Old!K392</f>
        <v>7</v>
      </c>
      <c r="L388" s="29">
        <f>Item_Enchant_Old!L392</f>
        <v>0</v>
      </c>
      <c r="M388" s="29">
        <f>Item_Enchant_Old!M392</f>
        <v>12</v>
      </c>
      <c r="N388" s="29">
        <f>Item_Enchant_Old!N392</f>
        <v>48</v>
      </c>
      <c r="O388" s="29">
        <f>Item_Enchant_Old!O392</f>
        <v>1</v>
      </c>
      <c r="P388" s="29">
        <f>Item_Enchant_Old!P392</f>
        <v>1</v>
      </c>
      <c r="Q388" s="29">
        <f>Item_Enchant_Old!Q392</f>
        <v>1</v>
      </c>
      <c r="R388" s="29">
        <f>Item_Enchant_Old!R392</f>
        <v>1</v>
      </c>
    </row>
    <row r="389" spans="1:18" s="29" customFormat="1" hidden="1">
      <c r="A389" s="29">
        <f>Item_Enchant_Old!A393</f>
        <v>388</v>
      </c>
      <c r="B389" s="29" t="str">
        <f>Item_Enchant_Old!B393</f>
        <v>ACTIVE_FOC_UP</v>
      </c>
      <c r="C389" s="29">
        <f>Item_Enchant_Old!C393</f>
        <v>612</v>
      </c>
      <c r="D389" s="29">
        <f>Item_Enchant_Old!D393</f>
        <v>0</v>
      </c>
      <c r="E389" s="29">
        <f>Item_Enchant_Old!E393</f>
        <v>0</v>
      </c>
      <c r="F389" s="29">
        <f>Item_Enchant_Old!F393</f>
        <v>0</v>
      </c>
      <c r="G389" s="29">
        <f>Item_Enchant_Old!G393</f>
        <v>2</v>
      </c>
      <c r="H389" s="29" t="str">
        <f>Item_Enchant_Old!H393</f>
        <v>@</v>
      </c>
      <c r="I389" s="29">
        <f>Item_Enchant_Old!I393</f>
        <v>1</v>
      </c>
      <c r="J389" s="29" t="str">
        <f>Item_Enchant_Old!J393</f>
        <v>절대값/상대값(%) 가능</v>
      </c>
      <c r="K389" s="29">
        <f>Item_Enchant_Old!K393</f>
        <v>7</v>
      </c>
      <c r="L389" s="29">
        <f>Item_Enchant_Old!L393</f>
        <v>0</v>
      </c>
      <c r="M389" s="29">
        <f>Item_Enchant_Old!M393</f>
        <v>12</v>
      </c>
      <c r="N389" s="29">
        <f>Item_Enchant_Old!N393</f>
        <v>53</v>
      </c>
      <c r="O389" s="29">
        <f>Item_Enchant_Old!O393</f>
        <v>1</v>
      </c>
      <c r="P389" s="29">
        <f>Item_Enchant_Old!P393</f>
        <v>1</v>
      </c>
      <c r="Q389" s="29">
        <f>Item_Enchant_Old!Q393</f>
        <v>1</v>
      </c>
      <c r="R389" s="29">
        <f>Item_Enchant_Old!R393</f>
        <v>1</v>
      </c>
    </row>
    <row r="390" spans="1:18" s="29" customFormat="1" hidden="1">
      <c r="A390" s="29">
        <f>Item_Enchant_Old!A394</f>
        <v>389</v>
      </c>
      <c r="B390" s="29" t="str">
        <f>Item_Enchant_Old!B394</f>
        <v>ACTIVE_PHYSICAL_OFFENCE_UP</v>
      </c>
      <c r="C390" s="29">
        <f>Item_Enchant_Old!C394</f>
        <v>606</v>
      </c>
      <c r="D390" s="29">
        <f>Item_Enchant_Old!D394</f>
        <v>0</v>
      </c>
      <c r="E390" s="29">
        <f>Item_Enchant_Old!E394</f>
        <v>0</v>
      </c>
      <c r="F390" s="29">
        <f>Item_Enchant_Old!F394</f>
        <v>0</v>
      </c>
      <c r="G390" s="29">
        <f>Item_Enchant_Old!G394</f>
        <v>1</v>
      </c>
      <c r="H390" s="29" t="str">
        <f>Item_Enchant_Old!H394</f>
        <v>@</v>
      </c>
      <c r="I390" s="29">
        <f>Item_Enchant_Old!I394</f>
        <v>1</v>
      </c>
      <c r="J390" s="29" t="str">
        <f>Item_Enchant_Old!J394</f>
        <v>절대값/상대값(%) 가능</v>
      </c>
      <c r="K390" s="29">
        <f>Item_Enchant_Old!K394</f>
        <v>8</v>
      </c>
      <c r="L390" s="29">
        <f>Item_Enchant_Old!L394</f>
        <v>0</v>
      </c>
      <c r="M390" s="29">
        <f>Item_Enchant_Old!M394</f>
        <v>1</v>
      </c>
      <c r="N390" s="29">
        <f>Item_Enchant_Old!N394</f>
        <v>125</v>
      </c>
      <c r="O390" s="29">
        <f>Item_Enchant_Old!O394</f>
        <v>1</v>
      </c>
      <c r="P390" s="29">
        <f>Item_Enchant_Old!P394</f>
        <v>1</v>
      </c>
      <c r="Q390" s="29">
        <f>Item_Enchant_Old!Q394</f>
        <v>1</v>
      </c>
      <c r="R390" s="29">
        <f>Item_Enchant_Old!R394</f>
        <v>1</v>
      </c>
    </row>
    <row r="391" spans="1:18" s="29" customFormat="1" hidden="1">
      <c r="A391" s="29">
        <f>Item_Enchant_Old!A395</f>
        <v>390</v>
      </c>
      <c r="B391" s="29" t="str">
        <f>Item_Enchant_Old!B395</f>
        <v>ACTIVE_STR_UP</v>
      </c>
      <c r="C391" s="29">
        <f>Item_Enchant_Old!C395</f>
        <v>610</v>
      </c>
      <c r="D391" s="29">
        <f>Item_Enchant_Old!D395</f>
        <v>0</v>
      </c>
      <c r="E391" s="29">
        <f>Item_Enchant_Old!E395</f>
        <v>0</v>
      </c>
      <c r="F391" s="29">
        <f>Item_Enchant_Old!F395</f>
        <v>0</v>
      </c>
      <c r="G391" s="29">
        <f>Item_Enchant_Old!G395</f>
        <v>2</v>
      </c>
      <c r="H391" s="29" t="str">
        <f>Item_Enchant_Old!H395</f>
        <v>@</v>
      </c>
      <c r="I391" s="29">
        <f>Item_Enchant_Old!I395</f>
        <v>1</v>
      </c>
      <c r="J391" s="29" t="str">
        <f>Item_Enchant_Old!J395</f>
        <v>절대값/상대값(%) 가능</v>
      </c>
      <c r="K391" s="29">
        <f>Item_Enchant_Old!K395</f>
        <v>8</v>
      </c>
      <c r="L391" s="29">
        <f>Item_Enchant_Old!L395</f>
        <v>0</v>
      </c>
      <c r="M391" s="29">
        <f>Item_Enchant_Old!M395</f>
        <v>1</v>
      </c>
      <c r="N391" s="29">
        <f>Item_Enchant_Old!N395</f>
        <v>57</v>
      </c>
      <c r="O391" s="29">
        <f>Item_Enchant_Old!O395</f>
        <v>1</v>
      </c>
      <c r="P391" s="29">
        <f>Item_Enchant_Old!P395</f>
        <v>1</v>
      </c>
      <c r="Q391" s="29">
        <f>Item_Enchant_Old!Q395</f>
        <v>1</v>
      </c>
      <c r="R391" s="29">
        <f>Item_Enchant_Old!R395</f>
        <v>1</v>
      </c>
    </row>
    <row r="392" spans="1:18" s="29" customFormat="1" hidden="1">
      <c r="A392" s="29">
        <f>Item_Enchant_Old!A396</f>
        <v>391</v>
      </c>
      <c r="B392" s="29" t="str">
        <f>Item_Enchant_Old!B396</f>
        <v>ACTIVE_DEX_UP</v>
      </c>
      <c r="C392" s="29">
        <f>Item_Enchant_Old!C396</f>
        <v>613</v>
      </c>
      <c r="D392" s="29">
        <f>Item_Enchant_Old!D396</f>
        <v>0</v>
      </c>
      <c r="E392" s="29">
        <f>Item_Enchant_Old!E396</f>
        <v>0</v>
      </c>
      <c r="F392" s="29">
        <f>Item_Enchant_Old!F396</f>
        <v>0</v>
      </c>
      <c r="G392" s="29">
        <f>Item_Enchant_Old!G396</f>
        <v>3</v>
      </c>
      <c r="H392" s="29" t="str">
        <f>Item_Enchant_Old!H396</f>
        <v>@</v>
      </c>
      <c r="I392" s="29">
        <f>Item_Enchant_Old!I396</f>
        <v>1</v>
      </c>
      <c r="J392" s="29" t="str">
        <f>Item_Enchant_Old!J396</f>
        <v>절대값/상대값(%) 가능</v>
      </c>
      <c r="K392" s="29">
        <f>Item_Enchant_Old!K396</f>
        <v>8</v>
      </c>
      <c r="L392" s="29">
        <f>Item_Enchant_Old!L396</f>
        <v>0</v>
      </c>
      <c r="M392" s="29">
        <f>Item_Enchant_Old!M396</f>
        <v>1</v>
      </c>
      <c r="N392" s="29">
        <f>Item_Enchant_Old!N396</f>
        <v>44</v>
      </c>
      <c r="O392" s="29">
        <f>Item_Enchant_Old!O396</f>
        <v>1</v>
      </c>
      <c r="P392" s="29">
        <f>Item_Enchant_Old!P396</f>
        <v>1</v>
      </c>
      <c r="Q392" s="29">
        <f>Item_Enchant_Old!Q396</f>
        <v>1</v>
      </c>
      <c r="R392" s="29">
        <f>Item_Enchant_Old!R396</f>
        <v>1</v>
      </c>
    </row>
    <row r="393" spans="1:18" s="29" customFormat="1" hidden="1">
      <c r="A393" s="29">
        <f>Item_Enchant_Old!A397</f>
        <v>392</v>
      </c>
      <c r="B393" s="29" t="str">
        <f>Item_Enchant_Old!B397</f>
        <v>ACTIVE_PHYSICAL_CRITICAL_DAMAGE_UP</v>
      </c>
      <c r="C393" s="29">
        <f>Item_Enchant_Old!C397</f>
        <v>658</v>
      </c>
      <c r="D393" s="29">
        <f>Item_Enchant_Old!D397</f>
        <v>0</v>
      </c>
      <c r="E393" s="29">
        <f>Item_Enchant_Old!E397</f>
        <v>0</v>
      </c>
      <c r="F393" s="29">
        <f>Item_Enchant_Old!F397</f>
        <v>0</v>
      </c>
      <c r="G393" s="29">
        <f>Item_Enchant_Old!G397</f>
        <v>4</v>
      </c>
      <c r="H393" s="29" t="str">
        <f>Item_Enchant_Old!H397</f>
        <v>@</v>
      </c>
      <c r="I393" s="29">
        <f>Item_Enchant_Old!I397</f>
        <v>1</v>
      </c>
      <c r="J393" s="29" t="str">
        <f>Item_Enchant_Old!J397</f>
        <v>절대값만 가능</v>
      </c>
      <c r="K393" s="29">
        <f>Item_Enchant_Old!K397</f>
        <v>8</v>
      </c>
      <c r="L393" s="29">
        <f>Item_Enchant_Old!L397</f>
        <v>0</v>
      </c>
      <c r="M393" s="29">
        <f>Item_Enchant_Old!M397</f>
        <v>1</v>
      </c>
      <c r="N393" s="29">
        <f>Item_Enchant_Old!N397</f>
        <v>28</v>
      </c>
      <c r="O393" s="29">
        <f>Item_Enchant_Old!O397</f>
        <v>1</v>
      </c>
      <c r="P393" s="29">
        <f>Item_Enchant_Old!P397</f>
        <v>1</v>
      </c>
      <c r="Q393" s="29">
        <f>Item_Enchant_Old!Q397</f>
        <v>1</v>
      </c>
      <c r="R393" s="29">
        <f>Item_Enchant_Old!R397</f>
        <v>1</v>
      </c>
    </row>
    <row r="394" spans="1:18" s="29" customFormat="1" hidden="1">
      <c r="A394" s="29">
        <f>Item_Enchant_Old!A398</f>
        <v>393</v>
      </c>
      <c r="B394" s="29" t="str">
        <f>Item_Enchant_Old!B398</f>
        <v>ACTIVE_PHYSICAL_CRITICAL_DAMAGE_UP</v>
      </c>
      <c r="C394" s="29">
        <f>Item_Enchant_Old!C398</f>
        <v>658</v>
      </c>
      <c r="D394" s="29">
        <f>Item_Enchant_Old!D398</f>
        <v>0</v>
      </c>
      <c r="E394" s="29">
        <f>Item_Enchant_Old!E398</f>
        <v>0</v>
      </c>
      <c r="F394" s="29">
        <f>Item_Enchant_Old!F398</f>
        <v>0</v>
      </c>
      <c r="G394" s="29">
        <f>Item_Enchant_Old!G398</f>
        <v>4</v>
      </c>
      <c r="H394" s="29" t="str">
        <f>Item_Enchant_Old!H398</f>
        <v>@</v>
      </c>
      <c r="I394" s="29">
        <f>Item_Enchant_Old!I398</f>
        <v>1</v>
      </c>
      <c r="J394" s="29" t="str">
        <f>Item_Enchant_Old!J398</f>
        <v>절대값만 가능</v>
      </c>
      <c r="K394" s="29">
        <f>Item_Enchant_Old!K398</f>
        <v>8</v>
      </c>
      <c r="L394" s="29">
        <f>Item_Enchant_Old!L398</f>
        <v>0</v>
      </c>
      <c r="M394" s="29">
        <f>Item_Enchant_Old!M398</f>
        <v>2</v>
      </c>
      <c r="N394" s="29">
        <f>Item_Enchant_Old!N398</f>
        <v>28</v>
      </c>
      <c r="O394" s="29">
        <f>Item_Enchant_Old!O398</f>
        <v>1</v>
      </c>
      <c r="P394" s="29">
        <f>Item_Enchant_Old!P398</f>
        <v>1</v>
      </c>
      <c r="Q394" s="29">
        <f>Item_Enchant_Old!Q398</f>
        <v>1</v>
      </c>
      <c r="R394" s="29">
        <f>Item_Enchant_Old!R398</f>
        <v>1</v>
      </c>
    </row>
    <row r="395" spans="1:18" s="29" customFormat="1" hidden="1">
      <c r="A395" s="29">
        <f>Item_Enchant_Old!A399</f>
        <v>394</v>
      </c>
      <c r="B395" s="29" t="str">
        <f>Item_Enchant_Old!B399</f>
        <v>ACTIVE_PHYSICAL_CRITICAL</v>
      </c>
      <c r="C395" s="29">
        <f>Item_Enchant_Old!C399</f>
        <v>632</v>
      </c>
      <c r="D395" s="29">
        <f>Item_Enchant_Old!D399</f>
        <v>0</v>
      </c>
      <c r="E395" s="29">
        <f>Item_Enchant_Old!E399</f>
        <v>0</v>
      </c>
      <c r="F395" s="29">
        <f>Item_Enchant_Old!F399</f>
        <v>0</v>
      </c>
      <c r="G395" s="29">
        <f>Item_Enchant_Old!G399</f>
        <v>5</v>
      </c>
      <c r="H395" s="29" t="str">
        <f>Item_Enchant_Old!H399</f>
        <v>@</v>
      </c>
      <c r="I395" s="29">
        <f>Item_Enchant_Old!I399</f>
        <v>1</v>
      </c>
      <c r="J395" s="29" t="str">
        <f>Item_Enchant_Old!J399</f>
        <v>절대값/상대값(%) 가능</v>
      </c>
      <c r="K395" s="29">
        <f>Item_Enchant_Old!K399</f>
        <v>8</v>
      </c>
      <c r="L395" s="29">
        <f>Item_Enchant_Old!L399</f>
        <v>0</v>
      </c>
      <c r="M395" s="29">
        <f>Item_Enchant_Old!M399</f>
        <v>2</v>
      </c>
      <c r="N395" s="29">
        <f>Item_Enchant_Old!N399</f>
        <v>21</v>
      </c>
      <c r="O395" s="29">
        <f>Item_Enchant_Old!O399</f>
        <v>1</v>
      </c>
      <c r="P395" s="29">
        <f>Item_Enchant_Old!P399</f>
        <v>1</v>
      </c>
      <c r="Q395" s="29">
        <f>Item_Enchant_Old!Q399</f>
        <v>1</v>
      </c>
      <c r="R395" s="29">
        <f>Item_Enchant_Old!R399</f>
        <v>1</v>
      </c>
    </row>
    <row r="396" spans="1:18" s="29" customFormat="1" hidden="1">
      <c r="A396" s="29">
        <f>Item_Enchant_Old!A400</f>
        <v>395</v>
      </c>
      <c r="B396" s="29" t="str">
        <f>Item_Enchant_Old!B400</f>
        <v>ACTIVE_DEX_UP</v>
      </c>
      <c r="C396" s="29">
        <f>Item_Enchant_Old!C400</f>
        <v>613</v>
      </c>
      <c r="D396" s="29">
        <f>Item_Enchant_Old!D400</f>
        <v>0</v>
      </c>
      <c r="E396" s="29">
        <f>Item_Enchant_Old!E400</f>
        <v>0</v>
      </c>
      <c r="F396" s="29">
        <f>Item_Enchant_Old!F400</f>
        <v>0</v>
      </c>
      <c r="G396" s="29">
        <f>Item_Enchant_Old!G400</f>
        <v>3</v>
      </c>
      <c r="H396" s="29" t="str">
        <f>Item_Enchant_Old!H400</f>
        <v>@</v>
      </c>
      <c r="I396" s="29">
        <f>Item_Enchant_Old!I400</f>
        <v>1</v>
      </c>
      <c r="J396" s="29" t="str">
        <f>Item_Enchant_Old!J400</f>
        <v>절대값/상대값(%) 가능</v>
      </c>
      <c r="K396" s="29">
        <f>Item_Enchant_Old!K400</f>
        <v>8</v>
      </c>
      <c r="L396" s="29">
        <f>Item_Enchant_Old!L400</f>
        <v>0</v>
      </c>
      <c r="M396" s="29">
        <f>Item_Enchant_Old!M400</f>
        <v>2</v>
      </c>
      <c r="N396" s="29">
        <f>Item_Enchant_Old!N400</f>
        <v>44</v>
      </c>
      <c r="O396" s="29">
        <f>Item_Enchant_Old!O400</f>
        <v>1</v>
      </c>
      <c r="P396" s="29">
        <f>Item_Enchant_Old!P400</f>
        <v>1</v>
      </c>
      <c r="Q396" s="29">
        <f>Item_Enchant_Old!Q400</f>
        <v>1</v>
      </c>
      <c r="R396" s="29">
        <f>Item_Enchant_Old!R400</f>
        <v>1</v>
      </c>
    </row>
    <row r="397" spans="1:18" s="29" customFormat="1" hidden="1">
      <c r="A397" s="29">
        <f>Item_Enchant_Old!A401</f>
        <v>396</v>
      </c>
      <c r="B397" s="29" t="str">
        <f>Item_Enchant_Old!B401</f>
        <v>ACTIVE_FOC_UP</v>
      </c>
      <c r="C397" s="29">
        <f>Item_Enchant_Old!C401</f>
        <v>612</v>
      </c>
      <c r="D397" s="29">
        <f>Item_Enchant_Old!D401</f>
        <v>0</v>
      </c>
      <c r="E397" s="29">
        <f>Item_Enchant_Old!E401</f>
        <v>0</v>
      </c>
      <c r="F397" s="29">
        <f>Item_Enchant_Old!F401</f>
        <v>0</v>
      </c>
      <c r="G397" s="29">
        <f>Item_Enchant_Old!G401</f>
        <v>2</v>
      </c>
      <c r="H397" s="29" t="str">
        <f>Item_Enchant_Old!H401</f>
        <v>@</v>
      </c>
      <c r="I397" s="29">
        <f>Item_Enchant_Old!I401</f>
        <v>1</v>
      </c>
      <c r="J397" s="29" t="str">
        <f>Item_Enchant_Old!J401</f>
        <v>절대값/상대값(%) 가능</v>
      </c>
      <c r="K397" s="29">
        <f>Item_Enchant_Old!K401</f>
        <v>8</v>
      </c>
      <c r="L397" s="29">
        <f>Item_Enchant_Old!L401</f>
        <v>0</v>
      </c>
      <c r="M397" s="29">
        <f>Item_Enchant_Old!M401</f>
        <v>2</v>
      </c>
      <c r="N397" s="29">
        <f>Item_Enchant_Old!N401</f>
        <v>53</v>
      </c>
      <c r="O397" s="29">
        <f>Item_Enchant_Old!O401</f>
        <v>1</v>
      </c>
      <c r="P397" s="29">
        <f>Item_Enchant_Old!P401</f>
        <v>1</v>
      </c>
      <c r="Q397" s="29">
        <f>Item_Enchant_Old!Q401</f>
        <v>1</v>
      </c>
      <c r="R397" s="29">
        <f>Item_Enchant_Old!R401</f>
        <v>1</v>
      </c>
    </row>
    <row r="398" spans="1:18" s="29" customFormat="1" hidden="1">
      <c r="A398" s="29">
        <f>Item_Enchant_Old!A402</f>
        <v>397</v>
      </c>
      <c r="B398" s="29" t="str">
        <f>Item_Enchant_Old!B402</f>
        <v>ACTIVE_ENERGY_OFFENCE_UP</v>
      </c>
      <c r="C398" s="29">
        <f>Item_Enchant_Old!C402</f>
        <v>607</v>
      </c>
      <c r="D398" s="29">
        <f>Item_Enchant_Old!D402</f>
        <v>0</v>
      </c>
      <c r="E398" s="29">
        <f>Item_Enchant_Old!E402</f>
        <v>0</v>
      </c>
      <c r="F398" s="29">
        <f>Item_Enchant_Old!F402</f>
        <v>0</v>
      </c>
      <c r="G398" s="29">
        <f>Item_Enchant_Old!G402</f>
        <v>1</v>
      </c>
      <c r="H398" s="29" t="str">
        <f>Item_Enchant_Old!H402</f>
        <v>@</v>
      </c>
      <c r="I398" s="29">
        <f>Item_Enchant_Old!I402</f>
        <v>1</v>
      </c>
      <c r="J398" s="29" t="str">
        <f>Item_Enchant_Old!J402</f>
        <v>절대값/상대값(%) 가능</v>
      </c>
      <c r="K398" s="29">
        <f>Item_Enchant_Old!K402</f>
        <v>8</v>
      </c>
      <c r="L398" s="29">
        <f>Item_Enchant_Old!L402</f>
        <v>0</v>
      </c>
      <c r="M398" s="29">
        <f>Item_Enchant_Old!M402</f>
        <v>3</v>
      </c>
      <c r="N398" s="29">
        <f>Item_Enchant_Old!N402</f>
        <v>104</v>
      </c>
      <c r="O398" s="29">
        <f>Item_Enchant_Old!O402</f>
        <v>1</v>
      </c>
      <c r="P398" s="29">
        <f>Item_Enchant_Old!P402</f>
        <v>1</v>
      </c>
      <c r="Q398" s="29">
        <f>Item_Enchant_Old!Q402</f>
        <v>1</v>
      </c>
      <c r="R398" s="29">
        <f>Item_Enchant_Old!R402</f>
        <v>1</v>
      </c>
    </row>
    <row r="399" spans="1:18" s="29" customFormat="1" hidden="1">
      <c r="A399" s="29">
        <f>Item_Enchant_Old!A403</f>
        <v>398</v>
      </c>
      <c r="B399" s="29" t="str">
        <f>Item_Enchant_Old!B403</f>
        <v>ACTIVE_FOC_UP</v>
      </c>
      <c r="C399" s="29">
        <f>Item_Enchant_Old!C403</f>
        <v>612</v>
      </c>
      <c r="D399" s="29">
        <f>Item_Enchant_Old!D403</f>
        <v>0</v>
      </c>
      <c r="E399" s="29">
        <f>Item_Enchant_Old!E403</f>
        <v>0</v>
      </c>
      <c r="F399" s="29">
        <f>Item_Enchant_Old!F403</f>
        <v>0</v>
      </c>
      <c r="G399" s="29">
        <f>Item_Enchant_Old!G403</f>
        <v>2</v>
      </c>
      <c r="H399" s="29" t="str">
        <f>Item_Enchant_Old!H403</f>
        <v>@</v>
      </c>
      <c r="I399" s="29">
        <f>Item_Enchant_Old!I403</f>
        <v>1</v>
      </c>
      <c r="J399" s="29" t="str">
        <f>Item_Enchant_Old!J403</f>
        <v>절대값/상대값(%) 가능</v>
      </c>
      <c r="K399" s="29">
        <f>Item_Enchant_Old!K403</f>
        <v>8</v>
      </c>
      <c r="L399" s="29">
        <f>Item_Enchant_Old!L403</f>
        <v>0</v>
      </c>
      <c r="M399" s="29">
        <f>Item_Enchant_Old!M403</f>
        <v>3</v>
      </c>
      <c r="N399" s="29">
        <f>Item_Enchant_Old!N403</f>
        <v>53</v>
      </c>
      <c r="O399" s="29">
        <f>Item_Enchant_Old!O403</f>
        <v>1</v>
      </c>
      <c r="P399" s="29">
        <f>Item_Enchant_Old!P403</f>
        <v>1</v>
      </c>
      <c r="Q399" s="29">
        <f>Item_Enchant_Old!Q403</f>
        <v>1</v>
      </c>
      <c r="R399" s="29">
        <f>Item_Enchant_Old!R403</f>
        <v>1</v>
      </c>
    </row>
    <row r="400" spans="1:18" s="29" customFormat="1" hidden="1">
      <c r="A400" s="29">
        <f>Item_Enchant_Old!A404</f>
        <v>399</v>
      </c>
      <c r="B400" s="29" t="str">
        <f>Item_Enchant_Old!B404</f>
        <v>ACTIVE_SOL_UP</v>
      </c>
      <c r="C400" s="29">
        <f>Item_Enchant_Old!C404</f>
        <v>614</v>
      </c>
      <c r="D400" s="29">
        <f>Item_Enchant_Old!D404</f>
        <v>0</v>
      </c>
      <c r="E400" s="29">
        <f>Item_Enchant_Old!E404</f>
        <v>0</v>
      </c>
      <c r="F400" s="29">
        <f>Item_Enchant_Old!F404</f>
        <v>0</v>
      </c>
      <c r="G400" s="29">
        <f>Item_Enchant_Old!G404</f>
        <v>2</v>
      </c>
      <c r="H400" s="29" t="str">
        <f>Item_Enchant_Old!H404</f>
        <v>@</v>
      </c>
      <c r="I400" s="29">
        <f>Item_Enchant_Old!I404</f>
        <v>1</v>
      </c>
      <c r="J400" s="29" t="str">
        <f>Item_Enchant_Old!J404</f>
        <v>절대값/상대값(%) 가능</v>
      </c>
      <c r="K400" s="29">
        <f>Item_Enchant_Old!K404</f>
        <v>8</v>
      </c>
      <c r="L400" s="29">
        <f>Item_Enchant_Old!L404</f>
        <v>0</v>
      </c>
      <c r="M400" s="29">
        <f>Item_Enchant_Old!M404</f>
        <v>3</v>
      </c>
      <c r="N400" s="29">
        <f>Item_Enchant_Old!N404</f>
        <v>53</v>
      </c>
      <c r="O400" s="29">
        <f>Item_Enchant_Old!O404</f>
        <v>1</v>
      </c>
      <c r="P400" s="29">
        <f>Item_Enchant_Old!P404</f>
        <v>1</v>
      </c>
      <c r="Q400" s="29">
        <f>Item_Enchant_Old!Q404</f>
        <v>1</v>
      </c>
      <c r="R400" s="29">
        <f>Item_Enchant_Old!R404</f>
        <v>1</v>
      </c>
    </row>
    <row r="401" spans="1:18" s="29" customFormat="1" hidden="1">
      <c r="A401" s="29">
        <f>Item_Enchant_Old!A405</f>
        <v>400</v>
      </c>
      <c r="B401" s="29" t="str">
        <f>Item_Enchant_Old!B405</f>
        <v>ACTIVE_ENERGY_CRITICAL_DAMAGE_UP</v>
      </c>
      <c r="C401" s="29">
        <f>Item_Enchant_Old!C405</f>
        <v>659</v>
      </c>
      <c r="D401" s="29">
        <f>Item_Enchant_Old!D405</f>
        <v>0</v>
      </c>
      <c r="E401" s="29">
        <f>Item_Enchant_Old!E405</f>
        <v>0</v>
      </c>
      <c r="F401" s="29">
        <f>Item_Enchant_Old!F405</f>
        <v>0</v>
      </c>
      <c r="G401" s="29">
        <f>Item_Enchant_Old!G405</f>
        <v>4</v>
      </c>
      <c r="H401" s="29" t="str">
        <f>Item_Enchant_Old!H405</f>
        <v>@</v>
      </c>
      <c r="I401" s="29">
        <f>Item_Enchant_Old!I405</f>
        <v>1</v>
      </c>
      <c r="J401" s="29" t="str">
        <f>Item_Enchant_Old!J405</f>
        <v>절대값만 가능</v>
      </c>
      <c r="K401" s="29">
        <f>Item_Enchant_Old!K405</f>
        <v>8</v>
      </c>
      <c r="L401" s="29">
        <f>Item_Enchant_Old!L405</f>
        <v>0</v>
      </c>
      <c r="M401" s="29">
        <f>Item_Enchant_Old!M405</f>
        <v>3</v>
      </c>
      <c r="N401" s="29">
        <f>Item_Enchant_Old!N405</f>
        <v>32</v>
      </c>
      <c r="O401" s="29">
        <f>Item_Enchant_Old!O405</f>
        <v>1</v>
      </c>
      <c r="P401" s="29">
        <f>Item_Enchant_Old!P405</f>
        <v>1</v>
      </c>
      <c r="Q401" s="29">
        <f>Item_Enchant_Old!Q405</f>
        <v>1</v>
      </c>
      <c r="R401" s="29">
        <f>Item_Enchant_Old!R405</f>
        <v>1</v>
      </c>
    </row>
    <row r="402" spans="1:18" s="29" customFormat="1" hidden="1">
      <c r="A402" s="29">
        <f>Item_Enchant_Old!A406</f>
        <v>401</v>
      </c>
      <c r="B402" s="29" t="str">
        <f>Item_Enchant_Old!B406</f>
        <v>ACTIVE_ENERGY_CRITICAL</v>
      </c>
      <c r="C402" s="29">
        <f>Item_Enchant_Old!C406</f>
        <v>633</v>
      </c>
      <c r="D402" s="29">
        <f>Item_Enchant_Old!D406</f>
        <v>0</v>
      </c>
      <c r="E402" s="29">
        <f>Item_Enchant_Old!E406</f>
        <v>0</v>
      </c>
      <c r="F402" s="29">
        <f>Item_Enchant_Old!F406</f>
        <v>0</v>
      </c>
      <c r="G402" s="29">
        <f>Item_Enchant_Old!G406</f>
        <v>5</v>
      </c>
      <c r="H402" s="29" t="str">
        <f>Item_Enchant_Old!H406</f>
        <v>@</v>
      </c>
      <c r="I402" s="29">
        <f>Item_Enchant_Old!I406</f>
        <v>1</v>
      </c>
      <c r="J402" s="29" t="str">
        <f>Item_Enchant_Old!J406</f>
        <v>절대값/상대값(%) 가능</v>
      </c>
      <c r="K402" s="29">
        <f>Item_Enchant_Old!K406</f>
        <v>8</v>
      </c>
      <c r="L402" s="29">
        <f>Item_Enchant_Old!L406</f>
        <v>0</v>
      </c>
      <c r="M402" s="29">
        <f>Item_Enchant_Old!M406</f>
        <v>4</v>
      </c>
      <c r="N402" s="29">
        <f>Item_Enchant_Old!N406</f>
        <v>24</v>
      </c>
      <c r="O402" s="29">
        <f>Item_Enchant_Old!O406</f>
        <v>1</v>
      </c>
      <c r="P402" s="29">
        <f>Item_Enchant_Old!P406</f>
        <v>1</v>
      </c>
      <c r="Q402" s="29">
        <f>Item_Enchant_Old!Q406</f>
        <v>1</v>
      </c>
      <c r="R402" s="29">
        <f>Item_Enchant_Old!R406</f>
        <v>1</v>
      </c>
    </row>
    <row r="403" spans="1:18" s="29" customFormat="1" hidden="1">
      <c r="A403" s="29">
        <f>Item_Enchant_Old!A407</f>
        <v>402</v>
      </c>
      <c r="B403" s="29" t="str">
        <f>Item_Enchant_Old!B407</f>
        <v>ACTIVE_ENERGY_CRITICAL_DAMAGE_UP</v>
      </c>
      <c r="C403" s="29">
        <f>Item_Enchant_Old!C407</f>
        <v>659</v>
      </c>
      <c r="D403" s="29">
        <f>Item_Enchant_Old!D407</f>
        <v>0</v>
      </c>
      <c r="E403" s="29">
        <f>Item_Enchant_Old!E407</f>
        <v>0</v>
      </c>
      <c r="F403" s="29">
        <f>Item_Enchant_Old!F407</f>
        <v>0</v>
      </c>
      <c r="G403" s="29">
        <f>Item_Enchant_Old!G407</f>
        <v>4</v>
      </c>
      <c r="H403" s="29" t="str">
        <f>Item_Enchant_Old!H407</f>
        <v>@</v>
      </c>
      <c r="I403" s="29">
        <f>Item_Enchant_Old!I407</f>
        <v>1</v>
      </c>
      <c r="J403" s="29" t="str">
        <f>Item_Enchant_Old!J407</f>
        <v>절대값만 가능</v>
      </c>
      <c r="K403" s="29">
        <f>Item_Enchant_Old!K407</f>
        <v>8</v>
      </c>
      <c r="L403" s="29">
        <f>Item_Enchant_Old!L407</f>
        <v>0</v>
      </c>
      <c r="M403" s="29">
        <f>Item_Enchant_Old!M407</f>
        <v>4</v>
      </c>
      <c r="N403" s="29">
        <f>Item_Enchant_Old!N407</f>
        <v>32</v>
      </c>
      <c r="O403" s="29">
        <f>Item_Enchant_Old!O407</f>
        <v>1</v>
      </c>
      <c r="P403" s="29">
        <f>Item_Enchant_Old!P407</f>
        <v>1</v>
      </c>
      <c r="Q403" s="29">
        <f>Item_Enchant_Old!Q407</f>
        <v>1</v>
      </c>
      <c r="R403" s="29">
        <f>Item_Enchant_Old!R407</f>
        <v>1</v>
      </c>
    </row>
    <row r="404" spans="1:18" s="29" customFormat="1" hidden="1">
      <c r="A404" s="29">
        <f>Item_Enchant_Old!A408</f>
        <v>403</v>
      </c>
      <c r="B404" s="29" t="str">
        <f>Item_Enchant_Old!B408</f>
        <v>ACTIVE_FOC_UP</v>
      </c>
      <c r="C404" s="29">
        <f>Item_Enchant_Old!C408</f>
        <v>612</v>
      </c>
      <c r="D404" s="29">
        <f>Item_Enchant_Old!D408</f>
        <v>0</v>
      </c>
      <c r="E404" s="29">
        <f>Item_Enchant_Old!E408</f>
        <v>0</v>
      </c>
      <c r="F404" s="29">
        <f>Item_Enchant_Old!F408</f>
        <v>0</v>
      </c>
      <c r="G404" s="29">
        <f>Item_Enchant_Old!G408</f>
        <v>2</v>
      </c>
      <c r="H404" s="29" t="str">
        <f>Item_Enchant_Old!H408</f>
        <v>@</v>
      </c>
      <c r="I404" s="29">
        <f>Item_Enchant_Old!I408</f>
        <v>1</v>
      </c>
      <c r="J404" s="29" t="str">
        <f>Item_Enchant_Old!J408</f>
        <v>절대값/상대값(%) 가능</v>
      </c>
      <c r="K404" s="29">
        <f>Item_Enchant_Old!K408</f>
        <v>8</v>
      </c>
      <c r="L404" s="29">
        <f>Item_Enchant_Old!L408</f>
        <v>0</v>
      </c>
      <c r="M404" s="29">
        <f>Item_Enchant_Old!M408</f>
        <v>4</v>
      </c>
      <c r="N404" s="29">
        <f>Item_Enchant_Old!N408</f>
        <v>53</v>
      </c>
      <c r="O404" s="29">
        <f>Item_Enchant_Old!O408</f>
        <v>1</v>
      </c>
      <c r="P404" s="29">
        <f>Item_Enchant_Old!P408</f>
        <v>1</v>
      </c>
      <c r="Q404" s="29">
        <f>Item_Enchant_Old!Q408</f>
        <v>1</v>
      </c>
      <c r="R404" s="29">
        <f>Item_Enchant_Old!R408</f>
        <v>1</v>
      </c>
    </row>
    <row r="405" spans="1:18" s="29" customFormat="1" hidden="1">
      <c r="A405" s="29">
        <f>Item_Enchant_Old!A409</f>
        <v>404</v>
      </c>
      <c r="B405" s="29" t="str">
        <f>Item_Enchant_Old!B409</f>
        <v>ACTIVE_DEX_UP</v>
      </c>
      <c r="C405" s="29">
        <f>Item_Enchant_Old!C409</f>
        <v>613</v>
      </c>
      <c r="D405" s="29">
        <f>Item_Enchant_Old!D409</f>
        <v>0</v>
      </c>
      <c r="E405" s="29">
        <f>Item_Enchant_Old!E409</f>
        <v>0</v>
      </c>
      <c r="F405" s="29">
        <f>Item_Enchant_Old!F409</f>
        <v>0</v>
      </c>
      <c r="G405" s="29">
        <f>Item_Enchant_Old!G409</f>
        <v>3</v>
      </c>
      <c r="H405" s="29" t="str">
        <f>Item_Enchant_Old!H409</f>
        <v>@</v>
      </c>
      <c r="I405" s="29">
        <f>Item_Enchant_Old!I409</f>
        <v>1</v>
      </c>
      <c r="J405" s="29" t="str">
        <f>Item_Enchant_Old!J409</f>
        <v>절대값/상대값(%) 가능</v>
      </c>
      <c r="K405" s="29">
        <f>Item_Enchant_Old!K409</f>
        <v>8</v>
      </c>
      <c r="L405" s="29">
        <f>Item_Enchant_Old!L409</f>
        <v>0</v>
      </c>
      <c r="M405" s="29">
        <f>Item_Enchant_Old!M409</f>
        <v>4</v>
      </c>
      <c r="N405" s="29">
        <f>Item_Enchant_Old!N409</f>
        <v>44</v>
      </c>
      <c r="O405" s="29">
        <f>Item_Enchant_Old!O409</f>
        <v>1</v>
      </c>
      <c r="P405" s="29">
        <f>Item_Enchant_Old!P409</f>
        <v>1</v>
      </c>
      <c r="Q405" s="29">
        <f>Item_Enchant_Old!Q409</f>
        <v>1</v>
      </c>
      <c r="R405" s="29">
        <f>Item_Enchant_Old!R409</f>
        <v>1</v>
      </c>
    </row>
    <row r="406" spans="1:18" s="29" customFormat="1" hidden="1">
      <c r="A406" s="29">
        <f>Item_Enchant_Old!A410</f>
        <v>405</v>
      </c>
      <c r="B406" s="29" t="str">
        <f>Item_Enchant_Old!B410</f>
        <v>ACTIVE_ATTACK_SPEED_UP</v>
      </c>
      <c r="C406" s="29">
        <f>Item_Enchant_Old!C410</f>
        <v>617</v>
      </c>
      <c r="D406" s="29">
        <f>Item_Enchant_Old!D410</f>
        <v>1</v>
      </c>
      <c r="E406" s="29">
        <f>Item_Enchant_Old!E410</f>
        <v>0</v>
      </c>
      <c r="F406" s="29">
        <f>Item_Enchant_Old!F410</f>
        <v>0</v>
      </c>
      <c r="G406" s="29">
        <f>Item_Enchant_Old!G410</f>
        <v>10</v>
      </c>
      <c r="H406" s="29" t="str">
        <f>Item_Enchant_Old!H410</f>
        <v>@</v>
      </c>
      <c r="I406" s="29">
        <f>Item_Enchant_Old!I410</f>
        <v>1</v>
      </c>
      <c r="J406" s="29" t="str">
        <f>Item_Enchant_Old!J410</f>
        <v>절대값/상대값(%) 가능</v>
      </c>
      <c r="K406" s="29">
        <f>Item_Enchant_Old!K410</f>
        <v>8</v>
      </c>
      <c r="L406" s="29">
        <f>Item_Enchant_Old!L410</f>
        <v>0</v>
      </c>
      <c r="M406" s="29">
        <f>Item_Enchant_Old!M410</f>
        <v>5</v>
      </c>
      <c r="N406" s="29">
        <f>Item_Enchant_Old!N410</f>
        <v>10</v>
      </c>
      <c r="O406" s="29">
        <f>Item_Enchant_Old!O410</f>
        <v>1</v>
      </c>
      <c r="P406" s="29">
        <f>Item_Enchant_Old!P410</f>
        <v>1</v>
      </c>
      <c r="Q406" s="29">
        <f>Item_Enchant_Old!Q410</f>
        <v>1</v>
      </c>
      <c r="R406" s="29">
        <f>Item_Enchant_Old!R410</f>
        <v>1</v>
      </c>
    </row>
    <row r="407" spans="1:18" s="29" customFormat="1" hidden="1">
      <c r="A407" s="29">
        <f>Item_Enchant_Old!A411</f>
        <v>406</v>
      </c>
      <c r="B407" s="29" t="str">
        <f>Item_Enchant_Old!B411</f>
        <v>ACTIVE_DEX_UP</v>
      </c>
      <c r="C407" s="29">
        <f>Item_Enchant_Old!C411</f>
        <v>613</v>
      </c>
      <c r="D407" s="29">
        <f>Item_Enchant_Old!D411</f>
        <v>0</v>
      </c>
      <c r="E407" s="29">
        <f>Item_Enchant_Old!E411</f>
        <v>0</v>
      </c>
      <c r="F407" s="29">
        <f>Item_Enchant_Old!F411</f>
        <v>0</v>
      </c>
      <c r="G407" s="29">
        <f>Item_Enchant_Old!G411</f>
        <v>3</v>
      </c>
      <c r="H407" s="29" t="str">
        <f>Item_Enchant_Old!H411</f>
        <v>@</v>
      </c>
      <c r="I407" s="29">
        <f>Item_Enchant_Old!I411</f>
        <v>1</v>
      </c>
      <c r="J407" s="29" t="str">
        <f>Item_Enchant_Old!J411</f>
        <v>절대값/상대값(%) 가능</v>
      </c>
      <c r="K407" s="29">
        <f>Item_Enchant_Old!K411</f>
        <v>8</v>
      </c>
      <c r="L407" s="29">
        <f>Item_Enchant_Old!L411</f>
        <v>0</v>
      </c>
      <c r="M407" s="29">
        <f>Item_Enchant_Old!M411</f>
        <v>5</v>
      </c>
      <c r="N407" s="29">
        <f>Item_Enchant_Old!N411</f>
        <v>44</v>
      </c>
      <c r="O407" s="29">
        <f>Item_Enchant_Old!O411</f>
        <v>1</v>
      </c>
      <c r="P407" s="29">
        <f>Item_Enchant_Old!P411</f>
        <v>1</v>
      </c>
      <c r="Q407" s="29">
        <f>Item_Enchant_Old!Q411</f>
        <v>1</v>
      </c>
      <c r="R407" s="29">
        <f>Item_Enchant_Old!R411</f>
        <v>1</v>
      </c>
    </row>
    <row r="408" spans="1:18" s="29" customFormat="1" hidden="1">
      <c r="A408" s="29">
        <f>Item_Enchant_Old!A412</f>
        <v>407</v>
      </c>
      <c r="B408" s="29" t="str">
        <f>Item_Enchant_Old!B412</f>
        <v>ACTIVE_FOC_UP</v>
      </c>
      <c r="C408" s="29">
        <f>Item_Enchant_Old!C412</f>
        <v>612</v>
      </c>
      <c r="D408" s="29">
        <f>Item_Enchant_Old!D412</f>
        <v>0</v>
      </c>
      <c r="E408" s="29">
        <f>Item_Enchant_Old!E412</f>
        <v>0</v>
      </c>
      <c r="F408" s="29">
        <f>Item_Enchant_Old!F412</f>
        <v>0</v>
      </c>
      <c r="G408" s="29">
        <f>Item_Enchant_Old!G412</f>
        <v>2</v>
      </c>
      <c r="H408" s="29" t="str">
        <f>Item_Enchant_Old!H412</f>
        <v>@</v>
      </c>
      <c r="I408" s="29">
        <f>Item_Enchant_Old!I412</f>
        <v>1</v>
      </c>
      <c r="J408" s="29" t="str">
        <f>Item_Enchant_Old!J412</f>
        <v>절대값/상대값(%) 가능</v>
      </c>
      <c r="K408" s="29">
        <f>Item_Enchant_Old!K412</f>
        <v>8</v>
      </c>
      <c r="L408" s="29">
        <f>Item_Enchant_Old!L412</f>
        <v>0</v>
      </c>
      <c r="M408" s="29">
        <f>Item_Enchant_Old!M412</f>
        <v>5</v>
      </c>
      <c r="N408" s="29">
        <f>Item_Enchant_Old!N412</f>
        <v>53</v>
      </c>
      <c r="O408" s="29">
        <f>Item_Enchant_Old!O412</f>
        <v>1</v>
      </c>
      <c r="P408" s="29">
        <f>Item_Enchant_Old!P412</f>
        <v>1</v>
      </c>
      <c r="Q408" s="29">
        <f>Item_Enchant_Old!Q412</f>
        <v>1</v>
      </c>
      <c r="R408" s="29">
        <f>Item_Enchant_Old!R412</f>
        <v>1</v>
      </c>
    </row>
    <row r="409" spans="1:18" s="29" customFormat="1" hidden="1">
      <c r="A409" s="29">
        <f>Item_Enchant_Old!A413</f>
        <v>408</v>
      </c>
      <c r="B409" s="29" t="str">
        <f>Item_Enchant_Old!B413</f>
        <v>ACTIVE_PHYSICAL_OFFENCE_UP</v>
      </c>
      <c r="C409" s="29">
        <f>Item_Enchant_Old!C413</f>
        <v>606</v>
      </c>
      <c r="D409" s="29">
        <f>Item_Enchant_Old!D413</f>
        <v>0</v>
      </c>
      <c r="E409" s="29">
        <f>Item_Enchant_Old!E413</f>
        <v>0</v>
      </c>
      <c r="F409" s="29">
        <f>Item_Enchant_Old!F413</f>
        <v>0</v>
      </c>
      <c r="G409" s="29">
        <f>Item_Enchant_Old!G413</f>
        <v>1</v>
      </c>
      <c r="H409" s="29" t="str">
        <f>Item_Enchant_Old!H413</f>
        <v>@</v>
      </c>
      <c r="I409" s="29">
        <f>Item_Enchant_Old!I413</f>
        <v>1</v>
      </c>
      <c r="J409" s="29" t="str">
        <f>Item_Enchant_Old!J413</f>
        <v>절대값/상대값(%) 가능</v>
      </c>
      <c r="K409" s="29">
        <f>Item_Enchant_Old!K413</f>
        <v>8</v>
      </c>
      <c r="L409" s="29">
        <f>Item_Enchant_Old!L413</f>
        <v>0</v>
      </c>
      <c r="M409" s="29">
        <f>Item_Enchant_Old!M413</f>
        <v>5</v>
      </c>
      <c r="N409" s="29">
        <f>Item_Enchant_Old!N413</f>
        <v>125</v>
      </c>
      <c r="O409" s="29">
        <f>Item_Enchant_Old!O413</f>
        <v>1</v>
      </c>
      <c r="P409" s="29">
        <f>Item_Enchant_Old!P413</f>
        <v>1</v>
      </c>
      <c r="Q409" s="29">
        <f>Item_Enchant_Old!Q413</f>
        <v>1</v>
      </c>
      <c r="R409" s="29">
        <f>Item_Enchant_Old!R413</f>
        <v>1</v>
      </c>
    </row>
    <row r="410" spans="1:18" s="29" customFormat="1" hidden="1">
      <c r="A410" s="29">
        <f>Item_Enchant_Old!A414</f>
        <v>409</v>
      </c>
      <c r="B410" s="29" t="str">
        <f>Item_Enchant_Old!B414</f>
        <v>ACTIVE_ENERGY_OFFENCE_UP</v>
      </c>
      <c r="C410" s="29">
        <f>Item_Enchant_Old!C414</f>
        <v>607</v>
      </c>
      <c r="D410" s="29">
        <f>Item_Enchant_Old!D414</f>
        <v>0</v>
      </c>
      <c r="E410" s="29">
        <f>Item_Enchant_Old!E414</f>
        <v>0</v>
      </c>
      <c r="F410" s="29">
        <f>Item_Enchant_Old!F414</f>
        <v>0</v>
      </c>
      <c r="G410" s="29">
        <f>Item_Enchant_Old!G414</f>
        <v>1</v>
      </c>
      <c r="H410" s="29" t="str">
        <f>Item_Enchant_Old!H414</f>
        <v>@</v>
      </c>
      <c r="I410" s="29">
        <f>Item_Enchant_Old!I414</f>
        <v>1</v>
      </c>
      <c r="J410" s="29" t="str">
        <f>Item_Enchant_Old!J414</f>
        <v>절대값/상대값(%) 가능</v>
      </c>
      <c r="K410" s="29">
        <f>Item_Enchant_Old!K414</f>
        <v>8</v>
      </c>
      <c r="L410" s="29">
        <f>Item_Enchant_Old!L414</f>
        <v>0</v>
      </c>
      <c r="M410" s="29">
        <f>Item_Enchant_Old!M414</f>
        <v>5</v>
      </c>
      <c r="N410" s="29">
        <f>Item_Enchant_Old!N414</f>
        <v>104</v>
      </c>
      <c r="O410" s="29">
        <f>Item_Enchant_Old!O414</f>
        <v>1</v>
      </c>
      <c r="P410" s="29">
        <f>Item_Enchant_Old!P414</f>
        <v>1</v>
      </c>
      <c r="Q410" s="29">
        <f>Item_Enchant_Old!Q414</f>
        <v>1</v>
      </c>
      <c r="R410" s="29">
        <f>Item_Enchant_Old!R414</f>
        <v>1</v>
      </c>
    </row>
    <row r="411" spans="1:18" s="29" customFormat="1" hidden="1">
      <c r="A411" s="29">
        <f>Item_Enchant_Old!A415</f>
        <v>410</v>
      </c>
      <c r="B411" s="29" t="str">
        <f>Item_Enchant_Old!B415</f>
        <v>ACTIVE_PHYSICAL_OFFENCE_UP</v>
      </c>
      <c r="C411" s="29">
        <f>Item_Enchant_Old!C415</f>
        <v>606</v>
      </c>
      <c r="D411" s="29">
        <f>Item_Enchant_Old!D415</f>
        <v>0</v>
      </c>
      <c r="E411" s="29">
        <f>Item_Enchant_Old!E415</f>
        <v>0</v>
      </c>
      <c r="F411" s="29">
        <f>Item_Enchant_Old!F415</f>
        <v>0</v>
      </c>
      <c r="G411" s="29">
        <f>Item_Enchant_Old!G415</f>
        <v>1</v>
      </c>
      <c r="H411" s="29" t="str">
        <f>Item_Enchant_Old!H415</f>
        <v>@</v>
      </c>
      <c r="I411" s="29">
        <f>Item_Enchant_Old!I415</f>
        <v>1</v>
      </c>
      <c r="J411" s="29" t="str">
        <f>Item_Enchant_Old!J415</f>
        <v>절대값/상대값(%) 가능</v>
      </c>
      <c r="K411" s="29">
        <f>Item_Enchant_Old!K415</f>
        <v>8</v>
      </c>
      <c r="L411" s="29">
        <f>Item_Enchant_Old!L415</f>
        <v>0</v>
      </c>
      <c r="M411" s="29">
        <f>Item_Enchant_Old!M415</f>
        <v>6</v>
      </c>
      <c r="N411" s="29">
        <f>Item_Enchant_Old!N415</f>
        <v>125</v>
      </c>
      <c r="O411" s="29">
        <f>Item_Enchant_Old!O415</f>
        <v>1</v>
      </c>
      <c r="P411" s="29">
        <f>Item_Enchant_Old!P415</f>
        <v>1</v>
      </c>
      <c r="Q411" s="29">
        <f>Item_Enchant_Old!Q415</f>
        <v>1</v>
      </c>
      <c r="R411" s="29">
        <f>Item_Enchant_Old!R415</f>
        <v>1</v>
      </c>
    </row>
    <row r="412" spans="1:18" s="29" customFormat="1" hidden="1">
      <c r="A412" s="29">
        <f>Item_Enchant_Old!A416</f>
        <v>411</v>
      </c>
      <c r="B412" s="29" t="str">
        <f>Item_Enchant_Old!B416</f>
        <v>ACTIVE_ENERGY_OFFENCE_UP</v>
      </c>
      <c r="C412" s="29">
        <f>Item_Enchant_Old!C416</f>
        <v>607</v>
      </c>
      <c r="D412" s="29">
        <f>Item_Enchant_Old!D416</f>
        <v>0</v>
      </c>
      <c r="E412" s="29">
        <f>Item_Enchant_Old!E416</f>
        <v>0</v>
      </c>
      <c r="F412" s="29">
        <f>Item_Enchant_Old!F416</f>
        <v>0</v>
      </c>
      <c r="G412" s="29">
        <f>Item_Enchant_Old!G416</f>
        <v>1</v>
      </c>
      <c r="H412" s="29" t="str">
        <f>Item_Enchant_Old!H416</f>
        <v>@</v>
      </c>
      <c r="I412" s="29">
        <f>Item_Enchant_Old!I416</f>
        <v>1</v>
      </c>
      <c r="J412" s="29" t="str">
        <f>Item_Enchant_Old!J416</f>
        <v>절대값/상대값(%) 가능</v>
      </c>
      <c r="K412" s="29">
        <f>Item_Enchant_Old!K416</f>
        <v>8</v>
      </c>
      <c r="L412" s="29">
        <f>Item_Enchant_Old!L416</f>
        <v>0</v>
      </c>
      <c r="M412" s="29">
        <f>Item_Enchant_Old!M416</f>
        <v>6</v>
      </c>
      <c r="N412" s="29">
        <f>Item_Enchant_Old!N416</f>
        <v>104</v>
      </c>
      <c r="O412" s="29">
        <f>Item_Enchant_Old!O416</f>
        <v>1</v>
      </c>
      <c r="P412" s="29">
        <f>Item_Enchant_Old!P416</f>
        <v>1</v>
      </c>
      <c r="Q412" s="29">
        <f>Item_Enchant_Old!Q416</f>
        <v>1</v>
      </c>
      <c r="R412" s="29">
        <f>Item_Enchant_Old!R416</f>
        <v>1</v>
      </c>
    </row>
    <row r="413" spans="1:18" s="29" customFormat="1" hidden="1">
      <c r="A413" s="29">
        <f>Item_Enchant_Old!A417</f>
        <v>412</v>
      </c>
      <c r="B413" s="29" t="str">
        <f>Item_Enchant_Old!B417</f>
        <v>ACTIVE_STR_UP</v>
      </c>
      <c r="C413" s="29">
        <f>Item_Enchant_Old!C417</f>
        <v>610</v>
      </c>
      <c r="D413" s="29">
        <f>Item_Enchant_Old!D417</f>
        <v>0</v>
      </c>
      <c r="E413" s="29">
        <f>Item_Enchant_Old!E417</f>
        <v>0</v>
      </c>
      <c r="F413" s="29">
        <f>Item_Enchant_Old!F417</f>
        <v>0</v>
      </c>
      <c r="G413" s="29">
        <f>Item_Enchant_Old!G417</f>
        <v>2</v>
      </c>
      <c r="H413" s="29" t="str">
        <f>Item_Enchant_Old!H417</f>
        <v>@</v>
      </c>
      <c r="I413" s="29">
        <f>Item_Enchant_Old!I417</f>
        <v>1</v>
      </c>
      <c r="J413" s="29" t="str">
        <f>Item_Enchant_Old!J417</f>
        <v>절대값/상대값(%) 가능</v>
      </c>
      <c r="K413" s="29">
        <f>Item_Enchant_Old!K417</f>
        <v>8</v>
      </c>
      <c r="L413" s="29">
        <f>Item_Enchant_Old!L417</f>
        <v>0</v>
      </c>
      <c r="M413" s="29">
        <f>Item_Enchant_Old!M417</f>
        <v>6</v>
      </c>
      <c r="N413" s="29">
        <f>Item_Enchant_Old!N417</f>
        <v>57</v>
      </c>
      <c r="O413" s="29">
        <f>Item_Enchant_Old!O417</f>
        <v>1</v>
      </c>
      <c r="P413" s="29">
        <f>Item_Enchant_Old!P417</f>
        <v>1</v>
      </c>
      <c r="Q413" s="29">
        <f>Item_Enchant_Old!Q417</f>
        <v>1</v>
      </c>
      <c r="R413" s="29">
        <f>Item_Enchant_Old!R417</f>
        <v>1</v>
      </c>
    </row>
    <row r="414" spans="1:18" s="29" customFormat="1" hidden="1">
      <c r="A414" s="29">
        <f>Item_Enchant_Old!A418</f>
        <v>413</v>
      </c>
      <c r="B414" s="29" t="str">
        <f>Item_Enchant_Old!B418</f>
        <v>ACTIVE_SOL_UP</v>
      </c>
      <c r="C414" s="29">
        <f>Item_Enchant_Old!C418</f>
        <v>614</v>
      </c>
      <c r="D414" s="29">
        <f>Item_Enchant_Old!D418</f>
        <v>0</v>
      </c>
      <c r="E414" s="29">
        <f>Item_Enchant_Old!E418</f>
        <v>0</v>
      </c>
      <c r="F414" s="29">
        <f>Item_Enchant_Old!F418</f>
        <v>0</v>
      </c>
      <c r="G414" s="29">
        <f>Item_Enchant_Old!G418</f>
        <v>2</v>
      </c>
      <c r="H414" s="29" t="str">
        <f>Item_Enchant_Old!H418</f>
        <v>@</v>
      </c>
      <c r="I414" s="29">
        <f>Item_Enchant_Old!I418</f>
        <v>1</v>
      </c>
      <c r="J414" s="29" t="str">
        <f>Item_Enchant_Old!J418</f>
        <v>절대값/상대값(%) 가능</v>
      </c>
      <c r="K414" s="29">
        <f>Item_Enchant_Old!K418</f>
        <v>8</v>
      </c>
      <c r="L414" s="29">
        <f>Item_Enchant_Old!L418</f>
        <v>0</v>
      </c>
      <c r="M414" s="29">
        <f>Item_Enchant_Old!M418</f>
        <v>6</v>
      </c>
      <c r="N414" s="29">
        <f>Item_Enchant_Old!N418</f>
        <v>53</v>
      </c>
      <c r="O414" s="29">
        <f>Item_Enchant_Old!O418</f>
        <v>1</v>
      </c>
      <c r="P414" s="29">
        <f>Item_Enchant_Old!P418</f>
        <v>1</v>
      </c>
      <c r="Q414" s="29">
        <f>Item_Enchant_Old!Q418</f>
        <v>1</v>
      </c>
      <c r="R414" s="29">
        <f>Item_Enchant_Old!R418</f>
        <v>1</v>
      </c>
    </row>
    <row r="415" spans="1:18" s="29" customFormat="1" hidden="1">
      <c r="A415" s="29">
        <f>Item_Enchant_Old!A419</f>
        <v>414</v>
      </c>
      <c r="B415" s="29" t="str">
        <f>Item_Enchant_Old!B419</f>
        <v>ACTIVE_PHYSICAL_CRITICAL_DAMAGE_UP</v>
      </c>
      <c r="C415" s="29">
        <f>Item_Enchant_Old!C419</f>
        <v>658</v>
      </c>
      <c r="D415" s="29">
        <f>Item_Enchant_Old!D419</f>
        <v>0</v>
      </c>
      <c r="E415" s="29">
        <f>Item_Enchant_Old!E419</f>
        <v>0</v>
      </c>
      <c r="F415" s="29">
        <f>Item_Enchant_Old!F419</f>
        <v>0</v>
      </c>
      <c r="G415" s="29">
        <f>Item_Enchant_Old!G419</f>
        <v>4</v>
      </c>
      <c r="H415" s="29" t="str">
        <f>Item_Enchant_Old!H419</f>
        <v>@</v>
      </c>
      <c r="I415" s="29">
        <f>Item_Enchant_Old!I419</f>
        <v>1</v>
      </c>
      <c r="J415" s="29" t="str">
        <f>Item_Enchant_Old!J419</f>
        <v>절대값만 가능</v>
      </c>
      <c r="K415" s="29">
        <f>Item_Enchant_Old!K419</f>
        <v>8</v>
      </c>
      <c r="L415" s="29">
        <f>Item_Enchant_Old!L419</f>
        <v>0</v>
      </c>
      <c r="M415" s="29">
        <f>Item_Enchant_Old!M419</f>
        <v>6</v>
      </c>
      <c r="N415" s="29">
        <f>Item_Enchant_Old!N419</f>
        <v>28</v>
      </c>
      <c r="O415" s="29">
        <f>Item_Enchant_Old!O419</f>
        <v>1</v>
      </c>
      <c r="P415" s="29">
        <f>Item_Enchant_Old!P419</f>
        <v>1</v>
      </c>
      <c r="Q415" s="29">
        <f>Item_Enchant_Old!Q419</f>
        <v>1</v>
      </c>
      <c r="R415" s="29">
        <f>Item_Enchant_Old!R419</f>
        <v>1</v>
      </c>
    </row>
    <row r="416" spans="1:18" s="29" customFormat="1" hidden="1">
      <c r="A416" s="29">
        <f>Item_Enchant_Old!A420</f>
        <v>415</v>
      </c>
      <c r="B416" s="29" t="str">
        <f>Item_Enchant_Old!B420</f>
        <v>ACTIVE_ENERGY_CRITICAL_DAMAGE_UP</v>
      </c>
      <c r="C416" s="29">
        <f>Item_Enchant_Old!C420</f>
        <v>659</v>
      </c>
      <c r="D416" s="29">
        <f>Item_Enchant_Old!D420</f>
        <v>0</v>
      </c>
      <c r="E416" s="29">
        <f>Item_Enchant_Old!E420</f>
        <v>0</v>
      </c>
      <c r="F416" s="29">
        <f>Item_Enchant_Old!F420</f>
        <v>0</v>
      </c>
      <c r="G416" s="29">
        <f>Item_Enchant_Old!G420</f>
        <v>4</v>
      </c>
      <c r="H416" s="29" t="str">
        <f>Item_Enchant_Old!H420</f>
        <v>@</v>
      </c>
      <c r="I416" s="29">
        <f>Item_Enchant_Old!I420</f>
        <v>1</v>
      </c>
      <c r="J416" s="29" t="str">
        <f>Item_Enchant_Old!J420</f>
        <v>절대값만 가능</v>
      </c>
      <c r="K416" s="29">
        <f>Item_Enchant_Old!K420</f>
        <v>8</v>
      </c>
      <c r="L416" s="29">
        <f>Item_Enchant_Old!L420</f>
        <v>0</v>
      </c>
      <c r="M416" s="29">
        <f>Item_Enchant_Old!M420</f>
        <v>6</v>
      </c>
      <c r="N416" s="29">
        <f>Item_Enchant_Old!N420</f>
        <v>32</v>
      </c>
      <c r="O416" s="29">
        <f>Item_Enchant_Old!O420</f>
        <v>1</v>
      </c>
      <c r="P416" s="29">
        <f>Item_Enchant_Old!P420</f>
        <v>1</v>
      </c>
      <c r="Q416" s="29">
        <f>Item_Enchant_Old!Q420</f>
        <v>1</v>
      </c>
      <c r="R416" s="29">
        <f>Item_Enchant_Old!R420</f>
        <v>1</v>
      </c>
    </row>
    <row r="417" spans="1:18" s="29" customFormat="1" hidden="1">
      <c r="A417" s="29">
        <f>Item_Enchant_Old!A421</f>
        <v>416</v>
      </c>
      <c r="B417" s="29" t="str">
        <f>Item_Enchant_Old!B421</f>
        <v>ACTIVE_FOC_UP</v>
      </c>
      <c r="C417" s="29">
        <f>Item_Enchant_Old!C421</f>
        <v>612</v>
      </c>
      <c r="D417" s="29">
        <f>Item_Enchant_Old!D421</f>
        <v>0</v>
      </c>
      <c r="E417" s="29">
        <f>Item_Enchant_Old!E421</f>
        <v>0</v>
      </c>
      <c r="F417" s="29">
        <f>Item_Enchant_Old!F421</f>
        <v>0</v>
      </c>
      <c r="G417" s="29">
        <f>Item_Enchant_Old!G421</f>
        <v>2</v>
      </c>
      <c r="H417" s="29" t="str">
        <f>Item_Enchant_Old!H421</f>
        <v>@</v>
      </c>
      <c r="I417" s="29">
        <f>Item_Enchant_Old!I421</f>
        <v>1</v>
      </c>
      <c r="J417" s="29" t="str">
        <f>Item_Enchant_Old!J421</f>
        <v>절대값/상대값(%) 가능</v>
      </c>
      <c r="K417" s="29">
        <f>Item_Enchant_Old!K421</f>
        <v>8</v>
      </c>
      <c r="L417" s="29">
        <f>Item_Enchant_Old!L421</f>
        <v>0</v>
      </c>
      <c r="M417" s="29">
        <f>Item_Enchant_Old!M421</f>
        <v>7</v>
      </c>
      <c r="N417" s="29">
        <f>Item_Enchant_Old!N421</f>
        <v>53</v>
      </c>
      <c r="O417" s="29">
        <f>Item_Enchant_Old!O421</f>
        <v>1</v>
      </c>
      <c r="P417" s="29">
        <f>Item_Enchant_Old!P421</f>
        <v>1</v>
      </c>
      <c r="Q417" s="29">
        <f>Item_Enchant_Old!Q421</f>
        <v>1</v>
      </c>
      <c r="R417" s="29">
        <f>Item_Enchant_Old!R421</f>
        <v>1</v>
      </c>
    </row>
    <row r="418" spans="1:18" s="29" customFormat="1" hidden="1">
      <c r="A418" s="29">
        <f>Item_Enchant_Old!A422</f>
        <v>417</v>
      </c>
      <c r="B418" s="29" t="str">
        <f>Item_Enchant_Old!B422</f>
        <v>ACTIVE_ATTACK_RATE_UP</v>
      </c>
      <c r="C418" s="29">
        <f>Item_Enchant_Old!C422</f>
        <v>618</v>
      </c>
      <c r="D418" s="29">
        <f>Item_Enchant_Old!D422</f>
        <v>0</v>
      </c>
      <c r="E418" s="29">
        <f>Item_Enchant_Old!E422</f>
        <v>0</v>
      </c>
      <c r="F418" s="29">
        <f>Item_Enchant_Old!F422</f>
        <v>0</v>
      </c>
      <c r="G418" s="29">
        <f>Item_Enchant_Old!G422</f>
        <v>1</v>
      </c>
      <c r="H418" s="29" t="str">
        <f>Item_Enchant_Old!H422</f>
        <v>@</v>
      </c>
      <c r="I418" s="29">
        <f>Item_Enchant_Old!I422</f>
        <v>1</v>
      </c>
      <c r="J418" s="29" t="str">
        <f>Item_Enchant_Old!J422</f>
        <v>절대값/상대값(%) 가능</v>
      </c>
      <c r="K418" s="29">
        <f>Item_Enchant_Old!K422</f>
        <v>8</v>
      </c>
      <c r="L418" s="29">
        <f>Item_Enchant_Old!L422</f>
        <v>0</v>
      </c>
      <c r="M418" s="29">
        <f>Item_Enchant_Old!M422</f>
        <v>7</v>
      </c>
      <c r="N418" s="29">
        <f>Item_Enchant_Old!N422</f>
        <v>528</v>
      </c>
      <c r="O418" s="29">
        <f>Item_Enchant_Old!O422</f>
        <v>1</v>
      </c>
      <c r="P418" s="29">
        <f>Item_Enchant_Old!P422</f>
        <v>1</v>
      </c>
      <c r="Q418" s="29">
        <f>Item_Enchant_Old!Q422</f>
        <v>1</v>
      </c>
      <c r="R418" s="29">
        <f>Item_Enchant_Old!R422</f>
        <v>1</v>
      </c>
    </row>
    <row r="419" spans="1:18" s="29" customFormat="1" hidden="1">
      <c r="A419" s="29">
        <f>Item_Enchant_Old!A423</f>
        <v>418</v>
      </c>
      <c r="B419" s="29" t="str">
        <f>Item_Enchant_Old!B423</f>
        <v>ACTIVE_ENG_UP</v>
      </c>
      <c r="C419" s="29">
        <f>Item_Enchant_Old!C423</f>
        <v>615</v>
      </c>
      <c r="D419" s="29">
        <f>Item_Enchant_Old!D423</f>
        <v>0</v>
      </c>
      <c r="E419" s="29">
        <f>Item_Enchant_Old!E423</f>
        <v>0</v>
      </c>
      <c r="F419" s="29">
        <f>Item_Enchant_Old!F423</f>
        <v>0</v>
      </c>
      <c r="G419" s="29">
        <f>Item_Enchant_Old!G423</f>
        <v>2</v>
      </c>
      <c r="H419" s="29" t="str">
        <f>Item_Enchant_Old!H423</f>
        <v>@</v>
      </c>
      <c r="I419" s="29">
        <f>Item_Enchant_Old!I423</f>
        <v>1</v>
      </c>
      <c r="J419" s="29" t="str">
        <f>Item_Enchant_Old!J423</f>
        <v>절대값/상대값(%) 가능</v>
      </c>
      <c r="K419" s="29">
        <f>Item_Enchant_Old!K423</f>
        <v>8</v>
      </c>
      <c r="L419" s="29">
        <f>Item_Enchant_Old!L423</f>
        <v>0</v>
      </c>
      <c r="M419" s="29">
        <f>Item_Enchant_Old!M423</f>
        <v>7</v>
      </c>
      <c r="N419" s="29">
        <f>Item_Enchant_Old!N423</f>
        <v>62</v>
      </c>
      <c r="O419" s="29">
        <f>Item_Enchant_Old!O423</f>
        <v>1</v>
      </c>
      <c r="P419" s="29">
        <f>Item_Enchant_Old!P423</f>
        <v>1</v>
      </c>
      <c r="Q419" s="29">
        <f>Item_Enchant_Old!Q423</f>
        <v>1</v>
      </c>
      <c r="R419" s="29">
        <f>Item_Enchant_Old!R423</f>
        <v>1</v>
      </c>
    </row>
    <row r="420" spans="1:18" s="29" customFormat="1" hidden="1">
      <c r="A420" s="29">
        <f>Item_Enchant_Old!A424</f>
        <v>419</v>
      </c>
      <c r="B420" s="29" t="str">
        <f>Item_Enchant_Old!B424</f>
        <v>ACTIVE_PHYSICAL_CRITICAL</v>
      </c>
      <c r="C420" s="29">
        <f>Item_Enchant_Old!C424</f>
        <v>632</v>
      </c>
      <c r="D420" s="29">
        <f>Item_Enchant_Old!D424</f>
        <v>0</v>
      </c>
      <c r="E420" s="29">
        <f>Item_Enchant_Old!E424</f>
        <v>0</v>
      </c>
      <c r="F420" s="29">
        <f>Item_Enchant_Old!F424</f>
        <v>0</v>
      </c>
      <c r="G420" s="29">
        <f>Item_Enchant_Old!G424</f>
        <v>5</v>
      </c>
      <c r="H420" s="29" t="str">
        <f>Item_Enchant_Old!H424</f>
        <v>@</v>
      </c>
      <c r="I420" s="29">
        <f>Item_Enchant_Old!I424</f>
        <v>1</v>
      </c>
      <c r="J420" s="29" t="str">
        <f>Item_Enchant_Old!J424</f>
        <v>절대값/상대값(%) 가능</v>
      </c>
      <c r="K420" s="29">
        <f>Item_Enchant_Old!K424</f>
        <v>8</v>
      </c>
      <c r="L420" s="29">
        <f>Item_Enchant_Old!L424</f>
        <v>0</v>
      </c>
      <c r="M420" s="29">
        <f>Item_Enchant_Old!M424</f>
        <v>7</v>
      </c>
      <c r="N420" s="29">
        <f>Item_Enchant_Old!N424</f>
        <v>21</v>
      </c>
      <c r="O420" s="29">
        <f>Item_Enchant_Old!O424</f>
        <v>1</v>
      </c>
      <c r="P420" s="29">
        <f>Item_Enchant_Old!P424</f>
        <v>1</v>
      </c>
      <c r="Q420" s="29">
        <f>Item_Enchant_Old!Q424</f>
        <v>1</v>
      </c>
      <c r="R420" s="29">
        <f>Item_Enchant_Old!R424</f>
        <v>1</v>
      </c>
    </row>
    <row r="421" spans="1:18" s="29" customFormat="1" hidden="1">
      <c r="A421" s="29">
        <f>Item_Enchant_Old!A425</f>
        <v>420</v>
      </c>
      <c r="B421" s="29" t="str">
        <f>Item_Enchant_Old!B425</f>
        <v>ACTIVE_ENERGY_CRITICAL</v>
      </c>
      <c r="C421" s="29">
        <f>Item_Enchant_Old!C425</f>
        <v>633</v>
      </c>
      <c r="D421" s="29">
        <f>Item_Enchant_Old!D425</f>
        <v>0</v>
      </c>
      <c r="E421" s="29">
        <f>Item_Enchant_Old!E425</f>
        <v>0</v>
      </c>
      <c r="F421" s="29">
        <f>Item_Enchant_Old!F425</f>
        <v>0</v>
      </c>
      <c r="G421" s="29">
        <f>Item_Enchant_Old!G425</f>
        <v>5</v>
      </c>
      <c r="H421" s="29" t="str">
        <f>Item_Enchant_Old!H425</f>
        <v>@</v>
      </c>
      <c r="I421" s="29">
        <f>Item_Enchant_Old!I425</f>
        <v>1</v>
      </c>
      <c r="J421" s="29" t="str">
        <f>Item_Enchant_Old!J425</f>
        <v>절대값/상대값(%) 가능</v>
      </c>
      <c r="K421" s="29">
        <f>Item_Enchant_Old!K425</f>
        <v>8</v>
      </c>
      <c r="L421" s="29">
        <f>Item_Enchant_Old!L425</f>
        <v>0</v>
      </c>
      <c r="M421" s="29">
        <f>Item_Enchant_Old!M425</f>
        <v>7</v>
      </c>
      <c r="N421" s="29">
        <f>Item_Enchant_Old!N425</f>
        <v>24</v>
      </c>
      <c r="O421" s="29">
        <f>Item_Enchant_Old!O425</f>
        <v>1</v>
      </c>
      <c r="P421" s="29">
        <f>Item_Enchant_Old!P425</f>
        <v>1</v>
      </c>
      <c r="Q421" s="29">
        <f>Item_Enchant_Old!Q425</f>
        <v>1</v>
      </c>
      <c r="R421" s="29">
        <f>Item_Enchant_Old!R425</f>
        <v>1</v>
      </c>
    </row>
    <row r="422" spans="1:18" s="29" customFormat="1" hidden="1">
      <c r="A422" s="29">
        <f>Item_Enchant_Old!A426</f>
        <v>421</v>
      </c>
      <c r="B422" s="29" t="str">
        <f>Item_Enchant_Old!B426</f>
        <v>ACTIVE_FOC_UP</v>
      </c>
      <c r="C422" s="29">
        <f>Item_Enchant_Old!C426</f>
        <v>612</v>
      </c>
      <c r="D422" s="29">
        <f>Item_Enchant_Old!D426</f>
        <v>0</v>
      </c>
      <c r="E422" s="29">
        <f>Item_Enchant_Old!E426</f>
        <v>0</v>
      </c>
      <c r="F422" s="29">
        <f>Item_Enchant_Old!F426</f>
        <v>0</v>
      </c>
      <c r="G422" s="29">
        <f>Item_Enchant_Old!G426</f>
        <v>2</v>
      </c>
      <c r="H422" s="29" t="str">
        <f>Item_Enchant_Old!H426</f>
        <v>@</v>
      </c>
      <c r="I422" s="29">
        <f>Item_Enchant_Old!I426</f>
        <v>1</v>
      </c>
      <c r="J422" s="29" t="str">
        <f>Item_Enchant_Old!J426</f>
        <v>절대값/상대값(%) 가능</v>
      </c>
      <c r="K422" s="29">
        <f>Item_Enchant_Old!K426</f>
        <v>8</v>
      </c>
      <c r="L422" s="29">
        <f>Item_Enchant_Old!L426</f>
        <v>0</v>
      </c>
      <c r="M422" s="29">
        <f>Item_Enchant_Old!M426</f>
        <v>8</v>
      </c>
      <c r="N422" s="29">
        <f>Item_Enchant_Old!N426</f>
        <v>53</v>
      </c>
      <c r="O422" s="29">
        <f>Item_Enchant_Old!O426</f>
        <v>1</v>
      </c>
      <c r="P422" s="29">
        <f>Item_Enchant_Old!P426</f>
        <v>1</v>
      </c>
      <c r="Q422" s="29">
        <f>Item_Enchant_Old!Q426</f>
        <v>1</v>
      </c>
      <c r="R422" s="29">
        <f>Item_Enchant_Old!R426</f>
        <v>1</v>
      </c>
    </row>
    <row r="423" spans="1:18" s="29" customFormat="1" hidden="1">
      <c r="A423" s="29">
        <f>Item_Enchant_Old!A427</f>
        <v>422</v>
      </c>
      <c r="B423" s="29" t="str">
        <f>Item_Enchant_Old!B427</f>
        <v>ACTIVE_CON_UP</v>
      </c>
      <c r="C423" s="29">
        <f>Item_Enchant_Old!C427</f>
        <v>611</v>
      </c>
      <c r="D423" s="29">
        <f>Item_Enchant_Old!D427</f>
        <v>0</v>
      </c>
      <c r="E423" s="29">
        <f>Item_Enchant_Old!E427</f>
        <v>0</v>
      </c>
      <c r="F423" s="29">
        <f>Item_Enchant_Old!F427</f>
        <v>0</v>
      </c>
      <c r="G423" s="29">
        <f>Item_Enchant_Old!G427</f>
        <v>3</v>
      </c>
      <c r="H423" s="29" t="str">
        <f>Item_Enchant_Old!H427</f>
        <v>@</v>
      </c>
      <c r="I423" s="29">
        <f>Item_Enchant_Old!I427</f>
        <v>1</v>
      </c>
      <c r="J423" s="29" t="str">
        <f>Item_Enchant_Old!J427</f>
        <v>절대값/상대값(%) 가능</v>
      </c>
      <c r="K423" s="29">
        <f>Item_Enchant_Old!K427</f>
        <v>8</v>
      </c>
      <c r="L423" s="29">
        <f>Item_Enchant_Old!L427</f>
        <v>0</v>
      </c>
      <c r="M423" s="29">
        <f>Item_Enchant_Old!M427</f>
        <v>8</v>
      </c>
      <c r="N423" s="29">
        <f>Item_Enchant_Old!N427</f>
        <v>48</v>
      </c>
      <c r="O423" s="29">
        <f>Item_Enchant_Old!O427</f>
        <v>1</v>
      </c>
      <c r="P423" s="29">
        <f>Item_Enchant_Old!P427</f>
        <v>1</v>
      </c>
      <c r="Q423" s="29">
        <f>Item_Enchant_Old!Q427</f>
        <v>1</v>
      </c>
      <c r="R423" s="29">
        <f>Item_Enchant_Old!R427</f>
        <v>1</v>
      </c>
    </row>
    <row r="424" spans="1:18" s="29" customFormat="1" hidden="1">
      <c r="A424" s="29">
        <f>Item_Enchant_Old!A428</f>
        <v>423</v>
      </c>
      <c r="B424" s="29" t="str">
        <f>Item_Enchant_Old!B428</f>
        <v>ACTIVE_BLOCK_RATE_UP</v>
      </c>
      <c r="C424" s="29">
        <f>Item_Enchant_Old!C428</f>
        <v>620</v>
      </c>
      <c r="D424" s="29">
        <f>Item_Enchant_Old!D428</f>
        <v>0</v>
      </c>
      <c r="E424" s="29">
        <f>Item_Enchant_Old!E428</f>
        <v>0</v>
      </c>
      <c r="F424" s="29">
        <f>Item_Enchant_Old!F428</f>
        <v>0</v>
      </c>
      <c r="G424" s="29">
        <f>Item_Enchant_Old!G428</f>
        <v>1</v>
      </c>
      <c r="H424" s="29" t="str">
        <f>Item_Enchant_Old!H428</f>
        <v>@</v>
      </c>
      <c r="I424" s="29">
        <f>Item_Enchant_Old!I428</f>
        <v>1</v>
      </c>
      <c r="J424" s="29" t="str">
        <f>Item_Enchant_Old!J428</f>
        <v>절대값/상대값(%) 가능</v>
      </c>
      <c r="K424" s="29">
        <f>Item_Enchant_Old!K428</f>
        <v>8</v>
      </c>
      <c r="L424" s="29">
        <f>Item_Enchant_Old!L428</f>
        <v>0</v>
      </c>
      <c r="M424" s="29">
        <f>Item_Enchant_Old!M428</f>
        <v>8</v>
      </c>
      <c r="N424" s="29">
        <f>Item_Enchant_Old!N428</f>
        <v>352</v>
      </c>
      <c r="O424" s="29">
        <f>Item_Enchant_Old!O428</f>
        <v>1</v>
      </c>
      <c r="P424" s="29">
        <f>Item_Enchant_Old!P428</f>
        <v>1</v>
      </c>
      <c r="Q424" s="29">
        <f>Item_Enchant_Old!Q428</f>
        <v>1</v>
      </c>
      <c r="R424" s="29">
        <f>Item_Enchant_Old!R428</f>
        <v>1</v>
      </c>
    </row>
    <row r="425" spans="1:18" s="29" customFormat="1" hidden="1">
      <c r="A425" s="29">
        <f>Item_Enchant_Old!A429</f>
        <v>424</v>
      </c>
      <c r="B425" s="29" t="str">
        <f>Item_Enchant_Old!B429</f>
        <v>ACTIVE_ENG_UP</v>
      </c>
      <c r="C425" s="29">
        <f>Item_Enchant_Old!C429</f>
        <v>615</v>
      </c>
      <c r="D425" s="29">
        <f>Item_Enchant_Old!D429</f>
        <v>0</v>
      </c>
      <c r="E425" s="29">
        <f>Item_Enchant_Old!E429</f>
        <v>0</v>
      </c>
      <c r="F425" s="29">
        <f>Item_Enchant_Old!F429</f>
        <v>0</v>
      </c>
      <c r="G425" s="29">
        <f>Item_Enchant_Old!G429</f>
        <v>2</v>
      </c>
      <c r="H425" s="29" t="str">
        <f>Item_Enchant_Old!H429</f>
        <v>@</v>
      </c>
      <c r="I425" s="29">
        <f>Item_Enchant_Old!I429</f>
        <v>1</v>
      </c>
      <c r="J425" s="29" t="str">
        <f>Item_Enchant_Old!J429</f>
        <v>절대값/상대값(%) 가능</v>
      </c>
      <c r="K425" s="29">
        <f>Item_Enchant_Old!K429</f>
        <v>8</v>
      </c>
      <c r="L425" s="29">
        <f>Item_Enchant_Old!L429</f>
        <v>0</v>
      </c>
      <c r="M425" s="29">
        <f>Item_Enchant_Old!M429</f>
        <v>8</v>
      </c>
      <c r="N425" s="29">
        <f>Item_Enchant_Old!N429</f>
        <v>62</v>
      </c>
      <c r="O425" s="29">
        <f>Item_Enchant_Old!O429</f>
        <v>1</v>
      </c>
      <c r="P425" s="29">
        <f>Item_Enchant_Old!P429</f>
        <v>1</v>
      </c>
      <c r="Q425" s="29">
        <f>Item_Enchant_Old!Q429</f>
        <v>1</v>
      </c>
      <c r="R425" s="29">
        <f>Item_Enchant_Old!R429</f>
        <v>1</v>
      </c>
    </row>
    <row r="426" spans="1:18" s="29" customFormat="1" hidden="1">
      <c r="A426" s="29">
        <f>Item_Enchant_Old!A430</f>
        <v>425</v>
      </c>
      <c r="B426" s="29" t="str">
        <f>Item_Enchant_Old!B430</f>
        <v>ACTIVE_PHYSICAL_CRITICAL</v>
      </c>
      <c r="C426" s="29">
        <f>Item_Enchant_Old!C430</f>
        <v>632</v>
      </c>
      <c r="D426" s="29">
        <f>Item_Enchant_Old!D430</f>
        <v>0</v>
      </c>
      <c r="E426" s="29">
        <f>Item_Enchant_Old!E430</f>
        <v>0</v>
      </c>
      <c r="F426" s="29">
        <f>Item_Enchant_Old!F430</f>
        <v>0</v>
      </c>
      <c r="G426" s="29">
        <f>Item_Enchant_Old!G430</f>
        <v>5</v>
      </c>
      <c r="H426" s="29" t="str">
        <f>Item_Enchant_Old!H430</f>
        <v>@</v>
      </c>
      <c r="I426" s="29">
        <f>Item_Enchant_Old!I430</f>
        <v>1</v>
      </c>
      <c r="J426" s="29" t="str">
        <f>Item_Enchant_Old!J430</f>
        <v>절대값/상대값(%) 가능</v>
      </c>
      <c r="K426" s="29">
        <f>Item_Enchant_Old!K430</f>
        <v>8</v>
      </c>
      <c r="L426" s="29">
        <f>Item_Enchant_Old!L430</f>
        <v>0</v>
      </c>
      <c r="M426" s="29">
        <f>Item_Enchant_Old!M430</f>
        <v>9</v>
      </c>
      <c r="N426" s="29">
        <f>Item_Enchant_Old!N430</f>
        <v>21</v>
      </c>
      <c r="O426" s="29">
        <f>Item_Enchant_Old!O430</f>
        <v>1</v>
      </c>
      <c r="P426" s="29">
        <f>Item_Enchant_Old!P430</f>
        <v>1</v>
      </c>
      <c r="Q426" s="29">
        <f>Item_Enchant_Old!Q430</f>
        <v>1</v>
      </c>
      <c r="R426" s="29">
        <f>Item_Enchant_Old!R430</f>
        <v>1</v>
      </c>
    </row>
    <row r="427" spans="1:18" s="29" customFormat="1" hidden="1">
      <c r="A427" s="29">
        <f>Item_Enchant_Old!A431</f>
        <v>426</v>
      </c>
      <c r="B427" s="29" t="str">
        <f>Item_Enchant_Old!B431</f>
        <v>ACTIVE_ENERGY_CRITICAL</v>
      </c>
      <c r="C427" s="29">
        <f>Item_Enchant_Old!C431</f>
        <v>633</v>
      </c>
      <c r="D427" s="29">
        <f>Item_Enchant_Old!D431</f>
        <v>0</v>
      </c>
      <c r="E427" s="29">
        <f>Item_Enchant_Old!E431</f>
        <v>0</v>
      </c>
      <c r="F427" s="29">
        <f>Item_Enchant_Old!F431</f>
        <v>0</v>
      </c>
      <c r="G427" s="29">
        <f>Item_Enchant_Old!G431</f>
        <v>5</v>
      </c>
      <c r="H427" s="29" t="str">
        <f>Item_Enchant_Old!H431</f>
        <v>@</v>
      </c>
      <c r="I427" s="29">
        <f>Item_Enchant_Old!I431</f>
        <v>1</v>
      </c>
      <c r="J427" s="29" t="str">
        <f>Item_Enchant_Old!J431</f>
        <v>절대값/상대값(%) 가능</v>
      </c>
      <c r="K427" s="29">
        <f>Item_Enchant_Old!K431</f>
        <v>8</v>
      </c>
      <c r="L427" s="29">
        <f>Item_Enchant_Old!L431</f>
        <v>0</v>
      </c>
      <c r="M427" s="29">
        <f>Item_Enchant_Old!M431</f>
        <v>9</v>
      </c>
      <c r="N427" s="29">
        <f>Item_Enchant_Old!N431</f>
        <v>24</v>
      </c>
      <c r="O427" s="29">
        <f>Item_Enchant_Old!O431</f>
        <v>1</v>
      </c>
      <c r="P427" s="29">
        <f>Item_Enchant_Old!P431</f>
        <v>1</v>
      </c>
      <c r="Q427" s="29">
        <f>Item_Enchant_Old!Q431</f>
        <v>1</v>
      </c>
      <c r="R427" s="29">
        <f>Item_Enchant_Old!R431</f>
        <v>1</v>
      </c>
    </row>
    <row r="428" spans="1:18" s="29" customFormat="1" hidden="1">
      <c r="A428" s="29">
        <f>Item_Enchant_Old!A432</f>
        <v>427</v>
      </c>
      <c r="B428" s="29" t="str">
        <f>Item_Enchant_Old!B432</f>
        <v>ACTIVE_DEX_UP</v>
      </c>
      <c r="C428" s="29">
        <f>Item_Enchant_Old!C432</f>
        <v>613</v>
      </c>
      <c r="D428" s="29">
        <f>Item_Enchant_Old!D432</f>
        <v>0</v>
      </c>
      <c r="E428" s="29">
        <f>Item_Enchant_Old!E432</f>
        <v>0</v>
      </c>
      <c r="F428" s="29">
        <f>Item_Enchant_Old!F432</f>
        <v>0</v>
      </c>
      <c r="G428" s="29">
        <f>Item_Enchant_Old!G432</f>
        <v>3</v>
      </c>
      <c r="H428" s="29" t="str">
        <f>Item_Enchant_Old!H432</f>
        <v>@</v>
      </c>
      <c r="I428" s="29">
        <f>Item_Enchant_Old!I432</f>
        <v>1</v>
      </c>
      <c r="J428" s="29" t="str">
        <f>Item_Enchant_Old!J432</f>
        <v>절대값/상대값(%) 가능</v>
      </c>
      <c r="K428" s="29">
        <f>Item_Enchant_Old!K432</f>
        <v>8</v>
      </c>
      <c r="L428" s="29">
        <f>Item_Enchant_Old!L432</f>
        <v>0</v>
      </c>
      <c r="M428" s="29">
        <f>Item_Enchant_Old!M432</f>
        <v>9</v>
      </c>
      <c r="N428" s="29">
        <f>Item_Enchant_Old!N432</f>
        <v>44</v>
      </c>
      <c r="O428" s="29">
        <f>Item_Enchant_Old!O432</f>
        <v>1</v>
      </c>
      <c r="P428" s="29">
        <f>Item_Enchant_Old!P432</f>
        <v>1</v>
      </c>
      <c r="Q428" s="29">
        <f>Item_Enchant_Old!Q432</f>
        <v>1</v>
      </c>
      <c r="R428" s="29">
        <f>Item_Enchant_Old!R432</f>
        <v>1</v>
      </c>
    </row>
    <row r="429" spans="1:18" s="29" customFormat="1" hidden="1">
      <c r="A429" s="29">
        <f>Item_Enchant_Old!A433</f>
        <v>428</v>
      </c>
      <c r="B429" s="29" t="str">
        <f>Item_Enchant_Old!B433</f>
        <v>ACTIVE_FOC_UP</v>
      </c>
      <c r="C429" s="29">
        <f>Item_Enchant_Old!C433</f>
        <v>612</v>
      </c>
      <c r="D429" s="29">
        <f>Item_Enchant_Old!D433</f>
        <v>0</v>
      </c>
      <c r="E429" s="29">
        <f>Item_Enchant_Old!E433</f>
        <v>0</v>
      </c>
      <c r="F429" s="29">
        <f>Item_Enchant_Old!F433</f>
        <v>0</v>
      </c>
      <c r="G429" s="29">
        <f>Item_Enchant_Old!G433</f>
        <v>2</v>
      </c>
      <c r="H429" s="29" t="str">
        <f>Item_Enchant_Old!H433</f>
        <v>@</v>
      </c>
      <c r="I429" s="29">
        <f>Item_Enchant_Old!I433</f>
        <v>1</v>
      </c>
      <c r="J429" s="29" t="str">
        <f>Item_Enchant_Old!J433</f>
        <v>절대값/상대값(%) 가능</v>
      </c>
      <c r="K429" s="29">
        <f>Item_Enchant_Old!K433</f>
        <v>8</v>
      </c>
      <c r="L429" s="29">
        <f>Item_Enchant_Old!L433</f>
        <v>0</v>
      </c>
      <c r="M429" s="29">
        <f>Item_Enchant_Old!M433</f>
        <v>9</v>
      </c>
      <c r="N429" s="29">
        <f>Item_Enchant_Old!N433</f>
        <v>53</v>
      </c>
      <c r="O429" s="29">
        <f>Item_Enchant_Old!O433</f>
        <v>1</v>
      </c>
      <c r="P429" s="29">
        <f>Item_Enchant_Old!P433</f>
        <v>1</v>
      </c>
      <c r="Q429" s="29">
        <f>Item_Enchant_Old!Q433</f>
        <v>1</v>
      </c>
      <c r="R429" s="29">
        <f>Item_Enchant_Old!R433</f>
        <v>1</v>
      </c>
    </row>
    <row r="430" spans="1:18" s="29" customFormat="1" hidden="1">
      <c r="A430" s="29">
        <f>Item_Enchant_Old!A434</f>
        <v>429</v>
      </c>
      <c r="B430" s="29" t="str">
        <f>Item_Enchant_Old!B434</f>
        <v>ACTIVE_PHYSICAL_CRITICAL_DAMAGE_UP</v>
      </c>
      <c r="C430" s="29">
        <f>Item_Enchant_Old!C434</f>
        <v>658</v>
      </c>
      <c r="D430" s="29">
        <f>Item_Enchant_Old!D434</f>
        <v>0</v>
      </c>
      <c r="E430" s="29">
        <f>Item_Enchant_Old!E434</f>
        <v>0</v>
      </c>
      <c r="F430" s="29">
        <f>Item_Enchant_Old!F434</f>
        <v>0</v>
      </c>
      <c r="G430" s="29">
        <f>Item_Enchant_Old!G434</f>
        <v>4</v>
      </c>
      <c r="H430" s="29" t="str">
        <f>Item_Enchant_Old!H434</f>
        <v>@</v>
      </c>
      <c r="I430" s="29">
        <f>Item_Enchant_Old!I434</f>
        <v>1</v>
      </c>
      <c r="J430" s="29" t="str">
        <f>Item_Enchant_Old!J434</f>
        <v>절대값만 가능</v>
      </c>
      <c r="K430" s="29">
        <f>Item_Enchant_Old!K434</f>
        <v>8</v>
      </c>
      <c r="L430" s="29">
        <f>Item_Enchant_Old!L434</f>
        <v>0</v>
      </c>
      <c r="M430" s="29">
        <f>Item_Enchant_Old!M434</f>
        <v>10</v>
      </c>
      <c r="N430" s="29">
        <f>Item_Enchant_Old!N434</f>
        <v>28</v>
      </c>
      <c r="O430" s="29">
        <f>Item_Enchant_Old!O434</f>
        <v>1</v>
      </c>
      <c r="P430" s="29">
        <f>Item_Enchant_Old!P434</f>
        <v>1</v>
      </c>
      <c r="Q430" s="29">
        <f>Item_Enchant_Old!Q434</f>
        <v>1</v>
      </c>
      <c r="R430" s="29">
        <f>Item_Enchant_Old!R434</f>
        <v>1</v>
      </c>
    </row>
    <row r="431" spans="1:18" s="29" customFormat="1" hidden="1">
      <c r="A431" s="29">
        <f>Item_Enchant_Old!A435</f>
        <v>430</v>
      </c>
      <c r="B431" s="29" t="str">
        <f>Item_Enchant_Old!B435</f>
        <v>ACTIVE_ENERGY_CRITICAL_DAMAGE_UP</v>
      </c>
      <c r="C431" s="29">
        <f>Item_Enchant_Old!C435</f>
        <v>659</v>
      </c>
      <c r="D431" s="29">
        <f>Item_Enchant_Old!D435</f>
        <v>0</v>
      </c>
      <c r="E431" s="29">
        <f>Item_Enchant_Old!E435</f>
        <v>0</v>
      </c>
      <c r="F431" s="29">
        <f>Item_Enchant_Old!F435</f>
        <v>0</v>
      </c>
      <c r="G431" s="29">
        <f>Item_Enchant_Old!G435</f>
        <v>4</v>
      </c>
      <c r="H431" s="29" t="str">
        <f>Item_Enchant_Old!H435</f>
        <v>@</v>
      </c>
      <c r="I431" s="29">
        <f>Item_Enchant_Old!I435</f>
        <v>1</v>
      </c>
      <c r="J431" s="29" t="str">
        <f>Item_Enchant_Old!J435</f>
        <v>절대값만 가능</v>
      </c>
      <c r="K431" s="29">
        <f>Item_Enchant_Old!K435</f>
        <v>8</v>
      </c>
      <c r="L431" s="29">
        <f>Item_Enchant_Old!L435</f>
        <v>0</v>
      </c>
      <c r="M431" s="29">
        <f>Item_Enchant_Old!M435</f>
        <v>10</v>
      </c>
      <c r="N431" s="29">
        <f>Item_Enchant_Old!N435</f>
        <v>32</v>
      </c>
      <c r="O431" s="29">
        <f>Item_Enchant_Old!O435</f>
        <v>1</v>
      </c>
      <c r="P431" s="29">
        <f>Item_Enchant_Old!P435</f>
        <v>1</v>
      </c>
      <c r="Q431" s="29">
        <f>Item_Enchant_Old!Q435</f>
        <v>1</v>
      </c>
      <c r="R431" s="29">
        <f>Item_Enchant_Old!R435</f>
        <v>1</v>
      </c>
    </row>
    <row r="432" spans="1:18" s="29" customFormat="1" hidden="1">
      <c r="A432" s="29">
        <f>Item_Enchant_Old!A436</f>
        <v>431</v>
      </c>
      <c r="B432" s="29" t="str">
        <f>Item_Enchant_Old!B436</f>
        <v>ACTIVE_DEX_UP</v>
      </c>
      <c r="C432" s="29">
        <f>Item_Enchant_Old!C436</f>
        <v>613</v>
      </c>
      <c r="D432" s="29">
        <f>Item_Enchant_Old!D436</f>
        <v>0</v>
      </c>
      <c r="E432" s="29">
        <f>Item_Enchant_Old!E436</f>
        <v>0</v>
      </c>
      <c r="F432" s="29">
        <f>Item_Enchant_Old!F436</f>
        <v>0</v>
      </c>
      <c r="G432" s="29">
        <f>Item_Enchant_Old!G436</f>
        <v>3</v>
      </c>
      <c r="H432" s="29" t="str">
        <f>Item_Enchant_Old!H436</f>
        <v>@</v>
      </c>
      <c r="I432" s="29">
        <f>Item_Enchant_Old!I436</f>
        <v>1</v>
      </c>
      <c r="J432" s="29" t="str">
        <f>Item_Enchant_Old!J436</f>
        <v>절대값/상대값(%) 가능</v>
      </c>
      <c r="K432" s="29">
        <f>Item_Enchant_Old!K436</f>
        <v>8</v>
      </c>
      <c r="L432" s="29">
        <f>Item_Enchant_Old!L436</f>
        <v>0</v>
      </c>
      <c r="M432" s="29">
        <f>Item_Enchant_Old!M436</f>
        <v>10</v>
      </c>
      <c r="N432" s="29">
        <f>Item_Enchant_Old!N436</f>
        <v>44</v>
      </c>
      <c r="O432" s="29">
        <f>Item_Enchant_Old!O436</f>
        <v>1</v>
      </c>
      <c r="P432" s="29">
        <f>Item_Enchant_Old!P436</f>
        <v>1</v>
      </c>
      <c r="Q432" s="29">
        <f>Item_Enchant_Old!Q436</f>
        <v>1</v>
      </c>
      <c r="R432" s="29">
        <f>Item_Enchant_Old!R436</f>
        <v>1</v>
      </c>
    </row>
    <row r="433" spans="1:18" s="29" customFormat="1" hidden="1">
      <c r="A433" s="29">
        <f>Item_Enchant_Old!A437</f>
        <v>432</v>
      </c>
      <c r="B433" s="29" t="str">
        <f>Item_Enchant_Old!B437</f>
        <v>ACTIVE_ATTACK_SPEED_UP</v>
      </c>
      <c r="C433" s="29">
        <f>Item_Enchant_Old!C437</f>
        <v>617</v>
      </c>
      <c r="D433" s="29">
        <f>Item_Enchant_Old!D437</f>
        <v>1</v>
      </c>
      <c r="E433" s="29">
        <f>Item_Enchant_Old!E437</f>
        <v>0</v>
      </c>
      <c r="F433" s="29">
        <f>Item_Enchant_Old!F437</f>
        <v>0</v>
      </c>
      <c r="G433" s="29">
        <f>Item_Enchant_Old!G437</f>
        <v>10</v>
      </c>
      <c r="H433" s="29" t="str">
        <f>Item_Enchant_Old!H437</f>
        <v>@</v>
      </c>
      <c r="I433" s="29">
        <f>Item_Enchant_Old!I437</f>
        <v>1</v>
      </c>
      <c r="J433" s="29" t="str">
        <f>Item_Enchant_Old!J437</f>
        <v>절대값/상대값(%) 가능</v>
      </c>
      <c r="K433" s="29">
        <f>Item_Enchant_Old!K437</f>
        <v>8</v>
      </c>
      <c r="L433" s="29">
        <f>Item_Enchant_Old!L437</f>
        <v>0</v>
      </c>
      <c r="M433" s="29">
        <f>Item_Enchant_Old!M437</f>
        <v>10</v>
      </c>
      <c r="N433" s="29">
        <f>Item_Enchant_Old!N437</f>
        <v>10</v>
      </c>
      <c r="O433" s="29">
        <f>Item_Enchant_Old!O437</f>
        <v>1</v>
      </c>
      <c r="P433" s="29">
        <f>Item_Enchant_Old!P437</f>
        <v>1</v>
      </c>
      <c r="Q433" s="29">
        <f>Item_Enchant_Old!Q437</f>
        <v>1</v>
      </c>
      <c r="R433" s="29">
        <f>Item_Enchant_Old!R437</f>
        <v>1</v>
      </c>
    </row>
    <row r="434" spans="1:18" s="29" customFormat="1" hidden="1">
      <c r="A434" s="29">
        <f>Item_Enchant_Old!A438</f>
        <v>433</v>
      </c>
      <c r="B434" s="29" t="str">
        <f>Item_Enchant_Old!B438</f>
        <v>ACTIVE_STR_UP</v>
      </c>
      <c r="C434" s="29">
        <f>Item_Enchant_Old!C438</f>
        <v>610</v>
      </c>
      <c r="D434" s="29">
        <f>Item_Enchant_Old!D438</f>
        <v>0</v>
      </c>
      <c r="E434" s="29">
        <f>Item_Enchant_Old!E438</f>
        <v>0</v>
      </c>
      <c r="F434" s="29">
        <f>Item_Enchant_Old!F438</f>
        <v>0</v>
      </c>
      <c r="G434" s="29">
        <f>Item_Enchant_Old!G438</f>
        <v>2</v>
      </c>
      <c r="H434" s="29" t="str">
        <f>Item_Enchant_Old!H438</f>
        <v>@</v>
      </c>
      <c r="I434" s="29">
        <f>Item_Enchant_Old!I438</f>
        <v>1</v>
      </c>
      <c r="J434" s="29" t="str">
        <f>Item_Enchant_Old!J438</f>
        <v>절대값/상대값(%) 가능</v>
      </c>
      <c r="K434" s="29">
        <f>Item_Enchant_Old!K438</f>
        <v>8</v>
      </c>
      <c r="L434" s="29">
        <f>Item_Enchant_Old!L438</f>
        <v>0</v>
      </c>
      <c r="M434" s="29">
        <f>Item_Enchant_Old!M438</f>
        <v>11</v>
      </c>
      <c r="N434" s="29">
        <f>Item_Enchant_Old!N438</f>
        <v>57</v>
      </c>
      <c r="O434" s="29">
        <f>Item_Enchant_Old!O438</f>
        <v>1</v>
      </c>
      <c r="P434" s="29">
        <f>Item_Enchant_Old!P438</f>
        <v>1</v>
      </c>
      <c r="Q434" s="29">
        <f>Item_Enchant_Old!Q438</f>
        <v>1</v>
      </c>
      <c r="R434" s="29">
        <f>Item_Enchant_Old!R438</f>
        <v>1</v>
      </c>
    </row>
    <row r="435" spans="1:18" s="29" customFormat="1" hidden="1">
      <c r="A435" s="29">
        <f>Item_Enchant_Old!A439</f>
        <v>434</v>
      </c>
      <c r="B435" s="29" t="str">
        <f>Item_Enchant_Old!B439</f>
        <v>ACTIVE_CON_UP</v>
      </c>
      <c r="C435" s="29">
        <f>Item_Enchant_Old!C439</f>
        <v>611</v>
      </c>
      <c r="D435" s="29">
        <f>Item_Enchant_Old!D439</f>
        <v>0</v>
      </c>
      <c r="E435" s="29">
        <f>Item_Enchant_Old!E439</f>
        <v>0</v>
      </c>
      <c r="F435" s="29">
        <f>Item_Enchant_Old!F439</f>
        <v>0</v>
      </c>
      <c r="G435" s="29">
        <f>Item_Enchant_Old!G439</f>
        <v>3</v>
      </c>
      <c r="H435" s="29" t="str">
        <f>Item_Enchant_Old!H439</f>
        <v>@</v>
      </c>
      <c r="I435" s="29">
        <f>Item_Enchant_Old!I439</f>
        <v>1</v>
      </c>
      <c r="J435" s="29" t="str">
        <f>Item_Enchant_Old!J439</f>
        <v>절대값/상대값(%) 가능</v>
      </c>
      <c r="K435" s="29">
        <f>Item_Enchant_Old!K439</f>
        <v>8</v>
      </c>
      <c r="L435" s="29">
        <f>Item_Enchant_Old!L439</f>
        <v>0</v>
      </c>
      <c r="M435" s="29">
        <f>Item_Enchant_Old!M439</f>
        <v>11</v>
      </c>
      <c r="N435" s="29">
        <f>Item_Enchant_Old!N439</f>
        <v>48</v>
      </c>
      <c r="O435" s="29">
        <f>Item_Enchant_Old!O439</f>
        <v>1</v>
      </c>
      <c r="P435" s="29">
        <f>Item_Enchant_Old!P439</f>
        <v>1</v>
      </c>
      <c r="Q435" s="29">
        <f>Item_Enchant_Old!Q439</f>
        <v>1</v>
      </c>
      <c r="R435" s="29">
        <f>Item_Enchant_Old!R439</f>
        <v>1</v>
      </c>
    </row>
    <row r="436" spans="1:18" s="29" customFormat="1" hidden="1">
      <c r="A436" s="29">
        <f>Item_Enchant_Old!A440</f>
        <v>435</v>
      </c>
      <c r="B436" s="29" t="str">
        <f>Item_Enchant_Old!B440</f>
        <v>ACTIVE_FOC_UP</v>
      </c>
      <c r="C436" s="29">
        <f>Item_Enchant_Old!C440</f>
        <v>612</v>
      </c>
      <c r="D436" s="29">
        <f>Item_Enchant_Old!D440</f>
        <v>0</v>
      </c>
      <c r="E436" s="29">
        <f>Item_Enchant_Old!E440</f>
        <v>0</v>
      </c>
      <c r="F436" s="29">
        <f>Item_Enchant_Old!F440</f>
        <v>0</v>
      </c>
      <c r="G436" s="29">
        <f>Item_Enchant_Old!G440</f>
        <v>2</v>
      </c>
      <c r="H436" s="29" t="str">
        <f>Item_Enchant_Old!H440</f>
        <v>@</v>
      </c>
      <c r="I436" s="29">
        <f>Item_Enchant_Old!I440</f>
        <v>1</v>
      </c>
      <c r="J436" s="29" t="str">
        <f>Item_Enchant_Old!J440</f>
        <v>절대값/상대값(%) 가능</v>
      </c>
      <c r="K436" s="29">
        <f>Item_Enchant_Old!K440</f>
        <v>8</v>
      </c>
      <c r="L436" s="29">
        <f>Item_Enchant_Old!L440</f>
        <v>0</v>
      </c>
      <c r="M436" s="29">
        <f>Item_Enchant_Old!M440</f>
        <v>11</v>
      </c>
      <c r="N436" s="29">
        <f>Item_Enchant_Old!N440</f>
        <v>53</v>
      </c>
      <c r="O436" s="29">
        <f>Item_Enchant_Old!O440</f>
        <v>1</v>
      </c>
      <c r="P436" s="29">
        <f>Item_Enchant_Old!P440</f>
        <v>1</v>
      </c>
      <c r="Q436" s="29">
        <f>Item_Enchant_Old!Q440</f>
        <v>1</v>
      </c>
      <c r="R436" s="29">
        <f>Item_Enchant_Old!R440</f>
        <v>1</v>
      </c>
    </row>
    <row r="437" spans="1:18" s="29" customFormat="1" hidden="1">
      <c r="A437" s="29">
        <f>Item_Enchant_Old!A441</f>
        <v>436</v>
      </c>
      <c r="B437" s="29" t="str">
        <f>Item_Enchant_Old!B441</f>
        <v>ACTIVE_DEX_UP</v>
      </c>
      <c r="C437" s="29">
        <f>Item_Enchant_Old!C441</f>
        <v>613</v>
      </c>
      <c r="D437" s="29">
        <f>Item_Enchant_Old!D441</f>
        <v>0</v>
      </c>
      <c r="E437" s="29">
        <f>Item_Enchant_Old!E441</f>
        <v>0</v>
      </c>
      <c r="F437" s="29">
        <f>Item_Enchant_Old!F441</f>
        <v>0</v>
      </c>
      <c r="G437" s="29">
        <f>Item_Enchant_Old!G441</f>
        <v>3</v>
      </c>
      <c r="H437" s="29" t="str">
        <f>Item_Enchant_Old!H441</f>
        <v>@</v>
      </c>
      <c r="I437" s="29">
        <f>Item_Enchant_Old!I441</f>
        <v>1</v>
      </c>
      <c r="J437" s="29" t="str">
        <f>Item_Enchant_Old!J441</f>
        <v>절대값/상대값(%) 가능</v>
      </c>
      <c r="K437" s="29">
        <f>Item_Enchant_Old!K441</f>
        <v>8</v>
      </c>
      <c r="L437" s="29">
        <f>Item_Enchant_Old!L441</f>
        <v>0</v>
      </c>
      <c r="M437" s="29">
        <f>Item_Enchant_Old!M441</f>
        <v>11</v>
      </c>
      <c r="N437" s="29">
        <f>Item_Enchant_Old!N441</f>
        <v>44</v>
      </c>
      <c r="O437" s="29">
        <f>Item_Enchant_Old!O441</f>
        <v>1</v>
      </c>
      <c r="P437" s="29">
        <f>Item_Enchant_Old!P441</f>
        <v>1</v>
      </c>
      <c r="Q437" s="29">
        <f>Item_Enchant_Old!Q441</f>
        <v>1</v>
      </c>
      <c r="R437" s="29">
        <f>Item_Enchant_Old!R441</f>
        <v>1</v>
      </c>
    </row>
    <row r="438" spans="1:18" s="29" customFormat="1" hidden="1">
      <c r="A438" s="29">
        <f>Item_Enchant_Old!A442</f>
        <v>437</v>
      </c>
      <c r="B438" s="29" t="str">
        <f>Item_Enchant_Old!B442</f>
        <v>ACTIVE_SOL_UP</v>
      </c>
      <c r="C438" s="29">
        <f>Item_Enchant_Old!C442</f>
        <v>614</v>
      </c>
      <c r="D438" s="29">
        <f>Item_Enchant_Old!D442</f>
        <v>0</v>
      </c>
      <c r="E438" s="29">
        <f>Item_Enchant_Old!E442</f>
        <v>0</v>
      </c>
      <c r="F438" s="29">
        <f>Item_Enchant_Old!F442</f>
        <v>0</v>
      </c>
      <c r="G438" s="29">
        <f>Item_Enchant_Old!G442</f>
        <v>2</v>
      </c>
      <c r="H438" s="29" t="str">
        <f>Item_Enchant_Old!H442</f>
        <v>@</v>
      </c>
      <c r="I438" s="29">
        <f>Item_Enchant_Old!I442</f>
        <v>1</v>
      </c>
      <c r="J438" s="29" t="str">
        <f>Item_Enchant_Old!J442</f>
        <v>절대값/상대값(%) 가능</v>
      </c>
      <c r="K438" s="29">
        <f>Item_Enchant_Old!K442</f>
        <v>8</v>
      </c>
      <c r="L438" s="29">
        <f>Item_Enchant_Old!L442</f>
        <v>0</v>
      </c>
      <c r="M438" s="29">
        <f>Item_Enchant_Old!M442</f>
        <v>11</v>
      </c>
      <c r="N438" s="29">
        <f>Item_Enchant_Old!N442</f>
        <v>53</v>
      </c>
      <c r="O438" s="29">
        <f>Item_Enchant_Old!O442</f>
        <v>1</v>
      </c>
      <c r="P438" s="29">
        <f>Item_Enchant_Old!P442</f>
        <v>1</v>
      </c>
      <c r="Q438" s="29">
        <f>Item_Enchant_Old!Q442</f>
        <v>1</v>
      </c>
      <c r="R438" s="29">
        <f>Item_Enchant_Old!R442</f>
        <v>1</v>
      </c>
    </row>
    <row r="439" spans="1:18" s="29" customFormat="1" hidden="1">
      <c r="A439" s="29">
        <f>Item_Enchant_Old!A443</f>
        <v>438</v>
      </c>
      <c r="B439" s="29" t="str">
        <f>Item_Enchant_Old!B443</f>
        <v>ACTIVE_ENG_UP</v>
      </c>
      <c r="C439" s="29">
        <f>Item_Enchant_Old!C443</f>
        <v>615</v>
      </c>
      <c r="D439" s="29">
        <f>Item_Enchant_Old!D443</f>
        <v>0</v>
      </c>
      <c r="E439" s="29">
        <f>Item_Enchant_Old!E443</f>
        <v>0</v>
      </c>
      <c r="F439" s="29">
        <f>Item_Enchant_Old!F443</f>
        <v>0</v>
      </c>
      <c r="G439" s="29">
        <f>Item_Enchant_Old!G443</f>
        <v>2</v>
      </c>
      <c r="H439" s="29" t="str">
        <f>Item_Enchant_Old!H443</f>
        <v>@</v>
      </c>
      <c r="I439" s="29">
        <f>Item_Enchant_Old!I443</f>
        <v>1</v>
      </c>
      <c r="J439" s="29" t="str">
        <f>Item_Enchant_Old!J443</f>
        <v>절대값/상대값(%) 가능</v>
      </c>
      <c r="K439" s="29">
        <f>Item_Enchant_Old!K443</f>
        <v>8</v>
      </c>
      <c r="L439" s="29">
        <f>Item_Enchant_Old!L443</f>
        <v>0</v>
      </c>
      <c r="M439" s="29">
        <f>Item_Enchant_Old!M443</f>
        <v>11</v>
      </c>
      <c r="N439" s="29">
        <f>Item_Enchant_Old!N443</f>
        <v>62</v>
      </c>
      <c r="O439" s="29">
        <f>Item_Enchant_Old!O443</f>
        <v>1</v>
      </c>
      <c r="P439" s="29">
        <f>Item_Enchant_Old!P443</f>
        <v>1</v>
      </c>
      <c r="Q439" s="29">
        <f>Item_Enchant_Old!Q443</f>
        <v>1</v>
      </c>
      <c r="R439" s="29">
        <f>Item_Enchant_Old!R443</f>
        <v>1</v>
      </c>
    </row>
    <row r="440" spans="1:18" s="29" customFormat="1" hidden="1">
      <c r="A440" s="29">
        <f>Item_Enchant_Old!A444</f>
        <v>439</v>
      </c>
      <c r="B440" s="29" t="str">
        <f>Item_Enchant_Old!B444</f>
        <v>ACTIVE_PHYSICAL_DEFENCE_UP</v>
      </c>
      <c r="C440" s="29">
        <f>Item_Enchant_Old!C444</f>
        <v>608</v>
      </c>
      <c r="D440" s="29">
        <f>Item_Enchant_Old!D444</f>
        <v>0</v>
      </c>
      <c r="E440" s="29">
        <f>Item_Enchant_Old!E444</f>
        <v>0</v>
      </c>
      <c r="F440" s="29">
        <f>Item_Enchant_Old!F444</f>
        <v>0</v>
      </c>
      <c r="G440" s="29">
        <f>Item_Enchant_Old!G444</f>
        <v>1</v>
      </c>
      <c r="H440" s="29" t="str">
        <f>Item_Enchant_Old!H444</f>
        <v>@</v>
      </c>
      <c r="I440" s="29">
        <f>Item_Enchant_Old!I444</f>
        <v>1</v>
      </c>
      <c r="J440" s="29" t="str">
        <f>Item_Enchant_Old!J444</f>
        <v>절대값/상대값(%) 가능</v>
      </c>
      <c r="K440" s="29">
        <f>Item_Enchant_Old!K444</f>
        <v>8</v>
      </c>
      <c r="L440" s="29">
        <f>Item_Enchant_Old!L444</f>
        <v>0</v>
      </c>
      <c r="M440" s="29">
        <f>Item_Enchant_Old!M444</f>
        <v>12</v>
      </c>
      <c r="N440" s="29">
        <f>Item_Enchant_Old!N444</f>
        <v>1350</v>
      </c>
      <c r="O440" s="29">
        <f>Item_Enchant_Old!O444</f>
        <v>1</v>
      </c>
      <c r="P440" s="29">
        <f>Item_Enchant_Old!P444</f>
        <v>1</v>
      </c>
      <c r="Q440" s="29">
        <f>Item_Enchant_Old!Q444</f>
        <v>1</v>
      </c>
      <c r="R440" s="29">
        <f>Item_Enchant_Old!R444</f>
        <v>1</v>
      </c>
    </row>
    <row r="441" spans="1:18" s="29" customFormat="1" hidden="1">
      <c r="A441" s="29">
        <f>Item_Enchant_Old!A445</f>
        <v>440</v>
      </c>
      <c r="B441" s="29" t="str">
        <f>Item_Enchant_Old!B445</f>
        <v>ACTIVE_BLOCK_RATE_UP</v>
      </c>
      <c r="C441" s="29">
        <f>Item_Enchant_Old!C445</f>
        <v>620</v>
      </c>
      <c r="D441" s="29">
        <f>Item_Enchant_Old!D445</f>
        <v>0</v>
      </c>
      <c r="E441" s="29">
        <f>Item_Enchant_Old!E445</f>
        <v>0</v>
      </c>
      <c r="F441" s="29">
        <f>Item_Enchant_Old!F445</f>
        <v>0</v>
      </c>
      <c r="G441" s="29">
        <f>Item_Enchant_Old!G445</f>
        <v>1</v>
      </c>
      <c r="H441" s="29" t="str">
        <f>Item_Enchant_Old!H445</f>
        <v>@</v>
      </c>
      <c r="I441" s="29">
        <f>Item_Enchant_Old!I445</f>
        <v>1</v>
      </c>
      <c r="J441" s="29" t="str">
        <f>Item_Enchant_Old!J445</f>
        <v>절대값/상대값(%) 가능</v>
      </c>
      <c r="K441" s="29">
        <f>Item_Enchant_Old!K445</f>
        <v>8</v>
      </c>
      <c r="L441" s="29">
        <f>Item_Enchant_Old!L445</f>
        <v>0</v>
      </c>
      <c r="M441" s="29">
        <f>Item_Enchant_Old!M445</f>
        <v>12</v>
      </c>
      <c r="N441" s="29">
        <f>Item_Enchant_Old!N445</f>
        <v>352</v>
      </c>
      <c r="O441" s="29">
        <f>Item_Enchant_Old!O445</f>
        <v>1</v>
      </c>
      <c r="P441" s="29">
        <f>Item_Enchant_Old!P445</f>
        <v>1</v>
      </c>
      <c r="Q441" s="29">
        <f>Item_Enchant_Old!Q445</f>
        <v>1</v>
      </c>
      <c r="R441" s="29">
        <f>Item_Enchant_Old!R445</f>
        <v>1</v>
      </c>
    </row>
    <row r="442" spans="1:18" s="29" customFormat="1" hidden="1">
      <c r="A442" s="29">
        <f>Item_Enchant_Old!A446</f>
        <v>441</v>
      </c>
      <c r="B442" s="29" t="str">
        <f>Item_Enchant_Old!B446</f>
        <v>ACTIVE_CON_UP</v>
      </c>
      <c r="C442" s="29">
        <f>Item_Enchant_Old!C446</f>
        <v>611</v>
      </c>
      <c r="D442" s="29">
        <f>Item_Enchant_Old!D446</f>
        <v>0</v>
      </c>
      <c r="E442" s="29">
        <f>Item_Enchant_Old!E446</f>
        <v>0</v>
      </c>
      <c r="F442" s="29">
        <f>Item_Enchant_Old!F446</f>
        <v>0</v>
      </c>
      <c r="G442" s="29">
        <f>Item_Enchant_Old!G446</f>
        <v>3</v>
      </c>
      <c r="H442" s="29" t="str">
        <f>Item_Enchant_Old!H446</f>
        <v>@</v>
      </c>
      <c r="I442" s="29">
        <f>Item_Enchant_Old!I446</f>
        <v>1</v>
      </c>
      <c r="J442" s="29" t="str">
        <f>Item_Enchant_Old!J446</f>
        <v>절대값/상대값(%) 가능</v>
      </c>
      <c r="K442" s="29">
        <f>Item_Enchant_Old!K446</f>
        <v>8</v>
      </c>
      <c r="L442" s="29">
        <f>Item_Enchant_Old!L446</f>
        <v>0</v>
      </c>
      <c r="M442" s="29">
        <f>Item_Enchant_Old!M446</f>
        <v>12</v>
      </c>
      <c r="N442" s="29">
        <f>Item_Enchant_Old!N446</f>
        <v>48</v>
      </c>
      <c r="O442" s="29">
        <f>Item_Enchant_Old!O446</f>
        <v>1</v>
      </c>
      <c r="P442" s="29">
        <f>Item_Enchant_Old!P446</f>
        <v>1</v>
      </c>
      <c r="Q442" s="29">
        <f>Item_Enchant_Old!Q446</f>
        <v>1</v>
      </c>
      <c r="R442" s="29">
        <f>Item_Enchant_Old!R446</f>
        <v>1</v>
      </c>
    </row>
    <row r="443" spans="1:18" s="29" customFormat="1" hidden="1">
      <c r="A443" s="29">
        <f>Item_Enchant_Old!A447</f>
        <v>442</v>
      </c>
      <c r="B443" s="29" t="str">
        <f>Item_Enchant_Old!B447</f>
        <v>ACTIVE_FOC_UP</v>
      </c>
      <c r="C443" s="29">
        <f>Item_Enchant_Old!C447</f>
        <v>612</v>
      </c>
      <c r="D443" s="29">
        <f>Item_Enchant_Old!D447</f>
        <v>0</v>
      </c>
      <c r="E443" s="29">
        <f>Item_Enchant_Old!E447</f>
        <v>0</v>
      </c>
      <c r="F443" s="29">
        <f>Item_Enchant_Old!F447</f>
        <v>0</v>
      </c>
      <c r="G443" s="29">
        <f>Item_Enchant_Old!G447</f>
        <v>2</v>
      </c>
      <c r="H443" s="29" t="str">
        <f>Item_Enchant_Old!H447</f>
        <v>@</v>
      </c>
      <c r="I443" s="29">
        <f>Item_Enchant_Old!I447</f>
        <v>1</v>
      </c>
      <c r="J443" s="29" t="str">
        <f>Item_Enchant_Old!J447</f>
        <v>절대값/상대값(%) 가능</v>
      </c>
      <c r="K443" s="29">
        <f>Item_Enchant_Old!K447</f>
        <v>8</v>
      </c>
      <c r="L443" s="29">
        <f>Item_Enchant_Old!L447</f>
        <v>0</v>
      </c>
      <c r="M443" s="29">
        <f>Item_Enchant_Old!M447</f>
        <v>12</v>
      </c>
      <c r="N443" s="29">
        <f>Item_Enchant_Old!N447</f>
        <v>53</v>
      </c>
      <c r="O443" s="29">
        <f>Item_Enchant_Old!O447</f>
        <v>1</v>
      </c>
      <c r="P443" s="29">
        <f>Item_Enchant_Old!P447</f>
        <v>1</v>
      </c>
      <c r="Q443" s="29">
        <f>Item_Enchant_Old!Q447</f>
        <v>1</v>
      </c>
      <c r="R443" s="29">
        <f>Item_Enchant_Old!R447</f>
        <v>1</v>
      </c>
    </row>
    <row r="444" spans="1:18" s="29" customFormat="1" hidden="1">
      <c r="A444" s="29">
        <f>Item_Enchant_Old!A448</f>
        <v>443</v>
      </c>
      <c r="B444" s="29" t="str">
        <f>Item_Enchant_Old!B448</f>
        <v>ACTIVE_PHYSICAL_OFFENCE_UP</v>
      </c>
      <c r="C444" s="29">
        <f>Item_Enchant_Old!C448</f>
        <v>606</v>
      </c>
      <c r="D444" s="29">
        <f>Item_Enchant_Old!D448</f>
        <v>0</v>
      </c>
      <c r="E444" s="29">
        <f>Item_Enchant_Old!E448</f>
        <v>0</v>
      </c>
      <c r="F444" s="29">
        <f>Item_Enchant_Old!F448</f>
        <v>0</v>
      </c>
      <c r="G444" s="29">
        <f>Item_Enchant_Old!G448</f>
        <v>1</v>
      </c>
      <c r="H444" s="29" t="str">
        <f>Item_Enchant_Old!H448</f>
        <v>@</v>
      </c>
      <c r="I444" s="29">
        <f>Item_Enchant_Old!I448</f>
        <v>1</v>
      </c>
      <c r="J444" s="29" t="str">
        <f>Item_Enchant_Old!J448</f>
        <v>절대값/상대값(%) 가능</v>
      </c>
      <c r="K444" s="29">
        <f>Item_Enchant_Old!K448</f>
        <v>9</v>
      </c>
      <c r="L444" s="29">
        <f>Item_Enchant_Old!L448</f>
        <v>0</v>
      </c>
      <c r="M444" s="29">
        <f>Item_Enchant_Old!M448</f>
        <v>1</v>
      </c>
      <c r="N444" s="29">
        <f>Item_Enchant_Old!N448</f>
        <v>125</v>
      </c>
      <c r="O444" s="29">
        <f>Item_Enchant_Old!O448</f>
        <v>1</v>
      </c>
      <c r="P444" s="29">
        <f>Item_Enchant_Old!P448</f>
        <v>1</v>
      </c>
      <c r="Q444" s="29">
        <f>Item_Enchant_Old!Q448</f>
        <v>1</v>
      </c>
      <c r="R444" s="29">
        <f>Item_Enchant_Old!R448</f>
        <v>1</v>
      </c>
    </row>
    <row r="445" spans="1:18" s="29" customFormat="1" hidden="1">
      <c r="A445" s="29">
        <f>Item_Enchant_Old!A449</f>
        <v>444</v>
      </c>
      <c r="B445" s="29" t="str">
        <f>Item_Enchant_Old!B449</f>
        <v>ACTIVE_STR_UP</v>
      </c>
      <c r="C445" s="29">
        <f>Item_Enchant_Old!C449</f>
        <v>610</v>
      </c>
      <c r="D445" s="29">
        <f>Item_Enchant_Old!D449</f>
        <v>0</v>
      </c>
      <c r="E445" s="29">
        <f>Item_Enchant_Old!E449</f>
        <v>0</v>
      </c>
      <c r="F445" s="29">
        <f>Item_Enchant_Old!F449</f>
        <v>0</v>
      </c>
      <c r="G445" s="29">
        <f>Item_Enchant_Old!G449</f>
        <v>2</v>
      </c>
      <c r="H445" s="29" t="str">
        <f>Item_Enchant_Old!H449</f>
        <v>@</v>
      </c>
      <c r="I445" s="29">
        <f>Item_Enchant_Old!I449</f>
        <v>1</v>
      </c>
      <c r="J445" s="29" t="str">
        <f>Item_Enchant_Old!J449</f>
        <v>절대값/상대값(%) 가능</v>
      </c>
      <c r="K445" s="29">
        <f>Item_Enchant_Old!K449</f>
        <v>9</v>
      </c>
      <c r="L445" s="29">
        <f>Item_Enchant_Old!L449</f>
        <v>0</v>
      </c>
      <c r="M445" s="29">
        <f>Item_Enchant_Old!M449</f>
        <v>1</v>
      </c>
      <c r="N445" s="29">
        <f>Item_Enchant_Old!N449</f>
        <v>57</v>
      </c>
      <c r="O445" s="29">
        <f>Item_Enchant_Old!O449</f>
        <v>1</v>
      </c>
      <c r="P445" s="29">
        <f>Item_Enchant_Old!P449</f>
        <v>1</v>
      </c>
      <c r="Q445" s="29">
        <f>Item_Enchant_Old!Q449</f>
        <v>1</v>
      </c>
      <c r="R445" s="29">
        <f>Item_Enchant_Old!R449</f>
        <v>1</v>
      </c>
    </row>
    <row r="446" spans="1:18" s="29" customFormat="1" hidden="1">
      <c r="A446" s="29">
        <f>Item_Enchant_Old!A450</f>
        <v>445</v>
      </c>
      <c r="B446" s="29" t="str">
        <f>Item_Enchant_Old!B450</f>
        <v>ACTIVE_DEX_UP</v>
      </c>
      <c r="C446" s="29">
        <f>Item_Enchant_Old!C450</f>
        <v>613</v>
      </c>
      <c r="D446" s="29">
        <f>Item_Enchant_Old!D450</f>
        <v>0</v>
      </c>
      <c r="E446" s="29">
        <f>Item_Enchant_Old!E450</f>
        <v>0</v>
      </c>
      <c r="F446" s="29">
        <f>Item_Enchant_Old!F450</f>
        <v>0</v>
      </c>
      <c r="G446" s="29">
        <f>Item_Enchant_Old!G450</f>
        <v>3</v>
      </c>
      <c r="H446" s="29" t="str">
        <f>Item_Enchant_Old!H450</f>
        <v>@</v>
      </c>
      <c r="I446" s="29">
        <f>Item_Enchant_Old!I450</f>
        <v>1</v>
      </c>
      <c r="J446" s="29" t="str">
        <f>Item_Enchant_Old!J450</f>
        <v>절대값/상대값(%) 가능</v>
      </c>
      <c r="K446" s="29">
        <f>Item_Enchant_Old!K450</f>
        <v>9</v>
      </c>
      <c r="L446" s="29">
        <f>Item_Enchant_Old!L450</f>
        <v>0</v>
      </c>
      <c r="M446" s="29">
        <f>Item_Enchant_Old!M450</f>
        <v>1</v>
      </c>
      <c r="N446" s="29">
        <f>Item_Enchant_Old!N450</f>
        <v>44</v>
      </c>
      <c r="O446" s="29">
        <f>Item_Enchant_Old!O450</f>
        <v>1</v>
      </c>
      <c r="P446" s="29">
        <f>Item_Enchant_Old!P450</f>
        <v>1</v>
      </c>
      <c r="Q446" s="29">
        <f>Item_Enchant_Old!Q450</f>
        <v>1</v>
      </c>
      <c r="R446" s="29">
        <f>Item_Enchant_Old!R450</f>
        <v>1</v>
      </c>
    </row>
    <row r="447" spans="1:18" s="29" customFormat="1" hidden="1">
      <c r="A447" s="29">
        <f>Item_Enchant_Old!A451</f>
        <v>446</v>
      </c>
      <c r="B447" s="29" t="str">
        <f>Item_Enchant_Old!B451</f>
        <v>ACTIVE_PHYSICAL_CRITICAL_DAMAGE_UP</v>
      </c>
      <c r="C447" s="29">
        <f>Item_Enchant_Old!C451</f>
        <v>658</v>
      </c>
      <c r="D447" s="29">
        <f>Item_Enchant_Old!D451</f>
        <v>0</v>
      </c>
      <c r="E447" s="29">
        <f>Item_Enchant_Old!E451</f>
        <v>0</v>
      </c>
      <c r="F447" s="29">
        <f>Item_Enchant_Old!F451</f>
        <v>0</v>
      </c>
      <c r="G447" s="29">
        <f>Item_Enchant_Old!G451</f>
        <v>4</v>
      </c>
      <c r="H447" s="29" t="str">
        <f>Item_Enchant_Old!H451</f>
        <v>@</v>
      </c>
      <c r="I447" s="29">
        <f>Item_Enchant_Old!I451</f>
        <v>1</v>
      </c>
      <c r="J447" s="29" t="str">
        <f>Item_Enchant_Old!J451</f>
        <v>절대값만 가능</v>
      </c>
      <c r="K447" s="29">
        <f>Item_Enchant_Old!K451</f>
        <v>9</v>
      </c>
      <c r="L447" s="29">
        <f>Item_Enchant_Old!L451</f>
        <v>0</v>
      </c>
      <c r="M447" s="29">
        <f>Item_Enchant_Old!M451</f>
        <v>1</v>
      </c>
      <c r="N447" s="29">
        <f>Item_Enchant_Old!N451</f>
        <v>28</v>
      </c>
      <c r="O447" s="29">
        <f>Item_Enchant_Old!O451</f>
        <v>1</v>
      </c>
      <c r="P447" s="29">
        <f>Item_Enchant_Old!P451</f>
        <v>1</v>
      </c>
      <c r="Q447" s="29">
        <f>Item_Enchant_Old!Q451</f>
        <v>1</v>
      </c>
      <c r="R447" s="29">
        <f>Item_Enchant_Old!R451</f>
        <v>1</v>
      </c>
    </row>
    <row r="448" spans="1:18" s="29" customFormat="1" hidden="1">
      <c r="A448" s="29">
        <f>Item_Enchant_Old!A452</f>
        <v>447</v>
      </c>
      <c r="B448" s="29" t="str">
        <f>Item_Enchant_Old!B452</f>
        <v>ACTIVE_PHYSICAL_CRITICAL_DAMAGE_UP</v>
      </c>
      <c r="C448" s="29">
        <f>Item_Enchant_Old!C452</f>
        <v>658</v>
      </c>
      <c r="D448" s="29">
        <f>Item_Enchant_Old!D452</f>
        <v>0</v>
      </c>
      <c r="E448" s="29">
        <f>Item_Enchant_Old!E452</f>
        <v>0</v>
      </c>
      <c r="F448" s="29">
        <f>Item_Enchant_Old!F452</f>
        <v>0</v>
      </c>
      <c r="G448" s="29">
        <f>Item_Enchant_Old!G452</f>
        <v>4</v>
      </c>
      <c r="H448" s="29" t="str">
        <f>Item_Enchant_Old!H452</f>
        <v>@</v>
      </c>
      <c r="I448" s="29">
        <f>Item_Enchant_Old!I452</f>
        <v>1</v>
      </c>
      <c r="J448" s="29" t="str">
        <f>Item_Enchant_Old!J452</f>
        <v>절대값만 가능</v>
      </c>
      <c r="K448" s="29">
        <f>Item_Enchant_Old!K452</f>
        <v>9</v>
      </c>
      <c r="L448" s="29">
        <f>Item_Enchant_Old!L452</f>
        <v>0</v>
      </c>
      <c r="M448" s="29">
        <f>Item_Enchant_Old!M452</f>
        <v>2</v>
      </c>
      <c r="N448" s="29">
        <f>Item_Enchant_Old!N452</f>
        <v>28</v>
      </c>
      <c r="O448" s="29">
        <f>Item_Enchant_Old!O452</f>
        <v>1</v>
      </c>
      <c r="P448" s="29">
        <f>Item_Enchant_Old!P452</f>
        <v>1</v>
      </c>
      <c r="Q448" s="29">
        <f>Item_Enchant_Old!Q452</f>
        <v>1</v>
      </c>
      <c r="R448" s="29">
        <f>Item_Enchant_Old!R452</f>
        <v>1</v>
      </c>
    </row>
    <row r="449" spans="1:18" s="29" customFormat="1" hidden="1">
      <c r="A449" s="29">
        <f>Item_Enchant_Old!A453</f>
        <v>448</v>
      </c>
      <c r="B449" s="29" t="str">
        <f>Item_Enchant_Old!B453</f>
        <v>ACTIVE_PHYSICAL_CRITICAL</v>
      </c>
      <c r="C449" s="29">
        <f>Item_Enchant_Old!C453</f>
        <v>632</v>
      </c>
      <c r="D449" s="29">
        <f>Item_Enchant_Old!D453</f>
        <v>0</v>
      </c>
      <c r="E449" s="29">
        <f>Item_Enchant_Old!E453</f>
        <v>0</v>
      </c>
      <c r="F449" s="29">
        <f>Item_Enchant_Old!F453</f>
        <v>0</v>
      </c>
      <c r="G449" s="29">
        <f>Item_Enchant_Old!G453</f>
        <v>5</v>
      </c>
      <c r="H449" s="29" t="str">
        <f>Item_Enchant_Old!H453</f>
        <v>@</v>
      </c>
      <c r="I449" s="29">
        <f>Item_Enchant_Old!I453</f>
        <v>1</v>
      </c>
      <c r="J449" s="29" t="str">
        <f>Item_Enchant_Old!J453</f>
        <v>절대값/상대값(%) 가능</v>
      </c>
      <c r="K449" s="29">
        <f>Item_Enchant_Old!K453</f>
        <v>9</v>
      </c>
      <c r="L449" s="29">
        <f>Item_Enchant_Old!L453</f>
        <v>0</v>
      </c>
      <c r="M449" s="29">
        <f>Item_Enchant_Old!M453</f>
        <v>2</v>
      </c>
      <c r="N449" s="29">
        <f>Item_Enchant_Old!N453</f>
        <v>21</v>
      </c>
      <c r="O449" s="29">
        <f>Item_Enchant_Old!O453</f>
        <v>1</v>
      </c>
      <c r="P449" s="29">
        <f>Item_Enchant_Old!P453</f>
        <v>1</v>
      </c>
      <c r="Q449" s="29">
        <f>Item_Enchant_Old!Q453</f>
        <v>1</v>
      </c>
      <c r="R449" s="29">
        <f>Item_Enchant_Old!R453</f>
        <v>1</v>
      </c>
    </row>
    <row r="450" spans="1:18" s="29" customFormat="1" hidden="1">
      <c r="A450" s="29">
        <f>Item_Enchant_Old!A454</f>
        <v>449</v>
      </c>
      <c r="B450" s="29" t="str">
        <f>Item_Enchant_Old!B454</f>
        <v>ACTIVE_DEX_UP</v>
      </c>
      <c r="C450" s="29">
        <f>Item_Enchant_Old!C454</f>
        <v>613</v>
      </c>
      <c r="D450" s="29">
        <f>Item_Enchant_Old!D454</f>
        <v>0</v>
      </c>
      <c r="E450" s="29">
        <f>Item_Enchant_Old!E454</f>
        <v>0</v>
      </c>
      <c r="F450" s="29">
        <f>Item_Enchant_Old!F454</f>
        <v>0</v>
      </c>
      <c r="G450" s="29">
        <f>Item_Enchant_Old!G454</f>
        <v>3</v>
      </c>
      <c r="H450" s="29" t="str">
        <f>Item_Enchant_Old!H454</f>
        <v>@</v>
      </c>
      <c r="I450" s="29">
        <f>Item_Enchant_Old!I454</f>
        <v>1</v>
      </c>
      <c r="J450" s="29" t="str">
        <f>Item_Enchant_Old!J454</f>
        <v>절대값/상대값(%) 가능</v>
      </c>
      <c r="K450" s="29">
        <f>Item_Enchant_Old!K454</f>
        <v>9</v>
      </c>
      <c r="L450" s="29">
        <f>Item_Enchant_Old!L454</f>
        <v>0</v>
      </c>
      <c r="M450" s="29">
        <f>Item_Enchant_Old!M454</f>
        <v>2</v>
      </c>
      <c r="N450" s="29">
        <f>Item_Enchant_Old!N454</f>
        <v>44</v>
      </c>
      <c r="O450" s="29">
        <f>Item_Enchant_Old!O454</f>
        <v>1</v>
      </c>
      <c r="P450" s="29">
        <f>Item_Enchant_Old!P454</f>
        <v>1</v>
      </c>
      <c r="Q450" s="29">
        <f>Item_Enchant_Old!Q454</f>
        <v>1</v>
      </c>
      <c r="R450" s="29">
        <f>Item_Enchant_Old!R454</f>
        <v>1</v>
      </c>
    </row>
    <row r="451" spans="1:18" s="29" customFormat="1" hidden="1">
      <c r="A451" s="29">
        <f>Item_Enchant_Old!A455</f>
        <v>450</v>
      </c>
      <c r="B451" s="29" t="str">
        <f>Item_Enchant_Old!B455</f>
        <v>ACTIVE_FOC_UP</v>
      </c>
      <c r="C451" s="29">
        <f>Item_Enchant_Old!C455</f>
        <v>612</v>
      </c>
      <c r="D451" s="29">
        <f>Item_Enchant_Old!D455</f>
        <v>0</v>
      </c>
      <c r="E451" s="29">
        <f>Item_Enchant_Old!E455</f>
        <v>0</v>
      </c>
      <c r="F451" s="29">
        <f>Item_Enchant_Old!F455</f>
        <v>0</v>
      </c>
      <c r="G451" s="29">
        <f>Item_Enchant_Old!G455</f>
        <v>2</v>
      </c>
      <c r="H451" s="29" t="str">
        <f>Item_Enchant_Old!H455</f>
        <v>@</v>
      </c>
      <c r="I451" s="29">
        <f>Item_Enchant_Old!I455</f>
        <v>1</v>
      </c>
      <c r="J451" s="29" t="str">
        <f>Item_Enchant_Old!J455</f>
        <v>절대값/상대값(%) 가능</v>
      </c>
      <c r="K451" s="29">
        <f>Item_Enchant_Old!K455</f>
        <v>9</v>
      </c>
      <c r="L451" s="29">
        <f>Item_Enchant_Old!L455</f>
        <v>0</v>
      </c>
      <c r="M451" s="29">
        <f>Item_Enchant_Old!M455</f>
        <v>2</v>
      </c>
      <c r="N451" s="29">
        <f>Item_Enchant_Old!N455</f>
        <v>53</v>
      </c>
      <c r="O451" s="29">
        <f>Item_Enchant_Old!O455</f>
        <v>1</v>
      </c>
      <c r="P451" s="29">
        <f>Item_Enchant_Old!P455</f>
        <v>1</v>
      </c>
      <c r="Q451" s="29">
        <f>Item_Enchant_Old!Q455</f>
        <v>1</v>
      </c>
      <c r="R451" s="29">
        <f>Item_Enchant_Old!R455</f>
        <v>1</v>
      </c>
    </row>
    <row r="452" spans="1:18" s="29" customFormat="1" hidden="1">
      <c r="A452" s="29">
        <f>Item_Enchant_Old!A456</f>
        <v>451</v>
      </c>
      <c r="B452" s="29" t="str">
        <f>Item_Enchant_Old!B456</f>
        <v>ACTIVE_ENERGY_OFFENCE_UP</v>
      </c>
      <c r="C452" s="29">
        <f>Item_Enchant_Old!C456</f>
        <v>607</v>
      </c>
      <c r="D452" s="29">
        <f>Item_Enchant_Old!D456</f>
        <v>0</v>
      </c>
      <c r="E452" s="29">
        <f>Item_Enchant_Old!E456</f>
        <v>0</v>
      </c>
      <c r="F452" s="29">
        <f>Item_Enchant_Old!F456</f>
        <v>0</v>
      </c>
      <c r="G452" s="29">
        <f>Item_Enchant_Old!G456</f>
        <v>1</v>
      </c>
      <c r="H452" s="29" t="str">
        <f>Item_Enchant_Old!H456</f>
        <v>@</v>
      </c>
      <c r="I452" s="29">
        <f>Item_Enchant_Old!I456</f>
        <v>1</v>
      </c>
      <c r="J452" s="29" t="str">
        <f>Item_Enchant_Old!J456</f>
        <v>절대값/상대값(%) 가능</v>
      </c>
      <c r="K452" s="29">
        <f>Item_Enchant_Old!K456</f>
        <v>9</v>
      </c>
      <c r="L452" s="29">
        <f>Item_Enchant_Old!L456</f>
        <v>0</v>
      </c>
      <c r="M452" s="29">
        <f>Item_Enchant_Old!M456</f>
        <v>3</v>
      </c>
      <c r="N452" s="29">
        <f>Item_Enchant_Old!N456</f>
        <v>104</v>
      </c>
      <c r="O452" s="29">
        <f>Item_Enchant_Old!O456</f>
        <v>1</v>
      </c>
      <c r="P452" s="29">
        <f>Item_Enchant_Old!P456</f>
        <v>1</v>
      </c>
      <c r="Q452" s="29">
        <f>Item_Enchant_Old!Q456</f>
        <v>1</v>
      </c>
      <c r="R452" s="29">
        <f>Item_Enchant_Old!R456</f>
        <v>1</v>
      </c>
    </row>
    <row r="453" spans="1:18" s="29" customFormat="1" hidden="1">
      <c r="A453" s="29">
        <f>Item_Enchant_Old!A457</f>
        <v>452</v>
      </c>
      <c r="B453" s="29" t="str">
        <f>Item_Enchant_Old!B457</f>
        <v>ACTIVE_FOC_UP</v>
      </c>
      <c r="C453" s="29">
        <f>Item_Enchant_Old!C457</f>
        <v>612</v>
      </c>
      <c r="D453" s="29">
        <f>Item_Enchant_Old!D457</f>
        <v>0</v>
      </c>
      <c r="E453" s="29">
        <f>Item_Enchant_Old!E457</f>
        <v>0</v>
      </c>
      <c r="F453" s="29">
        <f>Item_Enchant_Old!F457</f>
        <v>0</v>
      </c>
      <c r="G453" s="29">
        <f>Item_Enchant_Old!G457</f>
        <v>2</v>
      </c>
      <c r="H453" s="29" t="str">
        <f>Item_Enchant_Old!H457</f>
        <v>@</v>
      </c>
      <c r="I453" s="29">
        <f>Item_Enchant_Old!I457</f>
        <v>1</v>
      </c>
      <c r="J453" s="29" t="str">
        <f>Item_Enchant_Old!J457</f>
        <v>절대값/상대값(%) 가능</v>
      </c>
      <c r="K453" s="29">
        <f>Item_Enchant_Old!K457</f>
        <v>9</v>
      </c>
      <c r="L453" s="29">
        <f>Item_Enchant_Old!L457</f>
        <v>0</v>
      </c>
      <c r="M453" s="29">
        <f>Item_Enchant_Old!M457</f>
        <v>3</v>
      </c>
      <c r="N453" s="29">
        <f>Item_Enchant_Old!N457</f>
        <v>53</v>
      </c>
      <c r="O453" s="29">
        <f>Item_Enchant_Old!O457</f>
        <v>1</v>
      </c>
      <c r="P453" s="29">
        <f>Item_Enchant_Old!P457</f>
        <v>1</v>
      </c>
      <c r="Q453" s="29">
        <f>Item_Enchant_Old!Q457</f>
        <v>1</v>
      </c>
      <c r="R453" s="29">
        <f>Item_Enchant_Old!R457</f>
        <v>1</v>
      </c>
    </row>
    <row r="454" spans="1:18" s="29" customFormat="1" hidden="1">
      <c r="A454" s="29">
        <f>Item_Enchant_Old!A458</f>
        <v>453</v>
      </c>
      <c r="B454" s="29" t="str">
        <f>Item_Enchant_Old!B458</f>
        <v>ACTIVE_SOL_UP</v>
      </c>
      <c r="C454" s="29">
        <f>Item_Enchant_Old!C458</f>
        <v>614</v>
      </c>
      <c r="D454" s="29">
        <f>Item_Enchant_Old!D458</f>
        <v>0</v>
      </c>
      <c r="E454" s="29">
        <f>Item_Enchant_Old!E458</f>
        <v>0</v>
      </c>
      <c r="F454" s="29">
        <f>Item_Enchant_Old!F458</f>
        <v>0</v>
      </c>
      <c r="G454" s="29">
        <f>Item_Enchant_Old!G458</f>
        <v>2</v>
      </c>
      <c r="H454" s="29" t="str">
        <f>Item_Enchant_Old!H458</f>
        <v>@</v>
      </c>
      <c r="I454" s="29">
        <f>Item_Enchant_Old!I458</f>
        <v>1</v>
      </c>
      <c r="J454" s="29" t="str">
        <f>Item_Enchant_Old!J458</f>
        <v>절대값/상대값(%) 가능</v>
      </c>
      <c r="K454" s="29">
        <f>Item_Enchant_Old!K458</f>
        <v>9</v>
      </c>
      <c r="L454" s="29">
        <f>Item_Enchant_Old!L458</f>
        <v>0</v>
      </c>
      <c r="M454" s="29">
        <f>Item_Enchant_Old!M458</f>
        <v>3</v>
      </c>
      <c r="N454" s="29">
        <f>Item_Enchant_Old!N458</f>
        <v>53</v>
      </c>
      <c r="O454" s="29">
        <f>Item_Enchant_Old!O458</f>
        <v>1</v>
      </c>
      <c r="P454" s="29">
        <f>Item_Enchant_Old!P458</f>
        <v>1</v>
      </c>
      <c r="Q454" s="29">
        <f>Item_Enchant_Old!Q458</f>
        <v>1</v>
      </c>
      <c r="R454" s="29">
        <f>Item_Enchant_Old!R458</f>
        <v>1</v>
      </c>
    </row>
    <row r="455" spans="1:18" s="29" customFormat="1" hidden="1">
      <c r="A455" s="29">
        <f>Item_Enchant_Old!A459</f>
        <v>454</v>
      </c>
      <c r="B455" s="29" t="str">
        <f>Item_Enchant_Old!B459</f>
        <v>ACTIVE_ENERGY_CRITICAL_DAMAGE_UP</v>
      </c>
      <c r="C455" s="29">
        <f>Item_Enchant_Old!C459</f>
        <v>659</v>
      </c>
      <c r="D455" s="29">
        <f>Item_Enchant_Old!D459</f>
        <v>0</v>
      </c>
      <c r="E455" s="29">
        <f>Item_Enchant_Old!E459</f>
        <v>0</v>
      </c>
      <c r="F455" s="29">
        <f>Item_Enchant_Old!F459</f>
        <v>0</v>
      </c>
      <c r="G455" s="29">
        <f>Item_Enchant_Old!G459</f>
        <v>4</v>
      </c>
      <c r="H455" s="29" t="str">
        <f>Item_Enchant_Old!H459</f>
        <v>@</v>
      </c>
      <c r="I455" s="29">
        <f>Item_Enchant_Old!I459</f>
        <v>1</v>
      </c>
      <c r="J455" s="29" t="str">
        <f>Item_Enchant_Old!J459</f>
        <v>절대값만 가능</v>
      </c>
      <c r="K455" s="29">
        <f>Item_Enchant_Old!K459</f>
        <v>9</v>
      </c>
      <c r="L455" s="29">
        <f>Item_Enchant_Old!L459</f>
        <v>0</v>
      </c>
      <c r="M455" s="29">
        <f>Item_Enchant_Old!M459</f>
        <v>3</v>
      </c>
      <c r="N455" s="29">
        <f>Item_Enchant_Old!N459</f>
        <v>32</v>
      </c>
      <c r="O455" s="29">
        <f>Item_Enchant_Old!O459</f>
        <v>1</v>
      </c>
      <c r="P455" s="29">
        <f>Item_Enchant_Old!P459</f>
        <v>1</v>
      </c>
      <c r="Q455" s="29">
        <f>Item_Enchant_Old!Q459</f>
        <v>1</v>
      </c>
      <c r="R455" s="29">
        <f>Item_Enchant_Old!R459</f>
        <v>1</v>
      </c>
    </row>
    <row r="456" spans="1:18" s="29" customFormat="1" hidden="1">
      <c r="A456" s="29">
        <f>Item_Enchant_Old!A460</f>
        <v>455</v>
      </c>
      <c r="B456" s="29" t="str">
        <f>Item_Enchant_Old!B460</f>
        <v>ACTIVE_ENERGY_CRITICAL</v>
      </c>
      <c r="C456" s="29">
        <f>Item_Enchant_Old!C460</f>
        <v>633</v>
      </c>
      <c r="D456" s="29">
        <f>Item_Enchant_Old!D460</f>
        <v>0</v>
      </c>
      <c r="E456" s="29">
        <f>Item_Enchant_Old!E460</f>
        <v>0</v>
      </c>
      <c r="F456" s="29">
        <f>Item_Enchant_Old!F460</f>
        <v>0</v>
      </c>
      <c r="G456" s="29">
        <f>Item_Enchant_Old!G460</f>
        <v>5</v>
      </c>
      <c r="H456" s="29" t="str">
        <f>Item_Enchant_Old!H460</f>
        <v>@</v>
      </c>
      <c r="I456" s="29">
        <f>Item_Enchant_Old!I460</f>
        <v>1</v>
      </c>
      <c r="J456" s="29" t="str">
        <f>Item_Enchant_Old!J460</f>
        <v>절대값/상대값(%) 가능</v>
      </c>
      <c r="K456" s="29">
        <f>Item_Enchant_Old!K460</f>
        <v>9</v>
      </c>
      <c r="L456" s="29">
        <f>Item_Enchant_Old!L460</f>
        <v>0</v>
      </c>
      <c r="M456" s="29">
        <f>Item_Enchant_Old!M460</f>
        <v>4</v>
      </c>
      <c r="N456" s="29">
        <f>Item_Enchant_Old!N460</f>
        <v>24</v>
      </c>
      <c r="O456" s="29">
        <f>Item_Enchant_Old!O460</f>
        <v>1</v>
      </c>
      <c r="P456" s="29">
        <f>Item_Enchant_Old!P460</f>
        <v>1</v>
      </c>
      <c r="Q456" s="29">
        <f>Item_Enchant_Old!Q460</f>
        <v>1</v>
      </c>
      <c r="R456" s="29">
        <f>Item_Enchant_Old!R460</f>
        <v>1</v>
      </c>
    </row>
    <row r="457" spans="1:18" s="29" customFormat="1" hidden="1">
      <c r="A457" s="29">
        <f>Item_Enchant_Old!A461</f>
        <v>456</v>
      </c>
      <c r="B457" s="29" t="str">
        <f>Item_Enchant_Old!B461</f>
        <v>ACTIVE_ENERGY_CRITICAL_DAMAGE_UP</v>
      </c>
      <c r="C457" s="29">
        <f>Item_Enchant_Old!C461</f>
        <v>659</v>
      </c>
      <c r="D457" s="29">
        <f>Item_Enchant_Old!D461</f>
        <v>0</v>
      </c>
      <c r="E457" s="29">
        <f>Item_Enchant_Old!E461</f>
        <v>0</v>
      </c>
      <c r="F457" s="29">
        <f>Item_Enchant_Old!F461</f>
        <v>0</v>
      </c>
      <c r="G457" s="29">
        <f>Item_Enchant_Old!G461</f>
        <v>4</v>
      </c>
      <c r="H457" s="29" t="str">
        <f>Item_Enchant_Old!H461</f>
        <v>@</v>
      </c>
      <c r="I457" s="29">
        <f>Item_Enchant_Old!I461</f>
        <v>1</v>
      </c>
      <c r="J457" s="29" t="str">
        <f>Item_Enchant_Old!J461</f>
        <v>절대값만 가능</v>
      </c>
      <c r="K457" s="29">
        <f>Item_Enchant_Old!K461</f>
        <v>9</v>
      </c>
      <c r="L457" s="29">
        <f>Item_Enchant_Old!L461</f>
        <v>0</v>
      </c>
      <c r="M457" s="29">
        <f>Item_Enchant_Old!M461</f>
        <v>4</v>
      </c>
      <c r="N457" s="29">
        <f>Item_Enchant_Old!N461</f>
        <v>32</v>
      </c>
      <c r="O457" s="29">
        <f>Item_Enchant_Old!O461</f>
        <v>1</v>
      </c>
      <c r="P457" s="29">
        <f>Item_Enchant_Old!P461</f>
        <v>1</v>
      </c>
      <c r="Q457" s="29">
        <f>Item_Enchant_Old!Q461</f>
        <v>1</v>
      </c>
      <c r="R457" s="29">
        <f>Item_Enchant_Old!R461</f>
        <v>1</v>
      </c>
    </row>
    <row r="458" spans="1:18" s="29" customFormat="1" hidden="1">
      <c r="A458" s="29">
        <f>Item_Enchant_Old!A462</f>
        <v>457</v>
      </c>
      <c r="B458" s="29" t="str">
        <f>Item_Enchant_Old!B462</f>
        <v>ACTIVE_FOC_UP</v>
      </c>
      <c r="C458" s="29">
        <f>Item_Enchant_Old!C462</f>
        <v>612</v>
      </c>
      <c r="D458" s="29">
        <f>Item_Enchant_Old!D462</f>
        <v>0</v>
      </c>
      <c r="E458" s="29">
        <f>Item_Enchant_Old!E462</f>
        <v>0</v>
      </c>
      <c r="F458" s="29">
        <f>Item_Enchant_Old!F462</f>
        <v>0</v>
      </c>
      <c r="G458" s="29">
        <f>Item_Enchant_Old!G462</f>
        <v>2</v>
      </c>
      <c r="H458" s="29" t="str">
        <f>Item_Enchant_Old!H462</f>
        <v>@</v>
      </c>
      <c r="I458" s="29">
        <f>Item_Enchant_Old!I462</f>
        <v>1</v>
      </c>
      <c r="J458" s="29" t="str">
        <f>Item_Enchant_Old!J462</f>
        <v>절대값/상대값(%) 가능</v>
      </c>
      <c r="K458" s="29">
        <f>Item_Enchant_Old!K462</f>
        <v>9</v>
      </c>
      <c r="L458" s="29">
        <f>Item_Enchant_Old!L462</f>
        <v>0</v>
      </c>
      <c r="M458" s="29">
        <f>Item_Enchant_Old!M462</f>
        <v>4</v>
      </c>
      <c r="N458" s="29">
        <f>Item_Enchant_Old!N462</f>
        <v>53</v>
      </c>
      <c r="O458" s="29">
        <f>Item_Enchant_Old!O462</f>
        <v>1</v>
      </c>
      <c r="P458" s="29">
        <f>Item_Enchant_Old!P462</f>
        <v>1</v>
      </c>
      <c r="Q458" s="29">
        <f>Item_Enchant_Old!Q462</f>
        <v>1</v>
      </c>
      <c r="R458" s="29">
        <f>Item_Enchant_Old!R462</f>
        <v>1</v>
      </c>
    </row>
    <row r="459" spans="1:18" s="29" customFormat="1" hidden="1">
      <c r="A459" s="29">
        <f>Item_Enchant_Old!A463</f>
        <v>458</v>
      </c>
      <c r="B459" s="29" t="str">
        <f>Item_Enchant_Old!B463</f>
        <v>ACTIVE_DEX_UP</v>
      </c>
      <c r="C459" s="29">
        <f>Item_Enchant_Old!C463</f>
        <v>613</v>
      </c>
      <c r="D459" s="29">
        <f>Item_Enchant_Old!D463</f>
        <v>0</v>
      </c>
      <c r="E459" s="29">
        <f>Item_Enchant_Old!E463</f>
        <v>0</v>
      </c>
      <c r="F459" s="29">
        <f>Item_Enchant_Old!F463</f>
        <v>0</v>
      </c>
      <c r="G459" s="29">
        <f>Item_Enchant_Old!G463</f>
        <v>3</v>
      </c>
      <c r="H459" s="29" t="str">
        <f>Item_Enchant_Old!H463</f>
        <v>@</v>
      </c>
      <c r="I459" s="29">
        <f>Item_Enchant_Old!I463</f>
        <v>1</v>
      </c>
      <c r="J459" s="29" t="str">
        <f>Item_Enchant_Old!J463</f>
        <v>절대값/상대값(%) 가능</v>
      </c>
      <c r="K459" s="29">
        <f>Item_Enchant_Old!K463</f>
        <v>9</v>
      </c>
      <c r="L459" s="29">
        <f>Item_Enchant_Old!L463</f>
        <v>0</v>
      </c>
      <c r="M459" s="29">
        <f>Item_Enchant_Old!M463</f>
        <v>4</v>
      </c>
      <c r="N459" s="29">
        <f>Item_Enchant_Old!N463</f>
        <v>44</v>
      </c>
      <c r="O459" s="29">
        <f>Item_Enchant_Old!O463</f>
        <v>1</v>
      </c>
      <c r="P459" s="29">
        <f>Item_Enchant_Old!P463</f>
        <v>1</v>
      </c>
      <c r="Q459" s="29">
        <f>Item_Enchant_Old!Q463</f>
        <v>1</v>
      </c>
      <c r="R459" s="29">
        <f>Item_Enchant_Old!R463</f>
        <v>1</v>
      </c>
    </row>
    <row r="460" spans="1:18" s="29" customFormat="1" hidden="1">
      <c r="A460" s="29">
        <f>Item_Enchant_Old!A464</f>
        <v>459</v>
      </c>
      <c r="B460" s="29" t="str">
        <f>Item_Enchant_Old!B464</f>
        <v>ACTIVE_ATTACK_SPEED_UP</v>
      </c>
      <c r="C460" s="29">
        <f>Item_Enchant_Old!C464</f>
        <v>617</v>
      </c>
      <c r="D460" s="29">
        <f>Item_Enchant_Old!D464</f>
        <v>1</v>
      </c>
      <c r="E460" s="29">
        <f>Item_Enchant_Old!E464</f>
        <v>0</v>
      </c>
      <c r="F460" s="29">
        <f>Item_Enchant_Old!F464</f>
        <v>0</v>
      </c>
      <c r="G460" s="29">
        <f>Item_Enchant_Old!G464</f>
        <v>10</v>
      </c>
      <c r="H460" s="29" t="str">
        <f>Item_Enchant_Old!H464</f>
        <v>@</v>
      </c>
      <c r="I460" s="29">
        <f>Item_Enchant_Old!I464</f>
        <v>1</v>
      </c>
      <c r="J460" s="29" t="str">
        <f>Item_Enchant_Old!J464</f>
        <v>절대값/상대값(%) 가능</v>
      </c>
      <c r="K460" s="29">
        <f>Item_Enchant_Old!K464</f>
        <v>9</v>
      </c>
      <c r="L460" s="29">
        <f>Item_Enchant_Old!L464</f>
        <v>0</v>
      </c>
      <c r="M460" s="29">
        <f>Item_Enchant_Old!M464</f>
        <v>5</v>
      </c>
      <c r="N460" s="29">
        <f>Item_Enchant_Old!N464</f>
        <v>10</v>
      </c>
      <c r="O460" s="29">
        <f>Item_Enchant_Old!O464</f>
        <v>1</v>
      </c>
      <c r="P460" s="29">
        <f>Item_Enchant_Old!P464</f>
        <v>1</v>
      </c>
      <c r="Q460" s="29">
        <f>Item_Enchant_Old!Q464</f>
        <v>1</v>
      </c>
      <c r="R460" s="29">
        <f>Item_Enchant_Old!R464</f>
        <v>1</v>
      </c>
    </row>
    <row r="461" spans="1:18" s="29" customFormat="1" hidden="1">
      <c r="A461" s="29">
        <f>Item_Enchant_Old!A465</f>
        <v>460</v>
      </c>
      <c r="B461" s="29" t="str">
        <f>Item_Enchant_Old!B465</f>
        <v>ACTIVE_DEX_UP</v>
      </c>
      <c r="C461" s="29">
        <f>Item_Enchant_Old!C465</f>
        <v>613</v>
      </c>
      <c r="D461" s="29">
        <f>Item_Enchant_Old!D465</f>
        <v>0</v>
      </c>
      <c r="E461" s="29">
        <f>Item_Enchant_Old!E465</f>
        <v>0</v>
      </c>
      <c r="F461" s="29">
        <f>Item_Enchant_Old!F465</f>
        <v>0</v>
      </c>
      <c r="G461" s="29">
        <f>Item_Enchant_Old!G465</f>
        <v>3</v>
      </c>
      <c r="H461" s="29" t="str">
        <f>Item_Enchant_Old!H465</f>
        <v>@</v>
      </c>
      <c r="I461" s="29">
        <f>Item_Enchant_Old!I465</f>
        <v>1</v>
      </c>
      <c r="J461" s="29" t="str">
        <f>Item_Enchant_Old!J465</f>
        <v>절대값/상대값(%) 가능</v>
      </c>
      <c r="K461" s="29">
        <f>Item_Enchant_Old!K465</f>
        <v>9</v>
      </c>
      <c r="L461" s="29">
        <f>Item_Enchant_Old!L465</f>
        <v>0</v>
      </c>
      <c r="M461" s="29">
        <f>Item_Enchant_Old!M465</f>
        <v>5</v>
      </c>
      <c r="N461" s="29">
        <f>Item_Enchant_Old!N465</f>
        <v>44</v>
      </c>
      <c r="O461" s="29">
        <f>Item_Enchant_Old!O465</f>
        <v>1</v>
      </c>
      <c r="P461" s="29">
        <f>Item_Enchant_Old!P465</f>
        <v>1</v>
      </c>
      <c r="Q461" s="29">
        <f>Item_Enchant_Old!Q465</f>
        <v>1</v>
      </c>
      <c r="R461" s="29">
        <f>Item_Enchant_Old!R465</f>
        <v>1</v>
      </c>
    </row>
    <row r="462" spans="1:18" s="29" customFormat="1" hidden="1">
      <c r="A462" s="29">
        <f>Item_Enchant_Old!A466</f>
        <v>461</v>
      </c>
      <c r="B462" s="29" t="str">
        <f>Item_Enchant_Old!B466</f>
        <v>ACTIVE_FOC_UP</v>
      </c>
      <c r="C462" s="29">
        <f>Item_Enchant_Old!C466</f>
        <v>612</v>
      </c>
      <c r="D462" s="29">
        <f>Item_Enchant_Old!D466</f>
        <v>0</v>
      </c>
      <c r="E462" s="29">
        <f>Item_Enchant_Old!E466</f>
        <v>0</v>
      </c>
      <c r="F462" s="29">
        <f>Item_Enchant_Old!F466</f>
        <v>0</v>
      </c>
      <c r="G462" s="29">
        <f>Item_Enchant_Old!G466</f>
        <v>2</v>
      </c>
      <c r="H462" s="29" t="str">
        <f>Item_Enchant_Old!H466</f>
        <v>@</v>
      </c>
      <c r="I462" s="29">
        <f>Item_Enchant_Old!I466</f>
        <v>1</v>
      </c>
      <c r="J462" s="29" t="str">
        <f>Item_Enchant_Old!J466</f>
        <v>절대값/상대값(%) 가능</v>
      </c>
      <c r="K462" s="29">
        <f>Item_Enchant_Old!K466</f>
        <v>9</v>
      </c>
      <c r="L462" s="29">
        <f>Item_Enchant_Old!L466</f>
        <v>0</v>
      </c>
      <c r="M462" s="29">
        <f>Item_Enchant_Old!M466</f>
        <v>5</v>
      </c>
      <c r="N462" s="29">
        <f>Item_Enchant_Old!N466</f>
        <v>53</v>
      </c>
      <c r="O462" s="29">
        <f>Item_Enchant_Old!O466</f>
        <v>1</v>
      </c>
      <c r="P462" s="29">
        <f>Item_Enchant_Old!P466</f>
        <v>1</v>
      </c>
      <c r="Q462" s="29">
        <f>Item_Enchant_Old!Q466</f>
        <v>1</v>
      </c>
      <c r="R462" s="29">
        <f>Item_Enchant_Old!R466</f>
        <v>1</v>
      </c>
    </row>
    <row r="463" spans="1:18" s="29" customFormat="1" hidden="1">
      <c r="A463" s="29">
        <f>Item_Enchant_Old!A467</f>
        <v>462</v>
      </c>
      <c r="B463" s="29" t="str">
        <f>Item_Enchant_Old!B467</f>
        <v>ACTIVE_PHYSICAL_OFFENCE_UP</v>
      </c>
      <c r="C463" s="29">
        <f>Item_Enchant_Old!C467</f>
        <v>606</v>
      </c>
      <c r="D463" s="29">
        <f>Item_Enchant_Old!D467</f>
        <v>0</v>
      </c>
      <c r="E463" s="29">
        <f>Item_Enchant_Old!E467</f>
        <v>0</v>
      </c>
      <c r="F463" s="29">
        <f>Item_Enchant_Old!F467</f>
        <v>0</v>
      </c>
      <c r="G463" s="29">
        <f>Item_Enchant_Old!G467</f>
        <v>1</v>
      </c>
      <c r="H463" s="29" t="str">
        <f>Item_Enchant_Old!H467</f>
        <v>@</v>
      </c>
      <c r="I463" s="29">
        <f>Item_Enchant_Old!I467</f>
        <v>1</v>
      </c>
      <c r="J463" s="29" t="str">
        <f>Item_Enchant_Old!J467</f>
        <v>절대값/상대값(%) 가능</v>
      </c>
      <c r="K463" s="29">
        <f>Item_Enchant_Old!K467</f>
        <v>9</v>
      </c>
      <c r="L463" s="29">
        <f>Item_Enchant_Old!L467</f>
        <v>0</v>
      </c>
      <c r="M463" s="29">
        <f>Item_Enchant_Old!M467</f>
        <v>5</v>
      </c>
      <c r="N463" s="29">
        <f>Item_Enchant_Old!N467</f>
        <v>125</v>
      </c>
      <c r="O463" s="29">
        <f>Item_Enchant_Old!O467</f>
        <v>1</v>
      </c>
      <c r="P463" s="29">
        <f>Item_Enchant_Old!P467</f>
        <v>1</v>
      </c>
      <c r="Q463" s="29">
        <f>Item_Enchant_Old!Q467</f>
        <v>1</v>
      </c>
      <c r="R463" s="29">
        <f>Item_Enchant_Old!R467</f>
        <v>1</v>
      </c>
    </row>
    <row r="464" spans="1:18" s="29" customFormat="1" hidden="1">
      <c r="A464" s="29">
        <f>Item_Enchant_Old!A468</f>
        <v>463</v>
      </c>
      <c r="B464" s="29" t="str">
        <f>Item_Enchant_Old!B468</f>
        <v>ACTIVE_ENERGY_OFFENCE_UP</v>
      </c>
      <c r="C464" s="29">
        <f>Item_Enchant_Old!C468</f>
        <v>607</v>
      </c>
      <c r="D464" s="29">
        <f>Item_Enchant_Old!D468</f>
        <v>0</v>
      </c>
      <c r="E464" s="29">
        <f>Item_Enchant_Old!E468</f>
        <v>0</v>
      </c>
      <c r="F464" s="29">
        <f>Item_Enchant_Old!F468</f>
        <v>0</v>
      </c>
      <c r="G464" s="29">
        <f>Item_Enchant_Old!G468</f>
        <v>1</v>
      </c>
      <c r="H464" s="29" t="str">
        <f>Item_Enchant_Old!H468</f>
        <v>@</v>
      </c>
      <c r="I464" s="29">
        <f>Item_Enchant_Old!I468</f>
        <v>1</v>
      </c>
      <c r="J464" s="29" t="str">
        <f>Item_Enchant_Old!J468</f>
        <v>절대값/상대값(%) 가능</v>
      </c>
      <c r="K464" s="29">
        <f>Item_Enchant_Old!K468</f>
        <v>9</v>
      </c>
      <c r="L464" s="29">
        <f>Item_Enchant_Old!L468</f>
        <v>0</v>
      </c>
      <c r="M464" s="29">
        <f>Item_Enchant_Old!M468</f>
        <v>5</v>
      </c>
      <c r="N464" s="29">
        <f>Item_Enchant_Old!N468</f>
        <v>104</v>
      </c>
      <c r="O464" s="29">
        <f>Item_Enchant_Old!O468</f>
        <v>1</v>
      </c>
      <c r="P464" s="29">
        <f>Item_Enchant_Old!P468</f>
        <v>1</v>
      </c>
      <c r="Q464" s="29">
        <f>Item_Enchant_Old!Q468</f>
        <v>1</v>
      </c>
      <c r="R464" s="29">
        <f>Item_Enchant_Old!R468</f>
        <v>1</v>
      </c>
    </row>
    <row r="465" spans="1:18" s="29" customFormat="1" hidden="1">
      <c r="A465" s="29">
        <f>Item_Enchant_Old!A469</f>
        <v>464</v>
      </c>
      <c r="B465" s="29" t="str">
        <f>Item_Enchant_Old!B469</f>
        <v>ACTIVE_PHYSICAL_OFFENCE_UP</v>
      </c>
      <c r="C465" s="29">
        <f>Item_Enchant_Old!C469</f>
        <v>606</v>
      </c>
      <c r="D465" s="29">
        <f>Item_Enchant_Old!D469</f>
        <v>0</v>
      </c>
      <c r="E465" s="29">
        <f>Item_Enchant_Old!E469</f>
        <v>0</v>
      </c>
      <c r="F465" s="29">
        <f>Item_Enchant_Old!F469</f>
        <v>0</v>
      </c>
      <c r="G465" s="29">
        <f>Item_Enchant_Old!G469</f>
        <v>1</v>
      </c>
      <c r="H465" s="29" t="str">
        <f>Item_Enchant_Old!H469</f>
        <v>@</v>
      </c>
      <c r="I465" s="29">
        <f>Item_Enchant_Old!I469</f>
        <v>1</v>
      </c>
      <c r="J465" s="29" t="str">
        <f>Item_Enchant_Old!J469</f>
        <v>절대값/상대값(%) 가능</v>
      </c>
      <c r="K465" s="29">
        <f>Item_Enchant_Old!K469</f>
        <v>9</v>
      </c>
      <c r="L465" s="29">
        <f>Item_Enchant_Old!L469</f>
        <v>0</v>
      </c>
      <c r="M465" s="29">
        <f>Item_Enchant_Old!M469</f>
        <v>6</v>
      </c>
      <c r="N465" s="29">
        <f>Item_Enchant_Old!N469</f>
        <v>125</v>
      </c>
      <c r="O465" s="29">
        <f>Item_Enchant_Old!O469</f>
        <v>1</v>
      </c>
      <c r="P465" s="29">
        <f>Item_Enchant_Old!P469</f>
        <v>1</v>
      </c>
      <c r="Q465" s="29">
        <f>Item_Enchant_Old!Q469</f>
        <v>1</v>
      </c>
      <c r="R465" s="29">
        <f>Item_Enchant_Old!R469</f>
        <v>1</v>
      </c>
    </row>
    <row r="466" spans="1:18" s="29" customFormat="1" hidden="1">
      <c r="A466" s="29">
        <f>Item_Enchant_Old!A470</f>
        <v>465</v>
      </c>
      <c r="B466" s="29" t="str">
        <f>Item_Enchant_Old!B470</f>
        <v>ACTIVE_ENERGY_OFFENCE_UP</v>
      </c>
      <c r="C466" s="29">
        <f>Item_Enchant_Old!C470</f>
        <v>607</v>
      </c>
      <c r="D466" s="29">
        <f>Item_Enchant_Old!D470</f>
        <v>0</v>
      </c>
      <c r="E466" s="29">
        <f>Item_Enchant_Old!E470</f>
        <v>0</v>
      </c>
      <c r="F466" s="29">
        <f>Item_Enchant_Old!F470</f>
        <v>0</v>
      </c>
      <c r="G466" s="29">
        <f>Item_Enchant_Old!G470</f>
        <v>1</v>
      </c>
      <c r="H466" s="29" t="str">
        <f>Item_Enchant_Old!H470</f>
        <v>@</v>
      </c>
      <c r="I466" s="29">
        <f>Item_Enchant_Old!I470</f>
        <v>1</v>
      </c>
      <c r="J466" s="29" t="str">
        <f>Item_Enchant_Old!J470</f>
        <v>절대값/상대값(%) 가능</v>
      </c>
      <c r="K466" s="29">
        <f>Item_Enchant_Old!K470</f>
        <v>9</v>
      </c>
      <c r="L466" s="29">
        <f>Item_Enchant_Old!L470</f>
        <v>0</v>
      </c>
      <c r="M466" s="29">
        <f>Item_Enchant_Old!M470</f>
        <v>6</v>
      </c>
      <c r="N466" s="29">
        <f>Item_Enchant_Old!N470</f>
        <v>104</v>
      </c>
      <c r="O466" s="29">
        <f>Item_Enchant_Old!O470</f>
        <v>1</v>
      </c>
      <c r="P466" s="29">
        <f>Item_Enchant_Old!P470</f>
        <v>1</v>
      </c>
      <c r="Q466" s="29">
        <f>Item_Enchant_Old!Q470</f>
        <v>1</v>
      </c>
      <c r="R466" s="29">
        <f>Item_Enchant_Old!R470</f>
        <v>1</v>
      </c>
    </row>
    <row r="467" spans="1:18" s="29" customFormat="1" hidden="1">
      <c r="A467" s="29">
        <f>Item_Enchant_Old!A471</f>
        <v>466</v>
      </c>
      <c r="B467" s="29" t="str">
        <f>Item_Enchant_Old!B471</f>
        <v>ACTIVE_STR_UP</v>
      </c>
      <c r="C467" s="29">
        <f>Item_Enchant_Old!C471</f>
        <v>610</v>
      </c>
      <c r="D467" s="29">
        <f>Item_Enchant_Old!D471</f>
        <v>0</v>
      </c>
      <c r="E467" s="29">
        <f>Item_Enchant_Old!E471</f>
        <v>0</v>
      </c>
      <c r="F467" s="29">
        <f>Item_Enchant_Old!F471</f>
        <v>0</v>
      </c>
      <c r="G467" s="29">
        <f>Item_Enchant_Old!G471</f>
        <v>2</v>
      </c>
      <c r="H467" s="29" t="str">
        <f>Item_Enchant_Old!H471</f>
        <v>@</v>
      </c>
      <c r="I467" s="29">
        <f>Item_Enchant_Old!I471</f>
        <v>1</v>
      </c>
      <c r="J467" s="29" t="str">
        <f>Item_Enchant_Old!J471</f>
        <v>절대값/상대값(%) 가능</v>
      </c>
      <c r="K467" s="29">
        <f>Item_Enchant_Old!K471</f>
        <v>9</v>
      </c>
      <c r="L467" s="29">
        <f>Item_Enchant_Old!L471</f>
        <v>0</v>
      </c>
      <c r="M467" s="29">
        <f>Item_Enchant_Old!M471</f>
        <v>6</v>
      </c>
      <c r="N467" s="29">
        <f>Item_Enchant_Old!N471</f>
        <v>57</v>
      </c>
      <c r="O467" s="29">
        <f>Item_Enchant_Old!O471</f>
        <v>1</v>
      </c>
      <c r="P467" s="29">
        <f>Item_Enchant_Old!P471</f>
        <v>1</v>
      </c>
      <c r="Q467" s="29">
        <f>Item_Enchant_Old!Q471</f>
        <v>1</v>
      </c>
      <c r="R467" s="29">
        <f>Item_Enchant_Old!R471</f>
        <v>1</v>
      </c>
    </row>
    <row r="468" spans="1:18" s="29" customFormat="1" hidden="1">
      <c r="A468" s="29">
        <f>Item_Enchant_Old!A472</f>
        <v>467</v>
      </c>
      <c r="B468" s="29" t="str">
        <f>Item_Enchant_Old!B472</f>
        <v>ACTIVE_SOL_UP</v>
      </c>
      <c r="C468" s="29">
        <f>Item_Enchant_Old!C472</f>
        <v>614</v>
      </c>
      <c r="D468" s="29">
        <f>Item_Enchant_Old!D472</f>
        <v>0</v>
      </c>
      <c r="E468" s="29">
        <f>Item_Enchant_Old!E472</f>
        <v>0</v>
      </c>
      <c r="F468" s="29">
        <f>Item_Enchant_Old!F472</f>
        <v>0</v>
      </c>
      <c r="G468" s="29">
        <f>Item_Enchant_Old!G472</f>
        <v>2</v>
      </c>
      <c r="H468" s="29" t="str">
        <f>Item_Enchant_Old!H472</f>
        <v>@</v>
      </c>
      <c r="I468" s="29">
        <f>Item_Enchant_Old!I472</f>
        <v>1</v>
      </c>
      <c r="J468" s="29" t="str">
        <f>Item_Enchant_Old!J472</f>
        <v>절대값/상대값(%) 가능</v>
      </c>
      <c r="K468" s="29">
        <f>Item_Enchant_Old!K472</f>
        <v>9</v>
      </c>
      <c r="L468" s="29">
        <f>Item_Enchant_Old!L472</f>
        <v>0</v>
      </c>
      <c r="M468" s="29">
        <f>Item_Enchant_Old!M472</f>
        <v>6</v>
      </c>
      <c r="N468" s="29">
        <f>Item_Enchant_Old!N472</f>
        <v>53</v>
      </c>
      <c r="O468" s="29">
        <f>Item_Enchant_Old!O472</f>
        <v>1</v>
      </c>
      <c r="P468" s="29">
        <f>Item_Enchant_Old!P472</f>
        <v>1</v>
      </c>
      <c r="Q468" s="29">
        <f>Item_Enchant_Old!Q472</f>
        <v>1</v>
      </c>
      <c r="R468" s="29">
        <f>Item_Enchant_Old!R472</f>
        <v>1</v>
      </c>
    </row>
    <row r="469" spans="1:18" s="29" customFormat="1" hidden="1">
      <c r="A469" s="29">
        <f>Item_Enchant_Old!A473</f>
        <v>468</v>
      </c>
      <c r="B469" s="29" t="str">
        <f>Item_Enchant_Old!B473</f>
        <v>ACTIVE_PHYSICAL_CRITICAL_DAMAGE_UP</v>
      </c>
      <c r="C469" s="29">
        <f>Item_Enchant_Old!C473</f>
        <v>658</v>
      </c>
      <c r="D469" s="29">
        <f>Item_Enchant_Old!D473</f>
        <v>0</v>
      </c>
      <c r="E469" s="29">
        <f>Item_Enchant_Old!E473</f>
        <v>0</v>
      </c>
      <c r="F469" s="29">
        <f>Item_Enchant_Old!F473</f>
        <v>0</v>
      </c>
      <c r="G469" s="29">
        <f>Item_Enchant_Old!G473</f>
        <v>4</v>
      </c>
      <c r="H469" s="29" t="str">
        <f>Item_Enchant_Old!H473</f>
        <v>@</v>
      </c>
      <c r="I469" s="29">
        <f>Item_Enchant_Old!I473</f>
        <v>1</v>
      </c>
      <c r="J469" s="29" t="str">
        <f>Item_Enchant_Old!J473</f>
        <v>절대값만 가능</v>
      </c>
      <c r="K469" s="29">
        <f>Item_Enchant_Old!K473</f>
        <v>9</v>
      </c>
      <c r="L469" s="29">
        <f>Item_Enchant_Old!L473</f>
        <v>0</v>
      </c>
      <c r="M469" s="29">
        <f>Item_Enchant_Old!M473</f>
        <v>6</v>
      </c>
      <c r="N469" s="29">
        <f>Item_Enchant_Old!N473</f>
        <v>28</v>
      </c>
      <c r="O469" s="29">
        <f>Item_Enchant_Old!O473</f>
        <v>1</v>
      </c>
      <c r="P469" s="29">
        <f>Item_Enchant_Old!P473</f>
        <v>1</v>
      </c>
      <c r="Q469" s="29">
        <f>Item_Enchant_Old!Q473</f>
        <v>1</v>
      </c>
      <c r="R469" s="29">
        <f>Item_Enchant_Old!R473</f>
        <v>1</v>
      </c>
    </row>
    <row r="470" spans="1:18" s="29" customFormat="1" hidden="1">
      <c r="A470" s="29">
        <f>Item_Enchant_Old!A474</f>
        <v>469</v>
      </c>
      <c r="B470" s="29" t="str">
        <f>Item_Enchant_Old!B474</f>
        <v>ACTIVE_ENERGY_CRITICAL_DAMAGE_UP</v>
      </c>
      <c r="C470" s="29">
        <f>Item_Enchant_Old!C474</f>
        <v>659</v>
      </c>
      <c r="D470" s="29">
        <f>Item_Enchant_Old!D474</f>
        <v>0</v>
      </c>
      <c r="E470" s="29">
        <f>Item_Enchant_Old!E474</f>
        <v>0</v>
      </c>
      <c r="F470" s="29">
        <f>Item_Enchant_Old!F474</f>
        <v>0</v>
      </c>
      <c r="G470" s="29">
        <f>Item_Enchant_Old!G474</f>
        <v>4</v>
      </c>
      <c r="H470" s="29" t="str">
        <f>Item_Enchant_Old!H474</f>
        <v>@</v>
      </c>
      <c r="I470" s="29">
        <f>Item_Enchant_Old!I474</f>
        <v>1</v>
      </c>
      <c r="J470" s="29" t="str">
        <f>Item_Enchant_Old!J474</f>
        <v>절대값만 가능</v>
      </c>
      <c r="K470" s="29">
        <f>Item_Enchant_Old!K474</f>
        <v>9</v>
      </c>
      <c r="L470" s="29">
        <f>Item_Enchant_Old!L474</f>
        <v>0</v>
      </c>
      <c r="M470" s="29">
        <f>Item_Enchant_Old!M474</f>
        <v>6</v>
      </c>
      <c r="N470" s="29">
        <f>Item_Enchant_Old!N474</f>
        <v>32</v>
      </c>
      <c r="O470" s="29">
        <f>Item_Enchant_Old!O474</f>
        <v>1</v>
      </c>
      <c r="P470" s="29">
        <f>Item_Enchant_Old!P474</f>
        <v>1</v>
      </c>
      <c r="Q470" s="29">
        <f>Item_Enchant_Old!Q474</f>
        <v>1</v>
      </c>
      <c r="R470" s="29">
        <f>Item_Enchant_Old!R474</f>
        <v>1</v>
      </c>
    </row>
    <row r="471" spans="1:18" s="29" customFormat="1" hidden="1">
      <c r="A471" s="29">
        <f>Item_Enchant_Old!A475</f>
        <v>470</v>
      </c>
      <c r="B471" s="29" t="str">
        <f>Item_Enchant_Old!B475</f>
        <v>ACTIVE_FOC_UP</v>
      </c>
      <c r="C471" s="29">
        <f>Item_Enchant_Old!C475</f>
        <v>612</v>
      </c>
      <c r="D471" s="29">
        <f>Item_Enchant_Old!D475</f>
        <v>0</v>
      </c>
      <c r="E471" s="29">
        <f>Item_Enchant_Old!E475</f>
        <v>0</v>
      </c>
      <c r="F471" s="29">
        <f>Item_Enchant_Old!F475</f>
        <v>0</v>
      </c>
      <c r="G471" s="29">
        <f>Item_Enchant_Old!G475</f>
        <v>2</v>
      </c>
      <c r="H471" s="29" t="str">
        <f>Item_Enchant_Old!H475</f>
        <v>@</v>
      </c>
      <c r="I471" s="29">
        <f>Item_Enchant_Old!I475</f>
        <v>1</v>
      </c>
      <c r="J471" s="29" t="str">
        <f>Item_Enchant_Old!J475</f>
        <v>절대값/상대값(%) 가능</v>
      </c>
      <c r="K471" s="29">
        <f>Item_Enchant_Old!K475</f>
        <v>9</v>
      </c>
      <c r="L471" s="29">
        <f>Item_Enchant_Old!L475</f>
        <v>0</v>
      </c>
      <c r="M471" s="29">
        <f>Item_Enchant_Old!M475</f>
        <v>7</v>
      </c>
      <c r="N471" s="29">
        <f>Item_Enchant_Old!N475</f>
        <v>53</v>
      </c>
      <c r="O471" s="29">
        <f>Item_Enchant_Old!O475</f>
        <v>1</v>
      </c>
      <c r="P471" s="29">
        <f>Item_Enchant_Old!P475</f>
        <v>1</v>
      </c>
      <c r="Q471" s="29">
        <f>Item_Enchant_Old!Q475</f>
        <v>1</v>
      </c>
      <c r="R471" s="29">
        <f>Item_Enchant_Old!R475</f>
        <v>1</v>
      </c>
    </row>
    <row r="472" spans="1:18" s="29" customFormat="1" hidden="1">
      <c r="A472" s="29">
        <f>Item_Enchant_Old!A476</f>
        <v>471</v>
      </c>
      <c r="B472" s="29" t="str">
        <f>Item_Enchant_Old!B476</f>
        <v>ACTIVE_ATTACK_RATE_UP</v>
      </c>
      <c r="C472" s="29">
        <f>Item_Enchant_Old!C476</f>
        <v>618</v>
      </c>
      <c r="D472" s="29">
        <f>Item_Enchant_Old!D476</f>
        <v>0</v>
      </c>
      <c r="E472" s="29">
        <f>Item_Enchant_Old!E476</f>
        <v>0</v>
      </c>
      <c r="F472" s="29">
        <f>Item_Enchant_Old!F476</f>
        <v>0</v>
      </c>
      <c r="G472" s="29">
        <f>Item_Enchant_Old!G476</f>
        <v>1</v>
      </c>
      <c r="H472" s="29" t="str">
        <f>Item_Enchant_Old!H476</f>
        <v>@</v>
      </c>
      <c r="I472" s="29">
        <f>Item_Enchant_Old!I476</f>
        <v>1</v>
      </c>
      <c r="J472" s="29" t="str">
        <f>Item_Enchant_Old!J476</f>
        <v>절대값/상대값(%) 가능</v>
      </c>
      <c r="K472" s="29">
        <f>Item_Enchant_Old!K476</f>
        <v>9</v>
      </c>
      <c r="L472" s="29">
        <f>Item_Enchant_Old!L476</f>
        <v>0</v>
      </c>
      <c r="M472" s="29">
        <f>Item_Enchant_Old!M476</f>
        <v>7</v>
      </c>
      <c r="N472" s="29">
        <f>Item_Enchant_Old!N476</f>
        <v>528</v>
      </c>
      <c r="O472" s="29">
        <f>Item_Enchant_Old!O476</f>
        <v>1</v>
      </c>
      <c r="P472" s="29">
        <f>Item_Enchant_Old!P476</f>
        <v>1</v>
      </c>
      <c r="Q472" s="29">
        <f>Item_Enchant_Old!Q476</f>
        <v>1</v>
      </c>
      <c r="R472" s="29">
        <f>Item_Enchant_Old!R476</f>
        <v>1</v>
      </c>
    </row>
    <row r="473" spans="1:18" s="29" customFormat="1" hidden="1">
      <c r="A473" s="29">
        <f>Item_Enchant_Old!A477</f>
        <v>472</v>
      </c>
      <c r="B473" s="29" t="str">
        <f>Item_Enchant_Old!B477</f>
        <v>ACTIVE_ENG_UP</v>
      </c>
      <c r="C473" s="29">
        <f>Item_Enchant_Old!C477</f>
        <v>615</v>
      </c>
      <c r="D473" s="29">
        <f>Item_Enchant_Old!D477</f>
        <v>0</v>
      </c>
      <c r="E473" s="29">
        <f>Item_Enchant_Old!E477</f>
        <v>0</v>
      </c>
      <c r="F473" s="29">
        <f>Item_Enchant_Old!F477</f>
        <v>0</v>
      </c>
      <c r="G473" s="29">
        <f>Item_Enchant_Old!G477</f>
        <v>2</v>
      </c>
      <c r="H473" s="29" t="str">
        <f>Item_Enchant_Old!H477</f>
        <v>@</v>
      </c>
      <c r="I473" s="29">
        <f>Item_Enchant_Old!I477</f>
        <v>1</v>
      </c>
      <c r="J473" s="29" t="str">
        <f>Item_Enchant_Old!J477</f>
        <v>절대값/상대값(%) 가능</v>
      </c>
      <c r="K473" s="29">
        <f>Item_Enchant_Old!K477</f>
        <v>9</v>
      </c>
      <c r="L473" s="29">
        <f>Item_Enchant_Old!L477</f>
        <v>0</v>
      </c>
      <c r="M473" s="29">
        <f>Item_Enchant_Old!M477</f>
        <v>7</v>
      </c>
      <c r="N473" s="29">
        <f>Item_Enchant_Old!N477</f>
        <v>62</v>
      </c>
      <c r="O473" s="29">
        <f>Item_Enchant_Old!O477</f>
        <v>1</v>
      </c>
      <c r="P473" s="29">
        <f>Item_Enchant_Old!P477</f>
        <v>1</v>
      </c>
      <c r="Q473" s="29">
        <f>Item_Enchant_Old!Q477</f>
        <v>1</v>
      </c>
      <c r="R473" s="29">
        <f>Item_Enchant_Old!R477</f>
        <v>1</v>
      </c>
    </row>
    <row r="474" spans="1:18" s="29" customFormat="1" hidden="1">
      <c r="A474" s="29">
        <f>Item_Enchant_Old!A478</f>
        <v>473</v>
      </c>
      <c r="B474" s="29" t="str">
        <f>Item_Enchant_Old!B478</f>
        <v>ACTIVE_PHYSICAL_CRITICAL</v>
      </c>
      <c r="C474" s="29">
        <f>Item_Enchant_Old!C478</f>
        <v>632</v>
      </c>
      <c r="D474" s="29">
        <f>Item_Enchant_Old!D478</f>
        <v>0</v>
      </c>
      <c r="E474" s="29">
        <f>Item_Enchant_Old!E478</f>
        <v>0</v>
      </c>
      <c r="F474" s="29">
        <f>Item_Enchant_Old!F478</f>
        <v>0</v>
      </c>
      <c r="G474" s="29">
        <f>Item_Enchant_Old!G478</f>
        <v>5</v>
      </c>
      <c r="H474" s="29" t="str">
        <f>Item_Enchant_Old!H478</f>
        <v>@</v>
      </c>
      <c r="I474" s="29">
        <f>Item_Enchant_Old!I478</f>
        <v>1</v>
      </c>
      <c r="J474" s="29" t="str">
        <f>Item_Enchant_Old!J478</f>
        <v>절대값/상대값(%) 가능</v>
      </c>
      <c r="K474" s="29">
        <f>Item_Enchant_Old!K478</f>
        <v>9</v>
      </c>
      <c r="L474" s="29">
        <f>Item_Enchant_Old!L478</f>
        <v>0</v>
      </c>
      <c r="M474" s="29">
        <f>Item_Enchant_Old!M478</f>
        <v>7</v>
      </c>
      <c r="N474" s="29">
        <f>Item_Enchant_Old!N478</f>
        <v>21</v>
      </c>
      <c r="O474" s="29">
        <f>Item_Enchant_Old!O478</f>
        <v>1</v>
      </c>
      <c r="P474" s="29">
        <f>Item_Enchant_Old!P478</f>
        <v>1</v>
      </c>
      <c r="Q474" s="29">
        <f>Item_Enchant_Old!Q478</f>
        <v>1</v>
      </c>
      <c r="R474" s="29">
        <f>Item_Enchant_Old!R478</f>
        <v>1</v>
      </c>
    </row>
    <row r="475" spans="1:18" s="29" customFormat="1" hidden="1">
      <c r="A475" s="29">
        <f>Item_Enchant_Old!A479</f>
        <v>474</v>
      </c>
      <c r="B475" s="29" t="str">
        <f>Item_Enchant_Old!B479</f>
        <v>ACTIVE_ENERGY_CRITICAL</v>
      </c>
      <c r="C475" s="29">
        <f>Item_Enchant_Old!C479</f>
        <v>633</v>
      </c>
      <c r="D475" s="29">
        <f>Item_Enchant_Old!D479</f>
        <v>0</v>
      </c>
      <c r="E475" s="29">
        <f>Item_Enchant_Old!E479</f>
        <v>0</v>
      </c>
      <c r="F475" s="29">
        <f>Item_Enchant_Old!F479</f>
        <v>0</v>
      </c>
      <c r="G475" s="29">
        <f>Item_Enchant_Old!G479</f>
        <v>5</v>
      </c>
      <c r="H475" s="29" t="str">
        <f>Item_Enchant_Old!H479</f>
        <v>@</v>
      </c>
      <c r="I475" s="29">
        <f>Item_Enchant_Old!I479</f>
        <v>1</v>
      </c>
      <c r="J475" s="29" t="str">
        <f>Item_Enchant_Old!J479</f>
        <v>절대값/상대값(%) 가능</v>
      </c>
      <c r="K475" s="29">
        <f>Item_Enchant_Old!K479</f>
        <v>9</v>
      </c>
      <c r="L475" s="29">
        <f>Item_Enchant_Old!L479</f>
        <v>0</v>
      </c>
      <c r="M475" s="29">
        <f>Item_Enchant_Old!M479</f>
        <v>7</v>
      </c>
      <c r="N475" s="29">
        <f>Item_Enchant_Old!N479</f>
        <v>24</v>
      </c>
      <c r="O475" s="29">
        <f>Item_Enchant_Old!O479</f>
        <v>1</v>
      </c>
      <c r="P475" s="29">
        <f>Item_Enchant_Old!P479</f>
        <v>1</v>
      </c>
      <c r="Q475" s="29">
        <f>Item_Enchant_Old!Q479</f>
        <v>1</v>
      </c>
      <c r="R475" s="29">
        <f>Item_Enchant_Old!R479</f>
        <v>1</v>
      </c>
    </row>
    <row r="476" spans="1:18" s="29" customFormat="1" hidden="1">
      <c r="A476" s="29">
        <f>Item_Enchant_Old!A480</f>
        <v>475</v>
      </c>
      <c r="B476" s="29" t="str">
        <f>Item_Enchant_Old!B480</f>
        <v>ACTIVE_FOC_UP</v>
      </c>
      <c r="C476" s="29">
        <f>Item_Enchant_Old!C480</f>
        <v>612</v>
      </c>
      <c r="D476" s="29">
        <f>Item_Enchant_Old!D480</f>
        <v>0</v>
      </c>
      <c r="E476" s="29">
        <f>Item_Enchant_Old!E480</f>
        <v>0</v>
      </c>
      <c r="F476" s="29">
        <f>Item_Enchant_Old!F480</f>
        <v>0</v>
      </c>
      <c r="G476" s="29">
        <f>Item_Enchant_Old!G480</f>
        <v>2</v>
      </c>
      <c r="H476" s="29" t="str">
        <f>Item_Enchant_Old!H480</f>
        <v>@</v>
      </c>
      <c r="I476" s="29">
        <f>Item_Enchant_Old!I480</f>
        <v>1</v>
      </c>
      <c r="J476" s="29" t="str">
        <f>Item_Enchant_Old!J480</f>
        <v>절대값/상대값(%) 가능</v>
      </c>
      <c r="K476" s="29">
        <f>Item_Enchant_Old!K480</f>
        <v>9</v>
      </c>
      <c r="L476" s="29">
        <f>Item_Enchant_Old!L480</f>
        <v>0</v>
      </c>
      <c r="M476" s="29">
        <f>Item_Enchant_Old!M480</f>
        <v>8</v>
      </c>
      <c r="N476" s="29">
        <f>Item_Enchant_Old!N480</f>
        <v>53</v>
      </c>
      <c r="O476" s="29">
        <f>Item_Enchant_Old!O480</f>
        <v>1</v>
      </c>
      <c r="P476" s="29">
        <f>Item_Enchant_Old!P480</f>
        <v>1</v>
      </c>
      <c r="Q476" s="29">
        <f>Item_Enchant_Old!Q480</f>
        <v>1</v>
      </c>
      <c r="R476" s="29">
        <f>Item_Enchant_Old!R480</f>
        <v>1</v>
      </c>
    </row>
    <row r="477" spans="1:18" s="29" customFormat="1" hidden="1">
      <c r="A477" s="29">
        <f>Item_Enchant_Old!A481</f>
        <v>476</v>
      </c>
      <c r="B477" s="29" t="str">
        <f>Item_Enchant_Old!B481</f>
        <v>ACTIVE_CON_UP</v>
      </c>
      <c r="C477" s="29">
        <f>Item_Enchant_Old!C481</f>
        <v>611</v>
      </c>
      <c r="D477" s="29">
        <f>Item_Enchant_Old!D481</f>
        <v>0</v>
      </c>
      <c r="E477" s="29">
        <f>Item_Enchant_Old!E481</f>
        <v>0</v>
      </c>
      <c r="F477" s="29">
        <f>Item_Enchant_Old!F481</f>
        <v>0</v>
      </c>
      <c r="G477" s="29">
        <f>Item_Enchant_Old!G481</f>
        <v>3</v>
      </c>
      <c r="H477" s="29" t="str">
        <f>Item_Enchant_Old!H481</f>
        <v>@</v>
      </c>
      <c r="I477" s="29">
        <f>Item_Enchant_Old!I481</f>
        <v>1</v>
      </c>
      <c r="J477" s="29" t="str">
        <f>Item_Enchant_Old!J481</f>
        <v>절대값/상대값(%) 가능</v>
      </c>
      <c r="K477" s="29">
        <f>Item_Enchant_Old!K481</f>
        <v>9</v>
      </c>
      <c r="L477" s="29">
        <f>Item_Enchant_Old!L481</f>
        <v>0</v>
      </c>
      <c r="M477" s="29">
        <f>Item_Enchant_Old!M481</f>
        <v>8</v>
      </c>
      <c r="N477" s="29">
        <f>Item_Enchant_Old!N481</f>
        <v>48</v>
      </c>
      <c r="O477" s="29">
        <f>Item_Enchant_Old!O481</f>
        <v>1</v>
      </c>
      <c r="P477" s="29">
        <f>Item_Enchant_Old!P481</f>
        <v>1</v>
      </c>
      <c r="Q477" s="29">
        <f>Item_Enchant_Old!Q481</f>
        <v>1</v>
      </c>
      <c r="R477" s="29">
        <f>Item_Enchant_Old!R481</f>
        <v>1</v>
      </c>
    </row>
    <row r="478" spans="1:18" s="29" customFormat="1" hidden="1">
      <c r="A478" s="29">
        <f>Item_Enchant_Old!A482</f>
        <v>477</v>
      </c>
      <c r="B478" s="29" t="str">
        <f>Item_Enchant_Old!B482</f>
        <v>ACTIVE_BLOCK_RATE_UP</v>
      </c>
      <c r="C478" s="29">
        <f>Item_Enchant_Old!C482</f>
        <v>620</v>
      </c>
      <c r="D478" s="29">
        <f>Item_Enchant_Old!D482</f>
        <v>0</v>
      </c>
      <c r="E478" s="29">
        <f>Item_Enchant_Old!E482</f>
        <v>0</v>
      </c>
      <c r="F478" s="29">
        <f>Item_Enchant_Old!F482</f>
        <v>0</v>
      </c>
      <c r="G478" s="29">
        <f>Item_Enchant_Old!G482</f>
        <v>1</v>
      </c>
      <c r="H478" s="29" t="str">
        <f>Item_Enchant_Old!H482</f>
        <v>@</v>
      </c>
      <c r="I478" s="29">
        <f>Item_Enchant_Old!I482</f>
        <v>1</v>
      </c>
      <c r="J478" s="29" t="str">
        <f>Item_Enchant_Old!J482</f>
        <v>절대값/상대값(%) 가능</v>
      </c>
      <c r="K478" s="29">
        <f>Item_Enchant_Old!K482</f>
        <v>9</v>
      </c>
      <c r="L478" s="29">
        <f>Item_Enchant_Old!L482</f>
        <v>0</v>
      </c>
      <c r="M478" s="29">
        <f>Item_Enchant_Old!M482</f>
        <v>8</v>
      </c>
      <c r="N478" s="29">
        <f>Item_Enchant_Old!N482</f>
        <v>352</v>
      </c>
      <c r="O478" s="29">
        <f>Item_Enchant_Old!O482</f>
        <v>1</v>
      </c>
      <c r="P478" s="29">
        <f>Item_Enchant_Old!P482</f>
        <v>1</v>
      </c>
      <c r="Q478" s="29">
        <f>Item_Enchant_Old!Q482</f>
        <v>1</v>
      </c>
      <c r="R478" s="29">
        <f>Item_Enchant_Old!R482</f>
        <v>1</v>
      </c>
    </row>
    <row r="479" spans="1:18" s="29" customFormat="1" hidden="1">
      <c r="A479" s="29">
        <f>Item_Enchant_Old!A483</f>
        <v>478</v>
      </c>
      <c r="B479" s="29" t="str">
        <f>Item_Enchant_Old!B483</f>
        <v>ACTIVE_ENG_UP</v>
      </c>
      <c r="C479" s="29">
        <f>Item_Enchant_Old!C483</f>
        <v>615</v>
      </c>
      <c r="D479" s="29">
        <f>Item_Enchant_Old!D483</f>
        <v>0</v>
      </c>
      <c r="E479" s="29">
        <f>Item_Enchant_Old!E483</f>
        <v>0</v>
      </c>
      <c r="F479" s="29">
        <f>Item_Enchant_Old!F483</f>
        <v>0</v>
      </c>
      <c r="G479" s="29">
        <f>Item_Enchant_Old!G483</f>
        <v>2</v>
      </c>
      <c r="H479" s="29" t="str">
        <f>Item_Enchant_Old!H483</f>
        <v>@</v>
      </c>
      <c r="I479" s="29">
        <f>Item_Enchant_Old!I483</f>
        <v>1</v>
      </c>
      <c r="J479" s="29" t="str">
        <f>Item_Enchant_Old!J483</f>
        <v>절대값/상대값(%) 가능</v>
      </c>
      <c r="K479" s="29">
        <f>Item_Enchant_Old!K483</f>
        <v>9</v>
      </c>
      <c r="L479" s="29">
        <f>Item_Enchant_Old!L483</f>
        <v>0</v>
      </c>
      <c r="M479" s="29">
        <f>Item_Enchant_Old!M483</f>
        <v>8</v>
      </c>
      <c r="N479" s="29">
        <f>Item_Enchant_Old!N483</f>
        <v>62</v>
      </c>
      <c r="O479" s="29">
        <f>Item_Enchant_Old!O483</f>
        <v>1</v>
      </c>
      <c r="P479" s="29">
        <f>Item_Enchant_Old!P483</f>
        <v>1</v>
      </c>
      <c r="Q479" s="29">
        <f>Item_Enchant_Old!Q483</f>
        <v>1</v>
      </c>
      <c r="R479" s="29">
        <f>Item_Enchant_Old!R483</f>
        <v>1</v>
      </c>
    </row>
    <row r="480" spans="1:18" s="29" customFormat="1" hidden="1">
      <c r="A480" s="29">
        <f>Item_Enchant_Old!A484</f>
        <v>479</v>
      </c>
      <c r="B480" s="29" t="str">
        <f>Item_Enchant_Old!B484</f>
        <v>ACTIVE_PHYSICAL_CRITICAL</v>
      </c>
      <c r="C480" s="29">
        <f>Item_Enchant_Old!C484</f>
        <v>632</v>
      </c>
      <c r="D480" s="29">
        <f>Item_Enchant_Old!D484</f>
        <v>0</v>
      </c>
      <c r="E480" s="29">
        <f>Item_Enchant_Old!E484</f>
        <v>0</v>
      </c>
      <c r="F480" s="29">
        <f>Item_Enchant_Old!F484</f>
        <v>0</v>
      </c>
      <c r="G480" s="29">
        <f>Item_Enchant_Old!G484</f>
        <v>5</v>
      </c>
      <c r="H480" s="29" t="str">
        <f>Item_Enchant_Old!H484</f>
        <v>@</v>
      </c>
      <c r="I480" s="29">
        <f>Item_Enchant_Old!I484</f>
        <v>1</v>
      </c>
      <c r="J480" s="29" t="str">
        <f>Item_Enchant_Old!J484</f>
        <v>절대값/상대값(%) 가능</v>
      </c>
      <c r="K480" s="29">
        <f>Item_Enchant_Old!K484</f>
        <v>9</v>
      </c>
      <c r="L480" s="29">
        <f>Item_Enchant_Old!L484</f>
        <v>0</v>
      </c>
      <c r="M480" s="29">
        <f>Item_Enchant_Old!M484</f>
        <v>9</v>
      </c>
      <c r="N480" s="29">
        <f>Item_Enchant_Old!N484</f>
        <v>21</v>
      </c>
      <c r="O480" s="29">
        <f>Item_Enchant_Old!O484</f>
        <v>1</v>
      </c>
      <c r="P480" s="29">
        <f>Item_Enchant_Old!P484</f>
        <v>1</v>
      </c>
      <c r="Q480" s="29">
        <f>Item_Enchant_Old!Q484</f>
        <v>1</v>
      </c>
      <c r="R480" s="29">
        <f>Item_Enchant_Old!R484</f>
        <v>1</v>
      </c>
    </row>
    <row r="481" spans="1:18" s="29" customFormat="1" hidden="1">
      <c r="A481" s="29">
        <f>Item_Enchant_Old!A485</f>
        <v>480</v>
      </c>
      <c r="B481" s="29" t="str">
        <f>Item_Enchant_Old!B485</f>
        <v>ACTIVE_ENERGY_CRITICAL</v>
      </c>
      <c r="C481" s="29">
        <f>Item_Enchant_Old!C485</f>
        <v>633</v>
      </c>
      <c r="D481" s="29">
        <f>Item_Enchant_Old!D485</f>
        <v>0</v>
      </c>
      <c r="E481" s="29">
        <f>Item_Enchant_Old!E485</f>
        <v>0</v>
      </c>
      <c r="F481" s="29">
        <f>Item_Enchant_Old!F485</f>
        <v>0</v>
      </c>
      <c r="G481" s="29">
        <f>Item_Enchant_Old!G485</f>
        <v>5</v>
      </c>
      <c r="H481" s="29" t="str">
        <f>Item_Enchant_Old!H485</f>
        <v>@</v>
      </c>
      <c r="I481" s="29">
        <f>Item_Enchant_Old!I485</f>
        <v>1</v>
      </c>
      <c r="J481" s="29" t="str">
        <f>Item_Enchant_Old!J485</f>
        <v>절대값/상대값(%) 가능</v>
      </c>
      <c r="K481" s="29">
        <f>Item_Enchant_Old!K485</f>
        <v>9</v>
      </c>
      <c r="L481" s="29">
        <f>Item_Enchant_Old!L485</f>
        <v>0</v>
      </c>
      <c r="M481" s="29">
        <f>Item_Enchant_Old!M485</f>
        <v>9</v>
      </c>
      <c r="N481" s="29">
        <f>Item_Enchant_Old!N485</f>
        <v>24</v>
      </c>
      <c r="O481" s="29">
        <f>Item_Enchant_Old!O485</f>
        <v>1</v>
      </c>
      <c r="P481" s="29">
        <f>Item_Enchant_Old!P485</f>
        <v>1</v>
      </c>
      <c r="Q481" s="29">
        <f>Item_Enchant_Old!Q485</f>
        <v>1</v>
      </c>
      <c r="R481" s="29">
        <f>Item_Enchant_Old!R485</f>
        <v>1</v>
      </c>
    </row>
    <row r="482" spans="1:18" s="29" customFormat="1" hidden="1">
      <c r="A482" s="29">
        <f>Item_Enchant_Old!A486</f>
        <v>481</v>
      </c>
      <c r="B482" s="29" t="str">
        <f>Item_Enchant_Old!B486</f>
        <v>ACTIVE_DEX_UP</v>
      </c>
      <c r="C482" s="29">
        <f>Item_Enchant_Old!C486</f>
        <v>613</v>
      </c>
      <c r="D482" s="29">
        <f>Item_Enchant_Old!D486</f>
        <v>0</v>
      </c>
      <c r="E482" s="29">
        <f>Item_Enchant_Old!E486</f>
        <v>0</v>
      </c>
      <c r="F482" s="29">
        <f>Item_Enchant_Old!F486</f>
        <v>0</v>
      </c>
      <c r="G482" s="29">
        <f>Item_Enchant_Old!G486</f>
        <v>3</v>
      </c>
      <c r="H482" s="29" t="str">
        <f>Item_Enchant_Old!H486</f>
        <v>@</v>
      </c>
      <c r="I482" s="29">
        <f>Item_Enchant_Old!I486</f>
        <v>1</v>
      </c>
      <c r="J482" s="29" t="str">
        <f>Item_Enchant_Old!J486</f>
        <v>절대값/상대값(%) 가능</v>
      </c>
      <c r="K482" s="29">
        <f>Item_Enchant_Old!K486</f>
        <v>9</v>
      </c>
      <c r="L482" s="29">
        <f>Item_Enchant_Old!L486</f>
        <v>0</v>
      </c>
      <c r="M482" s="29">
        <f>Item_Enchant_Old!M486</f>
        <v>9</v>
      </c>
      <c r="N482" s="29">
        <f>Item_Enchant_Old!N486</f>
        <v>44</v>
      </c>
      <c r="O482" s="29">
        <f>Item_Enchant_Old!O486</f>
        <v>1</v>
      </c>
      <c r="P482" s="29">
        <f>Item_Enchant_Old!P486</f>
        <v>1</v>
      </c>
      <c r="Q482" s="29">
        <f>Item_Enchant_Old!Q486</f>
        <v>1</v>
      </c>
      <c r="R482" s="29">
        <f>Item_Enchant_Old!R486</f>
        <v>1</v>
      </c>
    </row>
    <row r="483" spans="1:18" s="29" customFormat="1" hidden="1">
      <c r="A483" s="29">
        <f>Item_Enchant_Old!A487</f>
        <v>482</v>
      </c>
      <c r="B483" s="29" t="str">
        <f>Item_Enchant_Old!B487</f>
        <v>ACTIVE_FOC_UP</v>
      </c>
      <c r="C483" s="29">
        <f>Item_Enchant_Old!C487</f>
        <v>612</v>
      </c>
      <c r="D483" s="29">
        <f>Item_Enchant_Old!D487</f>
        <v>0</v>
      </c>
      <c r="E483" s="29">
        <f>Item_Enchant_Old!E487</f>
        <v>0</v>
      </c>
      <c r="F483" s="29">
        <f>Item_Enchant_Old!F487</f>
        <v>0</v>
      </c>
      <c r="G483" s="29">
        <f>Item_Enchant_Old!G487</f>
        <v>2</v>
      </c>
      <c r="H483" s="29" t="str">
        <f>Item_Enchant_Old!H487</f>
        <v>@</v>
      </c>
      <c r="I483" s="29">
        <f>Item_Enchant_Old!I487</f>
        <v>1</v>
      </c>
      <c r="J483" s="29" t="str">
        <f>Item_Enchant_Old!J487</f>
        <v>절대값/상대값(%) 가능</v>
      </c>
      <c r="K483" s="29">
        <f>Item_Enchant_Old!K487</f>
        <v>9</v>
      </c>
      <c r="L483" s="29">
        <f>Item_Enchant_Old!L487</f>
        <v>0</v>
      </c>
      <c r="M483" s="29">
        <f>Item_Enchant_Old!M487</f>
        <v>9</v>
      </c>
      <c r="N483" s="29">
        <f>Item_Enchant_Old!N487</f>
        <v>53</v>
      </c>
      <c r="O483" s="29">
        <f>Item_Enchant_Old!O487</f>
        <v>1</v>
      </c>
      <c r="P483" s="29">
        <f>Item_Enchant_Old!P487</f>
        <v>1</v>
      </c>
      <c r="Q483" s="29">
        <f>Item_Enchant_Old!Q487</f>
        <v>1</v>
      </c>
      <c r="R483" s="29">
        <f>Item_Enchant_Old!R487</f>
        <v>1</v>
      </c>
    </row>
    <row r="484" spans="1:18" s="29" customFormat="1" hidden="1">
      <c r="A484" s="29">
        <f>Item_Enchant_Old!A488</f>
        <v>483</v>
      </c>
      <c r="B484" s="29" t="str">
        <f>Item_Enchant_Old!B488</f>
        <v>ACTIVE_PHYSICAL_CRITICAL_DAMAGE_UP</v>
      </c>
      <c r="C484" s="29">
        <f>Item_Enchant_Old!C488</f>
        <v>658</v>
      </c>
      <c r="D484" s="29">
        <f>Item_Enchant_Old!D488</f>
        <v>0</v>
      </c>
      <c r="E484" s="29">
        <f>Item_Enchant_Old!E488</f>
        <v>0</v>
      </c>
      <c r="F484" s="29">
        <f>Item_Enchant_Old!F488</f>
        <v>0</v>
      </c>
      <c r="G484" s="29">
        <f>Item_Enchant_Old!G488</f>
        <v>4</v>
      </c>
      <c r="H484" s="29" t="str">
        <f>Item_Enchant_Old!H488</f>
        <v>@</v>
      </c>
      <c r="I484" s="29">
        <f>Item_Enchant_Old!I488</f>
        <v>1</v>
      </c>
      <c r="J484" s="29" t="str">
        <f>Item_Enchant_Old!J488</f>
        <v>절대값만 가능</v>
      </c>
      <c r="K484" s="29">
        <f>Item_Enchant_Old!K488</f>
        <v>9</v>
      </c>
      <c r="L484" s="29">
        <f>Item_Enchant_Old!L488</f>
        <v>0</v>
      </c>
      <c r="M484" s="29">
        <f>Item_Enchant_Old!M488</f>
        <v>10</v>
      </c>
      <c r="N484" s="29">
        <f>Item_Enchant_Old!N488</f>
        <v>28</v>
      </c>
      <c r="O484" s="29">
        <f>Item_Enchant_Old!O488</f>
        <v>1</v>
      </c>
      <c r="P484" s="29">
        <f>Item_Enchant_Old!P488</f>
        <v>1</v>
      </c>
      <c r="Q484" s="29">
        <f>Item_Enchant_Old!Q488</f>
        <v>1</v>
      </c>
      <c r="R484" s="29">
        <f>Item_Enchant_Old!R488</f>
        <v>1</v>
      </c>
    </row>
    <row r="485" spans="1:18" s="29" customFormat="1" hidden="1">
      <c r="A485" s="29">
        <f>Item_Enchant_Old!A489</f>
        <v>484</v>
      </c>
      <c r="B485" s="29" t="str">
        <f>Item_Enchant_Old!B489</f>
        <v>ACTIVE_ENERGY_CRITICAL_DAMAGE_UP</v>
      </c>
      <c r="C485" s="29">
        <f>Item_Enchant_Old!C489</f>
        <v>659</v>
      </c>
      <c r="D485" s="29">
        <f>Item_Enchant_Old!D489</f>
        <v>0</v>
      </c>
      <c r="E485" s="29">
        <f>Item_Enchant_Old!E489</f>
        <v>0</v>
      </c>
      <c r="F485" s="29">
        <f>Item_Enchant_Old!F489</f>
        <v>0</v>
      </c>
      <c r="G485" s="29">
        <f>Item_Enchant_Old!G489</f>
        <v>4</v>
      </c>
      <c r="H485" s="29" t="str">
        <f>Item_Enchant_Old!H489</f>
        <v>@</v>
      </c>
      <c r="I485" s="29">
        <f>Item_Enchant_Old!I489</f>
        <v>1</v>
      </c>
      <c r="J485" s="29" t="str">
        <f>Item_Enchant_Old!J489</f>
        <v>절대값만 가능</v>
      </c>
      <c r="K485" s="29">
        <f>Item_Enchant_Old!K489</f>
        <v>9</v>
      </c>
      <c r="L485" s="29">
        <f>Item_Enchant_Old!L489</f>
        <v>0</v>
      </c>
      <c r="M485" s="29">
        <f>Item_Enchant_Old!M489</f>
        <v>10</v>
      </c>
      <c r="N485" s="29">
        <f>Item_Enchant_Old!N489</f>
        <v>32</v>
      </c>
      <c r="O485" s="29">
        <f>Item_Enchant_Old!O489</f>
        <v>1</v>
      </c>
      <c r="P485" s="29">
        <f>Item_Enchant_Old!P489</f>
        <v>1</v>
      </c>
      <c r="Q485" s="29">
        <f>Item_Enchant_Old!Q489</f>
        <v>1</v>
      </c>
      <c r="R485" s="29">
        <f>Item_Enchant_Old!R489</f>
        <v>1</v>
      </c>
    </row>
    <row r="486" spans="1:18" s="29" customFormat="1" hidden="1">
      <c r="A486" s="29">
        <f>Item_Enchant_Old!A490</f>
        <v>485</v>
      </c>
      <c r="B486" s="29" t="str">
        <f>Item_Enchant_Old!B490</f>
        <v>ACTIVE_DEX_UP</v>
      </c>
      <c r="C486" s="29">
        <f>Item_Enchant_Old!C490</f>
        <v>613</v>
      </c>
      <c r="D486" s="29">
        <f>Item_Enchant_Old!D490</f>
        <v>0</v>
      </c>
      <c r="E486" s="29">
        <f>Item_Enchant_Old!E490</f>
        <v>0</v>
      </c>
      <c r="F486" s="29">
        <f>Item_Enchant_Old!F490</f>
        <v>0</v>
      </c>
      <c r="G486" s="29">
        <f>Item_Enchant_Old!G490</f>
        <v>3</v>
      </c>
      <c r="H486" s="29" t="str">
        <f>Item_Enchant_Old!H490</f>
        <v>@</v>
      </c>
      <c r="I486" s="29">
        <f>Item_Enchant_Old!I490</f>
        <v>1</v>
      </c>
      <c r="J486" s="29" t="str">
        <f>Item_Enchant_Old!J490</f>
        <v>절대값/상대값(%) 가능</v>
      </c>
      <c r="K486" s="29">
        <f>Item_Enchant_Old!K490</f>
        <v>9</v>
      </c>
      <c r="L486" s="29">
        <f>Item_Enchant_Old!L490</f>
        <v>0</v>
      </c>
      <c r="M486" s="29">
        <f>Item_Enchant_Old!M490</f>
        <v>10</v>
      </c>
      <c r="N486" s="29">
        <f>Item_Enchant_Old!N490</f>
        <v>44</v>
      </c>
      <c r="O486" s="29">
        <f>Item_Enchant_Old!O490</f>
        <v>1</v>
      </c>
      <c r="P486" s="29">
        <f>Item_Enchant_Old!P490</f>
        <v>1</v>
      </c>
      <c r="Q486" s="29">
        <f>Item_Enchant_Old!Q490</f>
        <v>1</v>
      </c>
      <c r="R486" s="29">
        <f>Item_Enchant_Old!R490</f>
        <v>1</v>
      </c>
    </row>
    <row r="487" spans="1:18" s="29" customFormat="1" hidden="1">
      <c r="A487" s="29">
        <f>Item_Enchant_Old!A491</f>
        <v>486</v>
      </c>
      <c r="B487" s="29" t="str">
        <f>Item_Enchant_Old!B491</f>
        <v>ACTIVE_ATTACK_SPEED_UP</v>
      </c>
      <c r="C487" s="29">
        <f>Item_Enchant_Old!C491</f>
        <v>617</v>
      </c>
      <c r="D487" s="29">
        <f>Item_Enchant_Old!D491</f>
        <v>1</v>
      </c>
      <c r="E487" s="29">
        <f>Item_Enchant_Old!E491</f>
        <v>0</v>
      </c>
      <c r="F487" s="29">
        <f>Item_Enchant_Old!F491</f>
        <v>0</v>
      </c>
      <c r="G487" s="29">
        <f>Item_Enchant_Old!G491</f>
        <v>10</v>
      </c>
      <c r="H487" s="29" t="str">
        <f>Item_Enchant_Old!H491</f>
        <v>@</v>
      </c>
      <c r="I487" s="29">
        <f>Item_Enchant_Old!I491</f>
        <v>1</v>
      </c>
      <c r="J487" s="29" t="str">
        <f>Item_Enchant_Old!J491</f>
        <v>절대값/상대값(%) 가능</v>
      </c>
      <c r="K487" s="29">
        <f>Item_Enchant_Old!K491</f>
        <v>9</v>
      </c>
      <c r="L487" s="29">
        <f>Item_Enchant_Old!L491</f>
        <v>0</v>
      </c>
      <c r="M487" s="29">
        <f>Item_Enchant_Old!M491</f>
        <v>10</v>
      </c>
      <c r="N487" s="29">
        <f>Item_Enchant_Old!N491</f>
        <v>10</v>
      </c>
      <c r="O487" s="29">
        <f>Item_Enchant_Old!O491</f>
        <v>1</v>
      </c>
      <c r="P487" s="29">
        <f>Item_Enchant_Old!P491</f>
        <v>1</v>
      </c>
      <c r="Q487" s="29">
        <f>Item_Enchant_Old!Q491</f>
        <v>1</v>
      </c>
      <c r="R487" s="29">
        <f>Item_Enchant_Old!R491</f>
        <v>1</v>
      </c>
    </row>
    <row r="488" spans="1:18" s="29" customFormat="1" hidden="1">
      <c r="A488" s="29">
        <f>Item_Enchant_Old!A492</f>
        <v>487</v>
      </c>
      <c r="B488" s="29" t="str">
        <f>Item_Enchant_Old!B492</f>
        <v>ACTIVE_STR_UP</v>
      </c>
      <c r="C488" s="29">
        <f>Item_Enchant_Old!C492</f>
        <v>610</v>
      </c>
      <c r="D488" s="29">
        <f>Item_Enchant_Old!D492</f>
        <v>0</v>
      </c>
      <c r="E488" s="29">
        <f>Item_Enchant_Old!E492</f>
        <v>0</v>
      </c>
      <c r="F488" s="29">
        <f>Item_Enchant_Old!F492</f>
        <v>0</v>
      </c>
      <c r="G488" s="29">
        <f>Item_Enchant_Old!G492</f>
        <v>2</v>
      </c>
      <c r="H488" s="29" t="str">
        <f>Item_Enchant_Old!H492</f>
        <v>@</v>
      </c>
      <c r="I488" s="29">
        <f>Item_Enchant_Old!I492</f>
        <v>1</v>
      </c>
      <c r="J488" s="29" t="str">
        <f>Item_Enchant_Old!J492</f>
        <v>절대값/상대값(%) 가능</v>
      </c>
      <c r="K488" s="29">
        <f>Item_Enchant_Old!K492</f>
        <v>9</v>
      </c>
      <c r="L488" s="29">
        <f>Item_Enchant_Old!L492</f>
        <v>0</v>
      </c>
      <c r="M488" s="29">
        <f>Item_Enchant_Old!M492</f>
        <v>11</v>
      </c>
      <c r="N488" s="29">
        <f>Item_Enchant_Old!N492</f>
        <v>57</v>
      </c>
      <c r="O488" s="29">
        <f>Item_Enchant_Old!O492</f>
        <v>1</v>
      </c>
      <c r="P488" s="29">
        <f>Item_Enchant_Old!P492</f>
        <v>1</v>
      </c>
      <c r="Q488" s="29">
        <f>Item_Enchant_Old!Q492</f>
        <v>1</v>
      </c>
      <c r="R488" s="29">
        <f>Item_Enchant_Old!R492</f>
        <v>1</v>
      </c>
    </row>
    <row r="489" spans="1:18" s="29" customFormat="1" hidden="1">
      <c r="A489" s="29">
        <f>Item_Enchant_Old!A493</f>
        <v>488</v>
      </c>
      <c r="B489" s="29" t="str">
        <f>Item_Enchant_Old!B493</f>
        <v>ACTIVE_CON_UP</v>
      </c>
      <c r="C489" s="29">
        <f>Item_Enchant_Old!C493</f>
        <v>611</v>
      </c>
      <c r="D489" s="29">
        <f>Item_Enchant_Old!D493</f>
        <v>0</v>
      </c>
      <c r="E489" s="29">
        <f>Item_Enchant_Old!E493</f>
        <v>0</v>
      </c>
      <c r="F489" s="29">
        <f>Item_Enchant_Old!F493</f>
        <v>0</v>
      </c>
      <c r="G489" s="29">
        <f>Item_Enchant_Old!G493</f>
        <v>3</v>
      </c>
      <c r="H489" s="29" t="str">
        <f>Item_Enchant_Old!H493</f>
        <v>@</v>
      </c>
      <c r="I489" s="29">
        <f>Item_Enchant_Old!I493</f>
        <v>1</v>
      </c>
      <c r="J489" s="29" t="str">
        <f>Item_Enchant_Old!J493</f>
        <v>절대값/상대값(%) 가능</v>
      </c>
      <c r="K489" s="29">
        <f>Item_Enchant_Old!K493</f>
        <v>9</v>
      </c>
      <c r="L489" s="29">
        <f>Item_Enchant_Old!L493</f>
        <v>0</v>
      </c>
      <c r="M489" s="29">
        <f>Item_Enchant_Old!M493</f>
        <v>11</v>
      </c>
      <c r="N489" s="29">
        <f>Item_Enchant_Old!N493</f>
        <v>48</v>
      </c>
      <c r="O489" s="29">
        <f>Item_Enchant_Old!O493</f>
        <v>1</v>
      </c>
      <c r="P489" s="29">
        <f>Item_Enchant_Old!P493</f>
        <v>1</v>
      </c>
      <c r="Q489" s="29">
        <f>Item_Enchant_Old!Q493</f>
        <v>1</v>
      </c>
      <c r="R489" s="29">
        <f>Item_Enchant_Old!R493</f>
        <v>1</v>
      </c>
    </row>
    <row r="490" spans="1:18" s="29" customFormat="1" hidden="1">
      <c r="A490" s="29">
        <f>Item_Enchant_Old!A494</f>
        <v>489</v>
      </c>
      <c r="B490" s="29" t="str">
        <f>Item_Enchant_Old!B494</f>
        <v>ACTIVE_FOC_UP</v>
      </c>
      <c r="C490" s="29">
        <f>Item_Enchant_Old!C494</f>
        <v>612</v>
      </c>
      <c r="D490" s="29">
        <f>Item_Enchant_Old!D494</f>
        <v>0</v>
      </c>
      <c r="E490" s="29">
        <f>Item_Enchant_Old!E494</f>
        <v>0</v>
      </c>
      <c r="F490" s="29">
        <f>Item_Enchant_Old!F494</f>
        <v>0</v>
      </c>
      <c r="G490" s="29">
        <f>Item_Enchant_Old!G494</f>
        <v>2</v>
      </c>
      <c r="H490" s="29" t="str">
        <f>Item_Enchant_Old!H494</f>
        <v>@</v>
      </c>
      <c r="I490" s="29">
        <f>Item_Enchant_Old!I494</f>
        <v>1</v>
      </c>
      <c r="J490" s="29" t="str">
        <f>Item_Enchant_Old!J494</f>
        <v>절대값/상대값(%) 가능</v>
      </c>
      <c r="K490" s="29">
        <f>Item_Enchant_Old!K494</f>
        <v>9</v>
      </c>
      <c r="L490" s="29">
        <f>Item_Enchant_Old!L494</f>
        <v>0</v>
      </c>
      <c r="M490" s="29">
        <f>Item_Enchant_Old!M494</f>
        <v>11</v>
      </c>
      <c r="N490" s="29">
        <f>Item_Enchant_Old!N494</f>
        <v>53</v>
      </c>
      <c r="O490" s="29">
        <f>Item_Enchant_Old!O494</f>
        <v>1</v>
      </c>
      <c r="P490" s="29">
        <f>Item_Enchant_Old!P494</f>
        <v>1</v>
      </c>
      <c r="Q490" s="29">
        <f>Item_Enchant_Old!Q494</f>
        <v>1</v>
      </c>
      <c r="R490" s="29">
        <f>Item_Enchant_Old!R494</f>
        <v>1</v>
      </c>
    </row>
    <row r="491" spans="1:18" s="29" customFormat="1" hidden="1">
      <c r="A491" s="29">
        <f>Item_Enchant_Old!A495</f>
        <v>490</v>
      </c>
      <c r="B491" s="29" t="str">
        <f>Item_Enchant_Old!B495</f>
        <v>ACTIVE_DEX_UP</v>
      </c>
      <c r="C491" s="29">
        <f>Item_Enchant_Old!C495</f>
        <v>613</v>
      </c>
      <c r="D491" s="29">
        <f>Item_Enchant_Old!D495</f>
        <v>0</v>
      </c>
      <c r="E491" s="29">
        <f>Item_Enchant_Old!E495</f>
        <v>0</v>
      </c>
      <c r="F491" s="29">
        <f>Item_Enchant_Old!F495</f>
        <v>0</v>
      </c>
      <c r="G491" s="29">
        <f>Item_Enchant_Old!G495</f>
        <v>3</v>
      </c>
      <c r="H491" s="29" t="str">
        <f>Item_Enchant_Old!H495</f>
        <v>@</v>
      </c>
      <c r="I491" s="29">
        <f>Item_Enchant_Old!I495</f>
        <v>1</v>
      </c>
      <c r="J491" s="29" t="str">
        <f>Item_Enchant_Old!J495</f>
        <v>절대값/상대값(%) 가능</v>
      </c>
      <c r="K491" s="29">
        <f>Item_Enchant_Old!K495</f>
        <v>9</v>
      </c>
      <c r="L491" s="29">
        <f>Item_Enchant_Old!L495</f>
        <v>0</v>
      </c>
      <c r="M491" s="29">
        <f>Item_Enchant_Old!M495</f>
        <v>11</v>
      </c>
      <c r="N491" s="29">
        <f>Item_Enchant_Old!N495</f>
        <v>44</v>
      </c>
      <c r="O491" s="29">
        <f>Item_Enchant_Old!O495</f>
        <v>1</v>
      </c>
      <c r="P491" s="29">
        <f>Item_Enchant_Old!P495</f>
        <v>1</v>
      </c>
      <c r="Q491" s="29">
        <f>Item_Enchant_Old!Q495</f>
        <v>1</v>
      </c>
      <c r="R491" s="29">
        <f>Item_Enchant_Old!R495</f>
        <v>1</v>
      </c>
    </row>
    <row r="492" spans="1:18" s="29" customFormat="1" hidden="1">
      <c r="A492" s="29">
        <f>Item_Enchant_Old!A496</f>
        <v>491</v>
      </c>
      <c r="B492" s="29" t="str">
        <f>Item_Enchant_Old!B496</f>
        <v>ACTIVE_SOL_UP</v>
      </c>
      <c r="C492" s="29">
        <f>Item_Enchant_Old!C496</f>
        <v>614</v>
      </c>
      <c r="D492" s="29">
        <f>Item_Enchant_Old!D496</f>
        <v>0</v>
      </c>
      <c r="E492" s="29">
        <f>Item_Enchant_Old!E496</f>
        <v>0</v>
      </c>
      <c r="F492" s="29">
        <f>Item_Enchant_Old!F496</f>
        <v>0</v>
      </c>
      <c r="G492" s="29">
        <f>Item_Enchant_Old!G496</f>
        <v>2</v>
      </c>
      <c r="H492" s="29" t="str">
        <f>Item_Enchant_Old!H496</f>
        <v>@</v>
      </c>
      <c r="I492" s="29">
        <f>Item_Enchant_Old!I496</f>
        <v>1</v>
      </c>
      <c r="J492" s="29" t="str">
        <f>Item_Enchant_Old!J496</f>
        <v>절대값/상대값(%) 가능</v>
      </c>
      <c r="K492" s="29">
        <f>Item_Enchant_Old!K496</f>
        <v>9</v>
      </c>
      <c r="L492" s="29">
        <f>Item_Enchant_Old!L496</f>
        <v>0</v>
      </c>
      <c r="M492" s="29">
        <f>Item_Enchant_Old!M496</f>
        <v>11</v>
      </c>
      <c r="N492" s="29">
        <f>Item_Enchant_Old!N496</f>
        <v>53</v>
      </c>
      <c r="O492" s="29">
        <f>Item_Enchant_Old!O496</f>
        <v>1</v>
      </c>
      <c r="P492" s="29">
        <f>Item_Enchant_Old!P496</f>
        <v>1</v>
      </c>
      <c r="Q492" s="29">
        <f>Item_Enchant_Old!Q496</f>
        <v>1</v>
      </c>
      <c r="R492" s="29">
        <f>Item_Enchant_Old!R496</f>
        <v>1</v>
      </c>
    </row>
    <row r="493" spans="1:18" s="29" customFormat="1" hidden="1">
      <c r="A493" s="29">
        <f>Item_Enchant_Old!A497</f>
        <v>492</v>
      </c>
      <c r="B493" s="29" t="str">
        <f>Item_Enchant_Old!B497</f>
        <v>ACTIVE_ENG_UP</v>
      </c>
      <c r="C493" s="29">
        <f>Item_Enchant_Old!C497</f>
        <v>615</v>
      </c>
      <c r="D493" s="29">
        <f>Item_Enchant_Old!D497</f>
        <v>0</v>
      </c>
      <c r="E493" s="29">
        <f>Item_Enchant_Old!E497</f>
        <v>0</v>
      </c>
      <c r="F493" s="29">
        <f>Item_Enchant_Old!F497</f>
        <v>0</v>
      </c>
      <c r="G493" s="29">
        <f>Item_Enchant_Old!G497</f>
        <v>2</v>
      </c>
      <c r="H493" s="29" t="str">
        <f>Item_Enchant_Old!H497</f>
        <v>@</v>
      </c>
      <c r="I493" s="29">
        <f>Item_Enchant_Old!I497</f>
        <v>1</v>
      </c>
      <c r="J493" s="29" t="str">
        <f>Item_Enchant_Old!J497</f>
        <v>절대값/상대값(%) 가능</v>
      </c>
      <c r="K493" s="29">
        <f>Item_Enchant_Old!K497</f>
        <v>9</v>
      </c>
      <c r="L493" s="29">
        <f>Item_Enchant_Old!L497</f>
        <v>0</v>
      </c>
      <c r="M493" s="29">
        <f>Item_Enchant_Old!M497</f>
        <v>11</v>
      </c>
      <c r="N493" s="29">
        <f>Item_Enchant_Old!N497</f>
        <v>62</v>
      </c>
      <c r="O493" s="29">
        <f>Item_Enchant_Old!O497</f>
        <v>1</v>
      </c>
      <c r="P493" s="29">
        <f>Item_Enchant_Old!P497</f>
        <v>1</v>
      </c>
      <c r="Q493" s="29">
        <f>Item_Enchant_Old!Q497</f>
        <v>1</v>
      </c>
      <c r="R493" s="29">
        <f>Item_Enchant_Old!R497</f>
        <v>1</v>
      </c>
    </row>
    <row r="494" spans="1:18" s="29" customFormat="1" hidden="1">
      <c r="A494" s="29">
        <f>Item_Enchant_Old!A498</f>
        <v>493</v>
      </c>
      <c r="B494" s="29" t="str">
        <f>Item_Enchant_Old!B498</f>
        <v>ACTIVE_PHYSICAL_DEFENCE_UP</v>
      </c>
      <c r="C494" s="29">
        <f>Item_Enchant_Old!C498</f>
        <v>608</v>
      </c>
      <c r="D494" s="29">
        <f>Item_Enchant_Old!D498</f>
        <v>0</v>
      </c>
      <c r="E494" s="29">
        <f>Item_Enchant_Old!E498</f>
        <v>0</v>
      </c>
      <c r="F494" s="29">
        <f>Item_Enchant_Old!F498</f>
        <v>0</v>
      </c>
      <c r="G494" s="29">
        <f>Item_Enchant_Old!G498</f>
        <v>1</v>
      </c>
      <c r="H494" s="29" t="str">
        <f>Item_Enchant_Old!H498</f>
        <v>@</v>
      </c>
      <c r="I494" s="29">
        <f>Item_Enchant_Old!I498</f>
        <v>1</v>
      </c>
      <c r="J494" s="29" t="str">
        <f>Item_Enchant_Old!J498</f>
        <v>절대값/상대값(%) 가능</v>
      </c>
      <c r="K494" s="29">
        <f>Item_Enchant_Old!K498</f>
        <v>9</v>
      </c>
      <c r="L494" s="29">
        <f>Item_Enchant_Old!L498</f>
        <v>0</v>
      </c>
      <c r="M494" s="29">
        <f>Item_Enchant_Old!M498</f>
        <v>12</v>
      </c>
      <c r="N494" s="29">
        <f>Item_Enchant_Old!N498</f>
        <v>1350</v>
      </c>
      <c r="O494" s="29">
        <f>Item_Enchant_Old!O498</f>
        <v>1</v>
      </c>
      <c r="P494" s="29">
        <f>Item_Enchant_Old!P498</f>
        <v>1</v>
      </c>
      <c r="Q494" s="29">
        <f>Item_Enchant_Old!Q498</f>
        <v>1</v>
      </c>
      <c r="R494" s="29">
        <f>Item_Enchant_Old!R498</f>
        <v>1</v>
      </c>
    </row>
    <row r="495" spans="1:18" s="29" customFormat="1" hidden="1">
      <c r="A495" s="29">
        <f>Item_Enchant_Old!A499</f>
        <v>494</v>
      </c>
      <c r="B495" s="29" t="str">
        <f>Item_Enchant_Old!B499</f>
        <v>ACTIVE_BLOCK_RATE_UP</v>
      </c>
      <c r="C495" s="29">
        <f>Item_Enchant_Old!C499</f>
        <v>620</v>
      </c>
      <c r="D495" s="29">
        <f>Item_Enchant_Old!D499</f>
        <v>0</v>
      </c>
      <c r="E495" s="29">
        <f>Item_Enchant_Old!E499</f>
        <v>0</v>
      </c>
      <c r="F495" s="29">
        <f>Item_Enchant_Old!F499</f>
        <v>0</v>
      </c>
      <c r="G495" s="29">
        <f>Item_Enchant_Old!G499</f>
        <v>1</v>
      </c>
      <c r="H495" s="29" t="str">
        <f>Item_Enchant_Old!H499</f>
        <v>@</v>
      </c>
      <c r="I495" s="29">
        <f>Item_Enchant_Old!I499</f>
        <v>1</v>
      </c>
      <c r="J495" s="29" t="str">
        <f>Item_Enchant_Old!J499</f>
        <v>절대값/상대값(%) 가능</v>
      </c>
      <c r="K495" s="29">
        <f>Item_Enchant_Old!K499</f>
        <v>9</v>
      </c>
      <c r="L495" s="29">
        <f>Item_Enchant_Old!L499</f>
        <v>0</v>
      </c>
      <c r="M495" s="29">
        <f>Item_Enchant_Old!M499</f>
        <v>12</v>
      </c>
      <c r="N495" s="29">
        <f>Item_Enchant_Old!N499</f>
        <v>352</v>
      </c>
      <c r="O495" s="29">
        <f>Item_Enchant_Old!O499</f>
        <v>1</v>
      </c>
      <c r="P495" s="29">
        <f>Item_Enchant_Old!P499</f>
        <v>1</v>
      </c>
      <c r="Q495" s="29">
        <f>Item_Enchant_Old!Q499</f>
        <v>1</v>
      </c>
      <c r="R495" s="29">
        <f>Item_Enchant_Old!R499</f>
        <v>1</v>
      </c>
    </row>
    <row r="496" spans="1:18" s="29" customFormat="1" hidden="1">
      <c r="A496" s="29">
        <f>Item_Enchant_Old!A500</f>
        <v>495</v>
      </c>
      <c r="B496" s="29" t="str">
        <f>Item_Enchant_Old!B500</f>
        <v>ACTIVE_CON_UP</v>
      </c>
      <c r="C496" s="29">
        <f>Item_Enchant_Old!C500</f>
        <v>611</v>
      </c>
      <c r="D496" s="29">
        <f>Item_Enchant_Old!D500</f>
        <v>0</v>
      </c>
      <c r="E496" s="29">
        <f>Item_Enchant_Old!E500</f>
        <v>0</v>
      </c>
      <c r="F496" s="29">
        <f>Item_Enchant_Old!F500</f>
        <v>0</v>
      </c>
      <c r="G496" s="29">
        <f>Item_Enchant_Old!G500</f>
        <v>3</v>
      </c>
      <c r="H496" s="29" t="str">
        <f>Item_Enchant_Old!H500</f>
        <v>@</v>
      </c>
      <c r="I496" s="29">
        <f>Item_Enchant_Old!I500</f>
        <v>1</v>
      </c>
      <c r="J496" s="29" t="str">
        <f>Item_Enchant_Old!J500</f>
        <v>절대값/상대값(%) 가능</v>
      </c>
      <c r="K496" s="29">
        <f>Item_Enchant_Old!K500</f>
        <v>9</v>
      </c>
      <c r="L496" s="29">
        <f>Item_Enchant_Old!L500</f>
        <v>0</v>
      </c>
      <c r="M496" s="29">
        <f>Item_Enchant_Old!M500</f>
        <v>12</v>
      </c>
      <c r="N496" s="29">
        <f>Item_Enchant_Old!N500</f>
        <v>48</v>
      </c>
      <c r="O496" s="29">
        <f>Item_Enchant_Old!O500</f>
        <v>1</v>
      </c>
      <c r="P496" s="29">
        <f>Item_Enchant_Old!P500</f>
        <v>1</v>
      </c>
      <c r="Q496" s="29">
        <f>Item_Enchant_Old!Q500</f>
        <v>1</v>
      </c>
      <c r="R496" s="29">
        <f>Item_Enchant_Old!R500</f>
        <v>1</v>
      </c>
    </row>
    <row r="497" spans="1:18" s="29" customFormat="1" hidden="1">
      <c r="A497" s="29">
        <f>Item_Enchant_Old!A501</f>
        <v>496</v>
      </c>
      <c r="B497" s="29" t="str">
        <f>Item_Enchant_Old!B501</f>
        <v>ACTIVE_FOC_UP</v>
      </c>
      <c r="C497" s="29">
        <f>Item_Enchant_Old!C501</f>
        <v>612</v>
      </c>
      <c r="D497" s="29">
        <f>Item_Enchant_Old!D501</f>
        <v>0</v>
      </c>
      <c r="E497" s="29">
        <f>Item_Enchant_Old!E501</f>
        <v>0</v>
      </c>
      <c r="F497" s="29">
        <f>Item_Enchant_Old!F501</f>
        <v>0</v>
      </c>
      <c r="G497" s="29">
        <f>Item_Enchant_Old!G501</f>
        <v>2</v>
      </c>
      <c r="H497" s="29" t="str">
        <f>Item_Enchant_Old!H501</f>
        <v>@</v>
      </c>
      <c r="I497" s="29">
        <f>Item_Enchant_Old!I501</f>
        <v>1</v>
      </c>
      <c r="J497" s="29" t="str">
        <f>Item_Enchant_Old!J501</f>
        <v>절대값/상대값(%) 가능</v>
      </c>
      <c r="K497" s="29">
        <f>Item_Enchant_Old!K501</f>
        <v>9</v>
      </c>
      <c r="L497" s="29">
        <f>Item_Enchant_Old!L501</f>
        <v>0</v>
      </c>
      <c r="M497" s="29">
        <f>Item_Enchant_Old!M501</f>
        <v>12</v>
      </c>
      <c r="N497" s="29">
        <f>Item_Enchant_Old!N501</f>
        <v>53</v>
      </c>
      <c r="O497" s="29">
        <f>Item_Enchant_Old!O501</f>
        <v>1</v>
      </c>
      <c r="P497" s="29">
        <f>Item_Enchant_Old!P501</f>
        <v>1</v>
      </c>
      <c r="Q497" s="29">
        <f>Item_Enchant_Old!Q501</f>
        <v>1</v>
      </c>
      <c r="R497" s="29">
        <f>Item_Enchant_Old!R501</f>
        <v>1</v>
      </c>
    </row>
    <row r="498" spans="1:18" s="29" customFormat="1" hidden="1">
      <c r="A498" s="29">
        <f>Item_Enchant_Old!A502</f>
        <v>497</v>
      </c>
      <c r="B498" s="29" t="str">
        <f>Item_Enchant_Old!B502</f>
        <v>ACTIVE_PHYSICAL_OFFENCE_UP</v>
      </c>
      <c r="C498" s="29">
        <f>Item_Enchant_Old!C502</f>
        <v>606</v>
      </c>
      <c r="D498" s="29">
        <f>Item_Enchant_Old!D502</f>
        <v>0</v>
      </c>
      <c r="E498" s="29">
        <f>Item_Enchant_Old!E502</f>
        <v>0</v>
      </c>
      <c r="F498" s="29">
        <f>Item_Enchant_Old!F502</f>
        <v>0</v>
      </c>
      <c r="G498" s="29">
        <f>Item_Enchant_Old!G502</f>
        <v>1</v>
      </c>
      <c r="H498" s="29" t="str">
        <f>Item_Enchant_Old!H502</f>
        <v>@</v>
      </c>
      <c r="I498" s="29">
        <f>Item_Enchant_Old!I502</f>
        <v>1</v>
      </c>
      <c r="J498" s="29" t="str">
        <f>Item_Enchant_Old!J502</f>
        <v>절대값/상대값(%) 가능</v>
      </c>
      <c r="K498" s="29">
        <f>Item_Enchant_Old!K502</f>
        <v>10</v>
      </c>
      <c r="L498" s="29">
        <f>Item_Enchant_Old!L502</f>
        <v>0</v>
      </c>
      <c r="M498" s="29">
        <f>Item_Enchant_Old!M502</f>
        <v>1</v>
      </c>
      <c r="N498" s="29">
        <f>Item_Enchant_Old!N502</f>
        <v>125</v>
      </c>
      <c r="O498" s="29">
        <f>Item_Enchant_Old!O502</f>
        <v>1</v>
      </c>
      <c r="P498" s="29">
        <f>Item_Enchant_Old!P502</f>
        <v>1</v>
      </c>
      <c r="Q498" s="29">
        <f>Item_Enchant_Old!Q502</f>
        <v>1</v>
      </c>
      <c r="R498" s="29">
        <f>Item_Enchant_Old!R502</f>
        <v>1</v>
      </c>
    </row>
    <row r="499" spans="1:18" s="29" customFormat="1" hidden="1">
      <c r="A499" s="29">
        <f>Item_Enchant_Old!A503</f>
        <v>498</v>
      </c>
      <c r="B499" s="29" t="str">
        <f>Item_Enchant_Old!B503</f>
        <v>ACTIVE_STR_UP</v>
      </c>
      <c r="C499" s="29">
        <f>Item_Enchant_Old!C503</f>
        <v>610</v>
      </c>
      <c r="D499" s="29">
        <f>Item_Enchant_Old!D503</f>
        <v>0</v>
      </c>
      <c r="E499" s="29">
        <f>Item_Enchant_Old!E503</f>
        <v>0</v>
      </c>
      <c r="F499" s="29">
        <f>Item_Enchant_Old!F503</f>
        <v>0</v>
      </c>
      <c r="G499" s="29">
        <f>Item_Enchant_Old!G503</f>
        <v>2</v>
      </c>
      <c r="H499" s="29" t="str">
        <f>Item_Enchant_Old!H503</f>
        <v>@</v>
      </c>
      <c r="I499" s="29">
        <f>Item_Enchant_Old!I503</f>
        <v>1</v>
      </c>
      <c r="J499" s="29" t="str">
        <f>Item_Enchant_Old!J503</f>
        <v>절대값/상대값(%) 가능</v>
      </c>
      <c r="K499" s="29">
        <f>Item_Enchant_Old!K503</f>
        <v>10</v>
      </c>
      <c r="L499" s="29">
        <f>Item_Enchant_Old!L503</f>
        <v>0</v>
      </c>
      <c r="M499" s="29">
        <f>Item_Enchant_Old!M503</f>
        <v>1</v>
      </c>
      <c r="N499" s="29">
        <f>Item_Enchant_Old!N503</f>
        <v>57</v>
      </c>
      <c r="O499" s="29">
        <f>Item_Enchant_Old!O503</f>
        <v>1</v>
      </c>
      <c r="P499" s="29">
        <f>Item_Enchant_Old!P503</f>
        <v>1</v>
      </c>
      <c r="Q499" s="29">
        <f>Item_Enchant_Old!Q503</f>
        <v>1</v>
      </c>
      <c r="R499" s="29">
        <f>Item_Enchant_Old!R503</f>
        <v>1</v>
      </c>
    </row>
    <row r="500" spans="1:18" s="29" customFormat="1" hidden="1">
      <c r="A500" s="29">
        <f>Item_Enchant_Old!A504</f>
        <v>499</v>
      </c>
      <c r="B500" s="29" t="str">
        <f>Item_Enchant_Old!B504</f>
        <v>ACTIVE_DEX_UP</v>
      </c>
      <c r="C500" s="29">
        <f>Item_Enchant_Old!C504</f>
        <v>613</v>
      </c>
      <c r="D500" s="29">
        <f>Item_Enchant_Old!D504</f>
        <v>0</v>
      </c>
      <c r="E500" s="29">
        <f>Item_Enchant_Old!E504</f>
        <v>0</v>
      </c>
      <c r="F500" s="29">
        <f>Item_Enchant_Old!F504</f>
        <v>0</v>
      </c>
      <c r="G500" s="29">
        <f>Item_Enchant_Old!G504</f>
        <v>3</v>
      </c>
      <c r="H500" s="29" t="str">
        <f>Item_Enchant_Old!H504</f>
        <v>@</v>
      </c>
      <c r="I500" s="29">
        <f>Item_Enchant_Old!I504</f>
        <v>1</v>
      </c>
      <c r="J500" s="29" t="str">
        <f>Item_Enchant_Old!J504</f>
        <v>절대값/상대값(%) 가능</v>
      </c>
      <c r="K500" s="29">
        <f>Item_Enchant_Old!K504</f>
        <v>10</v>
      </c>
      <c r="L500" s="29">
        <f>Item_Enchant_Old!L504</f>
        <v>0</v>
      </c>
      <c r="M500" s="29">
        <f>Item_Enchant_Old!M504</f>
        <v>1</v>
      </c>
      <c r="N500" s="29">
        <f>Item_Enchant_Old!N504</f>
        <v>44</v>
      </c>
      <c r="O500" s="29">
        <f>Item_Enchant_Old!O504</f>
        <v>1</v>
      </c>
      <c r="P500" s="29">
        <f>Item_Enchant_Old!P504</f>
        <v>1</v>
      </c>
      <c r="Q500" s="29">
        <f>Item_Enchant_Old!Q504</f>
        <v>1</v>
      </c>
      <c r="R500" s="29">
        <f>Item_Enchant_Old!R504</f>
        <v>1</v>
      </c>
    </row>
    <row r="501" spans="1:18" s="29" customFormat="1" hidden="1">
      <c r="A501" s="29">
        <f>Item_Enchant_Old!A505</f>
        <v>500</v>
      </c>
      <c r="B501" s="29" t="str">
        <f>Item_Enchant_Old!B505</f>
        <v>ACTIVE_PHYSICAL_CRITICAL_DAMAGE_UP</v>
      </c>
      <c r="C501" s="29">
        <f>Item_Enchant_Old!C505</f>
        <v>658</v>
      </c>
      <c r="D501" s="29">
        <f>Item_Enchant_Old!D505</f>
        <v>0</v>
      </c>
      <c r="E501" s="29">
        <f>Item_Enchant_Old!E505</f>
        <v>0</v>
      </c>
      <c r="F501" s="29">
        <f>Item_Enchant_Old!F505</f>
        <v>0</v>
      </c>
      <c r="G501" s="29">
        <f>Item_Enchant_Old!G505</f>
        <v>4</v>
      </c>
      <c r="H501" s="29" t="str">
        <f>Item_Enchant_Old!H505</f>
        <v>@</v>
      </c>
      <c r="I501" s="29">
        <f>Item_Enchant_Old!I505</f>
        <v>1</v>
      </c>
      <c r="J501" s="29" t="str">
        <f>Item_Enchant_Old!J505</f>
        <v>절대값만 가능</v>
      </c>
      <c r="K501" s="29">
        <f>Item_Enchant_Old!K505</f>
        <v>10</v>
      </c>
      <c r="L501" s="29">
        <f>Item_Enchant_Old!L505</f>
        <v>0</v>
      </c>
      <c r="M501" s="29">
        <f>Item_Enchant_Old!M505</f>
        <v>1</v>
      </c>
      <c r="N501" s="29">
        <f>Item_Enchant_Old!N505</f>
        <v>28</v>
      </c>
      <c r="O501" s="29">
        <f>Item_Enchant_Old!O505</f>
        <v>1</v>
      </c>
      <c r="P501" s="29">
        <f>Item_Enchant_Old!P505</f>
        <v>1</v>
      </c>
      <c r="Q501" s="29">
        <f>Item_Enchant_Old!Q505</f>
        <v>1</v>
      </c>
      <c r="R501" s="29">
        <f>Item_Enchant_Old!R505</f>
        <v>1</v>
      </c>
    </row>
    <row r="502" spans="1:18" s="29" customFormat="1" hidden="1">
      <c r="A502" s="29">
        <f>Item_Enchant_Old!A506</f>
        <v>501</v>
      </c>
      <c r="B502" s="29" t="str">
        <f>Item_Enchant_Old!B506</f>
        <v>ACTIVE_PHYSICAL_CRITICAL_DAMAGE_UP</v>
      </c>
      <c r="C502" s="29">
        <f>Item_Enchant_Old!C506</f>
        <v>658</v>
      </c>
      <c r="D502" s="29">
        <f>Item_Enchant_Old!D506</f>
        <v>0</v>
      </c>
      <c r="E502" s="29">
        <f>Item_Enchant_Old!E506</f>
        <v>0</v>
      </c>
      <c r="F502" s="29">
        <f>Item_Enchant_Old!F506</f>
        <v>0</v>
      </c>
      <c r="G502" s="29">
        <f>Item_Enchant_Old!G506</f>
        <v>4</v>
      </c>
      <c r="H502" s="29" t="str">
        <f>Item_Enchant_Old!H506</f>
        <v>@</v>
      </c>
      <c r="I502" s="29">
        <f>Item_Enchant_Old!I506</f>
        <v>1</v>
      </c>
      <c r="J502" s="29" t="str">
        <f>Item_Enchant_Old!J506</f>
        <v>절대값만 가능</v>
      </c>
      <c r="K502" s="29">
        <f>Item_Enchant_Old!K506</f>
        <v>10</v>
      </c>
      <c r="L502" s="29">
        <f>Item_Enchant_Old!L506</f>
        <v>0</v>
      </c>
      <c r="M502" s="29">
        <f>Item_Enchant_Old!M506</f>
        <v>2</v>
      </c>
      <c r="N502" s="29">
        <f>Item_Enchant_Old!N506</f>
        <v>28</v>
      </c>
      <c r="O502" s="29">
        <f>Item_Enchant_Old!O506</f>
        <v>1</v>
      </c>
      <c r="P502" s="29">
        <f>Item_Enchant_Old!P506</f>
        <v>1</v>
      </c>
      <c r="Q502" s="29">
        <f>Item_Enchant_Old!Q506</f>
        <v>1</v>
      </c>
      <c r="R502" s="29">
        <f>Item_Enchant_Old!R506</f>
        <v>1</v>
      </c>
    </row>
    <row r="503" spans="1:18" s="29" customFormat="1" hidden="1">
      <c r="A503" s="29">
        <f>Item_Enchant_Old!A507</f>
        <v>502</v>
      </c>
      <c r="B503" s="29" t="str">
        <f>Item_Enchant_Old!B507</f>
        <v>ACTIVE_PHYSICAL_CRITICAL</v>
      </c>
      <c r="C503" s="29">
        <f>Item_Enchant_Old!C507</f>
        <v>632</v>
      </c>
      <c r="D503" s="29">
        <f>Item_Enchant_Old!D507</f>
        <v>0</v>
      </c>
      <c r="E503" s="29">
        <f>Item_Enchant_Old!E507</f>
        <v>0</v>
      </c>
      <c r="F503" s="29">
        <f>Item_Enchant_Old!F507</f>
        <v>0</v>
      </c>
      <c r="G503" s="29">
        <f>Item_Enchant_Old!G507</f>
        <v>5</v>
      </c>
      <c r="H503" s="29" t="str">
        <f>Item_Enchant_Old!H507</f>
        <v>@</v>
      </c>
      <c r="I503" s="29">
        <f>Item_Enchant_Old!I507</f>
        <v>1</v>
      </c>
      <c r="J503" s="29" t="str">
        <f>Item_Enchant_Old!J507</f>
        <v>절대값/상대값(%) 가능</v>
      </c>
      <c r="K503" s="29">
        <f>Item_Enchant_Old!K507</f>
        <v>10</v>
      </c>
      <c r="L503" s="29">
        <f>Item_Enchant_Old!L507</f>
        <v>0</v>
      </c>
      <c r="M503" s="29">
        <f>Item_Enchant_Old!M507</f>
        <v>2</v>
      </c>
      <c r="N503" s="29">
        <f>Item_Enchant_Old!N507</f>
        <v>21</v>
      </c>
      <c r="O503" s="29">
        <f>Item_Enchant_Old!O507</f>
        <v>1</v>
      </c>
      <c r="P503" s="29">
        <f>Item_Enchant_Old!P507</f>
        <v>1</v>
      </c>
      <c r="Q503" s="29">
        <f>Item_Enchant_Old!Q507</f>
        <v>1</v>
      </c>
      <c r="R503" s="29">
        <f>Item_Enchant_Old!R507</f>
        <v>1</v>
      </c>
    </row>
    <row r="504" spans="1:18" s="29" customFormat="1" hidden="1">
      <c r="A504" s="29">
        <f>Item_Enchant_Old!A508</f>
        <v>503</v>
      </c>
      <c r="B504" s="29" t="str">
        <f>Item_Enchant_Old!B508</f>
        <v>ACTIVE_DEX_UP</v>
      </c>
      <c r="C504" s="29">
        <f>Item_Enchant_Old!C508</f>
        <v>613</v>
      </c>
      <c r="D504" s="29">
        <f>Item_Enchant_Old!D508</f>
        <v>0</v>
      </c>
      <c r="E504" s="29">
        <f>Item_Enchant_Old!E508</f>
        <v>0</v>
      </c>
      <c r="F504" s="29">
        <f>Item_Enchant_Old!F508</f>
        <v>0</v>
      </c>
      <c r="G504" s="29">
        <f>Item_Enchant_Old!G508</f>
        <v>3</v>
      </c>
      <c r="H504" s="29" t="str">
        <f>Item_Enchant_Old!H508</f>
        <v>@</v>
      </c>
      <c r="I504" s="29">
        <f>Item_Enchant_Old!I508</f>
        <v>1</v>
      </c>
      <c r="J504" s="29" t="str">
        <f>Item_Enchant_Old!J508</f>
        <v>절대값/상대값(%) 가능</v>
      </c>
      <c r="K504" s="29">
        <f>Item_Enchant_Old!K508</f>
        <v>10</v>
      </c>
      <c r="L504" s="29">
        <f>Item_Enchant_Old!L508</f>
        <v>0</v>
      </c>
      <c r="M504" s="29">
        <f>Item_Enchant_Old!M508</f>
        <v>2</v>
      </c>
      <c r="N504" s="29">
        <f>Item_Enchant_Old!N508</f>
        <v>44</v>
      </c>
      <c r="O504" s="29">
        <f>Item_Enchant_Old!O508</f>
        <v>1</v>
      </c>
      <c r="P504" s="29">
        <f>Item_Enchant_Old!P508</f>
        <v>1</v>
      </c>
      <c r="Q504" s="29">
        <f>Item_Enchant_Old!Q508</f>
        <v>1</v>
      </c>
      <c r="R504" s="29">
        <f>Item_Enchant_Old!R508</f>
        <v>1</v>
      </c>
    </row>
    <row r="505" spans="1:18" s="29" customFormat="1" hidden="1">
      <c r="A505" s="29">
        <f>Item_Enchant_Old!A509</f>
        <v>504</v>
      </c>
      <c r="B505" s="29" t="str">
        <f>Item_Enchant_Old!B509</f>
        <v>ACTIVE_FOC_UP</v>
      </c>
      <c r="C505" s="29">
        <f>Item_Enchant_Old!C509</f>
        <v>612</v>
      </c>
      <c r="D505" s="29">
        <f>Item_Enchant_Old!D509</f>
        <v>0</v>
      </c>
      <c r="E505" s="29">
        <f>Item_Enchant_Old!E509</f>
        <v>0</v>
      </c>
      <c r="F505" s="29">
        <f>Item_Enchant_Old!F509</f>
        <v>0</v>
      </c>
      <c r="G505" s="29">
        <f>Item_Enchant_Old!G509</f>
        <v>2</v>
      </c>
      <c r="H505" s="29" t="str">
        <f>Item_Enchant_Old!H509</f>
        <v>@</v>
      </c>
      <c r="I505" s="29">
        <f>Item_Enchant_Old!I509</f>
        <v>1</v>
      </c>
      <c r="J505" s="29" t="str">
        <f>Item_Enchant_Old!J509</f>
        <v>절대값/상대값(%) 가능</v>
      </c>
      <c r="K505" s="29">
        <f>Item_Enchant_Old!K509</f>
        <v>10</v>
      </c>
      <c r="L505" s="29">
        <f>Item_Enchant_Old!L509</f>
        <v>0</v>
      </c>
      <c r="M505" s="29">
        <f>Item_Enchant_Old!M509</f>
        <v>2</v>
      </c>
      <c r="N505" s="29">
        <f>Item_Enchant_Old!N509</f>
        <v>53</v>
      </c>
      <c r="O505" s="29">
        <f>Item_Enchant_Old!O509</f>
        <v>1</v>
      </c>
      <c r="P505" s="29">
        <f>Item_Enchant_Old!P509</f>
        <v>1</v>
      </c>
      <c r="Q505" s="29">
        <f>Item_Enchant_Old!Q509</f>
        <v>1</v>
      </c>
      <c r="R505" s="29">
        <f>Item_Enchant_Old!R509</f>
        <v>1</v>
      </c>
    </row>
    <row r="506" spans="1:18" s="29" customFormat="1" hidden="1">
      <c r="A506" s="29">
        <f>Item_Enchant_Old!A510</f>
        <v>505</v>
      </c>
      <c r="B506" s="29" t="str">
        <f>Item_Enchant_Old!B510</f>
        <v>ACTIVE_ENERGY_OFFENCE_UP</v>
      </c>
      <c r="C506" s="29">
        <f>Item_Enchant_Old!C510</f>
        <v>607</v>
      </c>
      <c r="D506" s="29">
        <f>Item_Enchant_Old!D510</f>
        <v>0</v>
      </c>
      <c r="E506" s="29">
        <f>Item_Enchant_Old!E510</f>
        <v>0</v>
      </c>
      <c r="F506" s="29">
        <f>Item_Enchant_Old!F510</f>
        <v>0</v>
      </c>
      <c r="G506" s="29">
        <f>Item_Enchant_Old!G510</f>
        <v>1</v>
      </c>
      <c r="H506" s="29" t="str">
        <f>Item_Enchant_Old!H510</f>
        <v>@</v>
      </c>
      <c r="I506" s="29">
        <f>Item_Enchant_Old!I510</f>
        <v>1</v>
      </c>
      <c r="J506" s="29" t="str">
        <f>Item_Enchant_Old!J510</f>
        <v>절대값/상대값(%) 가능</v>
      </c>
      <c r="K506" s="29">
        <f>Item_Enchant_Old!K510</f>
        <v>10</v>
      </c>
      <c r="L506" s="29">
        <f>Item_Enchant_Old!L510</f>
        <v>0</v>
      </c>
      <c r="M506" s="29">
        <f>Item_Enchant_Old!M510</f>
        <v>3</v>
      </c>
      <c r="N506" s="29">
        <f>Item_Enchant_Old!N510</f>
        <v>104</v>
      </c>
      <c r="O506" s="29">
        <f>Item_Enchant_Old!O510</f>
        <v>1</v>
      </c>
      <c r="P506" s="29">
        <f>Item_Enchant_Old!P510</f>
        <v>1</v>
      </c>
      <c r="Q506" s="29">
        <f>Item_Enchant_Old!Q510</f>
        <v>1</v>
      </c>
      <c r="R506" s="29">
        <f>Item_Enchant_Old!R510</f>
        <v>1</v>
      </c>
    </row>
    <row r="507" spans="1:18" s="29" customFormat="1" hidden="1">
      <c r="A507" s="29">
        <f>Item_Enchant_Old!A511</f>
        <v>506</v>
      </c>
      <c r="B507" s="29" t="str">
        <f>Item_Enchant_Old!B511</f>
        <v>ACTIVE_FOC_UP</v>
      </c>
      <c r="C507" s="29">
        <f>Item_Enchant_Old!C511</f>
        <v>612</v>
      </c>
      <c r="D507" s="29">
        <f>Item_Enchant_Old!D511</f>
        <v>0</v>
      </c>
      <c r="E507" s="29">
        <f>Item_Enchant_Old!E511</f>
        <v>0</v>
      </c>
      <c r="F507" s="29">
        <f>Item_Enchant_Old!F511</f>
        <v>0</v>
      </c>
      <c r="G507" s="29">
        <f>Item_Enchant_Old!G511</f>
        <v>2</v>
      </c>
      <c r="H507" s="29" t="str">
        <f>Item_Enchant_Old!H511</f>
        <v>@</v>
      </c>
      <c r="I507" s="29">
        <f>Item_Enchant_Old!I511</f>
        <v>1</v>
      </c>
      <c r="J507" s="29" t="str">
        <f>Item_Enchant_Old!J511</f>
        <v>절대값/상대값(%) 가능</v>
      </c>
      <c r="K507" s="29">
        <f>Item_Enchant_Old!K511</f>
        <v>10</v>
      </c>
      <c r="L507" s="29">
        <f>Item_Enchant_Old!L511</f>
        <v>0</v>
      </c>
      <c r="M507" s="29">
        <f>Item_Enchant_Old!M511</f>
        <v>3</v>
      </c>
      <c r="N507" s="29">
        <f>Item_Enchant_Old!N511</f>
        <v>53</v>
      </c>
      <c r="O507" s="29">
        <f>Item_Enchant_Old!O511</f>
        <v>1</v>
      </c>
      <c r="P507" s="29">
        <f>Item_Enchant_Old!P511</f>
        <v>1</v>
      </c>
      <c r="Q507" s="29">
        <f>Item_Enchant_Old!Q511</f>
        <v>1</v>
      </c>
      <c r="R507" s="29">
        <f>Item_Enchant_Old!R511</f>
        <v>1</v>
      </c>
    </row>
    <row r="508" spans="1:18" s="29" customFormat="1" hidden="1">
      <c r="A508" s="29">
        <f>Item_Enchant_Old!A512</f>
        <v>507</v>
      </c>
      <c r="B508" s="29" t="str">
        <f>Item_Enchant_Old!B512</f>
        <v>ACTIVE_SOL_UP</v>
      </c>
      <c r="C508" s="29">
        <f>Item_Enchant_Old!C512</f>
        <v>614</v>
      </c>
      <c r="D508" s="29">
        <f>Item_Enchant_Old!D512</f>
        <v>0</v>
      </c>
      <c r="E508" s="29">
        <f>Item_Enchant_Old!E512</f>
        <v>0</v>
      </c>
      <c r="F508" s="29">
        <f>Item_Enchant_Old!F512</f>
        <v>0</v>
      </c>
      <c r="G508" s="29">
        <f>Item_Enchant_Old!G512</f>
        <v>2</v>
      </c>
      <c r="H508" s="29" t="str">
        <f>Item_Enchant_Old!H512</f>
        <v>@</v>
      </c>
      <c r="I508" s="29">
        <f>Item_Enchant_Old!I512</f>
        <v>1</v>
      </c>
      <c r="J508" s="29" t="str">
        <f>Item_Enchant_Old!J512</f>
        <v>절대값/상대값(%) 가능</v>
      </c>
      <c r="K508" s="29">
        <f>Item_Enchant_Old!K512</f>
        <v>10</v>
      </c>
      <c r="L508" s="29">
        <f>Item_Enchant_Old!L512</f>
        <v>0</v>
      </c>
      <c r="M508" s="29">
        <f>Item_Enchant_Old!M512</f>
        <v>3</v>
      </c>
      <c r="N508" s="29">
        <f>Item_Enchant_Old!N512</f>
        <v>53</v>
      </c>
      <c r="O508" s="29">
        <f>Item_Enchant_Old!O512</f>
        <v>1</v>
      </c>
      <c r="P508" s="29">
        <f>Item_Enchant_Old!P512</f>
        <v>1</v>
      </c>
      <c r="Q508" s="29">
        <f>Item_Enchant_Old!Q512</f>
        <v>1</v>
      </c>
      <c r="R508" s="29">
        <f>Item_Enchant_Old!R512</f>
        <v>1</v>
      </c>
    </row>
    <row r="509" spans="1:18" s="29" customFormat="1" hidden="1">
      <c r="A509" s="29">
        <f>Item_Enchant_Old!A513</f>
        <v>508</v>
      </c>
      <c r="B509" s="29" t="str">
        <f>Item_Enchant_Old!B513</f>
        <v>ACTIVE_ENERGY_CRITICAL_DAMAGE_UP</v>
      </c>
      <c r="C509" s="29">
        <f>Item_Enchant_Old!C513</f>
        <v>659</v>
      </c>
      <c r="D509" s="29">
        <f>Item_Enchant_Old!D513</f>
        <v>0</v>
      </c>
      <c r="E509" s="29">
        <f>Item_Enchant_Old!E513</f>
        <v>0</v>
      </c>
      <c r="F509" s="29">
        <f>Item_Enchant_Old!F513</f>
        <v>0</v>
      </c>
      <c r="G509" s="29">
        <f>Item_Enchant_Old!G513</f>
        <v>4</v>
      </c>
      <c r="H509" s="29" t="str">
        <f>Item_Enchant_Old!H513</f>
        <v>@</v>
      </c>
      <c r="I509" s="29">
        <f>Item_Enchant_Old!I513</f>
        <v>1</v>
      </c>
      <c r="J509" s="29" t="str">
        <f>Item_Enchant_Old!J513</f>
        <v>절대값만 가능</v>
      </c>
      <c r="K509" s="29">
        <f>Item_Enchant_Old!K513</f>
        <v>10</v>
      </c>
      <c r="L509" s="29">
        <f>Item_Enchant_Old!L513</f>
        <v>0</v>
      </c>
      <c r="M509" s="29">
        <f>Item_Enchant_Old!M513</f>
        <v>3</v>
      </c>
      <c r="N509" s="29">
        <f>Item_Enchant_Old!N513</f>
        <v>32</v>
      </c>
      <c r="O509" s="29">
        <f>Item_Enchant_Old!O513</f>
        <v>1</v>
      </c>
      <c r="P509" s="29">
        <f>Item_Enchant_Old!P513</f>
        <v>1</v>
      </c>
      <c r="Q509" s="29">
        <f>Item_Enchant_Old!Q513</f>
        <v>1</v>
      </c>
      <c r="R509" s="29">
        <f>Item_Enchant_Old!R513</f>
        <v>1</v>
      </c>
    </row>
    <row r="510" spans="1:18" s="29" customFormat="1" hidden="1">
      <c r="A510" s="29">
        <f>Item_Enchant_Old!A514</f>
        <v>509</v>
      </c>
      <c r="B510" s="29" t="str">
        <f>Item_Enchant_Old!B514</f>
        <v>ACTIVE_ENERGY_CRITICAL</v>
      </c>
      <c r="C510" s="29">
        <f>Item_Enchant_Old!C514</f>
        <v>633</v>
      </c>
      <c r="D510" s="29">
        <f>Item_Enchant_Old!D514</f>
        <v>0</v>
      </c>
      <c r="E510" s="29">
        <f>Item_Enchant_Old!E514</f>
        <v>0</v>
      </c>
      <c r="F510" s="29">
        <f>Item_Enchant_Old!F514</f>
        <v>0</v>
      </c>
      <c r="G510" s="29">
        <f>Item_Enchant_Old!G514</f>
        <v>5</v>
      </c>
      <c r="H510" s="29" t="str">
        <f>Item_Enchant_Old!H514</f>
        <v>@</v>
      </c>
      <c r="I510" s="29">
        <f>Item_Enchant_Old!I514</f>
        <v>1</v>
      </c>
      <c r="J510" s="29" t="str">
        <f>Item_Enchant_Old!J514</f>
        <v>절대값/상대값(%) 가능</v>
      </c>
      <c r="K510" s="29">
        <f>Item_Enchant_Old!K514</f>
        <v>10</v>
      </c>
      <c r="L510" s="29">
        <f>Item_Enchant_Old!L514</f>
        <v>0</v>
      </c>
      <c r="M510" s="29">
        <f>Item_Enchant_Old!M514</f>
        <v>4</v>
      </c>
      <c r="N510" s="29">
        <f>Item_Enchant_Old!N514</f>
        <v>24</v>
      </c>
      <c r="O510" s="29">
        <f>Item_Enchant_Old!O514</f>
        <v>1</v>
      </c>
      <c r="P510" s="29">
        <f>Item_Enchant_Old!P514</f>
        <v>1</v>
      </c>
      <c r="Q510" s="29">
        <f>Item_Enchant_Old!Q514</f>
        <v>1</v>
      </c>
      <c r="R510" s="29">
        <f>Item_Enchant_Old!R514</f>
        <v>1</v>
      </c>
    </row>
    <row r="511" spans="1:18" s="29" customFormat="1" hidden="1">
      <c r="A511" s="29">
        <f>Item_Enchant_Old!A515</f>
        <v>510</v>
      </c>
      <c r="B511" s="29" t="str">
        <f>Item_Enchant_Old!B515</f>
        <v>ACTIVE_ENERGY_CRITICAL_DAMAGE_UP</v>
      </c>
      <c r="C511" s="29">
        <f>Item_Enchant_Old!C515</f>
        <v>659</v>
      </c>
      <c r="D511" s="29">
        <f>Item_Enchant_Old!D515</f>
        <v>0</v>
      </c>
      <c r="E511" s="29">
        <f>Item_Enchant_Old!E515</f>
        <v>0</v>
      </c>
      <c r="F511" s="29">
        <f>Item_Enchant_Old!F515</f>
        <v>0</v>
      </c>
      <c r="G511" s="29">
        <f>Item_Enchant_Old!G515</f>
        <v>4</v>
      </c>
      <c r="H511" s="29" t="str">
        <f>Item_Enchant_Old!H515</f>
        <v>@</v>
      </c>
      <c r="I511" s="29">
        <f>Item_Enchant_Old!I515</f>
        <v>1</v>
      </c>
      <c r="J511" s="29" t="str">
        <f>Item_Enchant_Old!J515</f>
        <v>절대값만 가능</v>
      </c>
      <c r="K511" s="29">
        <f>Item_Enchant_Old!K515</f>
        <v>10</v>
      </c>
      <c r="L511" s="29">
        <f>Item_Enchant_Old!L515</f>
        <v>0</v>
      </c>
      <c r="M511" s="29">
        <f>Item_Enchant_Old!M515</f>
        <v>4</v>
      </c>
      <c r="N511" s="29">
        <f>Item_Enchant_Old!N515</f>
        <v>32</v>
      </c>
      <c r="O511" s="29">
        <f>Item_Enchant_Old!O515</f>
        <v>1</v>
      </c>
      <c r="P511" s="29">
        <f>Item_Enchant_Old!P515</f>
        <v>1</v>
      </c>
      <c r="Q511" s="29">
        <f>Item_Enchant_Old!Q515</f>
        <v>1</v>
      </c>
      <c r="R511" s="29">
        <f>Item_Enchant_Old!R515</f>
        <v>1</v>
      </c>
    </row>
    <row r="512" spans="1:18" s="29" customFormat="1" hidden="1">
      <c r="A512" s="29">
        <f>Item_Enchant_Old!A516</f>
        <v>511</v>
      </c>
      <c r="B512" s="29" t="str">
        <f>Item_Enchant_Old!B516</f>
        <v>ACTIVE_FOC_UP</v>
      </c>
      <c r="C512" s="29">
        <f>Item_Enchant_Old!C516</f>
        <v>612</v>
      </c>
      <c r="D512" s="29">
        <f>Item_Enchant_Old!D516</f>
        <v>0</v>
      </c>
      <c r="E512" s="29">
        <f>Item_Enchant_Old!E516</f>
        <v>0</v>
      </c>
      <c r="F512" s="29">
        <f>Item_Enchant_Old!F516</f>
        <v>0</v>
      </c>
      <c r="G512" s="29">
        <f>Item_Enchant_Old!G516</f>
        <v>2</v>
      </c>
      <c r="H512" s="29" t="str">
        <f>Item_Enchant_Old!H516</f>
        <v>@</v>
      </c>
      <c r="I512" s="29">
        <f>Item_Enchant_Old!I516</f>
        <v>1</v>
      </c>
      <c r="J512" s="29" t="str">
        <f>Item_Enchant_Old!J516</f>
        <v>절대값/상대값(%) 가능</v>
      </c>
      <c r="K512" s="29">
        <f>Item_Enchant_Old!K516</f>
        <v>10</v>
      </c>
      <c r="L512" s="29">
        <f>Item_Enchant_Old!L516</f>
        <v>0</v>
      </c>
      <c r="M512" s="29">
        <f>Item_Enchant_Old!M516</f>
        <v>4</v>
      </c>
      <c r="N512" s="29">
        <f>Item_Enchant_Old!N516</f>
        <v>53</v>
      </c>
      <c r="O512" s="29">
        <f>Item_Enchant_Old!O516</f>
        <v>1</v>
      </c>
      <c r="P512" s="29">
        <f>Item_Enchant_Old!P516</f>
        <v>1</v>
      </c>
      <c r="Q512" s="29">
        <f>Item_Enchant_Old!Q516</f>
        <v>1</v>
      </c>
      <c r="R512" s="29">
        <f>Item_Enchant_Old!R516</f>
        <v>1</v>
      </c>
    </row>
    <row r="513" spans="1:18" s="29" customFormat="1" hidden="1">
      <c r="A513" s="29">
        <f>Item_Enchant_Old!A517</f>
        <v>512</v>
      </c>
      <c r="B513" s="29" t="str">
        <f>Item_Enchant_Old!B517</f>
        <v>ACTIVE_DEX_UP</v>
      </c>
      <c r="C513" s="29">
        <f>Item_Enchant_Old!C517</f>
        <v>613</v>
      </c>
      <c r="D513" s="29">
        <f>Item_Enchant_Old!D517</f>
        <v>0</v>
      </c>
      <c r="E513" s="29">
        <f>Item_Enchant_Old!E517</f>
        <v>0</v>
      </c>
      <c r="F513" s="29">
        <f>Item_Enchant_Old!F517</f>
        <v>0</v>
      </c>
      <c r="G513" s="29">
        <f>Item_Enchant_Old!G517</f>
        <v>3</v>
      </c>
      <c r="H513" s="29" t="str">
        <f>Item_Enchant_Old!H517</f>
        <v>@</v>
      </c>
      <c r="I513" s="29">
        <f>Item_Enchant_Old!I517</f>
        <v>1</v>
      </c>
      <c r="J513" s="29" t="str">
        <f>Item_Enchant_Old!J517</f>
        <v>절대값/상대값(%) 가능</v>
      </c>
      <c r="K513" s="29">
        <f>Item_Enchant_Old!K517</f>
        <v>10</v>
      </c>
      <c r="L513" s="29">
        <f>Item_Enchant_Old!L517</f>
        <v>0</v>
      </c>
      <c r="M513" s="29">
        <f>Item_Enchant_Old!M517</f>
        <v>4</v>
      </c>
      <c r="N513" s="29">
        <f>Item_Enchant_Old!N517</f>
        <v>44</v>
      </c>
      <c r="O513" s="29">
        <f>Item_Enchant_Old!O517</f>
        <v>1</v>
      </c>
      <c r="P513" s="29">
        <f>Item_Enchant_Old!P517</f>
        <v>1</v>
      </c>
      <c r="Q513" s="29">
        <f>Item_Enchant_Old!Q517</f>
        <v>1</v>
      </c>
      <c r="R513" s="29">
        <f>Item_Enchant_Old!R517</f>
        <v>1</v>
      </c>
    </row>
    <row r="514" spans="1:18" s="29" customFormat="1" hidden="1">
      <c r="A514" s="29">
        <f>Item_Enchant_Old!A518</f>
        <v>513</v>
      </c>
      <c r="B514" s="29" t="str">
        <f>Item_Enchant_Old!B518</f>
        <v>ACTIVE_ATTACK_SPEED_UP</v>
      </c>
      <c r="C514" s="29">
        <f>Item_Enchant_Old!C518</f>
        <v>617</v>
      </c>
      <c r="D514" s="29">
        <f>Item_Enchant_Old!D518</f>
        <v>1</v>
      </c>
      <c r="E514" s="29">
        <f>Item_Enchant_Old!E518</f>
        <v>0</v>
      </c>
      <c r="F514" s="29">
        <f>Item_Enchant_Old!F518</f>
        <v>0</v>
      </c>
      <c r="G514" s="29">
        <f>Item_Enchant_Old!G518</f>
        <v>10</v>
      </c>
      <c r="H514" s="29" t="str">
        <f>Item_Enchant_Old!H518</f>
        <v>@</v>
      </c>
      <c r="I514" s="29">
        <f>Item_Enchant_Old!I518</f>
        <v>1</v>
      </c>
      <c r="J514" s="29" t="str">
        <f>Item_Enchant_Old!J518</f>
        <v>절대값/상대값(%) 가능</v>
      </c>
      <c r="K514" s="29">
        <f>Item_Enchant_Old!K518</f>
        <v>10</v>
      </c>
      <c r="L514" s="29">
        <f>Item_Enchant_Old!L518</f>
        <v>0</v>
      </c>
      <c r="M514" s="29">
        <f>Item_Enchant_Old!M518</f>
        <v>5</v>
      </c>
      <c r="N514" s="29">
        <f>Item_Enchant_Old!N518</f>
        <v>10</v>
      </c>
      <c r="O514" s="29">
        <f>Item_Enchant_Old!O518</f>
        <v>1</v>
      </c>
      <c r="P514" s="29">
        <f>Item_Enchant_Old!P518</f>
        <v>1</v>
      </c>
      <c r="Q514" s="29">
        <f>Item_Enchant_Old!Q518</f>
        <v>1</v>
      </c>
      <c r="R514" s="29">
        <f>Item_Enchant_Old!R518</f>
        <v>1</v>
      </c>
    </row>
    <row r="515" spans="1:18" s="29" customFormat="1" hidden="1">
      <c r="A515" s="29">
        <f>Item_Enchant_Old!A519</f>
        <v>514</v>
      </c>
      <c r="B515" s="29" t="str">
        <f>Item_Enchant_Old!B519</f>
        <v>ACTIVE_DEX_UP</v>
      </c>
      <c r="C515" s="29">
        <f>Item_Enchant_Old!C519</f>
        <v>613</v>
      </c>
      <c r="D515" s="29">
        <f>Item_Enchant_Old!D519</f>
        <v>0</v>
      </c>
      <c r="E515" s="29">
        <f>Item_Enchant_Old!E519</f>
        <v>0</v>
      </c>
      <c r="F515" s="29">
        <f>Item_Enchant_Old!F519</f>
        <v>0</v>
      </c>
      <c r="G515" s="29">
        <f>Item_Enchant_Old!G519</f>
        <v>3</v>
      </c>
      <c r="H515" s="29" t="str">
        <f>Item_Enchant_Old!H519</f>
        <v>@</v>
      </c>
      <c r="I515" s="29">
        <f>Item_Enchant_Old!I519</f>
        <v>1</v>
      </c>
      <c r="J515" s="29" t="str">
        <f>Item_Enchant_Old!J519</f>
        <v>절대값/상대값(%) 가능</v>
      </c>
      <c r="K515" s="29">
        <f>Item_Enchant_Old!K519</f>
        <v>10</v>
      </c>
      <c r="L515" s="29">
        <f>Item_Enchant_Old!L519</f>
        <v>0</v>
      </c>
      <c r="M515" s="29">
        <f>Item_Enchant_Old!M519</f>
        <v>5</v>
      </c>
      <c r="N515" s="29">
        <f>Item_Enchant_Old!N519</f>
        <v>44</v>
      </c>
      <c r="O515" s="29">
        <f>Item_Enchant_Old!O519</f>
        <v>1</v>
      </c>
      <c r="P515" s="29">
        <f>Item_Enchant_Old!P519</f>
        <v>1</v>
      </c>
      <c r="Q515" s="29">
        <f>Item_Enchant_Old!Q519</f>
        <v>1</v>
      </c>
      <c r="R515" s="29">
        <f>Item_Enchant_Old!R519</f>
        <v>1</v>
      </c>
    </row>
    <row r="516" spans="1:18" s="29" customFormat="1" hidden="1">
      <c r="A516" s="29">
        <f>Item_Enchant_Old!A520</f>
        <v>515</v>
      </c>
      <c r="B516" s="29" t="str">
        <f>Item_Enchant_Old!B520</f>
        <v>ACTIVE_FOC_UP</v>
      </c>
      <c r="C516" s="29">
        <f>Item_Enchant_Old!C520</f>
        <v>612</v>
      </c>
      <c r="D516" s="29">
        <f>Item_Enchant_Old!D520</f>
        <v>0</v>
      </c>
      <c r="E516" s="29">
        <f>Item_Enchant_Old!E520</f>
        <v>0</v>
      </c>
      <c r="F516" s="29">
        <f>Item_Enchant_Old!F520</f>
        <v>0</v>
      </c>
      <c r="G516" s="29">
        <f>Item_Enchant_Old!G520</f>
        <v>2</v>
      </c>
      <c r="H516" s="29" t="str">
        <f>Item_Enchant_Old!H520</f>
        <v>@</v>
      </c>
      <c r="I516" s="29">
        <f>Item_Enchant_Old!I520</f>
        <v>1</v>
      </c>
      <c r="J516" s="29" t="str">
        <f>Item_Enchant_Old!J520</f>
        <v>절대값/상대값(%) 가능</v>
      </c>
      <c r="K516" s="29">
        <f>Item_Enchant_Old!K520</f>
        <v>10</v>
      </c>
      <c r="L516" s="29">
        <f>Item_Enchant_Old!L520</f>
        <v>0</v>
      </c>
      <c r="M516" s="29">
        <f>Item_Enchant_Old!M520</f>
        <v>5</v>
      </c>
      <c r="N516" s="29">
        <f>Item_Enchant_Old!N520</f>
        <v>53</v>
      </c>
      <c r="O516" s="29">
        <f>Item_Enchant_Old!O520</f>
        <v>1</v>
      </c>
      <c r="P516" s="29">
        <f>Item_Enchant_Old!P520</f>
        <v>1</v>
      </c>
      <c r="Q516" s="29">
        <f>Item_Enchant_Old!Q520</f>
        <v>1</v>
      </c>
      <c r="R516" s="29">
        <f>Item_Enchant_Old!R520</f>
        <v>1</v>
      </c>
    </row>
    <row r="517" spans="1:18" s="29" customFormat="1" hidden="1">
      <c r="A517" s="29">
        <f>Item_Enchant_Old!A521</f>
        <v>516</v>
      </c>
      <c r="B517" s="29" t="str">
        <f>Item_Enchant_Old!B521</f>
        <v>ACTIVE_PHYSICAL_OFFENCE_UP</v>
      </c>
      <c r="C517" s="29">
        <f>Item_Enchant_Old!C521</f>
        <v>606</v>
      </c>
      <c r="D517" s="29">
        <f>Item_Enchant_Old!D521</f>
        <v>0</v>
      </c>
      <c r="E517" s="29">
        <f>Item_Enchant_Old!E521</f>
        <v>0</v>
      </c>
      <c r="F517" s="29">
        <f>Item_Enchant_Old!F521</f>
        <v>0</v>
      </c>
      <c r="G517" s="29">
        <f>Item_Enchant_Old!G521</f>
        <v>1</v>
      </c>
      <c r="H517" s="29" t="str">
        <f>Item_Enchant_Old!H521</f>
        <v>@</v>
      </c>
      <c r="I517" s="29">
        <f>Item_Enchant_Old!I521</f>
        <v>1</v>
      </c>
      <c r="J517" s="29" t="str">
        <f>Item_Enchant_Old!J521</f>
        <v>절대값/상대값(%) 가능</v>
      </c>
      <c r="K517" s="29">
        <f>Item_Enchant_Old!K521</f>
        <v>10</v>
      </c>
      <c r="L517" s="29">
        <f>Item_Enchant_Old!L521</f>
        <v>0</v>
      </c>
      <c r="M517" s="29">
        <f>Item_Enchant_Old!M521</f>
        <v>5</v>
      </c>
      <c r="N517" s="29">
        <f>Item_Enchant_Old!N521</f>
        <v>125</v>
      </c>
      <c r="O517" s="29">
        <f>Item_Enchant_Old!O521</f>
        <v>1</v>
      </c>
      <c r="P517" s="29">
        <f>Item_Enchant_Old!P521</f>
        <v>1</v>
      </c>
      <c r="Q517" s="29">
        <f>Item_Enchant_Old!Q521</f>
        <v>1</v>
      </c>
      <c r="R517" s="29">
        <f>Item_Enchant_Old!R521</f>
        <v>1</v>
      </c>
    </row>
    <row r="518" spans="1:18" s="29" customFormat="1" hidden="1">
      <c r="A518" s="29">
        <f>Item_Enchant_Old!A522</f>
        <v>517</v>
      </c>
      <c r="B518" s="29" t="str">
        <f>Item_Enchant_Old!B522</f>
        <v>ACTIVE_ENERGY_OFFENCE_UP</v>
      </c>
      <c r="C518" s="29">
        <f>Item_Enchant_Old!C522</f>
        <v>607</v>
      </c>
      <c r="D518" s="29">
        <f>Item_Enchant_Old!D522</f>
        <v>0</v>
      </c>
      <c r="E518" s="29">
        <f>Item_Enchant_Old!E522</f>
        <v>0</v>
      </c>
      <c r="F518" s="29">
        <f>Item_Enchant_Old!F522</f>
        <v>0</v>
      </c>
      <c r="G518" s="29">
        <f>Item_Enchant_Old!G522</f>
        <v>1</v>
      </c>
      <c r="H518" s="29" t="str">
        <f>Item_Enchant_Old!H522</f>
        <v>@</v>
      </c>
      <c r="I518" s="29">
        <f>Item_Enchant_Old!I522</f>
        <v>1</v>
      </c>
      <c r="J518" s="29" t="str">
        <f>Item_Enchant_Old!J522</f>
        <v>절대값/상대값(%) 가능</v>
      </c>
      <c r="K518" s="29">
        <f>Item_Enchant_Old!K522</f>
        <v>10</v>
      </c>
      <c r="L518" s="29">
        <f>Item_Enchant_Old!L522</f>
        <v>0</v>
      </c>
      <c r="M518" s="29">
        <f>Item_Enchant_Old!M522</f>
        <v>5</v>
      </c>
      <c r="N518" s="29">
        <f>Item_Enchant_Old!N522</f>
        <v>104</v>
      </c>
      <c r="O518" s="29">
        <f>Item_Enchant_Old!O522</f>
        <v>1</v>
      </c>
      <c r="P518" s="29">
        <f>Item_Enchant_Old!P522</f>
        <v>1</v>
      </c>
      <c r="Q518" s="29">
        <f>Item_Enchant_Old!Q522</f>
        <v>1</v>
      </c>
      <c r="R518" s="29">
        <f>Item_Enchant_Old!R522</f>
        <v>1</v>
      </c>
    </row>
    <row r="519" spans="1:18" s="29" customFormat="1" hidden="1">
      <c r="A519" s="29">
        <f>Item_Enchant_Old!A523</f>
        <v>518</v>
      </c>
      <c r="B519" s="29" t="str">
        <f>Item_Enchant_Old!B523</f>
        <v>ACTIVE_PHYSICAL_OFFENCE_UP</v>
      </c>
      <c r="C519" s="29">
        <f>Item_Enchant_Old!C523</f>
        <v>606</v>
      </c>
      <c r="D519" s="29">
        <f>Item_Enchant_Old!D523</f>
        <v>0</v>
      </c>
      <c r="E519" s="29">
        <f>Item_Enchant_Old!E523</f>
        <v>0</v>
      </c>
      <c r="F519" s="29">
        <f>Item_Enchant_Old!F523</f>
        <v>0</v>
      </c>
      <c r="G519" s="29">
        <f>Item_Enchant_Old!G523</f>
        <v>1</v>
      </c>
      <c r="H519" s="29" t="str">
        <f>Item_Enchant_Old!H523</f>
        <v>@</v>
      </c>
      <c r="I519" s="29">
        <f>Item_Enchant_Old!I523</f>
        <v>1</v>
      </c>
      <c r="J519" s="29" t="str">
        <f>Item_Enchant_Old!J523</f>
        <v>절대값/상대값(%) 가능</v>
      </c>
      <c r="K519" s="29">
        <f>Item_Enchant_Old!K523</f>
        <v>10</v>
      </c>
      <c r="L519" s="29">
        <f>Item_Enchant_Old!L523</f>
        <v>0</v>
      </c>
      <c r="M519" s="29">
        <f>Item_Enchant_Old!M523</f>
        <v>6</v>
      </c>
      <c r="N519" s="29">
        <f>Item_Enchant_Old!N523</f>
        <v>125</v>
      </c>
      <c r="O519" s="29">
        <f>Item_Enchant_Old!O523</f>
        <v>1</v>
      </c>
      <c r="P519" s="29">
        <f>Item_Enchant_Old!P523</f>
        <v>1</v>
      </c>
      <c r="Q519" s="29">
        <f>Item_Enchant_Old!Q523</f>
        <v>1</v>
      </c>
      <c r="R519" s="29">
        <f>Item_Enchant_Old!R523</f>
        <v>1</v>
      </c>
    </row>
    <row r="520" spans="1:18" s="29" customFormat="1" hidden="1">
      <c r="A520" s="29">
        <f>Item_Enchant_Old!A524</f>
        <v>519</v>
      </c>
      <c r="B520" s="29" t="str">
        <f>Item_Enchant_Old!B524</f>
        <v>ACTIVE_ENERGY_OFFENCE_UP</v>
      </c>
      <c r="C520" s="29">
        <f>Item_Enchant_Old!C524</f>
        <v>607</v>
      </c>
      <c r="D520" s="29">
        <f>Item_Enchant_Old!D524</f>
        <v>0</v>
      </c>
      <c r="E520" s="29">
        <f>Item_Enchant_Old!E524</f>
        <v>0</v>
      </c>
      <c r="F520" s="29">
        <f>Item_Enchant_Old!F524</f>
        <v>0</v>
      </c>
      <c r="G520" s="29">
        <f>Item_Enchant_Old!G524</f>
        <v>1</v>
      </c>
      <c r="H520" s="29" t="str">
        <f>Item_Enchant_Old!H524</f>
        <v>@</v>
      </c>
      <c r="I520" s="29">
        <f>Item_Enchant_Old!I524</f>
        <v>1</v>
      </c>
      <c r="J520" s="29" t="str">
        <f>Item_Enchant_Old!J524</f>
        <v>절대값/상대값(%) 가능</v>
      </c>
      <c r="K520" s="29">
        <f>Item_Enchant_Old!K524</f>
        <v>10</v>
      </c>
      <c r="L520" s="29">
        <f>Item_Enchant_Old!L524</f>
        <v>0</v>
      </c>
      <c r="M520" s="29">
        <f>Item_Enchant_Old!M524</f>
        <v>6</v>
      </c>
      <c r="N520" s="29">
        <f>Item_Enchant_Old!N524</f>
        <v>104</v>
      </c>
      <c r="O520" s="29">
        <f>Item_Enchant_Old!O524</f>
        <v>1</v>
      </c>
      <c r="P520" s="29">
        <f>Item_Enchant_Old!P524</f>
        <v>1</v>
      </c>
      <c r="Q520" s="29">
        <f>Item_Enchant_Old!Q524</f>
        <v>1</v>
      </c>
      <c r="R520" s="29">
        <f>Item_Enchant_Old!R524</f>
        <v>1</v>
      </c>
    </row>
    <row r="521" spans="1:18" s="29" customFormat="1" hidden="1">
      <c r="A521" s="29">
        <f>Item_Enchant_Old!A525</f>
        <v>520</v>
      </c>
      <c r="B521" s="29" t="str">
        <f>Item_Enchant_Old!B525</f>
        <v>ACTIVE_STR_UP</v>
      </c>
      <c r="C521" s="29">
        <f>Item_Enchant_Old!C525</f>
        <v>610</v>
      </c>
      <c r="D521" s="29">
        <f>Item_Enchant_Old!D525</f>
        <v>0</v>
      </c>
      <c r="E521" s="29">
        <f>Item_Enchant_Old!E525</f>
        <v>0</v>
      </c>
      <c r="F521" s="29">
        <f>Item_Enchant_Old!F525</f>
        <v>0</v>
      </c>
      <c r="G521" s="29">
        <f>Item_Enchant_Old!G525</f>
        <v>2</v>
      </c>
      <c r="H521" s="29" t="str">
        <f>Item_Enchant_Old!H525</f>
        <v>@</v>
      </c>
      <c r="I521" s="29">
        <f>Item_Enchant_Old!I525</f>
        <v>1</v>
      </c>
      <c r="J521" s="29" t="str">
        <f>Item_Enchant_Old!J525</f>
        <v>절대값/상대값(%) 가능</v>
      </c>
      <c r="K521" s="29">
        <f>Item_Enchant_Old!K525</f>
        <v>10</v>
      </c>
      <c r="L521" s="29">
        <f>Item_Enchant_Old!L525</f>
        <v>0</v>
      </c>
      <c r="M521" s="29">
        <f>Item_Enchant_Old!M525</f>
        <v>6</v>
      </c>
      <c r="N521" s="29">
        <f>Item_Enchant_Old!N525</f>
        <v>57</v>
      </c>
      <c r="O521" s="29">
        <f>Item_Enchant_Old!O525</f>
        <v>1</v>
      </c>
      <c r="P521" s="29">
        <f>Item_Enchant_Old!P525</f>
        <v>1</v>
      </c>
      <c r="Q521" s="29">
        <f>Item_Enchant_Old!Q525</f>
        <v>1</v>
      </c>
      <c r="R521" s="29">
        <f>Item_Enchant_Old!R525</f>
        <v>1</v>
      </c>
    </row>
    <row r="522" spans="1:18" s="29" customFormat="1" hidden="1">
      <c r="A522" s="29">
        <f>Item_Enchant_Old!A526</f>
        <v>521</v>
      </c>
      <c r="B522" s="29" t="str">
        <f>Item_Enchant_Old!B526</f>
        <v>ACTIVE_SOL_UP</v>
      </c>
      <c r="C522" s="29">
        <f>Item_Enchant_Old!C526</f>
        <v>614</v>
      </c>
      <c r="D522" s="29">
        <f>Item_Enchant_Old!D526</f>
        <v>0</v>
      </c>
      <c r="E522" s="29">
        <f>Item_Enchant_Old!E526</f>
        <v>0</v>
      </c>
      <c r="F522" s="29">
        <f>Item_Enchant_Old!F526</f>
        <v>0</v>
      </c>
      <c r="G522" s="29">
        <f>Item_Enchant_Old!G526</f>
        <v>2</v>
      </c>
      <c r="H522" s="29" t="str">
        <f>Item_Enchant_Old!H526</f>
        <v>@</v>
      </c>
      <c r="I522" s="29">
        <f>Item_Enchant_Old!I526</f>
        <v>1</v>
      </c>
      <c r="J522" s="29" t="str">
        <f>Item_Enchant_Old!J526</f>
        <v>절대값/상대값(%) 가능</v>
      </c>
      <c r="K522" s="29">
        <f>Item_Enchant_Old!K526</f>
        <v>10</v>
      </c>
      <c r="L522" s="29">
        <f>Item_Enchant_Old!L526</f>
        <v>0</v>
      </c>
      <c r="M522" s="29">
        <f>Item_Enchant_Old!M526</f>
        <v>6</v>
      </c>
      <c r="N522" s="29">
        <f>Item_Enchant_Old!N526</f>
        <v>53</v>
      </c>
      <c r="O522" s="29">
        <f>Item_Enchant_Old!O526</f>
        <v>1</v>
      </c>
      <c r="P522" s="29">
        <f>Item_Enchant_Old!P526</f>
        <v>1</v>
      </c>
      <c r="Q522" s="29">
        <f>Item_Enchant_Old!Q526</f>
        <v>1</v>
      </c>
      <c r="R522" s="29">
        <f>Item_Enchant_Old!R526</f>
        <v>1</v>
      </c>
    </row>
    <row r="523" spans="1:18" s="29" customFormat="1" hidden="1">
      <c r="A523" s="29">
        <f>Item_Enchant_Old!A527</f>
        <v>522</v>
      </c>
      <c r="B523" s="29" t="str">
        <f>Item_Enchant_Old!B527</f>
        <v>ACTIVE_PHYSICAL_CRITICAL_DAMAGE_UP</v>
      </c>
      <c r="C523" s="29">
        <f>Item_Enchant_Old!C527</f>
        <v>658</v>
      </c>
      <c r="D523" s="29">
        <f>Item_Enchant_Old!D527</f>
        <v>0</v>
      </c>
      <c r="E523" s="29">
        <f>Item_Enchant_Old!E527</f>
        <v>0</v>
      </c>
      <c r="F523" s="29">
        <f>Item_Enchant_Old!F527</f>
        <v>0</v>
      </c>
      <c r="G523" s="29">
        <f>Item_Enchant_Old!G527</f>
        <v>4</v>
      </c>
      <c r="H523" s="29" t="str">
        <f>Item_Enchant_Old!H527</f>
        <v>@</v>
      </c>
      <c r="I523" s="29">
        <f>Item_Enchant_Old!I527</f>
        <v>1</v>
      </c>
      <c r="J523" s="29" t="str">
        <f>Item_Enchant_Old!J527</f>
        <v>절대값만 가능</v>
      </c>
      <c r="K523" s="29">
        <f>Item_Enchant_Old!K527</f>
        <v>10</v>
      </c>
      <c r="L523" s="29">
        <f>Item_Enchant_Old!L527</f>
        <v>0</v>
      </c>
      <c r="M523" s="29">
        <f>Item_Enchant_Old!M527</f>
        <v>6</v>
      </c>
      <c r="N523" s="29">
        <f>Item_Enchant_Old!N527</f>
        <v>28</v>
      </c>
      <c r="O523" s="29">
        <f>Item_Enchant_Old!O527</f>
        <v>1</v>
      </c>
      <c r="P523" s="29">
        <f>Item_Enchant_Old!P527</f>
        <v>1</v>
      </c>
      <c r="Q523" s="29">
        <f>Item_Enchant_Old!Q527</f>
        <v>1</v>
      </c>
      <c r="R523" s="29">
        <f>Item_Enchant_Old!R527</f>
        <v>1</v>
      </c>
    </row>
    <row r="524" spans="1:18" s="29" customFormat="1" hidden="1">
      <c r="A524" s="29">
        <f>Item_Enchant_Old!A528</f>
        <v>523</v>
      </c>
      <c r="B524" s="29" t="str">
        <f>Item_Enchant_Old!B528</f>
        <v>ACTIVE_ENERGY_CRITICAL_DAMAGE_UP</v>
      </c>
      <c r="C524" s="29">
        <f>Item_Enchant_Old!C528</f>
        <v>659</v>
      </c>
      <c r="D524" s="29">
        <f>Item_Enchant_Old!D528</f>
        <v>0</v>
      </c>
      <c r="E524" s="29">
        <f>Item_Enchant_Old!E528</f>
        <v>0</v>
      </c>
      <c r="F524" s="29">
        <f>Item_Enchant_Old!F528</f>
        <v>0</v>
      </c>
      <c r="G524" s="29">
        <f>Item_Enchant_Old!G528</f>
        <v>4</v>
      </c>
      <c r="H524" s="29" t="str">
        <f>Item_Enchant_Old!H528</f>
        <v>@</v>
      </c>
      <c r="I524" s="29">
        <f>Item_Enchant_Old!I528</f>
        <v>1</v>
      </c>
      <c r="J524" s="29" t="str">
        <f>Item_Enchant_Old!J528</f>
        <v>절대값만 가능</v>
      </c>
      <c r="K524" s="29">
        <f>Item_Enchant_Old!K528</f>
        <v>10</v>
      </c>
      <c r="L524" s="29">
        <f>Item_Enchant_Old!L528</f>
        <v>0</v>
      </c>
      <c r="M524" s="29">
        <f>Item_Enchant_Old!M528</f>
        <v>6</v>
      </c>
      <c r="N524" s="29">
        <f>Item_Enchant_Old!N528</f>
        <v>32</v>
      </c>
      <c r="O524" s="29">
        <f>Item_Enchant_Old!O528</f>
        <v>1</v>
      </c>
      <c r="P524" s="29">
        <f>Item_Enchant_Old!P528</f>
        <v>1</v>
      </c>
      <c r="Q524" s="29">
        <f>Item_Enchant_Old!Q528</f>
        <v>1</v>
      </c>
      <c r="R524" s="29">
        <f>Item_Enchant_Old!R528</f>
        <v>1</v>
      </c>
    </row>
    <row r="525" spans="1:18" s="29" customFormat="1" hidden="1">
      <c r="A525" s="29">
        <f>Item_Enchant_Old!A529</f>
        <v>524</v>
      </c>
      <c r="B525" s="29" t="str">
        <f>Item_Enchant_Old!B529</f>
        <v>ACTIVE_FOC_UP</v>
      </c>
      <c r="C525" s="29">
        <f>Item_Enchant_Old!C529</f>
        <v>612</v>
      </c>
      <c r="D525" s="29">
        <f>Item_Enchant_Old!D529</f>
        <v>0</v>
      </c>
      <c r="E525" s="29">
        <f>Item_Enchant_Old!E529</f>
        <v>0</v>
      </c>
      <c r="F525" s="29">
        <f>Item_Enchant_Old!F529</f>
        <v>0</v>
      </c>
      <c r="G525" s="29">
        <f>Item_Enchant_Old!G529</f>
        <v>2</v>
      </c>
      <c r="H525" s="29" t="str">
        <f>Item_Enchant_Old!H529</f>
        <v>@</v>
      </c>
      <c r="I525" s="29">
        <f>Item_Enchant_Old!I529</f>
        <v>1</v>
      </c>
      <c r="J525" s="29" t="str">
        <f>Item_Enchant_Old!J529</f>
        <v>절대값/상대값(%) 가능</v>
      </c>
      <c r="K525" s="29">
        <f>Item_Enchant_Old!K529</f>
        <v>10</v>
      </c>
      <c r="L525" s="29">
        <f>Item_Enchant_Old!L529</f>
        <v>0</v>
      </c>
      <c r="M525" s="29">
        <f>Item_Enchant_Old!M529</f>
        <v>7</v>
      </c>
      <c r="N525" s="29">
        <f>Item_Enchant_Old!N529</f>
        <v>53</v>
      </c>
      <c r="O525" s="29">
        <f>Item_Enchant_Old!O529</f>
        <v>1</v>
      </c>
      <c r="P525" s="29">
        <f>Item_Enchant_Old!P529</f>
        <v>1</v>
      </c>
      <c r="Q525" s="29">
        <f>Item_Enchant_Old!Q529</f>
        <v>1</v>
      </c>
      <c r="R525" s="29">
        <f>Item_Enchant_Old!R529</f>
        <v>1</v>
      </c>
    </row>
    <row r="526" spans="1:18" s="29" customFormat="1" hidden="1">
      <c r="A526" s="29">
        <f>Item_Enchant_Old!A530</f>
        <v>525</v>
      </c>
      <c r="B526" s="29" t="str">
        <f>Item_Enchant_Old!B530</f>
        <v>ACTIVE_ATTACK_RATE_UP</v>
      </c>
      <c r="C526" s="29">
        <f>Item_Enchant_Old!C530</f>
        <v>618</v>
      </c>
      <c r="D526" s="29">
        <f>Item_Enchant_Old!D530</f>
        <v>0</v>
      </c>
      <c r="E526" s="29">
        <f>Item_Enchant_Old!E530</f>
        <v>0</v>
      </c>
      <c r="F526" s="29">
        <f>Item_Enchant_Old!F530</f>
        <v>0</v>
      </c>
      <c r="G526" s="29">
        <f>Item_Enchant_Old!G530</f>
        <v>1</v>
      </c>
      <c r="H526" s="29" t="str">
        <f>Item_Enchant_Old!H530</f>
        <v>@</v>
      </c>
      <c r="I526" s="29">
        <f>Item_Enchant_Old!I530</f>
        <v>1</v>
      </c>
      <c r="J526" s="29" t="str">
        <f>Item_Enchant_Old!J530</f>
        <v>절대값/상대값(%) 가능</v>
      </c>
      <c r="K526" s="29">
        <f>Item_Enchant_Old!K530</f>
        <v>10</v>
      </c>
      <c r="L526" s="29">
        <f>Item_Enchant_Old!L530</f>
        <v>0</v>
      </c>
      <c r="M526" s="29">
        <f>Item_Enchant_Old!M530</f>
        <v>7</v>
      </c>
      <c r="N526" s="29">
        <f>Item_Enchant_Old!N530</f>
        <v>528</v>
      </c>
      <c r="O526" s="29">
        <f>Item_Enchant_Old!O530</f>
        <v>1</v>
      </c>
      <c r="P526" s="29">
        <f>Item_Enchant_Old!P530</f>
        <v>1</v>
      </c>
      <c r="Q526" s="29">
        <f>Item_Enchant_Old!Q530</f>
        <v>1</v>
      </c>
      <c r="R526" s="29">
        <f>Item_Enchant_Old!R530</f>
        <v>1</v>
      </c>
    </row>
    <row r="527" spans="1:18" s="29" customFormat="1" hidden="1">
      <c r="A527" s="29">
        <f>Item_Enchant_Old!A531</f>
        <v>526</v>
      </c>
      <c r="B527" s="29" t="str">
        <f>Item_Enchant_Old!B531</f>
        <v>ACTIVE_ENG_UP</v>
      </c>
      <c r="C527" s="29">
        <f>Item_Enchant_Old!C531</f>
        <v>615</v>
      </c>
      <c r="D527" s="29">
        <f>Item_Enchant_Old!D531</f>
        <v>0</v>
      </c>
      <c r="E527" s="29">
        <f>Item_Enchant_Old!E531</f>
        <v>0</v>
      </c>
      <c r="F527" s="29">
        <f>Item_Enchant_Old!F531</f>
        <v>0</v>
      </c>
      <c r="G527" s="29">
        <f>Item_Enchant_Old!G531</f>
        <v>2</v>
      </c>
      <c r="H527" s="29" t="str">
        <f>Item_Enchant_Old!H531</f>
        <v>@</v>
      </c>
      <c r="I527" s="29">
        <f>Item_Enchant_Old!I531</f>
        <v>1</v>
      </c>
      <c r="J527" s="29" t="str">
        <f>Item_Enchant_Old!J531</f>
        <v>절대값/상대값(%) 가능</v>
      </c>
      <c r="K527" s="29">
        <f>Item_Enchant_Old!K531</f>
        <v>10</v>
      </c>
      <c r="L527" s="29">
        <f>Item_Enchant_Old!L531</f>
        <v>0</v>
      </c>
      <c r="M527" s="29">
        <f>Item_Enchant_Old!M531</f>
        <v>7</v>
      </c>
      <c r="N527" s="29">
        <f>Item_Enchant_Old!N531</f>
        <v>62</v>
      </c>
      <c r="O527" s="29">
        <f>Item_Enchant_Old!O531</f>
        <v>1</v>
      </c>
      <c r="P527" s="29">
        <f>Item_Enchant_Old!P531</f>
        <v>1</v>
      </c>
      <c r="Q527" s="29">
        <f>Item_Enchant_Old!Q531</f>
        <v>1</v>
      </c>
      <c r="R527" s="29">
        <f>Item_Enchant_Old!R531</f>
        <v>1</v>
      </c>
    </row>
    <row r="528" spans="1:18" s="29" customFormat="1" hidden="1">
      <c r="A528" s="29">
        <f>Item_Enchant_Old!A532</f>
        <v>527</v>
      </c>
      <c r="B528" s="29" t="str">
        <f>Item_Enchant_Old!B532</f>
        <v>ACTIVE_PHYSICAL_CRITICAL</v>
      </c>
      <c r="C528" s="29">
        <f>Item_Enchant_Old!C532</f>
        <v>632</v>
      </c>
      <c r="D528" s="29">
        <f>Item_Enchant_Old!D532</f>
        <v>0</v>
      </c>
      <c r="E528" s="29">
        <f>Item_Enchant_Old!E532</f>
        <v>0</v>
      </c>
      <c r="F528" s="29">
        <f>Item_Enchant_Old!F532</f>
        <v>0</v>
      </c>
      <c r="G528" s="29">
        <f>Item_Enchant_Old!G532</f>
        <v>5</v>
      </c>
      <c r="H528" s="29" t="str">
        <f>Item_Enchant_Old!H532</f>
        <v>@</v>
      </c>
      <c r="I528" s="29">
        <f>Item_Enchant_Old!I532</f>
        <v>1</v>
      </c>
      <c r="J528" s="29" t="str">
        <f>Item_Enchant_Old!J532</f>
        <v>절대값/상대값(%) 가능</v>
      </c>
      <c r="K528" s="29">
        <f>Item_Enchant_Old!K532</f>
        <v>10</v>
      </c>
      <c r="L528" s="29">
        <f>Item_Enchant_Old!L532</f>
        <v>0</v>
      </c>
      <c r="M528" s="29">
        <f>Item_Enchant_Old!M532</f>
        <v>7</v>
      </c>
      <c r="N528" s="29">
        <f>Item_Enchant_Old!N532</f>
        <v>21</v>
      </c>
      <c r="O528" s="29">
        <f>Item_Enchant_Old!O532</f>
        <v>1</v>
      </c>
      <c r="P528" s="29">
        <f>Item_Enchant_Old!P532</f>
        <v>1</v>
      </c>
      <c r="Q528" s="29">
        <f>Item_Enchant_Old!Q532</f>
        <v>1</v>
      </c>
      <c r="R528" s="29">
        <f>Item_Enchant_Old!R532</f>
        <v>1</v>
      </c>
    </row>
    <row r="529" spans="1:18" s="29" customFormat="1" hidden="1">
      <c r="A529" s="29">
        <f>Item_Enchant_Old!A533</f>
        <v>528</v>
      </c>
      <c r="B529" s="29" t="str">
        <f>Item_Enchant_Old!B533</f>
        <v>ACTIVE_ENERGY_CRITICAL</v>
      </c>
      <c r="C529" s="29">
        <f>Item_Enchant_Old!C533</f>
        <v>633</v>
      </c>
      <c r="D529" s="29">
        <f>Item_Enchant_Old!D533</f>
        <v>0</v>
      </c>
      <c r="E529" s="29">
        <f>Item_Enchant_Old!E533</f>
        <v>0</v>
      </c>
      <c r="F529" s="29">
        <f>Item_Enchant_Old!F533</f>
        <v>0</v>
      </c>
      <c r="G529" s="29">
        <f>Item_Enchant_Old!G533</f>
        <v>5</v>
      </c>
      <c r="H529" s="29" t="str">
        <f>Item_Enchant_Old!H533</f>
        <v>@</v>
      </c>
      <c r="I529" s="29">
        <f>Item_Enchant_Old!I533</f>
        <v>1</v>
      </c>
      <c r="J529" s="29" t="str">
        <f>Item_Enchant_Old!J533</f>
        <v>절대값/상대값(%) 가능</v>
      </c>
      <c r="K529" s="29">
        <f>Item_Enchant_Old!K533</f>
        <v>10</v>
      </c>
      <c r="L529" s="29">
        <f>Item_Enchant_Old!L533</f>
        <v>0</v>
      </c>
      <c r="M529" s="29">
        <f>Item_Enchant_Old!M533</f>
        <v>7</v>
      </c>
      <c r="N529" s="29">
        <f>Item_Enchant_Old!N533</f>
        <v>24</v>
      </c>
      <c r="O529" s="29">
        <f>Item_Enchant_Old!O533</f>
        <v>1</v>
      </c>
      <c r="P529" s="29">
        <f>Item_Enchant_Old!P533</f>
        <v>1</v>
      </c>
      <c r="Q529" s="29">
        <f>Item_Enchant_Old!Q533</f>
        <v>1</v>
      </c>
      <c r="R529" s="29">
        <f>Item_Enchant_Old!R533</f>
        <v>1</v>
      </c>
    </row>
    <row r="530" spans="1:18" s="29" customFormat="1" hidden="1">
      <c r="A530" s="29">
        <f>Item_Enchant_Old!A534</f>
        <v>529</v>
      </c>
      <c r="B530" s="29" t="str">
        <f>Item_Enchant_Old!B534</f>
        <v>ACTIVE_FOC_UP</v>
      </c>
      <c r="C530" s="29">
        <f>Item_Enchant_Old!C534</f>
        <v>612</v>
      </c>
      <c r="D530" s="29">
        <f>Item_Enchant_Old!D534</f>
        <v>0</v>
      </c>
      <c r="E530" s="29">
        <f>Item_Enchant_Old!E534</f>
        <v>0</v>
      </c>
      <c r="F530" s="29">
        <f>Item_Enchant_Old!F534</f>
        <v>0</v>
      </c>
      <c r="G530" s="29">
        <f>Item_Enchant_Old!G534</f>
        <v>2</v>
      </c>
      <c r="H530" s="29" t="str">
        <f>Item_Enchant_Old!H534</f>
        <v>@</v>
      </c>
      <c r="I530" s="29">
        <f>Item_Enchant_Old!I534</f>
        <v>1</v>
      </c>
      <c r="J530" s="29" t="str">
        <f>Item_Enchant_Old!J534</f>
        <v>절대값/상대값(%) 가능</v>
      </c>
      <c r="K530" s="29">
        <f>Item_Enchant_Old!K534</f>
        <v>10</v>
      </c>
      <c r="L530" s="29">
        <f>Item_Enchant_Old!L534</f>
        <v>0</v>
      </c>
      <c r="M530" s="29">
        <f>Item_Enchant_Old!M534</f>
        <v>8</v>
      </c>
      <c r="N530" s="29">
        <f>Item_Enchant_Old!N534</f>
        <v>53</v>
      </c>
      <c r="O530" s="29">
        <f>Item_Enchant_Old!O534</f>
        <v>1</v>
      </c>
      <c r="P530" s="29">
        <f>Item_Enchant_Old!P534</f>
        <v>1</v>
      </c>
      <c r="Q530" s="29">
        <f>Item_Enchant_Old!Q534</f>
        <v>1</v>
      </c>
      <c r="R530" s="29">
        <f>Item_Enchant_Old!R534</f>
        <v>1</v>
      </c>
    </row>
    <row r="531" spans="1:18" s="29" customFormat="1" hidden="1">
      <c r="A531" s="29">
        <f>Item_Enchant_Old!A535</f>
        <v>530</v>
      </c>
      <c r="B531" s="29" t="str">
        <f>Item_Enchant_Old!B535</f>
        <v>ACTIVE_CON_UP</v>
      </c>
      <c r="C531" s="29">
        <f>Item_Enchant_Old!C535</f>
        <v>611</v>
      </c>
      <c r="D531" s="29">
        <f>Item_Enchant_Old!D535</f>
        <v>0</v>
      </c>
      <c r="E531" s="29">
        <f>Item_Enchant_Old!E535</f>
        <v>0</v>
      </c>
      <c r="F531" s="29">
        <f>Item_Enchant_Old!F535</f>
        <v>0</v>
      </c>
      <c r="G531" s="29">
        <f>Item_Enchant_Old!G535</f>
        <v>3</v>
      </c>
      <c r="H531" s="29" t="str">
        <f>Item_Enchant_Old!H535</f>
        <v>@</v>
      </c>
      <c r="I531" s="29">
        <f>Item_Enchant_Old!I535</f>
        <v>1</v>
      </c>
      <c r="J531" s="29" t="str">
        <f>Item_Enchant_Old!J535</f>
        <v>절대값/상대값(%) 가능</v>
      </c>
      <c r="K531" s="29">
        <f>Item_Enchant_Old!K535</f>
        <v>10</v>
      </c>
      <c r="L531" s="29">
        <f>Item_Enchant_Old!L535</f>
        <v>0</v>
      </c>
      <c r="M531" s="29">
        <f>Item_Enchant_Old!M535</f>
        <v>8</v>
      </c>
      <c r="N531" s="29">
        <f>Item_Enchant_Old!N535</f>
        <v>48</v>
      </c>
      <c r="O531" s="29">
        <f>Item_Enchant_Old!O535</f>
        <v>1</v>
      </c>
      <c r="P531" s="29">
        <f>Item_Enchant_Old!P535</f>
        <v>1</v>
      </c>
      <c r="Q531" s="29">
        <f>Item_Enchant_Old!Q535</f>
        <v>1</v>
      </c>
      <c r="R531" s="29">
        <f>Item_Enchant_Old!R535</f>
        <v>1</v>
      </c>
    </row>
    <row r="532" spans="1:18" s="29" customFormat="1" hidden="1">
      <c r="A532" s="29">
        <f>Item_Enchant_Old!A536</f>
        <v>531</v>
      </c>
      <c r="B532" s="29" t="str">
        <f>Item_Enchant_Old!B536</f>
        <v>ACTIVE_BLOCK_RATE_UP</v>
      </c>
      <c r="C532" s="29">
        <f>Item_Enchant_Old!C536</f>
        <v>620</v>
      </c>
      <c r="D532" s="29">
        <f>Item_Enchant_Old!D536</f>
        <v>0</v>
      </c>
      <c r="E532" s="29">
        <f>Item_Enchant_Old!E536</f>
        <v>0</v>
      </c>
      <c r="F532" s="29">
        <f>Item_Enchant_Old!F536</f>
        <v>0</v>
      </c>
      <c r="G532" s="29">
        <f>Item_Enchant_Old!G536</f>
        <v>1</v>
      </c>
      <c r="H532" s="29" t="str">
        <f>Item_Enchant_Old!H536</f>
        <v>@</v>
      </c>
      <c r="I532" s="29">
        <f>Item_Enchant_Old!I536</f>
        <v>1</v>
      </c>
      <c r="J532" s="29" t="str">
        <f>Item_Enchant_Old!J536</f>
        <v>절대값/상대값(%) 가능</v>
      </c>
      <c r="K532" s="29">
        <f>Item_Enchant_Old!K536</f>
        <v>10</v>
      </c>
      <c r="L532" s="29">
        <f>Item_Enchant_Old!L536</f>
        <v>0</v>
      </c>
      <c r="M532" s="29">
        <f>Item_Enchant_Old!M536</f>
        <v>8</v>
      </c>
      <c r="N532" s="29">
        <f>Item_Enchant_Old!N536</f>
        <v>352</v>
      </c>
      <c r="O532" s="29">
        <f>Item_Enchant_Old!O536</f>
        <v>1</v>
      </c>
      <c r="P532" s="29">
        <f>Item_Enchant_Old!P536</f>
        <v>1</v>
      </c>
      <c r="Q532" s="29">
        <f>Item_Enchant_Old!Q536</f>
        <v>1</v>
      </c>
      <c r="R532" s="29">
        <f>Item_Enchant_Old!R536</f>
        <v>1</v>
      </c>
    </row>
    <row r="533" spans="1:18" s="29" customFormat="1" hidden="1">
      <c r="A533" s="29">
        <f>Item_Enchant_Old!A537</f>
        <v>532</v>
      </c>
      <c r="B533" s="29" t="str">
        <f>Item_Enchant_Old!B537</f>
        <v>ACTIVE_ENG_UP</v>
      </c>
      <c r="C533" s="29">
        <f>Item_Enchant_Old!C537</f>
        <v>615</v>
      </c>
      <c r="D533" s="29">
        <f>Item_Enchant_Old!D537</f>
        <v>0</v>
      </c>
      <c r="E533" s="29">
        <f>Item_Enchant_Old!E537</f>
        <v>0</v>
      </c>
      <c r="F533" s="29">
        <f>Item_Enchant_Old!F537</f>
        <v>0</v>
      </c>
      <c r="G533" s="29">
        <f>Item_Enchant_Old!G537</f>
        <v>2</v>
      </c>
      <c r="H533" s="29" t="str">
        <f>Item_Enchant_Old!H537</f>
        <v>@</v>
      </c>
      <c r="I533" s="29">
        <f>Item_Enchant_Old!I537</f>
        <v>1</v>
      </c>
      <c r="J533" s="29" t="str">
        <f>Item_Enchant_Old!J537</f>
        <v>절대값/상대값(%) 가능</v>
      </c>
      <c r="K533" s="29">
        <f>Item_Enchant_Old!K537</f>
        <v>10</v>
      </c>
      <c r="L533" s="29">
        <f>Item_Enchant_Old!L537</f>
        <v>0</v>
      </c>
      <c r="M533" s="29">
        <f>Item_Enchant_Old!M537</f>
        <v>8</v>
      </c>
      <c r="N533" s="29">
        <f>Item_Enchant_Old!N537</f>
        <v>62</v>
      </c>
      <c r="O533" s="29">
        <f>Item_Enchant_Old!O537</f>
        <v>1</v>
      </c>
      <c r="P533" s="29">
        <f>Item_Enchant_Old!P537</f>
        <v>1</v>
      </c>
      <c r="Q533" s="29">
        <f>Item_Enchant_Old!Q537</f>
        <v>1</v>
      </c>
      <c r="R533" s="29">
        <f>Item_Enchant_Old!R537</f>
        <v>1</v>
      </c>
    </row>
    <row r="534" spans="1:18" s="29" customFormat="1" hidden="1">
      <c r="A534" s="29">
        <f>Item_Enchant_Old!A538</f>
        <v>533</v>
      </c>
      <c r="B534" s="29" t="str">
        <f>Item_Enchant_Old!B538</f>
        <v>ACTIVE_PHYSICAL_CRITICAL</v>
      </c>
      <c r="C534" s="29">
        <f>Item_Enchant_Old!C538</f>
        <v>632</v>
      </c>
      <c r="D534" s="29">
        <f>Item_Enchant_Old!D538</f>
        <v>0</v>
      </c>
      <c r="E534" s="29">
        <f>Item_Enchant_Old!E538</f>
        <v>0</v>
      </c>
      <c r="F534" s="29">
        <f>Item_Enchant_Old!F538</f>
        <v>0</v>
      </c>
      <c r="G534" s="29">
        <f>Item_Enchant_Old!G538</f>
        <v>5</v>
      </c>
      <c r="H534" s="29" t="str">
        <f>Item_Enchant_Old!H538</f>
        <v>@</v>
      </c>
      <c r="I534" s="29">
        <f>Item_Enchant_Old!I538</f>
        <v>1</v>
      </c>
      <c r="J534" s="29" t="str">
        <f>Item_Enchant_Old!J538</f>
        <v>절대값/상대값(%) 가능</v>
      </c>
      <c r="K534" s="29">
        <f>Item_Enchant_Old!K538</f>
        <v>10</v>
      </c>
      <c r="L534" s="29">
        <f>Item_Enchant_Old!L538</f>
        <v>0</v>
      </c>
      <c r="M534" s="29">
        <f>Item_Enchant_Old!M538</f>
        <v>9</v>
      </c>
      <c r="N534" s="29">
        <f>Item_Enchant_Old!N538</f>
        <v>21</v>
      </c>
      <c r="O534" s="29">
        <f>Item_Enchant_Old!O538</f>
        <v>1</v>
      </c>
      <c r="P534" s="29">
        <f>Item_Enchant_Old!P538</f>
        <v>1</v>
      </c>
      <c r="Q534" s="29">
        <f>Item_Enchant_Old!Q538</f>
        <v>1</v>
      </c>
      <c r="R534" s="29">
        <f>Item_Enchant_Old!R538</f>
        <v>1</v>
      </c>
    </row>
    <row r="535" spans="1:18" s="29" customFormat="1" hidden="1">
      <c r="A535" s="29">
        <f>Item_Enchant_Old!A539</f>
        <v>534</v>
      </c>
      <c r="B535" s="29" t="str">
        <f>Item_Enchant_Old!B539</f>
        <v>ACTIVE_ENERGY_CRITICAL</v>
      </c>
      <c r="C535" s="29">
        <f>Item_Enchant_Old!C539</f>
        <v>633</v>
      </c>
      <c r="D535" s="29">
        <f>Item_Enchant_Old!D539</f>
        <v>0</v>
      </c>
      <c r="E535" s="29">
        <f>Item_Enchant_Old!E539</f>
        <v>0</v>
      </c>
      <c r="F535" s="29">
        <f>Item_Enchant_Old!F539</f>
        <v>0</v>
      </c>
      <c r="G535" s="29">
        <f>Item_Enchant_Old!G539</f>
        <v>5</v>
      </c>
      <c r="H535" s="29" t="str">
        <f>Item_Enchant_Old!H539</f>
        <v>@</v>
      </c>
      <c r="I535" s="29">
        <f>Item_Enchant_Old!I539</f>
        <v>1</v>
      </c>
      <c r="J535" s="29" t="str">
        <f>Item_Enchant_Old!J539</f>
        <v>절대값/상대값(%) 가능</v>
      </c>
      <c r="K535" s="29">
        <f>Item_Enchant_Old!K539</f>
        <v>10</v>
      </c>
      <c r="L535" s="29">
        <f>Item_Enchant_Old!L539</f>
        <v>0</v>
      </c>
      <c r="M535" s="29">
        <f>Item_Enchant_Old!M539</f>
        <v>9</v>
      </c>
      <c r="N535" s="29">
        <f>Item_Enchant_Old!N539</f>
        <v>24</v>
      </c>
      <c r="O535" s="29">
        <f>Item_Enchant_Old!O539</f>
        <v>1</v>
      </c>
      <c r="P535" s="29">
        <f>Item_Enchant_Old!P539</f>
        <v>1</v>
      </c>
      <c r="Q535" s="29">
        <f>Item_Enchant_Old!Q539</f>
        <v>1</v>
      </c>
      <c r="R535" s="29">
        <f>Item_Enchant_Old!R539</f>
        <v>1</v>
      </c>
    </row>
    <row r="536" spans="1:18" s="29" customFormat="1" hidden="1">
      <c r="A536" s="29">
        <f>Item_Enchant_Old!A540</f>
        <v>535</v>
      </c>
      <c r="B536" s="29" t="str">
        <f>Item_Enchant_Old!B540</f>
        <v>ACTIVE_DEX_UP</v>
      </c>
      <c r="C536" s="29">
        <f>Item_Enchant_Old!C540</f>
        <v>613</v>
      </c>
      <c r="D536" s="29">
        <f>Item_Enchant_Old!D540</f>
        <v>0</v>
      </c>
      <c r="E536" s="29">
        <f>Item_Enchant_Old!E540</f>
        <v>0</v>
      </c>
      <c r="F536" s="29">
        <f>Item_Enchant_Old!F540</f>
        <v>0</v>
      </c>
      <c r="G536" s="29">
        <f>Item_Enchant_Old!G540</f>
        <v>3</v>
      </c>
      <c r="H536" s="29" t="str">
        <f>Item_Enchant_Old!H540</f>
        <v>@</v>
      </c>
      <c r="I536" s="29">
        <f>Item_Enchant_Old!I540</f>
        <v>1</v>
      </c>
      <c r="J536" s="29" t="str">
        <f>Item_Enchant_Old!J540</f>
        <v>절대값/상대값(%) 가능</v>
      </c>
      <c r="K536" s="29">
        <f>Item_Enchant_Old!K540</f>
        <v>10</v>
      </c>
      <c r="L536" s="29">
        <f>Item_Enchant_Old!L540</f>
        <v>0</v>
      </c>
      <c r="M536" s="29">
        <f>Item_Enchant_Old!M540</f>
        <v>9</v>
      </c>
      <c r="N536" s="29">
        <f>Item_Enchant_Old!N540</f>
        <v>44</v>
      </c>
      <c r="O536" s="29">
        <f>Item_Enchant_Old!O540</f>
        <v>1</v>
      </c>
      <c r="P536" s="29">
        <f>Item_Enchant_Old!P540</f>
        <v>1</v>
      </c>
      <c r="Q536" s="29">
        <f>Item_Enchant_Old!Q540</f>
        <v>1</v>
      </c>
      <c r="R536" s="29">
        <f>Item_Enchant_Old!R540</f>
        <v>1</v>
      </c>
    </row>
    <row r="537" spans="1:18" s="29" customFormat="1" hidden="1">
      <c r="A537" s="29">
        <f>Item_Enchant_Old!A541</f>
        <v>536</v>
      </c>
      <c r="B537" s="29" t="str">
        <f>Item_Enchant_Old!B541</f>
        <v>ACTIVE_FOC_UP</v>
      </c>
      <c r="C537" s="29">
        <f>Item_Enchant_Old!C541</f>
        <v>612</v>
      </c>
      <c r="D537" s="29">
        <f>Item_Enchant_Old!D541</f>
        <v>0</v>
      </c>
      <c r="E537" s="29">
        <f>Item_Enchant_Old!E541</f>
        <v>0</v>
      </c>
      <c r="F537" s="29">
        <f>Item_Enchant_Old!F541</f>
        <v>0</v>
      </c>
      <c r="G537" s="29">
        <f>Item_Enchant_Old!G541</f>
        <v>2</v>
      </c>
      <c r="H537" s="29" t="str">
        <f>Item_Enchant_Old!H541</f>
        <v>@</v>
      </c>
      <c r="I537" s="29">
        <f>Item_Enchant_Old!I541</f>
        <v>1</v>
      </c>
      <c r="J537" s="29" t="str">
        <f>Item_Enchant_Old!J541</f>
        <v>절대값/상대값(%) 가능</v>
      </c>
      <c r="K537" s="29">
        <f>Item_Enchant_Old!K541</f>
        <v>10</v>
      </c>
      <c r="L537" s="29">
        <f>Item_Enchant_Old!L541</f>
        <v>0</v>
      </c>
      <c r="M537" s="29">
        <f>Item_Enchant_Old!M541</f>
        <v>9</v>
      </c>
      <c r="N537" s="29">
        <f>Item_Enchant_Old!N541</f>
        <v>53</v>
      </c>
      <c r="O537" s="29">
        <f>Item_Enchant_Old!O541</f>
        <v>1</v>
      </c>
      <c r="P537" s="29">
        <f>Item_Enchant_Old!P541</f>
        <v>1</v>
      </c>
      <c r="Q537" s="29">
        <f>Item_Enchant_Old!Q541</f>
        <v>1</v>
      </c>
      <c r="R537" s="29">
        <f>Item_Enchant_Old!R541</f>
        <v>1</v>
      </c>
    </row>
    <row r="538" spans="1:18" s="29" customFormat="1" hidden="1">
      <c r="A538" s="29">
        <f>Item_Enchant_Old!A542</f>
        <v>537</v>
      </c>
      <c r="B538" s="29" t="str">
        <f>Item_Enchant_Old!B542</f>
        <v>ACTIVE_PHYSICAL_CRITICAL_DAMAGE_UP</v>
      </c>
      <c r="C538" s="29">
        <f>Item_Enchant_Old!C542</f>
        <v>658</v>
      </c>
      <c r="D538" s="29">
        <f>Item_Enchant_Old!D542</f>
        <v>0</v>
      </c>
      <c r="E538" s="29">
        <f>Item_Enchant_Old!E542</f>
        <v>0</v>
      </c>
      <c r="F538" s="29">
        <f>Item_Enchant_Old!F542</f>
        <v>0</v>
      </c>
      <c r="G538" s="29">
        <f>Item_Enchant_Old!G542</f>
        <v>4</v>
      </c>
      <c r="H538" s="29" t="str">
        <f>Item_Enchant_Old!H542</f>
        <v>@</v>
      </c>
      <c r="I538" s="29">
        <f>Item_Enchant_Old!I542</f>
        <v>1</v>
      </c>
      <c r="J538" s="29" t="str">
        <f>Item_Enchant_Old!J542</f>
        <v>절대값만 가능</v>
      </c>
      <c r="K538" s="29">
        <f>Item_Enchant_Old!K542</f>
        <v>10</v>
      </c>
      <c r="L538" s="29">
        <f>Item_Enchant_Old!L542</f>
        <v>0</v>
      </c>
      <c r="M538" s="29">
        <f>Item_Enchant_Old!M542</f>
        <v>10</v>
      </c>
      <c r="N538" s="29">
        <f>Item_Enchant_Old!N542</f>
        <v>28</v>
      </c>
      <c r="O538" s="29">
        <f>Item_Enchant_Old!O542</f>
        <v>1</v>
      </c>
      <c r="P538" s="29">
        <f>Item_Enchant_Old!P542</f>
        <v>1</v>
      </c>
      <c r="Q538" s="29">
        <f>Item_Enchant_Old!Q542</f>
        <v>1</v>
      </c>
      <c r="R538" s="29">
        <f>Item_Enchant_Old!R542</f>
        <v>1</v>
      </c>
    </row>
    <row r="539" spans="1:18" s="29" customFormat="1" hidden="1">
      <c r="A539" s="29">
        <f>Item_Enchant_Old!A543</f>
        <v>538</v>
      </c>
      <c r="B539" s="29" t="str">
        <f>Item_Enchant_Old!B543</f>
        <v>ACTIVE_ENERGY_CRITICAL_DAMAGE_UP</v>
      </c>
      <c r="C539" s="29">
        <f>Item_Enchant_Old!C543</f>
        <v>659</v>
      </c>
      <c r="D539" s="29">
        <f>Item_Enchant_Old!D543</f>
        <v>0</v>
      </c>
      <c r="E539" s="29">
        <f>Item_Enchant_Old!E543</f>
        <v>0</v>
      </c>
      <c r="F539" s="29">
        <f>Item_Enchant_Old!F543</f>
        <v>0</v>
      </c>
      <c r="G539" s="29">
        <f>Item_Enchant_Old!G543</f>
        <v>4</v>
      </c>
      <c r="H539" s="29" t="str">
        <f>Item_Enchant_Old!H543</f>
        <v>@</v>
      </c>
      <c r="I539" s="29">
        <f>Item_Enchant_Old!I543</f>
        <v>1</v>
      </c>
      <c r="J539" s="29" t="str">
        <f>Item_Enchant_Old!J543</f>
        <v>절대값만 가능</v>
      </c>
      <c r="K539" s="29">
        <f>Item_Enchant_Old!K543</f>
        <v>10</v>
      </c>
      <c r="L539" s="29">
        <f>Item_Enchant_Old!L543</f>
        <v>0</v>
      </c>
      <c r="M539" s="29">
        <f>Item_Enchant_Old!M543</f>
        <v>10</v>
      </c>
      <c r="N539" s="29">
        <f>Item_Enchant_Old!N543</f>
        <v>32</v>
      </c>
      <c r="O539" s="29">
        <f>Item_Enchant_Old!O543</f>
        <v>1</v>
      </c>
      <c r="P539" s="29">
        <f>Item_Enchant_Old!P543</f>
        <v>1</v>
      </c>
      <c r="Q539" s="29">
        <f>Item_Enchant_Old!Q543</f>
        <v>1</v>
      </c>
      <c r="R539" s="29">
        <f>Item_Enchant_Old!R543</f>
        <v>1</v>
      </c>
    </row>
    <row r="540" spans="1:18" s="29" customFormat="1" hidden="1">
      <c r="A540" s="29">
        <f>Item_Enchant_Old!A544</f>
        <v>539</v>
      </c>
      <c r="B540" s="29" t="str">
        <f>Item_Enchant_Old!B544</f>
        <v>ACTIVE_DEX_UP</v>
      </c>
      <c r="C540" s="29">
        <f>Item_Enchant_Old!C544</f>
        <v>613</v>
      </c>
      <c r="D540" s="29">
        <f>Item_Enchant_Old!D544</f>
        <v>0</v>
      </c>
      <c r="E540" s="29">
        <f>Item_Enchant_Old!E544</f>
        <v>0</v>
      </c>
      <c r="F540" s="29">
        <f>Item_Enchant_Old!F544</f>
        <v>0</v>
      </c>
      <c r="G540" s="29">
        <f>Item_Enchant_Old!G544</f>
        <v>3</v>
      </c>
      <c r="H540" s="29" t="str">
        <f>Item_Enchant_Old!H544</f>
        <v>@</v>
      </c>
      <c r="I540" s="29">
        <f>Item_Enchant_Old!I544</f>
        <v>1</v>
      </c>
      <c r="J540" s="29" t="str">
        <f>Item_Enchant_Old!J544</f>
        <v>절대값/상대값(%) 가능</v>
      </c>
      <c r="K540" s="29">
        <f>Item_Enchant_Old!K544</f>
        <v>10</v>
      </c>
      <c r="L540" s="29">
        <f>Item_Enchant_Old!L544</f>
        <v>0</v>
      </c>
      <c r="M540" s="29">
        <f>Item_Enchant_Old!M544</f>
        <v>10</v>
      </c>
      <c r="N540" s="29">
        <f>Item_Enchant_Old!N544</f>
        <v>44</v>
      </c>
      <c r="O540" s="29">
        <f>Item_Enchant_Old!O544</f>
        <v>1</v>
      </c>
      <c r="P540" s="29">
        <f>Item_Enchant_Old!P544</f>
        <v>1</v>
      </c>
      <c r="Q540" s="29">
        <f>Item_Enchant_Old!Q544</f>
        <v>1</v>
      </c>
      <c r="R540" s="29">
        <f>Item_Enchant_Old!R544</f>
        <v>1</v>
      </c>
    </row>
    <row r="541" spans="1:18" s="29" customFormat="1" hidden="1">
      <c r="A541" s="29">
        <f>Item_Enchant_Old!A545</f>
        <v>540</v>
      </c>
      <c r="B541" s="29" t="str">
        <f>Item_Enchant_Old!B545</f>
        <v>ACTIVE_ATTACK_SPEED_UP</v>
      </c>
      <c r="C541" s="29">
        <f>Item_Enchant_Old!C545</f>
        <v>617</v>
      </c>
      <c r="D541" s="29">
        <f>Item_Enchant_Old!D545</f>
        <v>1</v>
      </c>
      <c r="E541" s="29">
        <f>Item_Enchant_Old!E545</f>
        <v>0</v>
      </c>
      <c r="F541" s="29">
        <f>Item_Enchant_Old!F545</f>
        <v>0</v>
      </c>
      <c r="G541" s="29">
        <f>Item_Enchant_Old!G545</f>
        <v>10</v>
      </c>
      <c r="H541" s="29" t="str">
        <f>Item_Enchant_Old!H545</f>
        <v>@</v>
      </c>
      <c r="I541" s="29">
        <f>Item_Enchant_Old!I545</f>
        <v>1</v>
      </c>
      <c r="J541" s="29" t="str">
        <f>Item_Enchant_Old!J545</f>
        <v>절대값/상대값(%) 가능</v>
      </c>
      <c r="K541" s="29">
        <f>Item_Enchant_Old!K545</f>
        <v>10</v>
      </c>
      <c r="L541" s="29">
        <f>Item_Enchant_Old!L545</f>
        <v>0</v>
      </c>
      <c r="M541" s="29">
        <f>Item_Enchant_Old!M545</f>
        <v>10</v>
      </c>
      <c r="N541" s="29">
        <f>Item_Enchant_Old!N545</f>
        <v>10</v>
      </c>
      <c r="O541" s="29">
        <f>Item_Enchant_Old!O545</f>
        <v>1</v>
      </c>
      <c r="P541" s="29">
        <f>Item_Enchant_Old!P545</f>
        <v>1</v>
      </c>
      <c r="Q541" s="29">
        <f>Item_Enchant_Old!Q545</f>
        <v>1</v>
      </c>
      <c r="R541" s="29">
        <f>Item_Enchant_Old!R545</f>
        <v>1</v>
      </c>
    </row>
    <row r="542" spans="1:18" s="29" customFormat="1" hidden="1">
      <c r="A542" s="29">
        <f>Item_Enchant_Old!A546</f>
        <v>541</v>
      </c>
      <c r="B542" s="29" t="str">
        <f>Item_Enchant_Old!B546</f>
        <v>ACTIVE_STR_UP</v>
      </c>
      <c r="C542" s="29">
        <f>Item_Enchant_Old!C546</f>
        <v>610</v>
      </c>
      <c r="D542" s="29">
        <f>Item_Enchant_Old!D546</f>
        <v>0</v>
      </c>
      <c r="E542" s="29">
        <f>Item_Enchant_Old!E546</f>
        <v>0</v>
      </c>
      <c r="F542" s="29">
        <f>Item_Enchant_Old!F546</f>
        <v>0</v>
      </c>
      <c r="G542" s="29">
        <f>Item_Enchant_Old!G546</f>
        <v>2</v>
      </c>
      <c r="H542" s="29" t="str">
        <f>Item_Enchant_Old!H546</f>
        <v>@</v>
      </c>
      <c r="I542" s="29">
        <f>Item_Enchant_Old!I546</f>
        <v>1</v>
      </c>
      <c r="J542" s="29" t="str">
        <f>Item_Enchant_Old!J546</f>
        <v>절대값/상대값(%) 가능</v>
      </c>
      <c r="K542" s="29">
        <f>Item_Enchant_Old!K546</f>
        <v>10</v>
      </c>
      <c r="L542" s="29">
        <f>Item_Enchant_Old!L546</f>
        <v>0</v>
      </c>
      <c r="M542" s="29">
        <f>Item_Enchant_Old!M546</f>
        <v>11</v>
      </c>
      <c r="N542" s="29">
        <f>Item_Enchant_Old!N546</f>
        <v>57</v>
      </c>
      <c r="O542" s="29">
        <f>Item_Enchant_Old!O546</f>
        <v>1</v>
      </c>
      <c r="P542" s="29">
        <f>Item_Enchant_Old!P546</f>
        <v>1</v>
      </c>
      <c r="Q542" s="29">
        <f>Item_Enchant_Old!Q546</f>
        <v>1</v>
      </c>
      <c r="R542" s="29">
        <f>Item_Enchant_Old!R546</f>
        <v>1</v>
      </c>
    </row>
    <row r="543" spans="1:18" s="29" customFormat="1" hidden="1">
      <c r="A543" s="29">
        <f>Item_Enchant_Old!A547</f>
        <v>542</v>
      </c>
      <c r="B543" s="29" t="str">
        <f>Item_Enchant_Old!B547</f>
        <v>ACTIVE_CON_UP</v>
      </c>
      <c r="C543" s="29">
        <f>Item_Enchant_Old!C547</f>
        <v>611</v>
      </c>
      <c r="D543" s="29">
        <f>Item_Enchant_Old!D547</f>
        <v>0</v>
      </c>
      <c r="E543" s="29">
        <f>Item_Enchant_Old!E547</f>
        <v>0</v>
      </c>
      <c r="F543" s="29">
        <f>Item_Enchant_Old!F547</f>
        <v>0</v>
      </c>
      <c r="G543" s="29">
        <f>Item_Enchant_Old!G547</f>
        <v>3</v>
      </c>
      <c r="H543" s="29" t="str">
        <f>Item_Enchant_Old!H547</f>
        <v>@</v>
      </c>
      <c r="I543" s="29">
        <f>Item_Enchant_Old!I547</f>
        <v>1</v>
      </c>
      <c r="J543" s="29" t="str">
        <f>Item_Enchant_Old!J547</f>
        <v>절대값/상대값(%) 가능</v>
      </c>
      <c r="K543" s="29">
        <f>Item_Enchant_Old!K547</f>
        <v>10</v>
      </c>
      <c r="L543" s="29">
        <f>Item_Enchant_Old!L547</f>
        <v>0</v>
      </c>
      <c r="M543" s="29">
        <f>Item_Enchant_Old!M547</f>
        <v>11</v>
      </c>
      <c r="N543" s="29">
        <f>Item_Enchant_Old!N547</f>
        <v>48</v>
      </c>
      <c r="O543" s="29">
        <f>Item_Enchant_Old!O547</f>
        <v>1</v>
      </c>
      <c r="P543" s="29">
        <f>Item_Enchant_Old!P547</f>
        <v>1</v>
      </c>
      <c r="Q543" s="29">
        <f>Item_Enchant_Old!Q547</f>
        <v>1</v>
      </c>
      <c r="R543" s="29">
        <f>Item_Enchant_Old!R547</f>
        <v>1</v>
      </c>
    </row>
    <row r="544" spans="1:18" s="29" customFormat="1" hidden="1">
      <c r="A544" s="29">
        <f>Item_Enchant_Old!A548</f>
        <v>543</v>
      </c>
      <c r="B544" s="29" t="str">
        <f>Item_Enchant_Old!B548</f>
        <v>ACTIVE_FOC_UP</v>
      </c>
      <c r="C544" s="29">
        <f>Item_Enchant_Old!C548</f>
        <v>612</v>
      </c>
      <c r="D544" s="29">
        <f>Item_Enchant_Old!D548</f>
        <v>0</v>
      </c>
      <c r="E544" s="29">
        <f>Item_Enchant_Old!E548</f>
        <v>0</v>
      </c>
      <c r="F544" s="29">
        <f>Item_Enchant_Old!F548</f>
        <v>0</v>
      </c>
      <c r="G544" s="29">
        <f>Item_Enchant_Old!G548</f>
        <v>2</v>
      </c>
      <c r="H544" s="29" t="str">
        <f>Item_Enchant_Old!H548</f>
        <v>@</v>
      </c>
      <c r="I544" s="29">
        <f>Item_Enchant_Old!I548</f>
        <v>1</v>
      </c>
      <c r="J544" s="29" t="str">
        <f>Item_Enchant_Old!J548</f>
        <v>절대값/상대값(%) 가능</v>
      </c>
      <c r="K544" s="29">
        <f>Item_Enchant_Old!K548</f>
        <v>10</v>
      </c>
      <c r="L544" s="29">
        <f>Item_Enchant_Old!L548</f>
        <v>0</v>
      </c>
      <c r="M544" s="29">
        <f>Item_Enchant_Old!M548</f>
        <v>11</v>
      </c>
      <c r="N544" s="29">
        <f>Item_Enchant_Old!N548</f>
        <v>53</v>
      </c>
      <c r="O544" s="29">
        <f>Item_Enchant_Old!O548</f>
        <v>1</v>
      </c>
      <c r="P544" s="29">
        <f>Item_Enchant_Old!P548</f>
        <v>1</v>
      </c>
      <c r="Q544" s="29">
        <f>Item_Enchant_Old!Q548</f>
        <v>1</v>
      </c>
      <c r="R544" s="29">
        <f>Item_Enchant_Old!R548</f>
        <v>1</v>
      </c>
    </row>
    <row r="545" spans="1:18" s="29" customFormat="1" hidden="1">
      <c r="A545" s="29">
        <f>Item_Enchant_Old!A549</f>
        <v>544</v>
      </c>
      <c r="B545" s="29" t="str">
        <f>Item_Enchant_Old!B549</f>
        <v>ACTIVE_DEX_UP</v>
      </c>
      <c r="C545" s="29">
        <f>Item_Enchant_Old!C549</f>
        <v>613</v>
      </c>
      <c r="D545" s="29">
        <f>Item_Enchant_Old!D549</f>
        <v>0</v>
      </c>
      <c r="E545" s="29">
        <f>Item_Enchant_Old!E549</f>
        <v>0</v>
      </c>
      <c r="F545" s="29">
        <f>Item_Enchant_Old!F549</f>
        <v>0</v>
      </c>
      <c r="G545" s="29">
        <f>Item_Enchant_Old!G549</f>
        <v>3</v>
      </c>
      <c r="H545" s="29" t="str">
        <f>Item_Enchant_Old!H549</f>
        <v>@</v>
      </c>
      <c r="I545" s="29">
        <f>Item_Enchant_Old!I549</f>
        <v>1</v>
      </c>
      <c r="J545" s="29" t="str">
        <f>Item_Enchant_Old!J549</f>
        <v>절대값/상대값(%) 가능</v>
      </c>
      <c r="K545" s="29">
        <f>Item_Enchant_Old!K549</f>
        <v>10</v>
      </c>
      <c r="L545" s="29">
        <f>Item_Enchant_Old!L549</f>
        <v>0</v>
      </c>
      <c r="M545" s="29">
        <f>Item_Enchant_Old!M549</f>
        <v>11</v>
      </c>
      <c r="N545" s="29">
        <f>Item_Enchant_Old!N549</f>
        <v>44</v>
      </c>
      <c r="O545" s="29">
        <f>Item_Enchant_Old!O549</f>
        <v>1</v>
      </c>
      <c r="P545" s="29">
        <f>Item_Enchant_Old!P549</f>
        <v>1</v>
      </c>
      <c r="Q545" s="29">
        <f>Item_Enchant_Old!Q549</f>
        <v>1</v>
      </c>
      <c r="R545" s="29">
        <f>Item_Enchant_Old!R549</f>
        <v>1</v>
      </c>
    </row>
    <row r="546" spans="1:18" s="29" customFormat="1" hidden="1">
      <c r="A546" s="29">
        <f>Item_Enchant_Old!A550</f>
        <v>545</v>
      </c>
      <c r="B546" s="29" t="str">
        <f>Item_Enchant_Old!B550</f>
        <v>ACTIVE_SOL_UP</v>
      </c>
      <c r="C546" s="29">
        <f>Item_Enchant_Old!C550</f>
        <v>614</v>
      </c>
      <c r="D546" s="29">
        <f>Item_Enchant_Old!D550</f>
        <v>0</v>
      </c>
      <c r="E546" s="29">
        <f>Item_Enchant_Old!E550</f>
        <v>0</v>
      </c>
      <c r="F546" s="29">
        <f>Item_Enchant_Old!F550</f>
        <v>0</v>
      </c>
      <c r="G546" s="29">
        <f>Item_Enchant_Old!G550</f>
        <v>2</v>
      </c>
      <c r="H546" s="29" t="str">
        <f>Item_Enchant_Old!H550</f>
        <v>@</v>
      </c>
      <c r="I546" s="29">
        <f>Item_Enchant_Old!I550</f>
        <v>1</v>
      </c>
      <c r="J546" s="29" t="str">
        <f>Item_Enchant_Old!J550</f>
        <v>절대값/상대값(%) 가능</v>
      </c>
      <c r="K546" s="29">
        <f>Item_Enchant_Old!K550</f>
        <v>10</v>
      </c>
      <c r="L546" s="29">
        <f>Item_Enchant_Old!L550</f>
        <v>0</v>
      </c>
      <c r="M546" s="29">
        <f>Item_Enchant_Old!M550</f>
        <v>11</v>
      </c>
      <c r="N546" s="29">
        <f>Item_Enchant_Old!N550</f>
        <v>53</v>
      </c>
      <c r="O546" s="29">
        <f>Item_Enchant_Old!O550</f>
        <v>1</v>
      </c>
      <c r="P546" s="29">
        <f>Item_Enchant_Old!P550</f>
        <v>1</v>
      </c>
      <c r="Q546" s="29">
        <f>Item_Enchant_Old!Q550</f>
        <v>1</v>
      </c>
      <c r="R546" s="29">
        <f>Item_Enchant_Old!R550</f>
        <v>1</v>
      </c>
    </row>
    <row r="547" spans="1:18" s="29" customFormat="1" hidden="1">
      <c r="A547" s="29">
        <f>Item_Enchant_Old!A551</f>
        <v>546</v>
      </c>
      <c r="B547" s="29" t="str">
        <f>Item_Enchant_Old!B551</f>
        <v>ACTIVE_ENG_UP</v>
      </c>
      <c r="C547" s="29">
        <f>Item_Enchant_Old!C551</f>
        <v>615</v>
      </c>
      <c r="D547" s="29">
        <f>Item_Enchant_Old!D551</f>
        <v>0</v>
      </c>
      <c r="E547" s="29">
        <f>Item_Enchant_Old!E551</f>
        <v>0</v>
      </c>
      <c r="F547" s="29">
        <f>Item_Enchant_Old!F551</f>
        <v>0</v>
      </c>
      <c r="G547" s="29">
        <f>Item_Enchant_Old!G551</f>
        <v>2</v>
      </c>
      <c r="H547" s="29" t="str">
        <f>Item_Enchant_Old!H551</f>
        <v>@</v>
      </c>
      <c r="I547" s="29">
        <f>Item_Enchant_Old!I551</f>
        <v>1</v>
      </c>
      <c r="J547" s="29" t="str">
        <f>Item_Enchant_Old!J551</f>
        <v>절대값/상대값(%) 가능</v>
      </c>
      <c r="K547" s="29">
        <f>Item_Enchant_Old!K551</f>
        <v>10</v>
      </c>
      <c r="L547" s="29">
        <f>Item_Enchant_Old!L551</f>
        <v>0</v>
      </c>
      <c r="M547" s="29">
        <f>Item_Enchant_Old!M551</f>
        <v>11</v>
      </c>
      <c r="N547" s="29">
        <f>Item_Enchant_Old!N551</f>
        <v>62</v>
      </c>
      <c r="O547" s="29">
        <f>Item_Enchant_Old!O551</f>
        <v>1</v>
      </c>
      <c r="P547" s="29">
        <f>Item_Enchant_Old!P551</f>
        <v>1</v>
      </c>
      <c r="Q547" s="29">
        <f>Item_Enchant_Old!Q551</f>
        <v>1</v>
      </c>
      <c r="R547" s="29">
        <f>Item_Enchant_Old!R551</f>
        <v>1</v>
      </c>
    </row>
    <row r="548" spans="1:18" s="29" customFormat="1" hidden="1">
      <c r="A548" s="29">
        <f>Item_Enchant_Old!A552</f>
        <v>547</v>
      </c>
      <c r="B548" s="29" t="str">
        <f>Item_Enchant_Old!B552</f>
        <v>ACTIVE_PHYSICAL_DEFENCE_UP</v>
      </c>
      <c r="C548" s="29">
        <f>Item_Enchant_Old!C552</f>
        <v>608</v>
      </c>
      <c r="D548" s="29">
        <f>Item_Enchant_Old!D552</f>
        <v>0</v>
      </c>
      <c r="E548" s="29">
        <f>Item_Enchant_Old!E552</f>
        <v>0</v>
      </c>
      <c r="F548" s="29">
        <f>Item_Enchant_Old!F552</f>
        <v>0</v>
      </c>
      <c r="G548" s="29">
        <f>Item_Enchant_Old!G552</f>
        <v>1</v>
      </c>
      <c r="H548" s="29" t="str">
        <f>Item_Enchant_Old!H552</f>
        <v>@</v>
      </c>
      <c r="I548" s="29">
        <f>Item_Enchant_Old!I552</f>
        <v>1</v>
      </c>
      <c r="J548" s="29" t="str">
        <f>Item_Enchant_Old!J552</f>
        <v>절대값/상대값(%) 가능</v>
      </c>
      <c r="K548" s="29">
        <f>Item_Enchant_Old!K552</f>
        <v>10</v>
      </c>
      <c r="L548" s="29">
        <f>Item_Enchant_Old!L552</f>
        <v>0</v>
      </c>
      <c r="M548" s="29">
        <f>Item_Enchant_Old!M552</f>
        <v>12</v>
      </c>
      <c r="N548" s="29">
        <f>Item_Enchant_Old!N552</f>
        <v>1350</v>
      </c>
      <c r="O548" s="29">
        <f>Item_Enchant_Old!O552</f>
        <v>1</v>
      </c>
      <c r="P548" s="29">
        <f>Item_Enchant_Old!P552</f>
        <v>1</v>
      </c>
      <c r="Q548" s="29">
        <f>Item_Enchant_Old!Q552</f>
        <v>1</v>
      </c>
      <c r="R548" s="29">
        <f>Item_Enchant_Old!R552</f>
        <v>1</v>
      </c>
    </row>
    <row r="549" spans="1:18" s="29" customFormat="1" hidden="1">
      <c r="A549" s="29">
        <f>Item_Enchant_Old!A553</f>
        <v>548</v>
      </c>
      <c r="B549" s="29" t="str">
        <f>Item_Enchant_Old!B553</f>
        <v>ACTIVE_BLOCK_RATE_UP</v>
      </c>
      <c r="C549" s="29">
        <f>Item_Enchant_Old!C553</f>
        <v>620</v>
      </c>
      <c r="D549" s="29">
        <f>Item_Enchant_Old!D553</f>
        <v>0</v>
      </c>
      <c r="E549" s="29">
        <f>Item_Enchant_Old!E553</f>
        <v>0</v>
      </c>
      <c r="F549" s="29">
        <f>Item_Enchant_Old!F553</f>
        <v>0</v>
      </c>
      <c r="G549" s="29">
        <f>Item_Enchant_Old!G553</f>
        <v>1</v>
      </c>
      <c r="H549" s="29" t="str">
        <f>Item_Enchant_Old!H553</f>
        <v>@</v>
      </c>
      <c r="I549" s="29">
        <f>Item_Enchant_Old!I553</f>
        <v>1</v>
      </c>
      <c r="J549" s="29" t="str">
        <f>Item_Enchant_Old!J553</f>
        <v>절대값/상대값(%) 가능</v>
      </c>
      <c r="K549" s="29">
        <f>Item_Enchant_Old!K553</f>
        <v>10</v>
      </c>
      <c r="L549" s="29">
        <f>Item_Enchant_Old!L553</f>
        <v>0</v>
      </c>
      <c r="M549" s="29">
        <f>Item_Enchant_Old!M553</f>
        <v>12</v>
      </c>
      <c r="N549" s="29">
        <f>Item_Enchant_Old!N553</f>
        <v>352</v>
      </c>
      <c r="O549" s="29">
        <f>Item_Enchant_Old!O553</f>
        <v>1</v>
      </c>
      <c r="P549" s="29">
        <f>Item_Enchant_Old!P553</f>
        <v>1</v>
      </c>
      <c r="Q549" s="29">
        <f>Item_Enchant_Old!Q553</f>
        <v>1</v>
      </c>
      <c r="R549" s="29">
        <f>Item_Enchant_Old!R553</f>
        <v>1</v>
      </c>
    </row>
    <row r="550" spans="1:18" s="29" customFormat="1" hidden="1">
      <c r="A550" s="29">
        <f>Item_Enchant_Old!A554</f>
        <v>549</v>
      </c>
      <c r="B550" s="29" t="str">
        <f>Item_Enchant_Old!B554</f>
        <v>ACTIVE_CON_UP</v>
      </c>
      <c r="C550" s="29">
        <f>Item_Enchant_Old!C554</f>
        <v>611</v>
      </c>
      <c r="D550" s="29">
        <f>Item_Enchant_Old!D554</f>
        <v>0</v>
      </c>
      <c r="E550" s="29">
        <f>Item_Enchant_Old!E554</f>
        <v>0</v>
      </c>
      <c r="F550" s="29">
        <f>Item_Enchant_Old!F554</f>
        <v>0</v>
      </c>
      <c r="G550" s="29">
        <f>Item_Enchant_Old!G554</f>
        <v>3</v>
      </c>
      <c r="H550" s="29" t="str">
        <f>Item_Enchant_Old!H554</f>
        <v>@</v>
      </c>
      <c r="I550" s="29">
        <f>Item_Enchant_Old!I554</f>
        <v>1</v>
      </c>
      <c r="J550" s="29" t="str">
        <f>Item_Enchant_Old!J554</f>
        <v>절대값/상대값(%) 가능</v>
      </c>
      <c r="K550" s="29">
        <f>Item_Enchant_Old!K554</f>
        <v>10</v>
      </c>
      <c r="L550" s="29">
        <f>Item_Enchant_Old!L554</f>
        <v>0</v>
      </c>
      <c r="M550" s="29">
        <f>Item_Enchant_Old!M554</f>
        <v>12</v>
      </c>
      <c r="N550" s="29">
        <f>Item_Enchant_Old!N554</f>
        <v>48</v>
      </c>
      <c r="O550" s="29">
        <f>Item_Enchant_Old!O554</f>
        <v>1</v>
      </c>
      <c r="P550" s="29">
        <f>Item_Enchant_Old!P554</f>
        <v>1</v>
      </c>
      <c r="Q550" s="29">
        <f>Item_Enchant_Old!Q554</f>
        <v>1</v>
      </c>
      <c r="R550" s="29">
        <f>Item_Enchant_Old!R554</f>
        <v>1</v>
      </c>
    </row>
    <row r="551" spans="1:18" s="29" customFormat="1" hidden="1">
      <c r="A551" s="29">
        <f>Item_Enchant_Old!A555</f>
        <v>550</v>
      </c>
      <c r="B551" s="29" t="str">
        <f>Item_Enchant_Old!B555</f>
        <v>ACTIVE_FOC_UP</v>
      </c>
      <c r="C551" s="29">
        <f>Item_Enchant_Old!C555</f>
        <v>612</v>
      </c>
      <c r="D551" s="29">
        <f>Item_Enchant_Old!D555</f>
        <v>0</v>
      </c>
      <c r="E551" s="29">
        <f>Item_Enchant_Old!E555</f>
        <v>0</v>
      </c>
      <c r="F551" s="29">
        <f>Item_Enchant_Old!F555</f>
        <v>0</v>
      </c>
      <c r="G551" s="29">
        <f>Item_Enchant_Old!G555</f>
        <v>2</v>
      </c>
      <c r="H551" s="29" t="str">
        <f>Item_Enchant_Old!H555</f>
        <v>@</v>
      </c>
      <c r="I551" s="29">
        <f>Item_Enchant_Old!I555</f>
        <v>1</v>
      </c>
      <c r="J551" s="29" t="str">
        <f>Item_Enchant_Old!J555</f>
        <v>절대값/상대값(%) 가능</v>
      </c>
      <c r="K551" s="29">
        <f>Item_Enchant_Old!K555</f>
        <v>10</v>
      </c>
      <c r="L551" s="29">
        <f>Item_Enchant_Old!L555</f>
        <v>0</v>
      </c>
      <c r="M551" s="29">
        <f>Item_Enchant_Old!M555</f>
        <v>12</v>
      </c>
      <c r="N551" s="29">
        <f>Item_Enchant_Old!N555</f>
        <v>53</v>
      </c>
      <c r="O551" s="29">
        <f>Item_Enchant_Old!O555</f>
        <v>1</v>
      </c>
      <c r="P551" s="29">
        <f>Item_Enchant_Old!P555</f>
        <v>1</v>
      </c>
      <c r="Q551" s="29">
        <f>Item_Enchant_Old!Q555</f>
        <v>1</v>
      </c>
      <c r="R551" s="29">
        <f>Item_Enchant_Old!R555</f>
        <v>1</v>
      </c>
    </row>
    <row r="552" spans="1:18" s="29" customFormat="1" hidden="1">
      <c r="A552" s="29">
        <f>Item_Enchant_Old!A556</f>
        <v>551</v>
      </c>
      <c r="B552" s="29" t="str">
        <f>Item_Enchant_Old!B556</f>
        <v>ACTIVE_PHYSICAL_OFFENCE_UP</v>
      </c>
      <c r="C552" s="29">
        <f>Item_Enchant_Old!C556</f>
        <v>606</v>
      </c>
      <c r="D552" s="29">
        <f>Item_Enchant_Old!D556</f>
        <v>0</v>
      </c>
      <c r="E552" s="29">
        <f>Item_Enchant_Old!E556</f>
        <v>0</v>
      </c>
      <c r="F552" s="29">
        <f>Item_Enchant_Old!F556</f>
        <v>0</v>
      </c>
      <c r="G552" s="29">
        <f>Item_Enchant_Old!G556</f>
        <v>1</v>
      </c>
      <c r="H552" s="29" t="str">
        <f>Item_Enchant_Old!H556</f>
        <v>@</v>
      </c>
      <c r="I552" s="29">
        <f>Item_Enchant_Old!I556</f>
        <v>1</v>
      </c>
      <c r="J552" s="29" t="str">
        <f>Item_Enchant_Old!J556</f>
        <v>절대값/상대값(%) 가능</v>
      </c>
      <c r="K552" s="29">
        <f>Item_Enchant_Old!K556</f>
        <v>11</v>
      </c>
      <c r="L552" s="29">
        <f>Item_Enchant_Old!L556</f>
        <v>0</v>
      </c>
      <c r="M552" s="29">
        <f>Item_Enchant_Old!M556</f>
        <v>1</v>
      </c>
      <c r="N552" s="29">
        <f>Item_Enchant_Old!N556</f>
        <v>125</v>
      </c>
      <c r="O552" s="29">
        <f>Item_Enchant_Old!O556</f>
        <v>1</v>
      </c>
      <c r="P552" s="29">
        <f>Item_Enchant_Old!P556</f>
        <v>1</v>
      </c>
      <c r="Q552" s="29">
        <f>Item_Enchant_Old!Q556</f>
        <v>1</v>
      </c>
      <c r="R552" s="29">
        <f>Item_Enchant_Old!R556</f>
        <v>1</v>
      </c>
    </row>
    <row r="553" spans="1:18" s="29" customFormat="1" hidden="1">
      <c r="A553" s="29">
        <f>Item_Enchant_Old!A557</f>
        <v>552</v>
      </c>
      <c r="B553" s="29" t="str">
        <f>Item_Enchant_Old!B557</f>
        <v>ACTIVE_STR_UP</v>
      </c>
      <c r="C553" s="29">
        <f>Item_Enchant_Old!C557</f>
        <v>610</v>
      </c>
      <c r="D553" s="29">
        <f>Item_Enchant_Old!D557</f>
        <v>0</v>
      </c>
      <c r="E553" s="29">
        <f>Item_Enchant_Old!E557</f>
        <v>0</v>
      </c>
      <c r="F553" s="29">
        <f>Item_Enchant_Old!F557</f>
        <v>0</v>
      </c>
      <c r="G553" s="29">
        <f>Item_Enchant_Old!G557</f>
        <v>2</v>
      </c>
      <c r="H553" s="29" t="str">
        <f>Item_Enchant_Old!H557</f>
        <v>@</v>
      </c>
      <c r="I553" s="29">
        <f>Item_Enchant_Old!I557</f>
        <v>1</v>
      </c>
      <c r="J553" s="29" t="str">
        <f>Item_Enchant_Old!J557</f>
        <v>절대값/상대값(%) 가능</v>
      </c>
      <c r="K553" s="29">
        <f>Item_Enchant_Old!K557</f>
        <v>11</v>
      </c>
      <c r="L553" s="29">
        <f>Item_Enchant_Old!L557</f>
        <v>0</v>
      </c>
      <c r="M553" s="29">
        <f>Item_Enchant_Old!M557</f>
        <v>1</v>
      </c>
      <c r="N553" s="29">
        <f>Item_Enchant_Old!N557</f>
        <v>57</v>
      </c>
      <c r="O553" s="29">
        <f>Item_Enchant_Old!O557</f>
        <v>1</v>
      </c>
      <c r="P553" s="29">
        <f>Item_Enchant_Old!P557</f>
        <v>1</v>
      </c>
      <c r="Q553" s="29">
        <f>Item_Enchant_Old!Q557</f>
        <v>1</v>
      </c>
      <c r="R553" s="29">
        <f>Item_Enchant_Old!R557</f>
        <v>1</v>
      </c>
    </row>
    <row r="554" spans="1:18" s="29" customFormat="1" hidden="1">
      <c r="A554" s="29">
        <f>Item_Enchant_Old!A558</f>
        <v>553</v>
      </c>
      <c r="B554" s="29" t="str">
        <f>Item_Enchant_Old!B558</f>
        <v>ACTIVE_DEX_UP</v>
      </c>
      <c r="C554" s="29">
        <f>Item_Enchant_Old!C558</f>
        <v>613</v>
      </c>
      <c r="D554" s="29">
        <f>Item_Enchant_Old!D558</f>
        <v>0</v>
      </c>
      <c r="E554" s="29">
        <f>Item_Enchant_Old!E558</f>
        <v>0</v>
      </c>
      <c r="F554" s="29">
        <f>Item_Enchant_Old!F558</f>
        <v>0</v>
      </c>
      <c r="G554" s="29">
        <f>Item_Enchant_Old!G558</f>
        <v>3</v>
      </c>
      <c r="H554" s="29" t="str">
        <f>Item_Enchant_Old!H558</f>
        <v>@</v>
      </c>
      <c r="I554" s="29">
        <f>Item_Enchant_Old!I558</f>
        <v>1</v>
      </c>
      <c r="J554" s="29" t="str">
        <f>Item_Enchant_Old!J558</f>
        <v>절대값/상대값(%) 가능</v>
      </c>
      <c r="K554" s="29">
        <f>Item_Enchant_Old!K558</f>
        <v>11</v>
      </c>
      <c r="L554" s="29">
        <f>Item_Enchant_Old!L558</f>
        <v>0</v>
      </c>
      <c r="M554" s="29">
        <f>Item_Enchant_Old!M558</f>
        <v>1</v>
      </c>
      <c r="N554" s="29">
        <f>Item_Enchant_Old!N558</f>
        <v>44</v>
      </c>
      <c r="O554" s="29">
        <f>Item_Enchant_Old!O558</f>
        <v>1</v>
      </c>
      <c r="P554" s="29">
        <f>Item_Enchant_Old!P558</f>
        <v>1</v>
      </c>
      <c r="Q554" s="29">
        <f>Item_Enchant_Old!Q558</f>
        <v>1</v>
      </c>
      <c r="R554" s="29">
        <f>Item_Enchant_Old!R558</f>
        <v>1</v>
      </c>
    </row>
    <row r="555" spans="1:18" s="29" customFormat="1" hidden="1">
      <c r="A555" s="29">
        <f>Item_Enchant_Old!A559</f>
        <v>554</v>
      </c>
      <c r="B555" s="29" t="str">
        <f>Item_Enchant_Old!B559</f>
        <v>ACTIVE_PHYSICAL_CRITICAL_DAMAGE_UP</v>
      </c>
      <c r="C555" s="29">
        <f>Item_Enchant_Old!C559</f>
        <v>658</v>
      </c>
      <c r="D555" s="29">
        <f>Item_Enchant_Old!D559</f>
        <v>0</v>
      </c>
      <c r="E555" s="29">
        <f>Item_Enchant_Old!E559</f>
        <v>0</v>
      </c>
      <c r="F555" s="29">
        <f>Item_Enchant_Old!F559</f>
        <v>0</v>
      </c>
      <c r="G555" s="29">
        <f>Item_Enchant_Old!G559</f>
        <v>4</v>
      </c>
      <c r="H555" s="29" t="str">
        <f>Item_Enchant_Old!H559</f>
        <v>@</v>
      </c>
      <c r="I555" s="29">
        <f>Item_Enchant_Old!I559</f>
        <v>1</v>
      </c>
      <c r="J555" s="29" t="str">
        <f>Item_Enchant_Old!J559</f>
        <v>절대값만 가능</v>
      </c>
      <c r="K555" s="29">
        <f>Item_Enchant_Old!K559</f>
        <v>11</v>
      </c>
      <c r="L555" s="29">
        <f>Item_Enchant_Old!L559</f>
        <v>0</v>
      </c>
      <c r="M555" s="29">
        <f>Item_Enchant_Old!M559</f>
        <v>1</v>
      </c>
      <c r="N555" s="29">
        <f>Item_Enchant_Old!N559</f>
        <v>28</v>
      </c>
      <c r="O555" s="29">
        <f>Item_Enchant_Old!O559</f>
        <v>1</v>
      </c>
      <c r="P555" s="29">
        <f>Item_Enchant_Old!P559</f>
        <v>1</v>
      </c>
      <c r="Q555" s="29">
        <f>Item_Enchant_Old!Q559</f>
        <v>1</v>
      </c>
      <c r="R555" s="29">
        <f>Item_Enchant_Old!R559</f>
        <v>1</v>
      </c>
    </row>
    <row r="556" spans="1:18" s="29" customFormat="1" hidden="1">
      <c r="A556" s="29">
        <f>Item_Enchant_Old!A560</f>
        <v>555</v>
      </c>
      <c r="B556" s="29" t="str">
        <f>Item_Enchant_Old!B560</f>
        <v>ACTIVE_PHYSICAL_CRITICAL_DAMAGE_UP</v>
      </c>
      <c r="C556" s="29">
        <f>Item_Enchant_Old!C560</f>
        <v>658</v>
      </c>
      <c r="D556" s="29">
        <f>Item_Enchant_Old!D560</f>
        <v>0</v>
      </c>
      <c r="E556" s="29">
        <f>Item_Enchant_Old!E560</f>
        <v>0</v>
      </c>
      <c r="F556" s="29">
        <f>Item_Enchant_Old!F560</f>
        <v>0</v>
      </c>
      <c r="G556" s="29">
        <f>Item_Enchant_Old!G560</f>
        <v>4</v>
      </c>
      <c r="H556" s="29" t="str">
        <f>Item_Enchant_Old!H560</f>
        <v>@</v>
      </c>
      <c r="I556" s="29">
        <f>Item_Enchant_Old!I560</f>
        <v>1</v>
      </c>
      <c r="J556" s="29" t="str">
        <f>Item_Enchant_Old!J560</f>
        <v>절대값만 가능</v>
      </c>
      <c r="K556" s="29">
        <f>Item_Enchant_Old!K560</f>
        <v>11</v>
      </c>
      <c r="L556" s="29">
        <f>Item_Enchant_Old!L560</f>
        <v>0</v>
      </c>
      <c r="M556" s="29">
        <f>Item_Enchant_Old!M560</f>
        <v>2</v>
      </c>
      <c r="N556" s="29">
        <f>Item_Enchant_Old!N560</f>
        <v>28</v>
      </c>
      <c r="O556" s="29">
        <f>Item_Enchant_Old!O560</f>
        <v>1</v>
      </c>
      <c r="P556" s="29">
        <f>Item_Enchant_Old!P560</f>
        <v>1</v>
      </c>
      <c r="Q556" s="29">
        <f>Item_Enchant_Old!Q560</f>
        <v>1</v>
      </c>
      <c r="R556" s="29">
        <f>Item_Enchant_Old!R560</f>
        <v>1</v>
      </c>
    </row>
    <row r="557" spans="1:18" s="29" customFormat="1" hidden="1">
      <c r="A557" s="29">
        <f>Item_Enchant_Old!A561</f>
        <v>556</v>
      </c>
      <c r="B557" s="29" t="str">
        <f>Item_Enchant_Old!B561</f>
        <v>ACTIVE_PHYSICAL_CRITICAL</v>
      </c>
      <c r="C557" s="29">
        <f>Item_Enchant_Old!C561</f>
        <v>632</v>
      </c>
      <c r="D557" s="29">
        <f>Item_Enchant_Old!D561</f>
        <v>0</v>
      </c>
      <c r="E557" s="29">
        <f>Item_Enchant_Old!E561</f>
        <v>0</v>
      </c>
      <c r="F557" s="29">
        <f>Item_Enchant_Old!F561</f>
        <v>0</v>
      </c>
      <c r="G557" s="29">
        <f>Item_Enchant_Old!G561</f>
        <v>5</v>
      </c>
      <c r="H557" s="29" t="str">
        <f>Item_Enchant_Old!H561</f>
        <v>@</v>
      </c>
      <c r="I557" s="29">
        <f>Item_Enchant_Old!I561</f>
        <v>1</v>
      </c>
      <c r="J557" s="29" t="str">
        <f>Item_Enchant_Old!J561</f>
        <v>절대값/상대값(%) 가능</v>
      </c>
      <c r="K557" s="29">
        <f>Item_Enchant_Old!K561</f>
        <v>11</v>
      </c>
      <c r="L557" s="29">
        <f>Item_Enchant_Old!L561</f>
        <v>0</v>
      </c>
      <c r="M557" s="29">
        <f>Item_Enchant_Old!M561</f>
        <v>2</v>
      </c>
      <c r="N557" s="29">
        <f>Item_Enchant_Old!N561</f>
        <v>21</v>
      </c>
      <c r="O557" s="29">
        <f>Item_Enchant_Old!O561</f>
        <v>1</v>
      </c>
      <c r="P557" s="29">
        <f>Item_Enchant_Old!P561</f>
        <v>1</v>
      </c>
      <c r="Q557" s="29">
        <f>Item_Enchant_Old!Q561</f>
        <v>1</v>
      </c>
      <c r="R557" s="29">
        <f>Item_Enchant_Old!R561</f>
        <v>1</v>
      </c>
    </row>
    <row r="558" spans="1:18" s="29" customFormat="1" hidden="1">
      <c r="A558" s="29">
        <f>Item_Enchant_Old!A562</f>
        <v>557</v>
      </c>
      <c r="B558" s="29" t="str">
        <f>Item_Enchant_Old!B562</f>
        <v>ACTIVE_DEX_UP</v>
      </c>
      <c r="C558" s="29">
        <f>Item_Enchant_Old!C562</f>
        <v>613</v>
      </c>
      <c r="D558" s="29">
        <f>Item_Enchant_Old!D562</f>
        <v>0</v>
      </c>
      <c r="E558" s="29">
        <f>Item_Enchant_Old!E562</f>
        <v>0</v>
      </c>
      <c r="F558" s="29">
        <f>Item_Enchant_Old!F562</f>
        <v>0</v>
      </c>
      <c r="G558" s="29">
        <f>Item_Enchant_Old!G562</f>
        <v>3</v>
      </c>
      <c r="H558" s="29" t="str">
        <f>Item_Enchant_Old!H562</f>
        <v>@</v>
      </c>
      <c r="I558" s="29">
        <f>Item_Enchant_Old!I562</f>
        <v>1</v>
      </c>
      <c r="J558" s="29" t="str">
        <f>Item_Enchant_Old!J562</f>
        <v>절대값/상대값(%) 가능</v>
      </c>
      <c r="K558" s="29">
        <f>Item_Enchant_Old!K562</f>
        <v>11</v>
      </c>
      <c r="L558" s="29">
        <f>Item_Enchant_Old!L562</f>
        <v>0</v>
      </c>
      <c r="M558" s="29">
        <f>Item_Enchant_Old!M562</f>
        <v>2</v>
      </c>
      <c r="N558" s="29">
        <f>Item_Enchant_Old!N562</f>
        <v>44</v>
      </c>
      <c r="O558" s="29">
        <f>Item_Enchant_Old!O562</f>
        <v>1</v>
      </c>
      <c r="P558" s="29">
        <f>Item_Enchant_Old!P562</f>
        <v>1</v>
      </c>
      <c r="Q558" s="29">
        <f>Item_Enchant_Old!Q562</f>
        <v>1</v>
      </c>
      <c r="R558" s="29">
        <f>Item_Enchant_Old!R562</f>
        <v>1</v>
      </c>
    </row>
    <row r="559" spans="1:18" s="29" customFormat="1" hidden="1">
      <c r="A559" s="29">
        <f>Item_Enchant_Old!A563</f>
        <v>558</v>
      </c>
      <c r="B559" s="29" t="str">
        <f>Item_Enchant_Old!B563</f>
        <v>ACTIVE_FOC_UP</v>
      </c>
      <c r="C559" s="29">
        <f>Item_Enchant_Old!C563</f>
        <v>612</v>
      </c>
      <c r="D559" s="29">
        <f>Item_Enchant_Old!D563</f>
        <v>0</v>
      </c>
      <c r="E559" s="29">
        <f>Item_Enchant_Old!E563</f>
        <v>0</v>
      </c>
      <c r="F559" s="29">
        <f>Item_Enchant_Old!F563</f>
        <v>0</v>
      </c>
      <c r="G559" s="29">
        <f>Item_Enchant_Old!G563</f>
        <v>2</v>
      </c>
      <c r="H559" s="29" t="str">
        <f>Item_Enchant_Old!H563</f>
        <v>@</v>
      </c>
      <c r="I559" s="29">
        <f>Item_Enchant_Old!I563</f>
        <v>1</v>
      </c>
      <c r="J559" s="29" t="str">
        <f>Item_Enchant_Old!J563</f>
        <v>절대값/상대값(%) 가능</v>
      </c>
      <c r="K559" s="29">
        <f>Item_Enchant_Old!K563</f>
        <v>11</v>
      </c>
      <c r="L559" s="29">
        <f>Item_Enchant_Old!L563</f>
        <v>0</v>
      </c>
      <c r="M559" s="29">
        <f>Item_Enchant_Old!M563</f>
        <v>2</v>
      </c>
      <c r="N559" s="29">
        <f>Item_Enchant_Old!N563</f>
        <v>53</v>
      </c>
      <c r="O559" s="29">
        <f>Item_Enchant_Old!O563</f>
        <v>1</v>
      </c>
      <c r="P559" s="29">
        <f>Item_Enchant_Old!P563</f>
        <v>1</v>
      </c>
      <c r="Q559" s="29">
        <f>Item_Enchant_Old!Q563</f>
        <v>1</v>
      </c>
      <c r="R559" s="29">
        <f>Item_Enchant_Old!R563</f>
        <v>1</v>
      </c>
    </row>
    <row r="560" spans="1:18" s="29" customFormat="1" hidden="1">
      <c r="A560" s="29">
        <f>Item_Enchant_Old!A564</f>
        <v>559</v>
      </c>
      <c r="B560" s="29" t="str">
        <f>Item_Enchant_Old!B564</f>
        <v>ACTIVE_ENERGY_OFFENCE_UP</v>
      </c>
      <c r="C560" s="29">
        <f>Item_Enchant_Old!C564</f>
        <v>607</v>
      </c>
      <c r="D560" s="29">
        <f>Item_Enchant_Old!D564</f>
        <v>0</v>
      </c>
      <c r="E560" s="29">
        <f>Item_Enchant_Old!E564</f>
        <v>0</v>
      </c>
      <c r="F560" s="29">
        <f>Item_Enchant_Old!F564</f>
        <v>0</v>
      </c>
      <c r="G560" s="29">
        <f>Item_Enchant_Old!G564</f>
        <v>1</v>
      </c>
      <c r="H560" s="29" t="str">
        <f>Item_Enchant_Old!H564</f>
        <v>@</v>
      </c>
      <c r="I560" s="29">
        <f>Item_Enchant_Old!I564</f>
        <v>1</v>
      </c>
      <c r="J560" s="29" t="str">
        <f>Item_Enchant_Old!J564</f>
        <v>절대값/상대값(%) 가능</v>
      </c>
      <c r="K560" s="29">
        <f>Item_Enchant_Old!K564</f>
        <v>11</v>
      </c>
      <c r="L560" s="29">
        <f>Item_Enchant_Old!L564</f>
        <v>0</v>
      </c>
      <c r="M560" s="29">
        <f>Item_Enchant_Old!M564</f>
        <v>3</v>
      </c>
      <c r="N560" s="29">
        <f>Item_Enchant_Old!N564</f>
        <v>104</v>
      </c>
      <c r="O560" s="29">
        <f>Item_Enchant_Old!O564</f>
        <v>1</v>
      </c>
      <c r="P560" s="29">
        <f>Item_Enchant_Old!P564</f>
        <v>1</v>
      </c>
      <c r="Q560" s="29">
        <f>Item_Enchant_Old!Q564</f>
        <v>1</v>
      </c>
      <c r="R560" s="29">
        <f>Item_Enchant_Old!R564</f>
        <v>1</v>
      </c>
    </row>
    <row r="561" spans="1:18" s="29" customFormat="1" hidden="1">
      <c r="A561" s="29">
        <f>Item_Enchant_Old!A565</f>
        <v>560</v>
      </c>
      <c r="B561" s="29" t="str">
        <f>Item_Enchant_Old!B565</f>
        <v>ACTIVE_FOC_UP</v>
      </c>
      <c r="C561" s="29">
        <f>Item_Enchant_Old!C565</f>
        <v>612</v>
      </c>
      <c r="D561" s="29">
        <f>Item_Enchant_Old!D565</f>
        <v>0</v>
      </c>
      <c r="E561" s="29">
        <f>Item_Enchant_Old!E565</f>
        <v>0</v>
      </c>
      <c r="F561" s="29">
        <f>Item_Enchant_Old!F565</f>
        <v>0</v>
      </c>
      <c r="G561" s="29">
        <f>Item_Enchant_Old!G565</f>
        <v>2</v>
      </c>
      <c r="H561" s="29" t="str">
        <f>Item_Enchant_Old!H565</f>
        <v>@</v>
      </c>
      <c r="I561" s="29">
        <f>Item_Enchant_Old!I565</f>
        <v>1</v>
      </c>
      <c r="J561" s="29" t="str">
        <f>Item_Enchant_Old!J565</f>
        <v>절대값/상대값(%) 가능</v>
      </c>
      <c r="K561" s="29">
        <f>Item_Enchant_Old!K565</f>
        <v>11</v>
      </c>
      <c r="L561" s="29">
        <f>Item_Enchant_Old!L565</f>
        <v>0</v>
      </c>
      <c r="M561" s="29">
        <f>Item_Enchant_Old!M565</f>
        <v>3</v>
      </c>
      <c r="N561" s="29">
        <f>Item_Enchant_Old!N565</f>
        <v>53</v>
      </c>
      <c r="O561" s="29">
        <f>Item_Enchant_Old!O565</f>
        <v>1</v>
      </c>
      <c r="P561" s="29">
        <f>Item_Enchant_Old!P565</f>
        <v>1</v>
      </c>
      <c r="Q561" s="29">
        <f>Item_Enchant_Old!Q565</f>
        <v>1</v>
      </c>
      <c r="R561" s="29">
        <f>Item_Enchant_Old!R565</f>
        <v>1</v>
      </c>
    </row>
    <row r="562" spans="1:18" s="29" customFormat="1" hidden="1">
      <c r="A562" s="29">
        <f>Item_Enchant_Old!A566</f>
        <v>561</v>
      </c>
      <c r="B562" s="29" t="str">
        <f>Item_Enchant_Old!B566</f>
        <v>ACTIVE_SOL_UP</v>
      </c>
      <c r="C562" s="29">
        <f>Item_Enchant_Old!C566</f>
        <v>614</v>
      </c>
      <c r="D562" s="29">
        <f>Item_Enchant_Old!D566</f>
        <v>0</v>
      </c>
      <c r="E562" s="29">
        <f>Item_Enchant_Old!E566</f>
        <v>0</v>
      </c>
      <c r="F562" s="29">
        <f>Item_Enchant_Old!F566</f>
        <v>0</v>
      </c>
      <c r="G562" s="29">
        <f>Item_Enchant_Old!G566</f>
        <v>2</v>
      </c>
      <c r="H562" s="29" t="str">
        <f>Item_Enchant_Old!H566</f>
        <v>@</v>
      </c>
      <c r="I562" s="29">
        <f>Item_Enchant_Old!I566</f>
        <v>1</v>
      </c>
      <c r="J562" s="29" t="str">
        <f>Item_Enchant_Old!J566</f>
        <v>절대값/상대값(%) 가능</v>
      </c>
      <c r="K562" s="29">
        <f>Item_Enchant_Old!K566</f>
        <v>11</v>
      </c>
      <c r="L562" s="29">
        <f>Item_Enchant_Old!L566</f>
        <v>0</v>
      </c>
      <c r="M562" s="29">
        <f>Item_Enchant_Old!M566</f>
        <v>3</v>
      </c>
      <c r="N562" s="29">
        <f>Item_Enchant_Old!N566</f>
        <v>53</v>
      </c>
      <c r="O562" s="29">
        <f>Item_Enchant_Old!O566</f>
        <v>1</v>
      </c>
      <c r="P562" s="29">
        <f>Item_Enchant_Old!P566</f>
        <v>1</v>
      </c>
      <c r="Q562" s="29">
        <f>Item_Enchant_Old!Q566</f>
        <v>1</v>
      </c>
      <c r="R562" s="29">
        <f>Item_Enchant_Old!R566</f>
        <v>1</v>
      </c>
    </row>
    <row r="563" spans="1:18" s="29" customFormat="1" hidden="1">
      <c r="A563" s="29">
        <f>Item_Enchant_Old!A567</f>
        <v>562</v>
      </c>
      <c r="B563" s="29" t="str">
        <f>Item_Enchant_Old!B567</f>
        <v>ACTIVE_ENERGY_CRITICAL_DAMAGE_UP</v>
      </c>
      <c r="C563" s="29">
        <f>Item_Enchant_Old!C567</f>
        <v>659</v>
      </c>
      <c r="D563" s="29">
        <f>Item_Enchant_Old!D567</f>
        <v>0</v>
      </c>
      <c r="E563" s="29">
        <f>Item_Enchant_Old!E567</f>
        <v>0</v>
      </c>
      <c r="F563" s="29">
        <f>Item_Enchant_Old!F567</f>
        <v>0</v>
      </c>
      <c r="G563" s="29">
        <f>Item_Enchant_Old!G567</f>
        <v>4</v>
      </c>
      <c r="H563" s="29" t="str">
        <f>Item_Enchant_Old!H567</f>
        <v>@</v>
      </c>
      <c r="I563" s="29">
        <f>Item_Enchant_Old!I567</f>
        <v>1</v>
      </c>
      <c r="J563" s="29" t="str">
        <f>Item_Enchant_Old!J567</f>
        <v>절대값만 가능</v>
      </c>
      <c r="K563" s="29">
        <f>Item_Enchant_Old!K567</f>
        <v>11</v>
      </c>
      <c r="L563" s="29">
        <f>Item_Enchant_Old!L567</f>
        <v>0</v>
      </c>
      <c r="M563" s="29">
        <f>Item_Enchant_Old!M567</f>
        <v>3</v>
      </c>
      <c r="N563" s="29">
        <f>Item_Enchant_Old!N567</f>
        <v>32</v>
      </c>
      <c r="O563" s="29">
        <f>Item_Enchant_Old!O567</f>
        <v>1</v>
      </c>
      <c r="P563" s="29">
        <f>Item_Enchant_Old!P567</f>
        <v>1</v>
      </c>
      <c r="Q563" s="29">
        <f>Item_Enchant_Old!Q567</f>
        <v>1</v>
      </c>
      <c r="R563" s="29">
        <f>Item_Enchant_Old!R567</f>
        <v>1</v>
      </c>
    </row>
    <row r="564" spans="1:18" s="29" customFormat="1" hidden="1">
      <c r="A564" s="29">
        <f>Item_Enchant_Old!A568</f>
        <v>563</v>
      </c>
      <c r="B564" s="29" t="str">
        <f>Item_Enchant_Old!B568</f>
        <v>ACTIVE_ENERGY_CRITICAL</v>
      </c>
      <c r="C564" s="29">
        <f>Item_Enchant_Old!C568</f>
        <v>633</v>
      </c>
      <c r="D564" s="29">
        <f>Item_Enchant_Old!D568</f>
        <v>0</v>
      </c>
      <c r="E564" s="29">
        <f>Item_Enchant_Old!E568</f>
        <v>0</v>
      </c>
      <c r="F564" s="29">
        <f>Item_Enchant_Old!F568</f>
        <v>0</v>
      </c>
      <c r="G564" s="29">
        <f>Item_Enchant_Old!G568</f>
        <v>5</v>
      </c>
      <c r="H564" s="29" t="str">
        <f>Item_Enchant_Old!H568</f>
        <v>@</v>
      </c>
      <c r="I564" s="29">
        <f>Item_Enchant_Old!I568</f>
        <v>1</v>
      </c>
      <c r="J564" s="29" t="str">
        <f>Item_Enchant_Old!J568</f>
        <v>절대값/상대값(%) 가능</v>
      </c>
      <c r="K564" s="29">
        <f>Item_Enchant_Old!K568</f>
        <v>11</v>
      </c>
      <c r="L564" s="29">
        <f>Item_Enchant_Old!L568</f>
        <v>0</v>
      </c>
      <c r="M564" s="29">
        <f>Item_Enchant_Old!M568</f>
        <v>4</v>
      </c>
      <c r="N564" s="29">
        <f>Item_Enchant_Old!N568</f>
        <v>24</v>
      </c>
      <c r="O564" s="29">
        <f>Item_Enchant_Old!O568</f>
        <v>1</v>
      </c>
      <c r="P564" s="29">
        <f>Item_Enchant_Old!P568</f>
        <v>1</v>
      </c>
      <c r="Q564" s="29">
        <f>Item_Enchant_Old!Q568</f>
        <v>1</v>
      </c>
      <c r="R564" s="29">
        <f>Item_Enchant_Old!R568</f>
        <v>1</v>
      </c>
    </row>
    <row r="565" spans="1:18" s="29" customFormat="1" hidden="1">
      <c r="A565" s="29">
        <f>Item_Enchant_Old!A569</f>
        <v>564</v>
      </c>
      <c r="B565" s="29" t="str">
        <f>Item_Enchant_Old!B569</f>
        <v>ACTIVE_ENERGY_CRITICAL_DAMAGE_UP</v>
      </c>
      <c r="C565" s="29">
        <f>Item_Enchant_Old!C569</f>
        <v>659</v>
      </c>
      <c r="D565" s="29">
        <f>Item_Enchant_Old!D569</f>
        <v>0</v>
      </c>
      <c r="E565" s="29">
        <f>Item_Enchant_Old!E569</f>
        <v>0</v>
      </c>
      <c r="F565" s="29">
        <f>Item_Enchant_Old!F569</f>
        <v>0</v>
      </c>
      <c r="G565" s="29">
        <f>Item_Enchant_Old!G569</f>
        <v>4</v>
      </c>
      <c r="H565" s="29" t="str">
        <f>Item_Enchant_Old!H569</f>
        <v>@</v>
      </c>
      <c r="I565" s="29">
        <f>Item_Enchant_Old!I569</f>
        <v>1</v>
      </c>
      <c r="J565" s="29" t="str">
        <f>Item_Enchant_Old!J569</f>
        <v>절대값만 가능</v>
      </c>
      <c r="K565" s="29">
        <f>Item_Enchant_Old!K569</f>
        <v>11</v>
      </c>
      <c r="L565" s="29">
        <f>Item_Enchant_Old!L569</f>
        <v>0</v>
      </c>
      <c r="M565" s="29">
        <f>Item_Enchant_Old!M569</f>
        <v>4</v>
      </c>
      <c r="N565" s="29">
        <f>Item_Enchant_Old!N569</f>
        <v>32</v>
      </c>
      <c r="O565" s="29">
        <f>Item_Enchant_Old!O569</f>
        <v>1</v>
      </c>
      <c r="P565" s="29">
        <f>Item_Enchant_Old!P569</f>
        <v>1</v>
      </c>
      <c r="Q565" s="29">
        <f>Item_Enchant_Old!Q569</f>
        <v>1</v>
      </c>
      <c r="R565" s="29">
        <f>Item_Enchant_Old!R569</f>
        <v>1</v>
      </c>
    </row>
    <row r="566" spans="1:18" s="29" customFormat="1" hidden="1">
      <c r="A566" s="29">
        <f>Item_Enchant_Old!A570</f>
        <v>565</v>
      </c>
      <c r="B566" s="29" t="str">
        <f>Item_Enchant_Old!B570</f>
        <v>ACTIVE_FOC_UP</v>
      </c>
      <c r="C566" s="29">
        <f>Item_Enchant_Old!C570</f>
        <v>612</v>
      </c>
      <c r="D566" s="29">
        <f>Item_Enchant_Old!D570</f>
        <v>0</v>
      </c>
      <c r="E566" s="29">
        <f>Item_Enchant_Old!E570</f>
        <v>0</v>
      </c>
      <c r="F566" s="29">
        <f>Item_Enchant_Old!F570</f>
        <v>0</v>
      </c>
      <c r="G566" s="29">
        <f>Item_Enchant_Old!G570</f>
        <v>2</v>
      </c>
      <c r="H566" s="29" t="str">
        <f>Item_Enchant_Old!H570</f>
        <v>@</v>
      </c>
      <c r="I566" s="29">
        <f>Item_Enchant_Old!I570</f>
        <v>1</v>
      </c>
      <c r="J566" s="29" t="str">
        <f>Item_Enchant_Old!J570</f>
        <v>절대값/상대값(%) 가능</v>
      </c>
      <c r="K566" s="29">
        <f>Item_Enchant_Old!K570</f>
        <v>11</v>
      </c>
      <c r="L566" s="29">
        <f>Item_Enchant_Old!L570</f>
        <v>0</v>
      </c>
      <c r="M566" s="29">
        <f>Item_Enchant_Old!M570</f>
        <v>4</v>
      </c>
      <c r="N566" s="29">
        <f>Item_Enchant_Old!N570</f>
        <v>53</v>
      </c>
      <c r="O566" s="29">
        <f>Item_Enchant_Old!O570</f>
        <v>1</v>
      </c>
      <c r="P566" s="29">
        <f>Item_Enchant_Old!P570</f>
        <v>1</v>
      </c>
      <c r="Q566" s="29">
        <f>Item_Enchant_Old!Q570</f>
        <v>1</v>
      </c>
      <c r="R566" s="29">
        <f>Item_Enchant_Old!R570</f>
        <v>1</v>
      </c>
    </row>
    <row r="567" spans="1:18" s="29" customFormat="1" hidden="1">
      <c r="A567" s="29">
        <f>Item_Enchant_Old!A571</f>
        <v>566</v>
      </c>
      <c r="B567" s="29" t="str">
        <f>Item_Enchant_Old!B571</f>
        <v>ACTIVE_DEX_UP</v>
      </c>
      <c r="C567" s="29">
        <f>Item_Enchant_Old!C571</f>
        <v>613</v>
      </c>
      <c r="D567" s="29">
        <f>Item_Enchant_Old!D571</f>
        <v>0</v>
      </c>
      <c r="E567" s="29">
        <f>Item_Enchant_Old!E571</f>
        <v>0</v>
      </c>
      <c r="F567" s="29">
        <f>Item_Enchant_Old!F571</f>
        <v>0</v>
      </c>
      <c r="G567" s="29">
        <f>Item_Enchant_Old!G571</f>
        <v>3</v>
      </c>
      <c r="H567" s="29" t="str">
        <f>Item_Enchant_Old!H571</f>
        <v>@</v>
      </c>
      <c r="I567" s="29">
        <f>Item_Enchant_Old!I571</f>
        <v>1</v>
      </c>
      <c r="J567" s="29" t="str">
        <f>Item_Enchant_Old!J571</f>
        <v>절대값/상대값(%) 가능</v>
      </c>
      <c r="K567" s="29">
        <f>Item_Enchant_Old!K571</f>
        <v>11</v>
      </c>
      <c r="L567" s="29">
        <f>Item_Enchant_Old!L571</f>
        <v>0</v>
      </c>
      <c r="M567" s="29">
        <f>Item_Enchant_Old!M571</f>
        <v>4</v>
      </c>
      <c r="N567" s="29">
        <f>Item_Enchant_Old!N571</f>
        <v>44</v>
      </c>
      <c r="O567" s="29">
        <f>Item_Enchant_Old!O571</f>
        <v>1</v>
      </c>
      <c r="P567" s="29">
        <f>Item_Enchant_Old!P571</f>
        <v>1</v>
      </c>
      <c r="Q567" s="29">
        <f>Item_Enchant_Old!Q571</f>
        <v>1</v>
      </c>
      <c r="R567" s="29">
        <f>Item_Enchant_Old!R571</f>
        <v>1</v>
      </c>
    </row>
    <row r="568" spans="1:18" s="29" customFormat="1" hidden="1">
      <c r="A568" s="29">
        <f>Item_Enchant_Old!A572</f>
        <v>567</v>
      </c>
      <c r="B568" s="29" t="str">
        <f>Item_Enchant_Old!B572</f>
        <v>ACTIVE_ATTACK_SPEED_UP</v>
      </c>
      <c r="C568" s="29">
        <f>Item_Enchant_Old!C572</f>
        <v>617</v>
      </c>
      <c r="D568" s="29">
        <f>Item_Enchant_Old!D572</f>
        <v>1</v>
      </c>
      <c r="E568" s="29">
        <f>Item_Enchant_Old!E572</f>
        <v>0</v>
      </c>
      <c r="F568" s="29">
        <f>Item_Enchant_Old!F572</f>
        <v>0</v>
      </c>
      <c r="G568" s="29">
        <f>Item_Enchant_Old!G572</f>
        <v>10</v>
      </c>
      <c r="H568" s="29" t="str">
        <f>Item_Enchant_Old!H572</f>
        <v>@</v>
      </c>
      <c r="I568" s="29">
        <f>Item_Enchant_Old!I572</f>
        <v>1</v>
      </c>
      <c r="J568" s="29" t="str">
        <f>Item_Enchant_Old!J572</f>
        <v>절대값/상대값(%) 가능</v>
      </c>
      <c r="K568" s="29">
        <f>Item_Enchant_Old!K572</f>
        <v>11</v>
      </c>
      <c r="L568" s="29">
        <f>Item_Enchant_Old!L572</f>
        <v>0</v>
      </c>
      <c r="M568" s="29">
        <f>Item_Enchant_Old!M572</f>
        <v>5</v>
      </c>
      <c r="N568" s="29">
        <f>Item_Enchant_Old!N572</f>
        <v>10</v>
      </c>
      <c r="O568" s="29">
        <f>Item_Enchant_Old!O572</f>
        <v>1</v>
      </c>
      <c r="P568" s="29">
        <f>Item_Enchant_Old!P572</f>
        <v>1</v>
      </c>
      <c r="Q568" s="29">
        <f>Item_Enchant_Old!Q572</f>
        <v>1</v>
      </c>
      <c r="R568" s="29">
        <f>Item_Enchant_Old!R572</f>
        <v>1</v>
      </c>
    </row>
    <row r="569" spans="1:18" s="29" customFormat="1" hidden="1">
      <c r="A569" s="29">
        <f>Item_Enchant_Old!A573</f>
        <v>568</v>
      </c>
      <c r="B569" s="29" t="str">
        <f>Item_Enchant_Old!B573</f>
        <v>ACTIVE_DEX_UP</v>
      </c>
      <c r="C569" s="29">
        <f>Item_Enchant_Old!C573</f>
        <v>613</v>
      </c>
      <c r="D569" s="29">
        <f>Item_Enchant_Old!D573</f>
        <v>0</v>
      </c>
      <c r="E569" s="29">
        <f>Item_Enchant_Old!E573</f>
        <v>0</v>
      </c>
      <c r="F569" s="29">
        <f>Item_Enchant_Old!F573</f>
        <v>0</v>
      </c>
      <c r="G569" s="29">
        <f>Item_Enchant_Old!G573</f>
        <v>3</v>
      </c>
      <c r="H569" s="29" t="str">
        <f>Item_Enchant_Old!H573</f>
        <v>@</v>
      </c>
      <c r="I569" s="29">
        <f>Item_Enchant_Old!I573</f>
        <v>1</v>
      </c>
      <c r="J569" s="29" t="str">
        <f>Item_Enchant_Old!J573</f>
        <v>절대값/상대값(%) 가능</v>
      </c>
      <c r="K569" s="29">
        <f>Item_Enchant_Old!K573</f>
        <v>11</v>
      </c>
      <c r="L569" s="29">
        <f>Item_Enchant_Old!L573</f>
        <v>0</v>
      </c>
      <c r="M569" s="29">
        <f>Item_Enchant_Old!M573</f>
        <v>5</v>
      </c>
      <c r="N569" s="29">
        <f>Item_Enchant_Old!N573</f>
        <v>44</v>
      </c>
      <c r="O569" s="29">
        <f>Item_Enchant_Old!O573</f>
        <v>1</v>
      </c>
      <c r="P569" s="29">
        <f>Item_Enchant_Old!P573</f>
        <v>1</v>
      </c>
      <c r="Q569" s="29">
        <f>Item_Enchant_Old!Q573</f>
        <v>1</v>
      </c>
      <c r="R569" s="29">
        <f>Item_Enchant_Old!R573</f>
        <v>1</v>
      </c>
    </row>
    <row r="570" spans="1:18" s="29" customFormat="1" hidden="1">
      <c r="A570" s="29">
        <f>Item_Enchant_Old!A574</f>
        <v>569</v>
      </c>
      <c r="B570" s="29" t="str">
        <f>Item_Enchant_Old!B574</f>
        <v>ACTIVE_FOC_UP</v>
      </c>
      <c r="C570" s="29">
        <f>Item_Enchant_Old!C574</f>
        <v>612</v>
      </c>
      <c r="D570" s="29">
        <f>Item_Enchant_Old!D574</f>
        <v>0</v>
      </c>
      <c r="E570" s="29">
        <f>Item_Enchant_Old!E574</f>
        <v>0</v>
      </c>
      <c r="F570" s="29">
        <f>Item_Enchant_Old!F574</f>
        <v>0</v>
      </c>
      <c r="G570" s="29">
        <f>Item_Enchant_Old!G574</f>
        <v>2</v>
      </c>
      <c r="H570" s="29" t="str">
        <f>Item_Enchant_Old!H574</f>
        <v>@</v>
      </c>
      <c r="I570" s="29">
        <f>Item_Enchant_Old!I574</f>
        <v>1</v>
      </c>
      <c r="J570" s="29" t="str">
        <f>Item_Enchant_Old!J574</f>
        <v>절대값/상대값(%) 가능</v>
      </c>
      <c r="K570" s="29">
        <f>Item_Enchant_Old!K574</f>
        <v>11</v>
      </c>
      <c r="L570" s="29">
        <f>Item_Enchant_Old!L574</f>
        <v>0</v>
      </c>
      <c r="M570" s="29">
        <f>Item_Enchant_Old!M574</f>
        <v>5</v>
      </c>
      <c r="N570" s="29">
        <f>Item_Enchant_Old!N574</f>
        <v>53</v>
      </c>
      <c r="O570" s="29">
        <f>Item_Enchant_Old!O574</f>
        <v>1</v>
      </c>
      <c r="P570" s="29">
        <f>Item_Enchant_Old!P574</f>
        <v>1</v>
      </c>
      <c r="Q570" s="29">
        <f>Item_Enchant_Old!Q574</f>
        <v>1</v>
      </c>
      <c r="R570" s="29">
        <f>Item_Enchant_Old!R574</f>
        <v>1</v>
      </c>
    </row>
    <row r="571" spans="1:18" s="29" customFormat="1" hidden="1">
      <c r="A571" s="29">
        <f>Item_Enchant_Old!A575</f>
        <v>570</v>
      </c>
      <c r="B571" s="29" t="str">
        <f>Item_Enchant_Old!B575</f>
        <v>ACTIVE_PHYSICAL_OFFENCE_UP</v>
      </c>
      <c r="C571" s="29">
        <f>Item_Enchant_Old!C575</f>
        <v>606</v>
      </c>
      <c r="D571" s="29">
        <f>Item_Enchant_Old!D575</f>
        <v>0</v>
      </c>
      <c r="E571" s="29">
        <f>Item_Enchant_Old!E575</f>
        <v>0</v>
      </c>
      <c r="F571" s="29">
        <f>Item_Enchant_Old!F575</f>
        <v>0</v>
      </c>
      <c r="G571" s="29">
        <f>Item_Enchant_Old!G575</f>
        <v>1</v>
      </c>
      <c r="H571" s="29" t="str">
        <f>Item_Enchant_Old!H575</f>
        <v>@</v>
      </c>
      <c r="I571" s="29">
        <f>Item_Enchant_Old!I575</f>
        <v>1</v>
      </c>
      <c r="J571" s="29" t="str">
        <f>Item_Enchant_Old!J575</f>
        <v>절대값/상대값(%) 가능</v>
      </c>
      <c r="K571" s="29">
        <f>Item_Enchant_Old!K575</f>
        <v>11</v>
      </c>
      <c r="L571" s="29">
        <f>Item_Enchant_Old!L575</f>
        <v>0</v>
      </c>
      <c r="M571" s="29">
        <f>Item_Enchant_Old!M575</f>
        <v>5</v>
      </c>
      <c r="N571" s="29">
        <f>Item_Enchant_Old!N575</f>
        <v>125</v>
      </c>
      <c r="O571" s="29">
        <f>Item_Enchant_Old!O575</f>
        <v>1</v>
      </c>
      <c r="P571" s="29">
        <f>Item_Enchant_Old!P575</f>
        <v>1</v>
      </c>
      <c r="Q571" s="29">
        <f>Item_Enchant_Old!Q575</f>
        <v>1</v>
      </c>
      <c r="R571" s="29">
        <f>Item_Enchant_Old!R575</f>
        <v>1</v>
      </c>
    </row>
    <row r="572" spans="1:18" s="29" customFormat="1" hidden="1">
      <c r="A572" s="29">
        <f>Item_Enchant_Old!A576</f>
        <v>571</v>
      </c>
      <c r="B572" s="29" t="str">
        <f>Item_Enchant_Old!B576</f>
        <v>ACTIVE_ENERGY_OFFENCE_UP</v>
      </c>
      <c r="C572" s="29">
        <f>Item_Enchant_Old!C576</f>
        <v>607</v>
      </c>
      <c r="D572" s="29">
        <f>Item_Enchant_Old!D576</f>
        <v>0</v>
      </c>
      <c r="E572" s="29">
        <f>Item_Enchant_Old!E576</f>
        <v>0</v>
      </c>
      <c r="F572" s="29">
        <f>Item_Enchant_Old!F576</f>
        <v>0</v>
      </c>
      <c r="G572" s="29">
        <f>Item_Enchant_Old!G576</f>
        <v>1</v>
      </c>
      <c r="H572" s="29" t="str">
        <f>Item_Enchant_Old!H576</f>
        <v>@</v>
      </c>
      <c r="I572" s="29">
        <f>Item_Enchant_Old!I576</f>
        <v>1</v>
      </c>
      <c r="J572" s="29" t="str">
        <f>Item_Enchant_Old!J576</f>
        <v>절대값/상대값(%) 가능</v>
      </c>
      <c r="K572" s="29">
        <f>Item_Enchant_Old!K576</f>
        <v>11</v>
      </c>
      <c r="L572" s="29">
        <f>Item_Enchant_Old!L576</f>
        <v>0</v>
      </c>
      <c r="M572" s="29">
        <f>Item_Enchant_Old!M576</f>
        <v>5</v>
      </c>
      <c r="N572" s="29">
        <f>Item_Enchant_Old!N576</f>
        <v>104</v>
      </c>
      <c r="O572" s="29">
        <f>Item_Enchant_Old!O576</f>
        <v>1</v>
      </c>
      <c r="P572" s="29">
        <f>Item_Enchant_Old!P576</f>
        <v>1</v>
      </c>
      <c r="Q572" s="29">
        <f>Item_Enchant_Old!Q576</f>
        <v>1</v>
      </c>
      <c r="R572" s="29">
        <f>Item_Enchant_Old!R576</f>
        <v>1</v>
      </c>
    </row>
    <row r="573" spans="1:18" s="29" customFormat="1" hidden="1">
      <c r="A573" s="29">
        <f>Item_Enchant_Old!A577</f>
        <v>572</v>
      </c>
      <c r="B573" s="29" t="str">
        <f>Item_Enchant_Old!B577</f>
        <v>ACTIVE_PHYSICAL_OFFENCE_UP</v>
      </c>
      <c r="C573" s="29">
        <f>Item_Enchant_Old!C577</f>
        <v>606</v>
      </c>
      <c r="D573" s="29">
        <f>Item_Enchant_Old!D577</f>
        <v>0</v>
      </c>
      <c r="E573" s="29">
        <f>Item_Enchant_Old!E577</f>
        <v>0</v>
      </c>
      <c r="F573" s="29">
        <f>Item_Enchant_Old!F577</f>
        <v>0</v>
      </c>
      <c r="G573" s="29">
        <f>Item_Enchant_Old!G577</f>
        <v>1</v>
      </c>
      <c r="H573" s="29" t="str">
        <f>Item_Enchant_Old!H577</f>
        <v>@</v>
      </c>
      <c r="I573" s="29">
        <f>Item_Enchant_Old!I577</f>
        <v>1</v>
      </c>
      <c r="J573" s="29" t="str">
        <f>Item_Enchant_Old!J577</f>
        <v>절대값/상대값(%) 가능</v>
      </c>
      <c r="K573" s="29">
        <f>Item_Enchant_Old!K577</f>
        <v>11</v>
      </c>
      <c r="L573" s="29">
        <f>Item_Enchant_Old!L577</f>
        <v>0</v>
      </c>
      <c r="M573" s="29">
        <f>Item_Enchant_Old!M577</f>
        <v>6</v>
      </c>
      <c r="N573" s="29">
        <f>Item_Enchant_Old!N577</f>
        <v>125</v>
      </c>
      <c r="O573" s="29">
        <f>Item_Enchant_Old!O577</f>
        <v>1</v>
      </c>
      <c r="P573" s="29">
        <f>Item_Enchant_Old!P577</f>
        <v>1</v>
      </c>
      <c r="Q573" s="29">
        <f>Item_Enchant_Old!Q577</f>
        <v>1</v>
      </c>
      <c r="R573" s="29">
        <f>Item_Enchant_Old!R577</f>
        <v>1</v>
      </c>
    </row>
    <row r="574" spans="1:18" s="29" customFormat="1" hidden="1">
      <c r="A574" s="29">
        <f>Item_Enchant_Old!A578</f>
        <v>573</v>
      </c>
      <c r="B574" s="29" t="str">
        <f>Item_Enchant_Old!B578</f>
        <v>ACTIVE_ENERGY_OFFENCE_UP</v>
      </c>
      <c r="C574" s="29">
        <f>Item_Enchant_Old!C578</f>
        <v>607</v>
      </c>
      <c r="D574" s="29">
        <f>Item_Enchant_Old!D578</f>
        <v>0</v>
      </c>
      <c r="E574" s="29">
        <f>Item_Enchant_Old!E578</f>
        <v>0</v>
      </c>
      <c r="F574" s="29">
        <f>Item_Enchant_Old!F578</f>
        <v>0</v>
      </c>
      <c r="G574" s="29">
        <f>Item_Enchant_Old!G578</f>
        <v>1</v>
      </c>
      <c r="H574" s="29" t="str">
        <f>Item_Enchant_Old!H578</f>
        <v>@</v>
      </c>
      <c r="I574" s="29">
        <f>Item_Enchant_Old!I578</f>
        <v>1</v>
      </c>
      <c r="J574" s="29" t="str">
        <f>Item_Enchant_Old!J578</f>
        <v>절대값/상대값(%) 가능</v>
      </c>
      <c r="K574" s="29">
        <f>Item_Enchant_Old!K578</f>
        <v>11</v>
      </c>
      <c r="L574" s="29">
        <f>Item_Enchant_Old!L578</f>
        <v>0</v>
      </c>
      <c r="M574" s="29">
        <f>Item_Enchant_Old!M578</f>
        <v>6</v>
      </c>
      <c r="N574" s="29">
        <f>Item_Enchant_Old!N578</f>
        <v>104</v>
      </c>
      <c r="O574" s="29">
        <f>Item_Enchant_Old!O578</f>
        <v>1</v>
      </c>
      <c r="P574" s="29">
        <f>Item_Enchant_Old!P578</f>
        <v>1</v>
      </c>
      <c r="Q574" s="29">
        <f>Item_Enchant_Old!Q578</f>
        <v>1</v>
      </c>
      <c r="R574" s="29">
        <f>Item_Enchant_Old!R578</f>
        <v>1</v>
      </c>
    </row>
    <row r="575" spans="1:18" s="29" customFormat="1" hidden="1">
      <c r="A575" s="29">
        <f>Item_Enchant_Old!A579</f>
        <v>574</v>
      </c>
      <c r="B575" s="29" t="str">
        <f>Item_Enchant_Old!B579</f>
        <v>ACTIVE_STR_UP</v>
      </c>
      <c r="C575" s="29">
        <f>Item_Enchant_Old!C579</f>
        <v>610</v>
      </c>
      <c r="D575" s="29">
        <f>Item_Enchant_Old!D579</f>
        <v>0</v>
      </c>
      <c r="E575" s="29">
        <f>Item_Enchant_Old!E579</f>
        <v>0</v>
      </c>
      <c r="F575" s="29">
        <f>Item_Enchant_Old!F579</f>
        <v>0</v>
      </c>
      <c r="G575" s="29">
        <f>Item_Enchant_Old!G579</f>
        <v>2</v>
      </c>
      <c r="H575" s="29" t="str">
        <f>Item_Enchant_Old!H579</f>
        <v>@</v>
      </c>
      <c r="I575" s="29">
        <f>Item_Enchant_Old!I579</f>
        <v>1</v>
      </c>
      <c r="J575" s="29" t="str">
        <f>Item_Enchant_Old!J579</f>
        <v>절대값/상대값(%) 가능</v>
      </c>
      <c r="K575" s="29">
        <f>Item_Enchant_Old!K579</f>
        <v>11</v>
      </c>
      <c r="L575" s="29">
        <f>Item_Enchant_Old!L579</f>
        <v>0</v>
      </c>
      <c r="M575" s="29">
        <f>Item_Enchant_Old!M579</f>
        <v>6</v>
      </c>
      <c r="N575" s="29">
        <f>Item_Enchant_Old!N579</f>
        <v>57</v>
      </c>
      <c r="O575" s="29">
        <f>Item_Enchant_Old!O579</f>
        <v>1</v>
      </c>
      <c r="P575" s="29">
        <f>Item_Enchant_Old!P579</f>
        <v>1</v>
      </c>
      <c r="Q575" s="29">
        <f>Item_Enchant_Old!Q579</f>
        <v>1</v>
      </c>
      <c r="R575" s="29">
        <f>Item_Enchant_Old!R579</f>
        <v>1</v>
      </c>
    </row>
    <row r="576" spans="1:18" s="29" customFormat="1" hidden="1">
      <c r="A576" s="29">
        <f>Item_Enchant_Old!A580</f>
        <v>575</v>
      </c>
      <c r="B576" s="29" t="str">
        <f>Item_Enchant_Old!B580</f>
        <v>ACTIVE_SOL_UP</v>
      </c>
      <c r="C576" s="29">
        <f>Item_Enchant_Old!C580</f>
        <v>614</v>
      </c>
      <c r="D576" s="29">
        <f>Item_Enchant_Old!D580</f>
        <v>0</v>
      </c>
      <c r="E576" s="29">
        <f>Item_Enchant_Old!E580</f>
        <v>0</v>
      </c>
      <c r="F576" s="29">
        <f>Item_Enchant_Old!F580</f>
        <v>0</v>
      </c>
      <c r="G576" s="29">
        <f>Item_Enchant_Old!G580</f>
        <v>2</v>
      </c>
      <c r="H576" s="29" t="str">
        <f>Item_Enchant_Old!H580</f>
        <v>@</v>
      </c>
      <c r="I576" s="29">
        <f>Item_Enchant_Old!I580</f>
        <v>1</v>
      </c>
      <c r="J576" s="29" t="str">
        <f>Item_Enchant_Old!J580</f>
        <v>절대값/상대값(%) 가능</v>
      </c>
      <c r="K576" s="29">
        <f>Item_Enchant_Old!K580</f>
        <v>11</v>
      </c>
      <c r="L576" s="29">
        <f>Item_Enchant_Old!L580</f>
        <v>0</v>
      </c>
      <c r="M576" s="29">
        <f>Item_Enchant_Old!M580</f>
        <v>6</v>
      </c>
      <c r="N576" s="29">
        <f>Item_Enchant_Old!N580</f>
        <v>53</v>
      </c>
      <c r="O576" s="29">
        <f>Item_Enchant_Old!O580</f>
        <v>1</v>
      </c>
      <c r="P576" s="29">
        <f>Item_Enchant_Old!P580</f>
        <v>1</v>
      </c>
      <c r="Q576" s="29">
        <f>Item_Enchant_Old!Q580</f>
        <v>1</v>
      </c>
      <c r="R576" s="29">
        <f>Item_Enchant_Old!R580</f>
        <v>1</v>
      </c>
    </row>
    <row r="577" spans="1:18" s="29" customFormat="1" hidden="1">
      <c r="A577" s="29">
        <f>Item_Enchant_Old!A581</f>
        <v>576</v>
      </c>
      <c r="B577" s="29" t="str">
        <f>Item_Enchant_Old!B581</f>
        <v>ACTIVE_PHYSICAL_CRITICAL_DAMAGE_UP</v>
      </c>
      <c r="C577" s="29">
        <f>Item_Enchant_Old!C581</f>
        <v>658</v>
      </c>
      <c r="D577" s="29">
        <f>Item_Enchant_Old!D581</f>
        <v>0</v>
      </c>
      <c r="E577" s="29">
        <f>Item_Enchant_Old!E581</f>
        <v>0</v>
      </c>
      <c r="F577" s="29">
        <f>Item_Enchant_Old!F581</f>
        <v>0</v>
      </c>
      <c r="G577" s="29">
        <f>Item_Enchant_Old!G581</f>
        <v>4</v>
      </c>
      <c r="H577" s="29" t="str">
        <f>Item_Enchant_Old!H581</f>
        <v>@</v>
      </c>
      <c r="I577" s="29">
        <f>Item_Enchant_Old!I581</f>
        <v>1</v>
      </c>
      <c r="J577" s="29" t="str">
        <f>Item_Enchant_Old!J581</f>
        <v>절대값만 가능</v>
      </c>
      <c r="K577" s="29">
        <f>Item_Enchant_Old!K581</f>
        <v>11</v>
      </c>
      <c r="L577" s="29">
        <f>Item_Enchant_Old!L581</f>
        <v>0</v>
      </c>
      <c r="M577" s="29">
        <f>Item_Enchant_Old!M581</f>
        <v>6</v>
      </c>
      <c r="N577" s="29">
        <f>Item_Enchant_Old!N581</f>
        <v>28</v>
      </c>
      <c r="O577" s="29">
        <f>Item_Enchant_Old!O581</f>
        <v>1</v>
      </c>
      <c r="P577" s="29">
        <f>Item_Enchant_Old!P581</f>
        <v>1</v>
      </c>
      <c r="Q577" s="29">
        <f>Item_Enchant_Old!Q581</f>
        <v>1</v>
      </c>
      <c r="R577" s="29">
        <f>Item_Enchant_Old!R581</f>
        <v>1</v>
      </c>
    </row>
    <row r="578" spans="1:18" s="29" customFormat="1" hidden="1">
      <c r="A578" s="29">
        <f>Item_Enchant_Old!A582</f>
        <v>577</v>
      </c>
      <c r="B578" s="29" t="str">
        <f>Item_Enchant_Old!B582</f>
        <v>ACTIVE_ENERGY_CRITICAL_DAMAGE_UP</v>
      </c>
      <c r="C578" s="29">
        <f>Item_Enchant_Old!C582</f>
        <v>659</v>
      </c>
      <c r="D578" s="29">
        <f>Item_Enchant_Old!D582</f>
        <v>0</v>
      </c>
      <c r="E578" s="29">
        <f>Item_Enchant_Old!E582</f>
        <v>0</v>
      </c>
      <c r="F578" s="29">
        <f>Item_Enchant_Old!F582</f>
        <v>0</v>
      </c>
      <c r="G578" s="29">
        <f>Item_Enchant_Old!G582</f>
        <v>4</v>
      </c>
      <c r="H578" s="29" t="str">
        <f>Item_Enchant_Old!H582</f>
        <v>@</v>
      </c>
      <c r="I578" s="29">
        <f>Item_Enchant_Old!I582</f>
        <v>1</v>
      </c>
      <c r="J578" s="29" t="str">
        <f>Item_Enchant_Old!J582</f>
        <v>절대값만 가능</v>
      </c>
      <c r="K578" s="29">
        <f>Item_Enchant_Old!K582</f>
        <v>11</v>
      </c>
      <c r="L578" s="29">
        <f>Item_Enchant_Old!L582</f>
        <v>0</v>
      </c>
      <c r="M578" s="29">
        <f>Item_Enchant_Old!M582</f>
        <v>6</v>
      </c>
      <c r="N578" s="29">
        <f>Item_Enchant_Old!N582</f>
        <v>32</v>
      </c>
      <c r="O578" s="29">
        <f>Item_Enchant_Old!O582</f>
        <v>1</v>
      </c>
      <c r="P578" s="29">
        <f>Item_Enchant_Old!P582</f>
        <v>1</v>
      </c>
      <c r="Q578" s="29">
        <f>Item_Enchant_Old!Q582</f>
        <v>1</v>
      </c>
      <c r="R578" s="29">
        <f>Item_Enchant_Old!R582</f>
        <v>1</v>
      </c>
    </row>
    <row r="579" spans="1:18" s="29" customFormat="1" hidden="1">
      <c r="A579" s="29">
        <f>Item_Enchant_Old!A583</f>
        <v>578</v>
      </c>
      <c r="B579" s="29" t="str">
        <f>Item_Enchant_Old!B583</f>
        <v>ACTIVE_FOC_UP</v>
      </c>
      <c r="C579" s="29">
        <f>Item_Enchant_Old!C583</f>
        <v>612</v>
      </c>
      <c r="D579" s="29">
        <f>Item_Enchant_Old!D583</f>
        <v>0</v>
      </c>
      <c r="E579" s="29">
        <f>Item_Enchant_Old!E583</f>
        <v>0</v>
      </c>
      <c r="F579" s="29">
        <f>Item_Enchant_Old!F583</f>
        <v>0</v>
      </c>
      <c r="G579" s="29">
        <f>Item_Enchant_Old!G583</f>
        <v>2</v>
      </c>
      <c r="H579" s="29" t="str">
        <f>Item_Enchant_Old!H583</f>
        <v>@</v>
      </c>
      <c r="I579" s="29">
        <f>Item_Enchant_Old!I583</f>
        <v>1</v>
      </c>
      <c r="J579" s="29" t="str">
        <f>Item_Enchant_Old!J583</f>
        <v>절대값/상대값(%) 가능</v>
      </c>
      <c r="K579" s="29">
        <f>Item_Enchant_Old!K583</f>
        <v>11</v>
      </c>
      <c r="L579" s="29">
        <f>Item_Enchant_Old!L583</f>
        <v>0</v>
      </c>
      <c r="M579" s="29">
        <f>Item_Enchant_Old!M583</f>
        <v>7</v>
      </c>
      <c r="N579" s="29">
        <f>Item_Enchant_Old!N583</f>
        <v>53</v>
      </c>
      <c r="O579" s="29">
        <f>Item_Enchant_Old!O583</f>
        <v>1</v>
      </c>
      <c r="P579" s="29">
        <f>Item_Enchant_Old!P583</f>
        <v>1</v>
      </c>
      <c r="Q579" s="29">
        <f>Item_Enchant_Old!Q583</f>
        <v>1</v>
      </c>
      <c r="R579" s="29">
        <f>Item_Enchant_Old!R583</f>
        <v>1</v>
      </c>
    </row>
    <row r="580" spans="1:18" s="29" customFormat="1" hidden="1">
      <c r="A580" s="29">
        <f>Item_Enchant_Old!A584</f>
        <v>579</v>
      </c>
      <c r="B580" s="29" t="str">
        <f>Item_Enchant_Old!B584</f>
        <v>ACTIVE_ATTACK_RATE_UP</v>
      </c>
      <c r="C580" s="29">
        <f>Item_Enchant_Old!C584</f>
        <v>618</v>
      </c>
      <c r="D580" s="29">
        <f>Item_Enchant_Old!D584</f>
        <v>0</v>
      </c>
      <c r="E580" s="29">
        <f>Item_Enchant_Old!E584</f>
        <v>0</v>
      </c>
      <c r="F580" s="29">
        <f>Item_Enchant_Old!F584</f>
        <v>0</v>
      </c>
      <c r="G580" s="29">
        <f>Item_Enchant_Old!G584</f>
        <v>1</v>
      </c>
      <c r="H580" s="29" t="str">
        <f>Item_Enchant_Old!H584</f>
        <v>@</v>
      </c>
      <c r="I580" s="29">
        <f>Item_Enchant_Old!I584</f>
        <v>1</v>
      </c>
      <c r="J580" s="29" t="str">
        <f>Item_Enchant_Old!J584</f>
        <v>절대값/상대값(%) 가능</v>
      </c>
      <c r="K580" s="29">
        <f>Item_Enchant_Old!K584</f>
        <v>11</v>
      </c>
      <c r="L580" s="29">
        <f>Item_Enchant_Old!L584</f>
        <v>0</v>
      </c>
      <c r="M580" s="29">
        <f>Item_Enchant_Old!M584</f>
        <v>7</v>
      </c>
      <c r="N580" s="29">
        <f>Item_Enchant_Old!N584</f>
        <v>528</v>
      </c>
      <c r="O580" s="29">
        <f>Item_Enchant_Old!O584</f>
        <v>1</v>
      </c>
      <c r="P580" s="29">
        <f>Item_Enchant_Old!P584</f>
        <v>1</v>
      </c>
      <c r="Q580" s="29">
        <f>Item_Enchant_Old!Q584</f>
        <v>1</v>
      </c>
      <c r="R580" s="29">
        <f>Item_Enchant_Old!R584</f>
        <v>1</v>
      </c>
    </row>
    <row r="581" spans="1:18" s="29" customFormat="1" hidden="1">
      <c r="A581" s="29">
        <f>Item_Enchant_Old!A585</f>
        <v>580</v>
      </c>
      <c r="B581" s="29" t="str">
        <f>Item_Enchant_Old!B585</f>
        <v>ACTIVE_ENG_UP</v>
      </c>
      <c r="C581" s="29">
        <f>Item_Enchant_Old!C585</f>
        <v>615</v>
      </c>
      <c r="D581" s="29">
        <f>Item_Enchant_Old!D585</f>
        <v>0</v>
      </c>
      <c r="E581" s="29">
        <f>Item_Enchant_Old!E585</f>
        <v>0</v>
      </c>
      <c r="F581" s="29">
        <f>Item_Enchant_Old!F585</f>
        <v>0</v>
      </c>
      <c r="G581" s="29">
        <f>Item_Enchant_Old!G585</f>
        <v>2</v>
      </c>
      <c r="H581" s="29" t="str">
        <f>Item_Enchant_Old!H585</f>
        <v>@</v>
      </c>
      <c r="I581" s="29">
        <f>Item_Enchant_Old!I585</f>
        <v>1</v>
      </c>
      <c r="J581" s="29" t="str">
        <f>Item_Enchant_Old!J585</f>
        <v>절대값/상대값(%) 가능</v>
      </c>
      <c r="K581" s="29">
        <f>Item_Enchant_Old!K585</f>
        <v>11</v>
      </c>
      <c r="L581" s="29">
        <f>Item_Enchant_Old!L585</f>
        <v>0</v>
      </c>
      <c r="M581" s="29">
        <f>Item_Enchant_Old!M585</f>
        <v>7</v>
      </c>
      <c r="N581" s="29">
        <f>Item_Enchant_Old!N585</f>
        <v>62</v>
      </c>
      <c r="O581" s="29">
        <f>Item_Enchant_Old!O585</f>
        <v>1</v>
      </c>
      <c r="P581" s="29">
        <f>Item_Enchant_Old!P585</f>
        <v>1</v>
      </c>
      <c r="Q581" s="29">
        <f>Item_Enchant_Old!Q585</f>
        <v>1</v>
      </c>
      <c r="R581" s="29">
        <f>Item_Enchant_Old!R585</f>
        <v>1</v>
      </c>
    </row>
    <row r="582" spans="1:18" s="29" customFormat="1" hidden="1">
      <c r="A582" s="29">
        <f>Item_Enchant_Old!A586</f>
        <v>581</v>
      </c>
      <c r="B582" s="29" t="str">
        <f>Item_Enchant_Old!B586</f>
        <v>ACTIVE_PHYSICAL_CRITICAL</v>
      </c>
      <c r="C582" s="29">
        <f>Item_Enchant_Old!C586</f>
        <v>632</v>
      </c>
      <c r="D582" s="29">
        <f>Item_Enchant_Old!D586</f>
        <v>0</v>
      </c>
      <c r="E582" s="29">
        <f>Item_Enchant_Old!E586</f>
        <v>0</v>
      </c>
      <c r="F582" s="29">
        <f>Item_Enchant_Old!F586</f>
        <v>0</v>
      </c>
      <c r="G582" s="29">
        <f>Item_Enchant_Old!G586</f>
        <v>5</v>
      </c>
      <c r="H582" s="29" t="str">
        <f>Item_Enchant_Old!H586</f>
        <v>@</v>
      </c>
      <c r="I582" s="29">
        <f>Item_Enchant_Old!I586</f>
        <v>1</v>
      </c>
      <c r="J582" s="29" t="str">
        <f>Item_Enchant_Old!J586</f>
        <v>절대값/상대값(%) 가능</v>
      </c>
      <c r="K582" s="29">
        <f>Item_Enchant_Old!K586</f>
        <v>11</v>
      </c>
      <c r="L582" s="29">
        <f>Item_Enchant_Old!L586</f>
        <v>0</v>
      </c>
      <c r="M582" s="29">
        <f>Item_Enchant_Old!M586</f>
        <v>7</v>
      </c>
      <c r="N582" s="29">
        <f>Item_Enchant_Old!N586</f>
        <v>21</v>
      </c>
      <c r="O582" s="29">
        <f>Item_Enchant_Old!O586</f>
        <v>1</v>
      </c>
      <c r="P582" s="29">
        <f>Item_Enchant_Old!P586</f>
        <v>1</v>
      </c>
      <c r="Q582" s="29">
        <f>Item_Enchant_Old!Q586</f>
        <v>1</v>
      </c>
      <c r="R582" s="29">
        <f>Item_Enchant_Old!R586</f>
        <v>1</v>
      </c>
    </row>
    <row r="583" spans="1:18" s="29" customFormat="1" hidden="1">
      <c r="A583" s="29">
        <f>Item_Enchant_Old!A587</f>
        <v>582</v>
      </c>
      <c r="B583" s="29" t="str">
        <f>Item_Enchant_Old!B587</f>
        <v>ACTIVE_ENERGY_CRITICAL</v>
      </c>
      <c r="C583" s="29">
        <f>Item_Enchant_Old!C587</f>
        <v>633</v>
      </c>
      <c r="D583" s="29">
        <f>Item_Enchant_Old!D587</f>
        <v>0</v>
      </c>
      <c r="E583" s="29">
        <f>Item_Enchant_Old!E587</f>
        <v>0</v>
      </c>
      <c r="F583" s="29">
        <f>Item_Enchant_Old!F587</f>
        <v>0</v>
      </c>
      <c r="G583" s="29">
        <f>Item_Enchant_Old!G587</f>
        <v>5</v>
      </c>
      <c r="H583" s="29" t="str">
        <f>Item_Enchant_Old!H587</f>
        <v>@</v>
      </c>
      <c r="I583" s="29">
        <f>Item_Enchant_Old!I587</f>
        <v>1</v>
      </c>
      <c r="J583" s="29" t="str">
        <f>Item_Enchant_Old!J587</f>
        <v>절대값/상대값(%) 가능</v>
      </c>
      <c r="K583" s="29">
        <f>Item_Enchant_Old!K587</f>
        <v>11</v>
      </c>
      <c r="L583" s="29">
        <f>Item_Enchant_Old!L587</f>
        <v>0</v>
      </c>
      <c r="M583" s="29">
        <f>Item_Enchant_Old!M587</f>
        <v>7</v>
      </c>
      <c r="N583" s="29">
        <f>Item_Enchant_Old!N587</f>
        <v>24</v>
      </c>
      <c r="O583" s="29">
        <f>Item_Enchant_Old!O587</f>
        <v>1</v>
      </c>
      <c r="P583" s="29">
        <f>Item_Enchant_Old!P587</f>
        <v>1</v>
      </c>
      <c r="Q583" s="29">
        <f>Item_Enchant_Old!Q587</f>
        <v>1</v>
      </c>
      <c r="R583" s="29">
        <f>Item_Enchant_Old!R587</f>
        <v>1</v>
      </c>
    </row>
    <row r="584" spans="1:18" s="29" customFormat="1" hidden="1">
      <c r="A584" s="29">
        <f>Item_Enchant_Old!A588</f>
        <v>583</v>
      </c>
      <c r="B584" s="29" t="str">
        <f>Item_Enchant_Old!B588</f>
        <v>ACTIVE_FOC_UP</v>
      </c>
      <c r="C584" s="29">
        <f>Item_Enchant_Old!C588</f>
        <v>612</v>
      </c>
      <c r="D584" s="29">
        <f>Item_Enchant_Old!D588</f>
        <v>0</v>
      </c>
      <c r="E584" s="29">
        <f>Item_Enchant_Old!E588</f>
        <v>0</v>
      </c>
      <c r="F584" s="29">
        <f>Item_Enchant_Old!F588</f>
        <v>0</v>
      </c>
      <c r="G584" s="29">
        <f>Item_Enchant_Old!G588</f>
        <v>2</v>
      </c>
      <c r="H584" s="29" t="str">
        <f>Item_Enchant_Old!H588</f>
        <v>@</v>
      </c>
      <c r="I584" s="29">
        <f>Item_Enchant_Old!I588</f>
        <v>1</v>
      </c>
      <c r="J584" s="29" t="str">
        <f>Item_Enchant_Old!J588</f>
        <v>절대값/상대값(%) 가능</v>
      </c>
      <c r="K584" s="29">
        <f>Item_Enchant_Old!K588</f>
        <v>11</v>
      </c>
      <c r="L584" s="29">
        <f>Item_Enchant_Old!L588</f>
        <v>0</v>
      </c>
      <c r="M584" s="29">
        <f>Item_Enchant_Old!M588</f>
        <v>8</v>
      </c>
      <c r="N584" s="29">
        <f>Item_Enchant_Old!N588</f>
        <v>53</v>
      </c>
      <c r="O584" s="29">
        <f>Item_Enchant_Old!O588</f>
        <v>1</v>
      </c>
      <c r="P584" s="29">
        <f>Item_Enchant_Old!P588</f>
        <v>1</v>
      </c>
      <c r="Q584" s="29">
        <f>Item_Enchant_Old!Q588</f>
        <v>1</v>
      </c>
      <c r="R584" s="29">
        <f>Item_Enchant_Old!R588</f>
        <v>1</v>
      </c>
    </row>
    <row r="585" spans="1:18" s="29" customFormat="1" hidden="1">
      <c r="A585" s="29">
        <f>Item_Enchant_Old!A589</f>
        <v>584</v>
      </c>
      <c r="B585" s="29" t="str">
        <f>Item_Enchant_Old!B589</f>
        <v>ACTIVE_CON_UP</v>
      </c>
      <c r="C585" s="29">
        <f>Item_Enchant_Old!C589</f>
        <v>611</v>
      </c>
      <c r="D585" s="29">
        <f>Item_Enchant_Old!D589</f>
        <v>0</v>
      </c>
      <c r="E585" s="29">
        <f>Item_Enchant_Old!E589</f>
        <v>0</v>
      </c>
      <c r="F585" s="29">
        <f>Item_Enchant_Old!F589</f>
        <v>0</v>
      </c>
      <c r="G585" s="29">
        <f>Item_Enchant_Old!G589</f>
        <v>3</v>
      </c>
      <c r="H585" s="29" t="str">
        <f>Item_Enchant_Old!H589</f>
        <v>@</v>
      </c>
      <c r="I585" s="29">
        <f>Item_Enchant_Old!I589</f>
        <v>1</v>
      </c>
      <c r="J585" s="29" t="str">
        <f>Item_Enchant_Old!J589</f>
        <v>절대값/상대값(%) 가능</v>
      </c>
      <c r="K585" s="29">
        <f>Item_Enchant_Old!K589</f>
        <v>11</v>
      </c>
      <c r="L585" s="29">
        <f>Item_Enchant_Old!L589</f>
        <v>0</v>
      </c>
      <c r="M585" s="29">
        <f>Item_Enchant_Old!M589</f>
        <v>8</v>
      </c>
      <c r="N585" s="29">
        <f>Item_Enchant_Old!N589</f>
        <v>48</v>
      </c>
      <c r="O585" s="29">
        <f>Item_Enchant_Old!O589</f>
        <v>1</v>
      </c>
      <c r="P585" s="29">
        <f>Item_Enchant_Old!P589</f>
        <v>1</v>
      </c>
      <c r="Q585" s="29">
        <f>Item_Enchant_Old!Q589</f>
        <v>1</v>
      </c>
      <c r="R585" s="29">
        <f>Item_Enchant_Old!R589</f>
        <v>1</v>
      </c>
    </row>
    <row r="586" spans="1:18" s="29" customFormat="1" hidden="1">
      <c r="A586" s="29">
        <f>Item_Enchant_Old!A590</f>
        <v>585</v>
      </c>
      <c r="B586" s="29" t="str">
        <f>Item_Enchant_Old!B590</f>
        <v>ACTIVE_BLOCK_RATE_UP</v>
      </c>
      <c r="C586" s="29">
        <f>Item_Enchant_Old!C590</f>
        <v>620</v>
      </c>
      <c r="D586" s="29">
        <f>Item_Enchant_Old!D590</f>
        <v>0</v>
      </c>
      <c r="E586" s="29">
        <f>Item_Enchant_Old!E590</f>
        <v>0</v>
      </c>
      <c r="F586" s="29">
        <f>Item_Enchant_Old!F590</f>
        <v>0</v>
      </c>
      <c r="G586" s="29">
        <f>Item_Enchant_Old!G590</f>
        <v>1</v>
      </c>
      <c r="H586" s="29" t="str">
        <f>Item_Enchant_Old!H590</f>
        <v>@</v>
      </c>
      <c r="I586" s="29">
        <f>Item_Enchant_Old!I590</f>
        <v>1</v>
      </c>
      <c r="J586" s="29" t="str">
        <f>Item_Enchant_Old!J590</f>
        <v>절대값/상대값(%) 가능</v>
      </c>
      <c r="K586" s="29">
        <f>Item_Enchant_Old!K590</f>
        <v>11</v>
      </c>
      <c r="L586" s="29">
        <f>Item_Enchant_Old!L590</f>
        <v>0</v>
      </c>
      <c r="M586" s="29">
        <f>Item_Enchant_Old!M590</f>
        <v>8</v>
      </c>
      <c r="N586" s="29">
        <f>Item_Enchant_Old!N590</f>
        <v>352</v>
      </c>
      <c r="O586" s="29">
        <f>Item_Enchant_Old!O590</f>
        <v>1</v>
      </c>
      <c r="P586" s="29">
        <f>Item_Enchant_Old!P590</f>
        <v>1</v>
      </c>
      <c r="Q586" s="29">
        <f>Item_Enchant_Old!Q590</f>
        <v>1</v>
      </c>
      <c r="R586" s="29">
        <f>Item_Enchant_Old!R590</f>
        <v>1</v>
      </c>
    </row>
    <row r="587" spans="1:18" s="29" customFormat="1" hidden="1">
      <c r="A587" s="29">
        <f>Item_Enchant_Old!A591</f>
        <v>586</v>
      </c>
      <c r="B587" s="29" t="str">
        <f>Item_Enchant_Old!B591</f>
        <v>ACTIVE_ENG_UP</v>
      </c>
      <c r="C587" s="29">
        <f>Item_Enchant_Old!C591</f>
        <v>615</v>
      </c>
      <c r="D587" s="29">
        <f>Item_Enchant_Old!D591</f>
        <v>0</v>
      </c>
      <c r="E587" s="29">
        <f>Item_Enchant_Old!E591</f>
        <v>0</v>
      </c>
      <c r="F587" s="29">
        <f>Item_Enchant_Old!F591</f>
        <v>0</v>
      </c>
      <c r="G587" s="29">
        <f>Item_Enchant_Old!G591</f>
        <v>2</v>
      </c>
      <c r="H587" s="29" t="str">
        <f>Item_Enchant_Old!H591</f>
        <v>@</v>
      </c>
      <c r="I587" s="29">
        <f>Item_Enchant_Old!I591</f>
        <v>1</v>
      </c>
      <c r="J587" s="29" t="str">
        <f>Item_Enchant_Old!J591</f>
        <v>절대값/상대값(%) 가능</v>
      </c>
      <c r="K587" s="29">
        <f>Item_Enchant_Old!K591</f>
        <v>11</v>
      </c>
      <c r="L587" s="29">
        <f>Item_Enchant_Old!L591</f>
        <v>0</v>
      </c>
      <c r="M587" s="29">
        <f>Item_Enchant_Old!M591</f>
        <v>8</v>
      </c>
      <c r="N587" s="29">
        <f>Item_Enchant_Old!N591</f>
        <v>62</v>
      </c>
      <c r="O587" s="29">
        <f>Item_Enchant_Old!O591</f>
        <v>1</v>
      </c>
      <c r="P587" s="29">
        <f>Item_Enchant_Old!P591</f>
        <v>1</v>
      </c>
      <c r="Q587" s="29">
        <f>Item_Enchant_Old!Q591</f>
        <v>1</v>
      </c>
      <c r="R587" s="29">
        <f>Item_Enchant_Old!R591</f>
        <v>1</v>
      </c>
    </row>
    <row r="588" spans="1:18" s="29" customFormat="1" hidden="1">
      <c r="A588" s="29">
        <f>Item_Enchant_Old!A592</f>
        <v>587</v>
      </c>
      <c r="B588" s="29" t="str">
        <f>Item_Enchant_Old!B592</f>
        <v>ACTIVE_PHYSICAL_CRITICAL</v>
      </c>
      <c r="C588" s="29">
        <f>Item_Enchant_Old!C592</f>
        <v>632</v>
      </c>
      <c r="D588" s="29">
        <f>Item_Enchant_Old!D592</f>
        <v>0</v>
      </c>
      <c r="E588" s="29">
        <f>Item_Enchant_Old!E592</f>
        <v>0</v>
      </c>
      <c r="F588" s="29">
        <f>Item_Enchant_Old!F592</f>
        <v>0</v>
      </c>
      <c r="G588" s="29">
        <f>Item_Enchant_Old!G592</f>
        <v>5</v>
      </c>
      <c r="H588" s="29" t="str">
        <f>Item_Enchant_Old!H592</f>
        <v>@</v>
      </c>
      <c r="I588" s="29">
        <f>Item_Enchant_Old!I592</f>
        <v>1</v>
      </c>
      <c r="J588" s="29" t="str">
        <f>Item_Enchant_Old!J592</f>
        <v>절대값/상대값(%) 가능</v>
      </c>
      <c r="K588" s="29">
        <f>Item_Enchant_Old!K592</f>
        <v>11</v>
      </c>
      <c r="L588" s="29">
        <f>Item_Enchant_Old!L592</f>
        <v>0</v>
      </c>
      <c r="M588" s="29">
        <f>Item_Enchant_Old!M592</f>
        <v>9</v>
      </c>
      <c r="N588" s="29">
        <f>Item_Enchant_Old!N592</f>
        <v>21</v>
      </c>
      <c r="O588" s="29">
        <f>Item_Enchant_Old!O592</f>
        <v>1</v>
      </c>
      <c r="P588" s="29">
        <f>Item_Enchant_Old!P592</f>
        <v>1</v>
      </c>
      <c r="Q588" s="29">
        <f>Item_Enchant_Old!Q592</f>
        <v>1</v>
      </c>
      <c r="R588" s="29">
        <f>Item_Enchant_Old!R592</f>
        <v>1</v>
      </c>
    </row>
    <row r="589" spans="1:18" s="29" customFormat="1" hidden="1">
      <c r="A589" s="29">
        <f>Item_Enchant_Old!A593</f>
        <v>588</v>
      </c>
      <c r="B589" s="29" t="str">
        <f>Item_Enchant_Old!B593</f>
        <v>ACTIVE_ENERGY_CRITICAL</v>
      </c>
      <c r="C589" s="29">
        <f>Item_Enchant_Old!C593</f>
        <v>633</v>
      </c>
      <c r="D589" s="29">
        <f>Item_Enchant_Old!D593</f>
        <v>0</v>
      </c>
      <c r="E589" s="29">
        <f>Item_Enchant_Old!E593</f>
        <v>0</v>
      </c>
      <c r="F589" s="29">
        <f>Item_Enchant_Old!F593</f>
        <v>0</v>
      </c>
      <c r="G589" s="29">
        <f>Item_Enchant_Old!G593</f>
        <v>5</v>
      </c>
      <c r="H589" s="29" t="str">
        <f>Item_Enchant_Old!H593</f>
        <v>@</v>
      </c>
      <c r="I589" s="29">
        <f>Item_Enchant_Old!I593</f>
        <v>1</v>
      </c>
      <c r="J589" s="29" t="str">
        <f>Item_Enchant_Old!J593</f>
        <v>절대값/상대값(%) 가능</v>
      </c>
      <c r="K589" s="29">
        <f>Item_Enchant_Old!K593</f>
        <v>11</v>
      </c>
      <c r="L589" s="29">
        <f>Item_Enchant_Old!L593</f>
        <v>0</v>
      </c>
      <c r="M589" s="29">
        <f>Item_Enchant_Old!M593</f>
        <v>9</v>
      </c>
      <c r="N589" s="29">
        <f>Item_Enchant_Old!N593</f>
        <v>24</v>
      </c>
      <c r="O589" s="29">
        <f>Item_Enchant_Old!O593</f>
        <v>1</v>
      </c>
      <c r="P589" s="29">
        <f>Item_Enchant_Old!P593</f>
        <v>1</v>
      </c>
      <c r="Q589" s="29">
        <f>Item_Enchant_Old!Q593</f>
        <v>1</v>
      </c>
      <c r="R589" s="29">
        <f>Item_Enchant_Old!R593</f>
        <v>1</v>
      </c>
    </row>
    <row r="590" spans="1:18" s="29" customFormat="1" hidden="1">
      <c r="A590" s="29">
        <f>Item_Enchant_Old!A594</f>
        <v>589</v>
      </c>
      <c r="B590" s="29" t="str">
        <f>Item_Enchant_Old!B594</f>
        <v>ACTIVE_DEX_UP</v>
      </c>
      <c r="C590" s="29">
        <f>Item_Enchant_Old!C594</f>
        <v>613</v>
      </c>
      <c r="D590" s="29">
        <f>Item_Enchant_Old!D594</f>
        <v>0</v>
      </c>
      <c r="E590" s="29">
        <f>Item_Enchant_Old!E594</f>
        <v>0</v>
      </c>
      <c r="F590" s="29">
        <f>Item_Enchant_Old!F594</f>
        <v>0</v>
      </c>
      <c r="G590" s="29">
        <f>Item_Enchant_Old!G594</f>
        <v>3</v>
      </c>
      <c r="H590" s="29" t="str">
        <f>Item_Enchant_Old!H594</f>
        <v>@</v>
      </c>
      <c r="I590" s="29">
        <f>Item_Enchant_Old!I594</f>
        <v>1</v>
      </c>
      <c r="J590" s="29" t="str">
        <f>Item_Enchant_Old!J594</f>
        <v>절대값/상대값(%) 가능</v>
      </c>
      <c r="K590" s="29">
        <f>Item_Enchant_Old!K594</f>
        <v>11</v>
      </c>
      <c r="L590" s="29">
        <f>Item_Enchant_Old!L594</f>
        <v>0</v>
      </c>
      <c r="M590" s="29">
        <f>Item_Enchant_Old!M594</f>
        <v>9</v>
      </c>
      <c r="N590" s="29">
        <f>Item_Enchant_Old!N594</f>
        <v>44</v>
      </c>
      <c r="O590" s="29">
        <f>Item_Enchant_Old!O594</f>
        <v>1</v>
      </c>
      <c r="P590" s="29">
        <f>Item_Enchant_Old!P594</f>
        <v>1</v>
      </c>
      <c r="Q590" s="29">
        <f>Item_Enchant_Old!Q594</f>
        <v>1</v>
      </c>
      <c r="R590" s="29">
        <f>Item_Enchant_Old!R594</f>
        <v>1</v>
      </c>
    </row>
    <row r="591" spans="1:18" s="29" customFormat="1" hidden="1">
      <c r="A591" s="29">
        <f>Item_Enchant_Old!A595</f>
        <v>590</v>
      </c>
      <c r="B591" s="29" t="str">
        <f>Item_Enchant_Old!B595</f>
        <v>ACTIVE_FOC_UP</v>
      </c>
      <c r="C591" s="29">
        <f>Item_Enchant_Old!C595</f>
        <v>612</v>
      </c>
      <c r="D591" s="29">
        <f>Item_Enchant_Old!D595</f>
        <v>0</v>
      </c>
      <c r="E591" s="29">
        <f>Item_Enchant_Old!E595</f>
        <v>0</v>
      </c>
      <c r="F591" s="29">
        <f>Item_Enchant_Old!F595</f>
        <v>0</v>
      </c>
      <c r="G591" s="29">
        <f>Item_Enchant_Old!G595</f>
        <v>2</v>
      </c>
      <c r="H591" s="29" t="str">
        <f>Item_Enchant_Old!H595</f>
        <v>@</v>
      </c>
      <c r="I591" s="29">
        <f>Item_Enchant_Old!I595</f>
        <v>1</v>
      </c>
      <c r="J591" s="29" t="str">
        <f>Item_Enchant_Old!J595</f>
        <v>절대값/상대값(%) 가능</v>
      </c>
      <c r="K591" s="29">
        <f>Item_Enchant_Old!K595</f>
        <v>11</v>
      </c>
      <c r="L591" s="29">
        <f>Item_Enchant_Old!L595</f>
        <v>0</v>
      </c>
      <c r="M591" s="29">
        <f>Item_Enchant_Old!M595</f>
        <v>9</v>
      </c>
      <c r="N591" s="29">
        <f>Item_Enchant_Old!N595</f>
        <v>53</v>
      </c>
      <c r="O591" s="29">
        <f>Item_Enchant_Old!O595</f>
        <v>1</v>
      </c>
      <c r="P591" s="29">
        <f>Item_Enchant_Old!P595</f>
        <v>1</v>
      </c>
      <c r="Q591" s="29">
        <f>Item_Enchant_Old!Q595</f>
        <v>1</v>
      </c>
      <c r="R591" s="29">
        <f>Item_Enchant_Old!R595</f>
        <v>1</v>
      </c>
    </row>
    <row r="592" spans="1:18" s="29" customFormat="1" hidden="1">
      <c r="A592" s="29">
        <f>Item_Enchant_Old!A596</f>
        <v>591</v>
      </c>
      <c r="B592" s="29" t="str">
        <f>Item_Enchant_Old!B596</f>
        <v>ACTIVE_PHYSICAL_CRITICAL_DAMAGE_UP</v>
      </c>
      <c r="C592" s="29">
        <f>Item_Enchant_Old!C596</f>
        <v>658</v>
      </c>
      <c r="D592" s="29">
        <f>Item_Enchant_Old!D596</f>
        <v>0</v>
      </c>
      <c r="E592" s="29">
        <f>Item_Enchant_Old!E596</f>
        <v>0</v>
      </c>
      <c r="F592" s="29">
        <f>Item_Enchant_Old!F596</f>
        <v>0</v>
      </c>
      <c r="G592" s="29">
        <f>Item_Enchant_Old!G596</f>
        <v>4</v>
      </c>
      <c r="H592" s="29" t="str">
        <f>Item_Enchant_Old!H596</f>
        <v>@</v>
      </c>
      <c r="I592" s="29">
        <f>Item_Enchant_Old!I596</f>
        <v>1</v>
      </c>
      <c r="J592" s="29" t="str">
        <f>Item_Enchant_Old!J596</f>
        <v>절대값만 가능</v>
      </c>
      <c r="K592" s="29">
        <f>Item_Enchant_Old!K596</f>
        <v>11</v>
      </c>
      <c r="L592" s="29">
        <f>Item_Enchant_Old!L596</f>
        <v>0</v>
      </c>
      <c r="M592" s="29">
        <f>Item_Enchant_Old!M596</f>
        <v>10</v>
      </c>
      <c r="N592" s="29">
        <f>Item_Enchant_Old!N596</f>
        <v>28</v>
      </c>
      <c r="O592" s="29">
        <f>Item_Enchant_Old!O596</f>
        <v>1</v>
      </c>
      <c r="P592" s="29">
        <f>Item_Enchant_Old!P596</f>
        <v>1</v>
      </c>
      <c r="Q592" s="29">
        <f>Item_Enchant_Old!Q596</f>
        <v>1</v>
      </c>
      <c r="R592" s="29">
        <f>Item_Enchant_Old!R596</f>
        <v>1</v>
      </c>
    </row>
    <row r="593" spans="1:18" s="29" customFormat="1" hidden="1">
      <c r="A593" s="29">
        <f>Item_Enchant_Old!A597</f>
        <v>592</v>
      </c>
      <c r="B593" s="29" t="str">
        <f>Item_Enchant_Old!B597</f>
        <v>ACTIVE_ENERGY_CRITICAL_DAMAGE_UP</v>
      </c>
      <c r="C593" s="29">
        <f>Item_Enchant_Old!C597</f>
        <v>659</v>
      </c>
      <c r="D593" s="29">
        <f>Item_Enchant_Old!D597</f>
        <v>0</v>
      </c>
      <c r="E593" s="29">
        <f>Item_Enchant_Old!E597</f>
        <v>0</v>
      </c>
      <c r="F593" s="29">
        <f>Item_Enchant_Old!F597</f>
        <v>0</v>
      </c>
      <c r="G593" s="29">
        <f>Item_Enchant_Old!G597</f>
        <v>4</v>
      </c>
      <c r="H593" s="29" t="str">
        <f>Item_Enchant_Old!H597</f>
        <v>@</v>
      </c>
      <c r="I593" s="29">
        <f>Item_Enchant_Old!I597</f>
        <v>1</v>
      </c>
      <c r="J593" s="29" t="str">
        <f>Item_Enchant_Old!J597</f>
        <v>절대값만 가능</v>
      </c>
      <c r="K593" s="29">
        <f>Item_Enchant_Old!K597</f>
        <v>11</v>
      </c>
      <c r="L593" s="29">
        <f>Item_Enchant_Old!L597</f>
        <v>0</v>
      </c>
      <c r="M593" s="29">
        <f>Item_Enchant_Old!M597</f>
        <v>10</v>
      </c>
      <c r="N593" s="29">
        <f>Item_Enchant_Old!N597</f>
        <v>32</v>
      </c>
      <c r="O593" s="29">
        <f>Item_Enchant_Old!O597</f>
        <v>1</v>
      </c>
      <c r="P593" s="29">
        <f>Item_Enchant_Old!P597</f>
        <v>1</v>
      </c>
      <c r="Q593" s="29">
        <f>Item_Enchant_Old!Q597</f>
        <v>1</v>
      </c>
      <c r="R593" s="29">
        <f>Item_Enchant_Old!R597</f>
        <v>1</v>
      </c>
    </row>
    <row r="594" spans="1:18" s="29" customFormat="1" hidden="1">
      <c r="A594" s="29">
        <f>Item_Enchant_Old!A598</f>
        <v>593</v>
      </c>
      <c r="B594" s="29" t="str">
        <f>Item_Enchant_Old!B598</f>
        <v>ACTIVE_DEX_UP</v>
      </c>
      <c r="C594" s="29">
        <f>Item_Enchant_Old!C598</f>
        <v>613</v>
      </c>
      <c r="D594" s="29">
        <f>Item_Enchant_Old!D598</f>
        <v>0</v>
      </c>
      <c r="E594" s="29">
        <f>Item_Enchant_Old!E598</f>
        <v>0</v>
      </c>
      <c r="F594" s="29">
        <f>Item_Enchant_Old!F598</f>
        <v>0</v>
      </c>
      <c r="G594" s="29">
        <f>Item_Enchant_Old!G598</f>
        <v>3</v>
      </c>
      <c r="H594" s="29" t="str">
        <f>Item_Enchant_Old!H598</f>
        <v>@</v>
      </c>
      <c r="I594" s="29">
        <f>Item_Enchant_Old!I598</f>
        <v>1</v>
      </c>
      <c r="J594" s="29" t="str">
        <f>Item_Enchant_Old!J598</f>
        <v>절대값/상대값(%) 가능</v>
      </c>
      <c r="K594" s="29">
        <f>Item_Enchant_Old!K598</f>
        <v>11</v>
      </c>
      <c r="L594" s="29">
        <f>Item_Enchant_Old!L598</f>
        <v>0</v>
      </c>
      <c r="M594" s="29">
        <f>Item_Enchant_Old!M598</f>
        <v>10</v>
      </c>
      <c r="N594" s="29">
        <f>Item_Enchant_Old!N598</f>
        <v>44</v>
      </c>
      <c r="O594" s="29">
        <f>Item_Enchant_Old!O598</f>
        <v>1</v>
      </c>
      <c r="P594" s="29">
        <f>Item_Enchant_Old!P598</f>
        <v>1</v>
      </c>
      <c r="Q594" s="29">
        <f>Item_Enchant_Old!Q598</f>
        <v>1</v>
      </c>
      <c r="R594" s="29">
        <f>Item_Enchant_Old!R598</f>
        <v>1</v>
      </c>
    </row>
    <row r="595" spans="1:18" s="29" customFormat="1" hidden="1">
      <c r="A595" s="29">
        <f>Item_Enchant_Old!A599</f>
        <v>594</v>
      </c>
      <c r="B595" s="29" t="str">
        <f>Item_Enchant_Old!B599</f>
        <v>ACTIVE_ATTACK_SPEED_UP</v>
      </c>
      <c r="C595" s="29">
        <f>Item_Enchant_Old!C599</f>
        <v>617</v>
      </c>
      <c r="D595" s="29">
        <f>Item_Enchant_Old!D599</f>
        <v>1</v>
      </c>
      <c r="E595" s="29">
        <f>Item_Enchant_Old!E599</f>
        <v>0</v>
      </c>
      <c r="F595" s="29">
        <f>Item_Enchant_Old!F599</f>
        <v>0</v>
      </c>
      <c r="G595" s="29">
        <f>Item_Enchant_Old!G599</f>
        <v>10</v>
      </c>
      <c r="H595" s="29" t="str">
        <f>Item_Enchant_Old!H599</f>
        <v>@</v>
      </c>
      <c r="I595" s="29">
        <f>Item_Enchant_Old!I599</f>
        <v>1</v>
      </c>
      <c r="J595" s="29" t="str">
        <f>Item_Enchant_Old!J599</f>
        <v>절대값/상대값(%) 가능</v>
      </c>
      <c r="K595" s="29">
        <f>Item_Enchant_Old!K599</f>
        <v>11</v>
      </c>
      <c r="L595" s="29">
        <f>Item_Enchant_Old!L599</f>
        <v>0</v>
      </c>
      <c r="M595" s="29">
        <f>Item_Enchant_Old!M599</f>
        <v>10</v>
      </c>
      <c r="N595" s="29">
        <f>Item_Enchant_Old!N599</f>
        <v>10</v>
      </c>
      <c r="O595" s="29">
        <f>Item_Enchant_Old!O599</f>
        <v>1</v>
      </c>
      <c r="P595" s="29">
        <f>Item_Enchant_Old!P599</f>
        <v>1</v>
      </c>
      <c r="Q595" s="29">
        <f>Item_Enchant_Old!Q599</f>
        <v>1</v>
      </c>
      <c r="R595" s="29">
        <f>Item_Enchant_Old!R599</f>
        <v>1</v>
      </c>
    </row>
    <row r="596" spans="1:18" s="29" customFormat="1" hidden="1">
      <c r="A596" s="29">
        <f>Item_Enchant_Old!A600</f>
        <v>595</v>
      </c>
      <c r="B596" s="29" t="str">
        <f>Item_Enchant_Old!B600</f>
        <v>ACTIVE_STR_UP</v>
      </c>
      <c r="C596" s="29">
        <f>Item_Enchant_Old!C600</f>
        <v>610</v>
      </c>
      <c r="D596" s="29">
        <f>Item_Enchant_Old!D600</f>
        <v>0</v>
      </c>
      <c r="E596" s="29">
        <f>Item_Enchant_Old!E600</f>
        <v>0</v>
      </c>
      <c r="F596" s="29">
        <f>Item_Enchant_Old!F600</f>
        <v>0</v>
      </c>
      <c r="G596" s="29">
        <f>Item_Enchant_Old!G600</f>
        <v>2</v>
      </c>
      <c r="H596" s="29" t="str">
        <f>Item_Enchant_Old!H600</f>
        <v>@</v>
      </c>
      <c r="I596" s="29">
        <f>Item_Enchant_Old!I600</f>
        <v>1</v>
      </c>
      <c r="J596" s="29" t="str">
        <f>Item_Enchant_Old!J600</f>
        <v>절대값/상대값(%) 가능</v>
      </c>
      <c r="K596" s="29">
        <f>Item_Enchant_Old!K600</f>
        <v>11</v>
      </c>
      <c r="L596" s="29">
        <f>Item_Enchant_Old!L600</f>
        <v>0</v>
      </c>
      <c r="M596" s="29">
        <f>Item_Enchant_Old!M600</f>
        <v>11</v>
      </c>
      <c r="N596" s="29">
        <f>Item_Enchant_Old!N600</f>
        <v>57</v>
      </c>
      <c r="O596" s="29">
        <f>Item_Enchant_Old!O600</f>
        <v>1</v>
      </c>
      <c r="P596" s="29">
        <f>Item_Enchant_Old!P600</f>
        <v>1</v>
      </c>
      <c r="Q596" s="29">
        <f>Item_Enchant_Old!Q600</f>
        <v>1</v>
      </c>
      <c r="R596" s="29">
        <f>Item_Enchant_Old!R600</f>
        <v>1</v>
      </c>
    </row>
    <row r="597" spans="1:18" s="29" customFormat="1" hidden="1">
      <c r="A597" s="29">
        <f>Item_Enchant_Old!A601</f>
        <v>596</v>
      </c>
      <c r="B597" s="29" t="str">
        <f>Item_Enchant_Old!B601</f>
        <v>ACTIVE_CON_UP</v>
      </c>
      <c r="C597" s="29">
        <f>Item_Enchant_Old!C601</f>
        <v>611</v>
      </c>
      <c r="D597" s="29">
        <f>Item_Enchant_Old!D601</f>
        <v>0</v>
      </c>
      <c r="E597" s="29">
        <f>Item_Enchant_Old!E601</f>
        <v>0</v>
      </c>
      <c r="F597" s="29">
        <f>Item_Enchant_Old!F601</f>
        <v>0</v>
      </c>
      <c r="G597" s="29">
        <f>Item_Enchant_Old!G601</f>
        <v>3</v>
      </c>
      <c r="H597" s="29" t="str">
        <f>Item_Enchant_Old!H601</f>
        <v>@</v>
      </c>
      <c r="I597" s="29">
        <f>Item_Enchant_Old!I601</f>
        <v>1</v>
      </c>
      <c r="J597" s="29" t="str">
        <f>Item_Enchant_Old!J601</f>
        <v>절대값/상대값(%) 가능</v>
      </c>
      <c r="K597" s="29">
        <f>Item_Enchant_Old!K601</f>
        <v>11</v>
      </c>
      <c r="L597" s="29">
        <f>Item_Enchant_Old!L601</f>
        <v>0</v>
      </c>
      <c r="M597" s="29">
        <f>Item_Enchant_Old!M601</f>
        <v>11</v>
      </c>
      <c r="N597" s="29">
        <f>Item_Enchant_Old!N601</f>
        <v>48</v>
      </c>
      <c r="O597" s="29">
        <f>Item_Enchant_Old!O601</f>
        <v>1</v>
      </c>
      <c r="P597" s="29">
        <f>Item_Enchant_Old!P601</f>
        <v>1</v>
      </c>
      <c r="Q597" s="29">
        <f>Item_Enchant_Old!Q601</f>
        <v>1</v>
      </c>
      <c r="R597" s="29">
        <f>Item_Enchant_Old!R601</f>
        <v>1</v>
      </c>
    </row>
    <row r="598" spans="1:18" s="29" customFormat="1" hidden="1">
      <c r="A598" s="29">
        <f>Item_Enchant_Old!A602</f>
        <v>597</v>
      </c>
      <c r="B598" s="29" t="str">
        <f>Item_Enchant_Old!B602</f>
        <v>ACTIVE_FOC_UP</v>
      </c>
      <c r="C598" s="29">
        <f>Item_Enchant_Old!C602</f>
        <v>612</v>
      </c>
      <c r="D598" s="29">
        <f>Item_Enchant_Old!D602</f>
        <v>0</v>
      </c>
      <c r="E598" s="29">
        <f>Item_Enchant_Old!E602</f>
        <v>0</v>
      </c>
      <c r="F598" s="29">
        <f>Item_Enchant_Old!F602</f>
        <v>0</v>
      </c>
      <c r="G598" s="29">
        <f>Item_Enchant_Old!G602</f>
        <v>2</v>
      </c>
      <c r="H598" s="29" t="str">
        <f>Item_Enchant_Old!H602</f>
        <v>@</v>
      </c>
      <c r="I598" s="29">
        <f>Item_Enchant_Old!I602</f>
        <v>1</v>
      </c>
      <c r="J598" s="29" t="str">
        <f>Item_Enchant_Old!J602</f>
        <v>절대값/상대값(%) 가능</v>
      </c>
      <c r="K598" s="29">
        <f>Item_Enchant_Old!K602</f>
        <v>11</v>
      </c>
      <c r="L598" s="29">
        <f>Item_Enchant_Old!L602</f>
        <v>0</v>
      </c>
      <c r="M598" s="29">
        <f>Item_Enchant_Old!M602</f>
        <v>11</v>
      </c>
      <c r="N598" s="29">
        <f>Item_Enchant_Old!N602</f>
        <v>53</v>
      </c>
      <c r="O598" s="29">
        <f>Item_Enchant_Old!O602</f>
        <v>1</v>
      </c>
      <c r="P598" s="29">
        <f>Item_Enchant_Old!P602</f>
        <v>1</v>
      </c>
      <c r="Q598" s="29">
        <f>Item_Enchant_Old!Q602</f>
        <v>1</v>
      </c>
      <c r="R598" s="29">
        <f>Item_Enchant_Old!R602</f>
        <v>1</v>
      </c>
    </row>
    <row r="599" spans="1:18" s="29" customFormat="1" hidden="1">
      <c r="A599" s="29">
        <f>Item_Enchant_Old!A603</f>
        <v>598</v>
      </c>
      <c r="B599" s="29" t="str">
        <f>Item_Enchant_Old!B603</f>
        <v>ACTIVE_DEX_UP</v>
      </c>
      <c r="C599" s="29">
        <f>Item_Enchant_Old!C603</f>
        <v>613</v>
      </c>
      <c r="D599" s="29">
        <f>Item_Enchant_Old!D603</f>
        <v>0</v>
      </c>
      <c r="E599" s="29">
        <f>Item_Enchant_Old!E603</f>
        <v>0</v>
      </c>
      <c r="F599" s="29">
        <f>Item_Enchant_Old!F603</f>
        <v>0</v>
      </c>
      <c r="G599" s="29">
        <f>Item_Enchant_Old!G603</f>
        <v>3</v>
      </c>
      <c r="H599" s="29" t="str">
        <f>Item_Enchant_Old!H603</f>
        <v>@</v>
      </c>
      <c r="I599" s="29">
        <f>Item_Enchant_Old!I603</f>
        <v>1</v>
      </c>
      <c r="J599" s="29" t="str">
        <f>Item_Enchant_Old!J603</f>
        <v>절대값/상대값(%) 가능</v>
      </c>
      <c r="K599" s="29">
        <f>Item_Enchant_Old!K603</f>
        <v>11</v>
      </c>
      <c r="L599" s="29">
        <f>Item_Enchant_Old!L603</f>
        <v>0</v>
      </c>
      <c r="M599" s="29">
        <f>Item_Enchant_Old!M603</f>
        <v>11</v>
      </c>
      <c r="N599" s="29">
        <f>Item_Enchant_Old!N603</f>
        <v>44</v>
      </c>
      <c r="O599" s="29">
        <f>Item_Enchant_Old!O603</f>
        <v>1</v>
      </c>
      <c r="P599" s="29">
        <f>Item_Enchant_Old!P603</f>
        <v>1</v>
      </c>
      <c r="Q599" s="29">
        <f>Item_Enchant_Old!Q603</f>
        <v>1</v>
      </c>
      <c r="R599" s="29">
        <f>Item_Enchant_Old!R603</f>
        <v>1</v>
      </c>
    </row>
    <row r="600" spans="1:18" s="29" customFormat="1" hidden="1">
      <c r="A600" s="29">
        <f>Item_Enchant_Old!A604</f>
        <v>599</v>
      </c>
      <c r="B600" s="29" t="str">
        <f>Item_Enchant_Old!B604</f>
        <v>ACTIVE_SOL_UP</v>
      </c>
      <c r="C600" s="29">
        <f>Item_Enchant_Old!C604</f>
        <v>614</v>
      </c>
      <c r="D600" s="29">
        <f>Item_Enchant_Old!D604</f>
        <v>0</v>
      </c>
      <c r="E600" s="29">
        <f>Item_Enchant_Old!E604</f>
        <v>0</v>
      </c>
      <c r="F600" s="29">
        <f>Item_Enchant_Old!F604</f>
        <v>0</v>
      </c>
      <c r="G600" s="29">
        <f>Item_Enchant_Old!G604</f>
        <v>2</v>
      </c>
      <c r="H600" s="29" t="str">
        <f>Item_Enchant_Old!H604</f>
        <v>@</v>
      </c>
      <c r="I600" s="29">
        <f>Item_Enchant_Old!I604</f>
        <v>1</v>
      </c>
      <c r="J600" s="29" t="str">
        <f>Item_Enchant_Old!J604</f>
        <v>절대값/상대값(%) 가능</v>
      </c>
      <c r="K600" s="29">
        <f>Item_Enchant_Old!K604</f>
        <v>11</v>
      </c>
      <c r="L600" s="29">
        <f>Item_Enchant_Old!L604</f>
        <v>0</v>
      </c>
      <c r="M600" s="29">
        <f>Item_Enchant_Old!M604</f>
        <v>11</v>
      </c>
      <c r="N600" s="29">
        <f>Item_Enchant_Old!N604</f>
        <v>53</v>
      </c>
      <c r="O600" s="29">
        <f>Item_Enchant_Old!O604</f>
        <v>1</v>
      </c>
      <c r="P600" s="29">
        <f>Item_Enchant_Old!P604</f>
        <v>1</v>
      </c>
      <c r="Q600" s="29">
        <f>Item_Enchant_Old!Q604</f>
        <v>1</v>
      </c>
      <c r="R600" s="29">
        <f>Item_Enchant_Old!R604</f>
        <v>1</v>
      </c>
    </row>
    <row r="601" spans="1:18" s="29" customFormat="1" hidden="1">
      <c r="A601" s="29">
        <f>Item_Enchant_Old!A605</f>
        <v>600</v>
      </c>
      <c r="B601" s="29" t="str">
        <f>Item_Enchant_Old!B605</f>
        <v>ACTIVE_ENG_UP</v>
      </c>
      <c r="C601" s="29">
        <f>Item_Enchant_Old!C605</f>
        <v>615</v>
      </c>
      <c r="D601" s="29">
        <f>Item_Enchant_Old!D605</f>
        <v>0</v>
      </c>
      <c r="E601" s="29">
        <f>Item_Enchant_Old!E605</f>
        <v>0</v>
      </c>
      <c r="F601" s="29">
        <f>Item_Enchant_Old!F605</f>
        <v>0</v>
      </c>
      <c r="G601" s="29">
        <f>Item_Enchant_Old!G605</f>
        <v>2</v>
      </c>
      <c r="H601" s="29" t="str">
        <f>Item_Enchant_Old!H605</f>
        <v>@</v>
      </c>
      <c r="I601" s="29">
        <f>Item_Enchant_Old!I605</f>
        <v>1</v>
      </c>
      <c r="J601" s="29" t="str">
        <f>Item_Enchant_Old!J605</f>
        <v>절대값/상대값(%) 가능</v>
      </c>
      <c r="K601" s="29">
        <f>Item_Enchant_Old!K605</f>
        <v>11</v>
      </c>
      <c r="L601" s="29">
        <f>Item_Enchant_Old!L605</f>
        <v>0</v>
      </c>
      <c r="M601" s="29">
        <f>Item_Enchant_Old!M605</f>
        <v>11</v>
      </c>
      <c r="N601" s="29">
        <f>Item_Enchant_Old!N605</f>
        <v>62</v>
      </c>
      <c r="O601" s="29">
        <f>Item_Enchant_Old!O605</f>
        <v>1</v>
      </c>
      <c r="P601" s="29">
        <f>Item_Enchant_Old!P605</f>
        <v>1</v>
      </c>
      <c r="Q601" s="29">
        <f>Item_Enchant_Old!Q605</f>
        <v>1</v>
      </c>
      <c r="R601" s="29">
        <f>Item_Enchant_Old!R605</f>
        <v>1</v>
      </c>
    </row>
    <row r="602" spans="1:18" s="29" customFormat="1" hidden="1">
      <c r="A602" s="29">
        <f>Item_Enchant_Old!A606</f>
        <v>601</v>
      </c>
      <c r="B602" s="29" t="str">
        <f>Item_Enchant_Old!B606</f>
        <v>ACTIVE_PHYSICAL_DEFENCE_UP</v>
      </c>
      <c r="C602" s="29">
        <f>Item_Enchant_Old!C606</f>
        <v>608</v>
      </c>
      <c r="D602" s="29">
        <f>Item_Enchant_Old!D606</f>
        <v>0</v>
      </c>
      <c r="E602" s="29">
        <f>Item_Enchant_Old!E606</f>
        <v>0</v>
      </c>
      <c r="F602" s="29">
        <f>Item_Enchant_Old!F606</f>
        <v>0</v>
      </c>
      <c r="G602" s="29">
        <f>Item_Enchant_Old!G606</f>
        <v>1</v>
      </c>
      <c r="H602" s="29" t="str">
        <f>Item_Enchant_Old!H606</f>
        <v>@</v>
      </c>
      <c r="I602" s="29">
        <f>Item_Enchant_Old!I606</f>
        <v>1</v>
      </c>
      <c r="J602" s="29" t="str">
        <f>Item_Enchant_Old!J606</f>
        <v>절대값/상대값(%) 가능</v>
      </c>
      <c r="K602" s="29">
        <f>Item_Enchant_Old!K606</f>
        <v>11</v>
      </c>
      <c r="L602" s="29">
        <f>Item_Enchant_Old!L606</f>
        <v>0</v>
      </c>
      <c r="M602" s="29">
        <f>Item_Enchant_Old!M606</f>
        <v>12</v>
      </c>
      <c r="N602" s="29">
        <f>Item_Enchant_Old!N606</f>
        <v>1350</v>
      </c>
      <c r="O602" s="29">
        <f>Item_Enchant_Old!O606</f>
        <v>1</v>
      </c>
      <c r="P602" s="29">
        <f>Item_Enchant_Old!P606</f>
        <v>1</v>
      </c>
      <c r="Q602" s="29">
        <f>Item_Enchant_Old!Q606</f>
        <v>1</v>
      </c>
      <c r="R602" s="29">
        <f>Item_Enchant_Old!R606</f>
        <v>1</v>
      </c>
    </row>
    <row r="603" spans="1:18" s="29" customFormat="1" hidden="1">
      <c r="A603" s="29">
        <f>Item_Enchant_Old!A607</f>
        <v>602</v>
      </c>
      <c r="B603" s="29" t="str">
        <f>Item_Enchant_Old!B607</f>
        <v>ACTIVE_BLOCK_RATE_UP</v>
      </c>
      <c r="C603" s="29">
        <f>Item_Enchant_Old!C607</f>
        <v>620</v>
      </c>
      <c r="D603" s="29">
        <f>Item_Enchant_Old!D607</f>
        <v>0</v>
      </c>
      <c r="E603" s="29">
        <f>Item_Enchant_Old!E607</f>
        <v>0</v>
      </c>
      <c r="F603" s="29">
        <f>Item_Enchant_Old!F607</f>
        <v>0</v>
      </c>
      <c r="G603" s="29">
        <f>Item_Enchant_Old!G607</f>
        <v>1</v>
      </c>
      <c r="H603" s="29" t="str">
        <f>Item_Enchant_Old!H607</f>
        <v>@</v>
      </c>
      <c r="I603" s="29">
        <f>Item_Enchant_Old!I607</f>
        <v>1</v>
      </c>
      <c r="J603" s="29" t="str">
        <f>Item_Enchant_Old!J607</f>
        <v>절대값/상대값(%) 가능</v>
      </c>
      <c r="K603" s="29">
        <f>Item_Enchant_Old!K607</f>
        <v>11</v>
      </c>
      <c r="L603" s="29">
        <f>Item_Enchant_Old!L607</f>
        <v>0</v>
      </c>
      <c r="M603" s="29">
        <f>Item_Enchant_Old!M607</f>
        <v>12</v>
      </c>
      <c r="N603" s="29">
        <f>Item_Enchant_Old!N607</f>
        <v>352</v>
      </c>
      <c r="O603" s="29">
        <f>Item_Enchant_Old!O607</f>
        <v>1</v>
      </c>
      <c r="P603" s="29">
        <f>Item_Enchant_Old!P607</f>
        <v>1</v>
      </c>
      <c r="Q603" s="29">
        <f>Item_Enchant_Old!Q607</f>
        <v>1</v>
      </c>
      <c r="R603" s="29">
        <f>Item_Enchant_Old!R607</f>
        <v>1</v>
      </c>
    </row>
    <row r="604" spans="1:18" s="29" customFormat="1" hidden="1">
      <c r="A604" s="29">
        <f>Item_Enchant_Old!A608</f>
        <v>603</v>
      </c>
      <c r="B604" s="29" t="str">
        <f>Item_Enchant_Old!B608</f>
        <v>ACTIVE_CON_UP</v>
      </c>
      <c r="C604" s="29">
        <f>Item_Enchant_Old!C608</f>
        <v>611</v>
      </c>
      <c r="D604" s="29">
        <f>Item_Enchant_Old!D608</f>
        <v>0</v>
      </c>
      <c r="E604" s="29">
        <f>Item_Enchant_Old!E608</f>
        <v>0</v>
      </c>
      <c r="F604" s="29">
        <f>Item_Enchant_Old!F608</f>
        <v>0</v>
      </c>
      <c r="G604" s="29">
        <f>Item_Enchant_Old!G608</f>
        <v>3</v>
      </c>
      <c r="H604" s="29" t="str">
        <f>Item_Enchant_Old!H608</f>
        <v>@</v>
      </c>
      <c r="I604" s="29">
        <f>Item_Enchant_Old!I608</f>
        <v>1</v>
      </c>
      <c r="J604" s="29" t="str">
        <f>Item_Enchant_Old!J608</f>
        <v>절대값/상대값(%) 가능</v>
      </c>
      <c r="K604" s="29">
        <f>Item_Enchant_Old!K608</f>
        <v>11</v>
      </c>
      <c r="L604" s="29">
        <f>Item_Enchant_Old!L608</f>
        <v>0</v>
      </c>
      <c r="M604" s="29">
        <f>Item_Enchant_Old!M608</f>
        <v>12</v>
      </c>
      <c r="N604" s="29">
        <f>Item_Enchant_Old!N608</f>
        <v>48</v>
      </c>
      <c r="O604" s="29">
        <f>Item_Enchant_Old!O608</f>
        <v>1</v>
      </c>
      <c r="P604" s="29">
        <f>Item_Enchant_Old!P608</f>
        <v>1</v>
      </c>
      <c r="Q604" s="29">
        <f>Item_Enchant_Old!Q608</f>
        <v>1</v>
      </c>
      <c r="R604" s="29">
        <f>Item_Enchant_Old!R608</f>
        <v>1</v>
      </c>
    </row>
    <row r="605" spans="1:18" s="29" customFormat="1" hidden="1">
      <c r="A605" s="29">
        <f>Item_Enchant_Old!A609</f>
        <v>604</v>
      </c>
      <c r="B605" s="29" t="str">
        <f>Item_Enchant_Old!B609</f>
        <v>ACTIVE_FOC_UP</v>
      </c>
      <c r="C605" s="29">
        <f>Item_Enchant_Old!C609</f>
        <v>612</v>
      </c>
      <c r="D605" s="29">
        <f>Item_Enchant_Old!D609</f>
        <v>0</v>
      </c>
      <c r="E605" s="29">
        <f>Item_Enchant_Old!E609</f>
        <v>0</v>
      </c>
      <c r="F605" s="29">
        <f>Item_Enchant_Old!F609</f>
        <v>0</v>
      </c>
      <c r="G605" s="29">
        <f>Item_Enchant_Old!G609</f>
        <v>2</v>
      </c>
      <c r="H605" s="29" t="str">
        <f>Item_Enchant_Old!H609</f>
        <v>@</v>
      </c>
      <c r="I605" s="29">
        <f>Item_Enchant_Old!I609</f>
        <v>1</v>
      </c>
      <c r="J605" s="29" t="str">
        <f>Item_Enchant_Old!J609</f>
        <v>절대값/상대값(%) 가능</v>
      </c>
      <c r="K605" s="29">
        <f>Item_Enchant_Old!K609</f>
        <v>11</v>
      </c>
      <c r="L605" s="29">
        <f>Item_Enchant_Old!L609</f>
        <v>0</v>
      </c>
      <c r="M605" s="29">
        <f>Item_Enchant_Old!M609</f>
        <v>12</v>
      </c>
      <c r="N605" s="29">
        <f>Item_Enchant_Old!N609</f>
        <v>53</v>
      </c>
      <c r="O605" s="29">
        <f>Item_Enchant_Old!O609</f>
        <v>1</v>
      </c>
      <c r="P605" s="29">
        <f>Item_Enchant_Old!P609</f>
        <v>1</v>
      </c>
      <c r="Q605" s="29">
        <f>Item_Enchant_Old!Q609</f>
        <v>1</v>
      </c>
      <c r="R605" s="29">
        <f>Item_Enchant_Old!R609</f>
        <v>1</v>
      </c>
    </row>
    <row r="606" spans="1:18" s="29" customFormat="1" hidden="1">
      <c r="A606" s="29">
        <f>Item_Enchant_Old!A610</f>
        <v>605</v>
      </c>
      <c r="B606" s="29" t="str">
        <f>Item_Enchant_Old!B610</f>
        <v>ACTIVE_ENERGY_OFFENCE_UP</v>
      </c>
      <c r="C606" s="29">
        <f>Item_Enchant_Old!C610</f>
        <v>607</v>
      </c>
      <c r="D606" s="29">
        <f>Item_Enchant_Old!D610</f>
        <v>0</v>
      </c>
      <c r="E606" s="29">
        <f>Item_Enchant_Old!E610</f>
        <v>0</v>
      </c>
      <c r="F606" s="29">
        <f>Item_Enchant_Old!F610</f>
        <v>0</v>
      </c>
      <c r="G606" s="29">
        <f>Item_Enchant_Old!G610</f>
        <v>1</v>
      </c>
      <c r="H606" s="29" t="str">
        <f>Item_Enchant_Old!H610</f>
        <v>@</v>
      </c>
      <c r="I606" s="29">
        <f>Item_Enchant_Old!I610</f>
        <v>1</v>
      </c>
      <c r="J606" s="29" t="str">
        <f>Item_Enchant_Old!J610</f>
        <v>절대값/상대값(%) 가능</v>
      </c>
      <c r="K606" s="29">
        <f>Item_Enchant_Old!K610</f>
        <v>12</v>
      </c>
      <c r="L606" s="29">
        <f>Item_Enchant_Old!L610</f>
        <v>0</v>
      </c>
      <c r="M606" s="29">
        <f>Item_Enchant_Old!M610</f>
        <v>3</v>
      </c>
      <c r="N606" s="29">
        <f>Item_Enchant_Old!N610</f>
        <v>104</v>
      </c>
      <c r="O606" s="29">
        <f>Item_Enchant_Old!O610</f>
        <v>1</v>
      </c>
      <c r="P606" s="29">
        <f>Item_Enchant_Old!P610</f>
        <v>1</v>
      </c>
      <c r="Q606" s="29">
        <f>Item_Enchant_Old!Q610</f>
        <v>1</v>
      </c>
      <c r="R606" s="29">
        <f>Item_Enchant_Old!R610</f>
        <v>1</v>
      </c>
    </row>
    <row r="607" spans="1:18" s="29" customFormat="1" hidden="1">
      <c r="A607" s="29">
        <f>Item_Enchant_Old!A611</f>
        <v>606</v>
      </c>
      <c r="B607" s="29" t="str">
        <f>Item_Enchant_Old!B611</f>
        <v>ACTIVE_FOC_UP</v>
      </c>
      <c r="C607" s="29">
        <f>Item_Enchant_Old!C611</f>
        <v>612</v>
      </c>
      <c r="D607" s="29">
        <f>Item_Enchant_Old!D611</f>
        <v>0</v>
      </c>
      <c r="E607" s="29">
        <f>Item_Enchant_Old!E611</f>
        <v>0</v>
      </c>
      <c r="F607" s="29">
        <f>Item_Enchant_Old!F611</f>
        <v>0</v>
      </c>
      <c r="G607" s="29">
        <f>Item_Enchant_Old!G611</f>
        <v>2</v>
      </c>
      <c r="H607" s="29" t="str">
        <f>Item_Enchant_Old!H611</f>
        <v>@</v>
      </c>
      <c r="I607" s="29">
        <f>Item_Enchant_Old!I611</f>
        <v>1</v>
      </c>
      <c r="J607" s="29" t="str">
        <f>Item_Enchant_Old!J611</f>
        <v>절대값/상대값(%) 가능</v>
      </c>
      <c r="K607" s="29">
        <f>Item_Enchant_Old!K611</f>
        <v>12</v>
      </c>
      <c r="L607" s="29">
        <f>Item_Enchant_Old!L611</f>
        <v>0</v>
      </c>
      <c r="M607" s="29">
        <f>Item_Enchant_Old!M611</f>
        <v>3</v>
      </c>
      <c r="N607" s="29">
        <f>Item_Enchant_Old!N611</f>
        <v>53</v>
      </c>
      <c r="O607" s="29">
        <f>Item_Enchant_Old!O611</f>
        <v>1</v>
      </c>
      <c r="P607" s="29">
        <f>Item_Enchant_Old!P611</f>
        <v>1</v>
      </c>
      <c r="Q607" s="29">
        <f>Item_Enchant_Old!Q611</f>
        <v>1</v>
      </c>
      <c r="R607" s="29">
        <f>Item_Enchant_Old!R611</f>
        <v>1</v>
      </c>
    </row>
    <row r="608" spans="1:18" s="29" customFormat="1" hidden="1">
      <c r="A608" s="29">
        <f>Item_Enchant_Old!A612</f>
        <v>607</v>
      </c>
      <c r="B608" s="29" t="str">
        <f>Item_Enchant_Old!B612</f>
        <v>ACTIVE_SOL_UP</v>
      </c>
      <c r="C608" s="29">
        <f>Item_Enchant_Old!C612</f>
        <v>614</v>
      </c>
      <c r="D608" s="29">
        <f>Item_Enchant_Old!D612</f>
        <v>0</v>
      </c>
      <c r="E608" s="29">
        <f>Item_Enchant_Old!E612</f>
        <v>0</v>
      </c>
      <c r="F608" s="29">
        <f>Item_Enchant_Old!F612</f>
        <v>0</v>
      </c>
      <c r="G608" s="29">
        <f>Item_Enchant_Old!G612</f>
        <v>2</v>
      </c>
      <c r="H608" s="29" t="str">
        <f>Item_Enchant_Old!H612</f>
        <v>@</v>
      </c>
      <c r="I608" s="29">
        <f>Item_Enchant_Old!I612</f>
        <v>1</v>
      </c>
      <c r="J608" s="29" t="str">
        <f>Item_Enchant_Old!J612</f>
        <v>절대값/상대값(%) 가능</v>
      </c>
      <c r="K608" s="29">
        <f>Item_Enchant_Old!K612</f>
        <v>12</v>
      </c>
      <c r="L608" s="29">
        <f>Item_Enchant_Old!L612</f>
        <v>0</v>
      </c>
      <c r="M608" s="29">
        <f>Item_Enchant_Old!M612</f>
        <v>3</v>
      </c>
      <c r="N608" s="29">
        <f>Item_Enchant_Old!N612</f>
        <v>53</v>
      </c>
      <c r="O608" s="29">
        <f>Item_Enchant_Old!O612</f>
        <v>1</v>
      </c>
      <c r="P608" s="29">
        <f>Item_Enchant_Old!P612</f>
        <v>1</v>
      </c>
      <c r="Q608" s="29">
        <f>Item_Enchant_Old!Q612</f>
        <v>1</v>
      </c>
      <c r="R608" s="29">
        <f>Item_Enchant_Old!R612</f>
        <v>1</v>
      </c>
    </row>
    <row r="609" spans="1:18" s="29" customFormat="1" hidden="1">
      <c r="A609" s="29">
        <f>Item_Enchant_Old!A613</f>
        <v>608</v>
      </c>
      <c r="B609" s="29" t="str">
        <f>Item_Enchant_Old!B613</f>
        <v>ACTIVE_ENERGY_CRITICAL_DAMAGE_UP</v>
      </c>
      <c r="C609" s="29">
        <f>Item_Enchant_Old!C613</f>
        <v>659</v>
      </c>
      <c r="D609" s="29">
        <f>Item_Enchant_Old!D613</f>
        <v>0</v>
      </c>
      <c r="E609" s="29">
        <f>Item_Enchant_Old!E613</f>
        <v>0</v>
      </c>
      <c r="F609" s="29">
        <f>Item_Enchant_Old!F613</f>
        <v>0</v>
      </c>
      <c r="G609" s="29">
        <f>Item_Enchant_Old!G613</f>
        <v>4</v>
      </c>
      <c r="H609" s="29" t="str">
        <f>Item_Enchant_Old!H613</f>
        <v>@</v>
      </c>
      <c r="I609" s="29">
        <f>Item_Enchant_Old!I613</f>
        <v>1</v>
      </c>
      <c r="J609" s="29" t="str">
        <f>Item_Enchant_Old!J613</f>
        <v>절대값만 가능</v>
      </c>
      <c r="K609" s="29">
        <f>Item_Enchant_Old!K613</f>
        <v>12</v>
      </c>
      <c r="L609" s="29">
        <f>Item_Enchant_Old!L613</f>
        <v>0</v>
      </c>
      <c r="M609" s="29">
        <f>Item_Enchant_Old!M613</f>
        <v>3</v>
      </c>
      <c r="N609" s="29">
        <f>Item_Enchant_Old!N613</f>
        <v>32</v>
      </c>
      <c r="O609" s="29">
        <f>Item_Enchant_Old!O613</f>
        <v>1</v>
      </c>
      <c r="P609" s="29">
        <f>Item_Enchant_Old!P613</f>
        <v>1</v>
      </c>
      <c r="Q609" s="29">
        <f>Item_Enchant_Old!Q613</f>
        <v>1</v>
      </c>
      <c r="R609" s="29">
        <f>Item_Enchant_Old!R613</f>
        <v>1</v>
      </c>
    </row>
    <row r="610" spans="1:18" s="29" customFormat="1" hidden="1">
      <c r="A610" s="29">
        <f>Item_Enchant_Old!A614</f>
        <v>609</v>
      </c>
      <c r="B610" s="29" t="str">
        <f>Item_Enchant_Old!B614</f>
        <v>ACTIVE_ENERGY_CRITICAL</v>
      </c>
      <c r="C610" s="29">
        <f>Item_Enchant_Old!C614</f>
        <v>633</v>
      </c>
      <c r="D610" s="29">
        <f>Item_Enchant_Old!D614</f>
        <v>0</v>
      </c>
      <c r="E610" s="29">
        <f>Item_Enchant_Old!E614</f>
        <v>0</v>
      </c>
      <c r="F610" s="29">
        <f>Item_Enchant_Old!F614</f>
        <v>0</v>
      </c>
      <c r="G610" s="29">
        <f>Item_Enchant_Old!G614</f>
        <v>5</v>
      </c>
      <c r="H610" s="29" t="str">
        <f>Item_Enchant_Old!H614</f>
        <v>@</v>
      </c>
      <c r="I610" s="29">
        <f>Item_Enchant_Old!I614</f>
        <v>1</v>
      </c>
      <c r="J610" s="29" t="str">
        <f>Item_Enchant_Old!J614</f>
        <v>절대값/상대값(%) 가능</v>
      </c>
      <c r="K610" s="29">
        <f>Item_Enchant_Old!K614</f>
        <v>12</v>
      </c>
      <c r="L610" s="29">
        <f>Item_Enchant_Old!L614</f>
        <v>0</v>
      </c>
      <c r="M610" s="29">
        <f>Item_Enchant_Old!M614</f>
        <v>4</v>
      </c>
      <c r="N610" s="29">
        <f>Item_Enchant_Old!N614</f>
        <v>24</v>
      </c>
      <c r="O610" s="29">
        <f>Item_Enchant_Old!O614</f>
        <v>1</v>
      </c>
      <c r="P610" s="29">
        <f>Item_Enchant_Old!P614</f>
        <v>1</v>
      </c>
      <c r="Q610" s="29">
        <f>Item_Enchant_Old!Q614</f>
        <v>1</v>
      </c>
      <c r="R610" s="29">
        <f>Item_Enchant_Old!R614</f>
        <v>1</v>
      </c>
    </row>
    <row r="611" spans="1:18" s="29" customFormat="1" hidden="1">
      <c r="A611" s="29">
        <f>Item_Enchant_Old!A615</f>
        <v>610</v>
      </c>
      <c r="B611" s="29" t="str">
        <f>Item_Enchant_Old!B615</f>
        <v>ACTIVE_ENERGY_CRITICAL_DAMAGE_UP</v>
      </c>
      <c r="C611" s="29">
        <f>Item_Enchant_Old!C615</f>
        <v>659</v>
      </c>
      <c r="D611" s="29">
        <f>Item_Enchant_Old!D615</f>
        <v>0</v>
      </c>
      <c r="E611" s="29">
        <f>Item_Enchant_Old!E615</f>
        <v>0</v>
      </c>
      <c r="F611" s="29">
        <f>Item_Enchant_Old!F615</f>
        <v>0</v>
      </c>
      <c r="G611" s="29">
        <f>Item_Enchant_Old!G615</f>
        <v>4</v>
      </c>
      <c r="H611" s="29" t="str">
        <f>Item_Enchant_Old!H615</f>
        <v>@</v>
      </c>
      <c r="I611" s="29">
        <f>Item_Enchant_Old!I615</f>
        <v>1</v>
      </c>
      <c r="J611" s="29" t="str">
        <f>Item_Enchant_Old!J615</f>
        <v>절대값만 가능</v>
      </c>
      <c r="K611" s="29">
        <f>Item_Enchant_Old!K615</f>
        <v>12</v>
      </c>
      <c r="L611" s="29">
        <f>Item_Enchant_Old!L615</f>
        <v>0</v>
      </c>
      <c r="M611" s="29">
        <f>Item_Enchant_Old!M615</f>
        <v>4</v>
      </c>
      <c r="N611" s="29">
        <f>Item_Enchant_Old!N615</f>
        <v>32</v>
      </c>
      <c r="O611" s="29">
        <f>Item_Enchant_Old!O615</f>
        <v>1</v>
      </c>
      <c r="P611" s="29">
        <f>Item_Enchant_Old!P615</f>
        <v>1</v>
      </c>
      <c r="Q611" s="29">
        <f>Item_Enchant_Old!Q615</f>
        <v>1</v>
      </c>
      <c r="R611" s="29">
        <f>Item_Enchant_Old!R615</f>
        <v>1</v>
      </c>
    </row>
    <row r="612" spans="1:18" s="29" customFormat="1" hidden="1">
      <c r="A612" s="29">
        <f>Item_Enchant_Old!A616</f>
        <v>611</v>
      </c>
      <c r="B612" s="29" t="str">
        <f>Item_Enchant_Old!B616</f>
        <v>ACTIVE_FOC_UP</v>
      </c>
      <c r="C612" s="29">
        <f>Item_Enchant_Old!C616</f>
        <v>612</v>
      </c>
      <c r="D612" s="29">
        <f>Item_Enchant_Old!D616</f>
        <v>0</v>
      </c>
      <c r="E612" s="29">
        <f>Item_Enchant_Old!E616</f>
        <v>0</v>
      </c>
      <c r="F612" s="29">
        <f>Item_Enchant_Old!F616</f>
        <v>0</v>
      </c>
      <c r="G612" s="29">
        <f>Item_Enchant_Old!G616</f>
        <v>2</v>
      </c>
      <c r="H612" s="29" t="str">
        <f>Item_Enchant_Old!H616</f>
        <v>@</v>
      </c>
      <c r="I612" s="29">
        <f>Item_Enchant_Old!I616</f>
        <v>1</v>
      </c>
      <c r="J612" s="29" t="str">
        <f>Item_Enchant_Old!J616</f>
        <v>절대값/상대값(%) 가능</v>
      </c>
      <c r="K612" s="29">
        <f>Item_Enchant_Old!K616</f>
        <v>12</v>
      </c>
      <c r="L612" s="29">
        <f>Item_Enchant_Old!L616</f>
        <v>0</v>
      </c>
      <c r="M612" s="29">
        <f>Item_Enchant_Old!M616</f>
        <v>4</v>
      </c>
      <c r="N612" s="29">
        <f>Item_Enchant_Old!N616</f>
        <v>53</v>
      </c>
      <c r="O612" s="29">
        <f>Item_Enchant_Old!O616</f>
        <v>1</v>
      </c>
      <c r="P612" s="29">
        <f>Item_Enchant_Old!P616</f>
        <v>1</v>
      </c>
      <c r="Q612" s="29">
        <f>Item_Enchant_Old!Q616</f>
        <v>1</v>
      </c>
      <c r="R612" s="29">
        <f>Item_Enchant_Old!R616</f>
        <v>1</v>
      </c>
    </row>
    <row r="613" spans="1:18" s="29" customFormat="1" hidden="1">
      <c r="A613" s="29">
        <f>Item_Enchant_Old!A617</f>
        <v>612</v>
      </c>
      <c r="B613" s="29" t="str">
        <f>Item_Enchant_Old!B617</f>
        <v>ACTIVE_DEX_UP</v>
      </c>
      <c r="C613" s="29">
        <f>Item_Enchant_Old!C617</f>
        <v>613</v>
      </c>
      <c r="D613" s="29">
        <f>Item_Enchant_Old!D617</f>
        <v>0</v>
      </c>
      <c r="E613" s="29">
        <f>Item_Enchant_Old!E617</f>
        <v>0</v>
      </c>
      <c r="F613" s="29">
        <f>Item_Enchant_Old!F617</f>
        <v>0</v>
      </c>
      <c r="G613" s="29">
        <f>Item_Enchant_Old!G617</f>
        <v>3</v>
      </c>
      <c r="H613" s="29" t="str">
        <f>Item_Enchant_Old!H617</f>
        <v>@</v>
      </c>
      <c r="I613" s="29">
        <f>Item_Enchant_Old!I617</f>
        <v>1</v>
      </c>
      <c r="J613" s="29" t="str">
        <f>Item_Enchant_Old!J617</f>
        <v>절대값/상대값(%) 가능</v>
      </c>
      <c r="K613" s="29">
        <f>Item_Enchant_Old!K617</f>
        <v>12</v>
      </c>
      <c r="L613" s="29">
        <f>Item_Enchant_Old!L617</f>
        <v>0</v>
      </c>
      <c r="M613" s="29">
        <f>Item_Enchant_Old!M617</f>
        <v>4</v>
      </c>
      <c r="N613" s="29">
        <f>Item_Enchant_Old!N617</f>
        <v>44</v>
      </c>
      <c r="O613" s="29">
        <f>Item_Enchant_Old!O617</f>
        <v>1</v>
      </c>
      <c r="P613" s="29">
        <f>Item_Enchant_Old!P617</f>
        <v>1</v>
      </c>
      <c r="Q613" s="29">
        <f>Item_Enchant_Old!Q617</f>
        <v>1</v>
      </c>
      <c r="R613" s="29">
        <f>Item_Enchant_Old!R617</f>
        <v>1</v>
      </c>
    </row>
    <row r="614" spans="1:18" s="29" customFormat="1" hidden="1">
      <c r="A614" s="29">
        <f>Item_Enchant_Old!A618</f>
        <v>613</v>
      </c>
      <c r="B614" s="29" t="str">
        <f>Item_Enchant_Old!B618</f>
        <v>ACTIVE_ATTACK_SPEED_UP</v>
      </c>
      <c r="C614" s="29">
        <f>Item_Enchant_Old!C618</f>
        <v>617</v>
      </c>
      <c r="D614" s="29">
        <f>Item_Enchant_Old!D618</f>
        <v>1</v>
      </c>
      <c r="E614" s="29">
        <f>Item_Enchant_Old!E618</f>
        <v>0</v>
      </c>
      <c r="F614" s="29">
        <f>Item_Enchant_Old!F618</f>
        <v>0</v>
      </c>
      <c r="G614" s="29">
        <f>Item_Enchant_Old!G618</f>
        <v>10</v>
      </c>
      <c r="H614" s="29" t="str">
        <f>Item_Enchant_Old!H618</f>
        <v>@</v>
      </c>
      <c r="I614" s="29">
        <f>Item_Enchant_Old!I618</f>
        <v>1</v>
      </c>
      <c r="J614" s="29" t="str">
        <f>Item_Enchant_Old!J618</f>
        <v>절대값/상대값(%) 가능</v>
      </c>
      <c r="K614" s="29">
        <f>Item_Enchant_Old!K618</f>
        <v>12</v>
      </c>
      <c r="L614" s="29">
        <f>Item_Enchant_Old!L618</f>
        <v>0</v>
      </c>
      <c r="M614" s="29">
        <f>Item_Enchant_Old!M618</f>
        <v>5</v>
      </c>
      <c r="N614" s="29">
        <f>Item_Enchant_Old!N618</f>
        <v>10</v>
      </c>
      <c r="O614" s="29">
        <f>Item_Enchant_Old!O618</f>
        <v>1</v>
      </c>
      <c r="P614" s="29">
        <f>Item_Enchant_Old!P618</f>
        <v>1</v>
      </c>
      <c r="Q614" s="29">
        <f>Item_Enchant_Old!Q618</f>
        <v>1</v>
      </c>
      <c r="R614" s="29">
        <f>Item_Enchant_Old!R618</f>
        <v>1</v>
      </c>
    </row>
    <row r="615" spans="1:18" s="29" customFormat="1" hidden="1">
      <c r="A615" s="29">
        <f>Item_Enchant_Old!A619</f>
        <v>614</v>
      </c>
      <c r="B615" s="29" t="str">
        <f>Item_Enchant_Old!B619</f>
        <v>ACTIVE_DEX_UP</v>
      </c>
      <c r="C615" s="29">
        <f>Item_Enchant_Old!C619</f>
        <v>613</v>
      </c>
      <c r="D615" s="29">
        <f>Item_Enchant_Old!D619</f>
        <v>0</v>
      </c>
      <c r="E615" s="29">
        <f>Item_Enchant_Old!E619</f>
        <v>0</v>
      </c>
      <c r="F615" s="29">
        <f>Item_Enchant_Old!F619</f>
        <v>0</v>
      </c>
      <c r="G615" s="29">
        <f>Item_Enchant_Old!G619</f>
        <v>3</v>
      </c>
      <c r="H615" s="29" t="str">
        <f>Item_Enchant_Old!H619</f>
        <v>@</v>
      </c>
      <c r="I615" s="29">
        <f>Item_Enchant_Old!I619</f>
        <v>1</v>
      </c>
      <c r="J615" s="29" t="str">
        <f>Item_Enchant_Old!J619</f>
        <v>절대값/상대값(%) 가능</v>
      </c>
      <c r="K615" s="29">
        <f>Item_Enchant_Old!K619</f>
        <v>12</v>
      </c>
      <c r="L615" s="29">
        <f>Item_Enchant_Old!L619</f>
        <v>0</v>
      </c>
      <c r="M615" s="29">
        <f>Item_Enchant_Old!M619</f>
        <v>5</v>
      </c>
      <c r="N615" s="29">
        <f>Item_Enchant_Old!N619</f>
        <v>44</v>
      </c>
      <c r="O615" s="29">
        <f>Item_Enchant_Old!O619</f>
        <v>1</v>
      </c>
      <c r="P615" s="29">
        <f>Item_Enchant_Old!P619</f>
        <v>1</v>
      </c>
      <c r="Q615" s="29">
        <f>Item_Enchant_Old!Q619</f>
        <v>1</v>
      </c>
      <c r="R615" s="29">
        <f>Item_Enchant_Old!R619</f>
        <v>1</v>
      </c>
    </row>
    <row r="616" spans="1:18" s="29" customFormat="1" hidden="1">
      <c r="A616" s="29">
        <f>Item_Enchant_Old!A620</f>
        <v>615</v>
      </c>
      <c r="B616" s="29" t="str">
        <f>Item_Enchant_Old!B620</f>
        <v>ACTIVE_FOC_UP</v>
      </c>
      <c r="C616" s="29">
        <f>Item_Enchant_Old!C620</f>
        <v>612</v>
      </c>
      <c r="D616" s="29">
        <f>Item_Enchant_Old!D620</f>
        <v>0</v>
      </c>
      <c r="E616" s="29">
        <f>Item_Enchant_Old!E620</f>
        <v>0</v>
      </c>
      <c r="F616" s="29">
        <f>Item_Enchant_Old!F620</f>
        <v>0</v>
      </c>
      <c r="G616" s="29">
        <f>Item_Enchant_Old!G620</f>
        <v>2</v>
      </c>
      <c r="H616" s="29" t="str">
        <f>Item_Enchant_Old!H620</f>
        <v>@</v>
      </c>
      <c r="I616" s="29">
        <f>Item_Enchant_Old!I620</f>
        <v>1</v>
      </c>
      <c r="J616" s="29" t="str">
        <f>Item_Enchant_Old!J620</f>
        <v>절대값/상대값(%) 가능</v>
      </c>
      <c r="K616" s="29">
        <f>Item_Enchant_Old!K620</f>
        <v>12</v>
      </c>
      <c r="L616" s="29">
        <f>Item_Enchant_Old!L620</f>
        <v>0</v>
      </c>
      <c r="M616" s="29">
        <f>Item_Enchant_Old!M620</f>
        <v>5</v>
      </c>
      <c r="N616" s="29">
        <f>Item_Enchant_Old!N620</f>
        <v>53</v>
      </c>
      <c r="O616" s="29">
        <f>Item_Enchant_Old!O620</f>
        <v>1</v>
      </c>
      <c r="P616" s="29">
        <f>Item_Enchant_Old!P620</f>
        <v>1</v>
      </c>
      <c r="Q616" s="29">
        <f>Item_Enchant_Old!Q620</f>
        <v>1</v>
      </c>
      <c r="R616" s="29">
        <f>Item_Enchant_Old!R620</f>
        <v>1</v>
      </c>
    </row>
    <row r="617" spans="1:18" s="29" customFormat="1" hidden="1">
      <c r="A617" s="29">
        <f>Item_Enchant_Old!A621</f>
        <v>616</v>
      </c>
      <c r="B617" s="29" t="str">
        <f>Item_Enchant_Old!B621</f>
        <v>ACTIVE_PHYSICAL_OFFENCE_UP</v>
      </c>
      <c r="C617" s="29">
        <f>Item_Enchant_Old!C621</f>
        <v>606</v>
      </c>
      <c r="D617" s="29">
        <f>Item_Enchant_Old!D621</f>
        <v>0</v>
      </c>
      <c r="E617" s="29">
        <f>Item_Enchant_Old!E621</f>
        <v>0</v>
      </c>
      <c r="F617" s="29">
        <f>Item_Enchant_Old!F621</f>
        <v>0</v>
      </c>
      <c r="G617" s="29">
        <f>Item_Enchant_Old!G621</f>
        <v>1</v>
      </c>
      <c r="H617" s="29" t="str">
        <f>Item_Enchant_Old!H621</f>
        <v>@</v>
      </c>
      <c r="I617" s="29">
        <f>Item_Enchant_Old!I621</f>
        <v>1</v>
      </c>
      <c r="J617" s="29" t="str">
        <f>Item_Enchant_Old!J621</f>
        <v>절대값/상대값(%) 가능</v>
      </c>
      <c r="K617" s="29">
        <f>Item_Enchant_Old!K621</f>
        <v>12</v>
      </c>
      <c r="L617" s="29">
        <f>Item_Enchant_Old!L621</f>
        <v>0</v>
      </c>
      <c r="M617" s="29">
        <f>Item_Enchant_Old!M621</f>
        <v>5</v>
      </c>
      <c r="N617" s="29">
        <f>Item_Enchant_Old!N621</f>
        <v>125</v>
      </c>
      <c r="O617" s="29">
        <f>Item_Enchant_Old!O621</f>
        <v>1</v>
      </c>
      <c r="P617" s="29">
        <f>Item_Enchant_Old!P621</f>
        <v>1</v>
      </c>
      <c r="Q617" s="29">
        <f>Item_Enchant_Old!Q621</f>
        <v>1</v>
      </c>
      <c r="R617" s="29">
        <f>Item_Enchant_Old!R621</f>
        <v>1</v>
      </c>
    </row>
    <row r="618" spans="1:18" s="29" customFormat="1" hidden="1">
      <c r="A618" s="29">
        <f>Item_Enchant_Old!A622</f>
        <v>617</v>
      </c>
      <c r="B618" s="29" t="str">
        <f>Item_Enchant_Old!B622</f>
        <v>ACTIVE_ENERGY_OFFENCE_UP</v>
      </c>
      <c r="C618" s="29">
        <f>Item_Enchant_Old!C622</f>
        <v>607</v>
      </c>
      <c r="D618" s="29">
        <f>Item_Enchant_Old!D622</f>
        <v>0</v>
      </c>
      <c r="E618" s="29">
        <f>Item_Enchant_Old!E622</f>
        <v>0</v>
      </c>
      <c r="F618" s="29">
        <f>Item_Enchant_Old!F622</f>
        <v>0</v>
      </c>
      <c r="G618" s="29">
        <f>Item_Enchant_Old!G622</f>
        <v>1</v>
      </c>
      <c r="H618" s="29" t="str">
        <f>Item_Enchant_Old!H622</f>
        <v>@</v>
      </c>
      <c r="I618" s="29">
        <f>Item_Enchant_Old!I622</f>
        <v>1</v>
      </c>
      <c r="J618" s="29" t="str">
        <f>Item_Enchant_Old!J622</f>
        <v>절대값/상대값(%) 가능</v>
      </c>
      <c r="K618" s="29">
        <f>Item_Enchant_Old!K622</f>
        <v>12</v>
      </c>
      <c r="L618" s="29">
        <f>Item_Enchant_Old!L622</f>
        <v>0</v>
      </c>
      <c r="M618" s="29">
        <f>Item_Enchant_Old!M622</f>
        <v>5</v>
      </c>
      <c r="N618" s="29">
        <f>Item_Enchant_Old!N622</f>
        <v>104</v>
      </c>
      <c r="O618" s="29">
        <f>Item_Enchant_Old!O622</f>
        <v>1</v>
      </c>
      <c r="P618" s="29">
        <f>Item_Enchant_Old!P622</f>
        <v>1</v>
      </c>
      <c r="Q618" s="29">
        <f>Item_Enchant_Old!Q622</f>
        <v>1</v>
      </c>
      <c r="R618" s="29">
        <f>Item_Enchant_Old!R622</f>
        <v>1</v>
      </c>
    </row>
    <row r="619" spans="1:18" s="29" customFormat="1" hidden="1">
      <c r="A619" s="29">
        <f>Item_Enchant_Old!A623</f>
        <v>618</v>
      </c>
      <c r="B619" s="29" t="str">
        <f>Item_Enchant_Old!B623</f>
        <v>ACTIVE_PHYSICAL_OFFENCE_UP</v>
      </c>
      <c r="C619" s="29">
        <f>Item_Enchant_Old!C623</f>
        <v>606</v>
      </c>
      <c r="D619" s="29">
        <f>Item_Enchant_Old!D623</f>
        <v>0</v>
      </c>
      <c r="E619" s="29">
        <f>Item_Enchant_Old!E623</f>
        <v>0</v>
      </c>
      <c r="F619" s="29">
        <f>Item_Enchant_Old!F623</f>
        <v>0</v>
      </c>
      <c r="G619" s="29">
        <f>Item_Enchant_Old!G623</f>
        <v>1</v>
      </c>
      <c r="H619" s="29" t="str">
        <f>Item_Enchant_Old!H623</f>
        <v>@</v>
      </c>
      <c r="I619" s="29">
        <f>Item_Enchant_Old!I623</f>
        <v>1</v>
      </c>
      <c r="J619" s="29" t="str">
        <f>Item_Enchant_Old!J623</f>
        <v>절대값/상대값(%) 가능</v>
      </c>
      <c r="K619" s="29">
        <f>Item_Enchant_Old!K623</f>
        <v>12</v>
      </c>
      <c r="L619" s="29">
        <f>Item_Enchant_Old!L623</f>
        <v>0</v>
      </c>
      <c r="M619" s="29">
        <f>Item_Enchant_Old!M623</f>
        <v>6</v>
      </c>
      <c r="N619" s="29">
        <f>Item_Enchant_Old!N623</f>
        <v>125</v>
      </c>
      <c r="O619" s="29">
        <f>Item_Enchant_Old!O623</f>
        <v>1</v>
      </c>
      <c r="P619" s="29">
        <f>Item_Enchant_Old!P623</f>
        <v>1</v>
      </c>
      <c r="Q619" s="29">
        <f>Item_Enchant_Old!Q623</f>
        <v>1</v>
      </c>
      <c r="R619" s="29">
        <f>Item_Enchant_Old!R623</f>
        <v>1</v>
      </c>
    </row>
    <row r="620" spans="1:18" s="29" customFormat="1" hidden="1">
      <c r="A620" s="29">
        <f>Item_Enchant_Old!A624</f>
        <v>619</v>
      </c>
      <c r="B620" s="29" t="str">
        <f>Item_Enchant_Old!B624</f>
        <v>ACTIVE_ENERGY_OFFENCE_UP</v>
      </c>
      <c r="C620" s="29">
        <f>Item_Enchant_Old!C624</f>
        <v>607</v>
      </c>
      <c r="D620" s="29">
        <f>Item_Enchant_Old!D624</f>
        <v>0</v>
      </c>
      <c r="E620" s="29">
        <f>Item_Enchant_Old!E624</f>
        <v>0</v>
      </c>
      <c r="F620" s="29">
        <f>Item_Enchant_Old!F624</f>
        <v>0</v>
      </c>
      <c r="G620" s="29">
        <f>Item_Enchant_Old!G624</f>
        <v>1</v>
      </c>
      <c r="H620" s="29" t="str">
        <f>Item_Enchant_Old!H624</f>
        <v>@</v>
      </c>
      <c r="I620" s="29">
        <f>Item_Enchant_Old!I624</f>
        <v>1</v>
      </c>
      <c r="J620" s="29" t="str">
        <f>Item_Enchant_Old!J624</f>
        <v>절대값/상대값(%) 가능</v>
      </c>
      <c r="K620" s="29">
        <f>Item_Enchant_Old!K624</f>
        <v>12</v>
      </c>
      <c r="L620" s="29">
        <f>Item_Enchant_Old!L624</f>
        <v>0</v>
      </c>
      <c r="M620" s="29">
        <f>Item_Enchant_Old!M624</f>
        <v>6</v>
      </c>
      <c r="N620" s="29">
        <f>Item_Enchant_Old!N624</f>
        <v>104</v>
      </c>
      <c r="O620" s="29">
        <f>Item_Enchant_Old!O624</f>
        <v>1</v>
      </c>
      <c r="P620" s="29">
        <f>Item_Enchant_Old!P624</f>
        <v>1</v>
      </c>
      <c r="Q620" s="29">
        <f>Item_Enchant_Old!Q624</f>
        <v>1</v>
      </c>
      <c r="R620" s="29">
        <f>Item_Enchant_Old!R624</f>
        <v>1</v>
      </c>
    </row>
    <row r="621" spans="1:18" s="29" customFormat="1" hidden="1">
      <c r="A621" s="29">
        <f>Item_Enchant_Old!A625</f>
        <v>620</v>
      </c>
      <c r="B621" s="29" t="str">
        <f>Item_Enchant_Old!B625</f>
        <v>ACTIVE_STR_UP</v>
      </c>
      <c r="C621" s="29">
        <f>Item_Enchant_Old!C625</f>
        <v>610</v>
      </c>
      <c r="D621" s="29">
        <f>Item_Enchant_Old!D625</f>
        <v>0</v>
      </c>
      <c r="E621" s="29">
        <f>Item_Enchant_Old!E625</f>
        <v>0</v>
      </c>
      <c r="F621" s="29">
        <f>Item_Enchant_Old!F625</f>
        <v>0</v>
      </c>
      <c r="G621" s="29">
        <f>Item_Enchant_Old!G625</f>
        <v>2</v>
      </c>
      <c r="H621" s="29" t="str">
        <f>Item_Enchant_Old!H625</f>
        <v>@</v>
      </c>
      <c r="I621" s="29">
        <f>Item_Enchant_Old!I625</f>
        <v>1</v>
      </c>
      <c r="J621" s="29" t="str">
        <f>Item_Enchant_Old!J625</f>
        <v>절대값/상대값(%) 가능</v>
      </c>
      <c r="K621" s="29">
        <f>Item_Enchant_Old!K625</f>
        <v>12</v>
      </c>
      <c r="L621" s="29">
        <f>Item_Enchant_Old!L625</f>
        <v>0</v>
      </c>
      <c r="M621" s="29">
        <f>Item_Enchant_Old!M625</f>
        <v>6</v>
      </c>
      <c r="N621" s="29">
        <f>Item_Enchant_Old!N625</f>
        <v>57</v>
      </c>
      <c r="O621" s="29">
        <f>Item_Enchant_Old!O625</f>
        <v>1</v>
      </c>
      <c r="P621" s="29">
        <f>Item_Enchant_Old!P625</f>
        <v>1</v>
      </c>
      <c r="Q621" s="29">
        <f>Item_Enchant_Old!Q625</f>
        <v>1</v>
      </c>
      <c r="R621" s="29">
        <f>Item_Enchant_Old!R625</f>
        <v>1</v>
      </c>
    </row>
    <row r="622" spans="1:18" s="29" customFormat="1" hidden="1">
      <c r="A622" s="29">
        <f>Item_Enchant_Old!A626</f>
        <v>621</v>
      </c>
      <c r="B622" s="29" t="str">
        <f>Item_Enchant_Old!B626</f>
        <v>ACTIVE_SOL_UP</v>
      </c>
      <c r="C622" s="29">
        <f>Item_Enchant_Old!C626</f>
        <v>614</v>
      </c>
      <c r="D622" s="29">
        <f>Item_Enchant_Old!D626</f>
        <v>0</v>
      </c>
      <c r="E622" s="29">
        <f>Item_Enchant_Old!E626</f>
        <v>0</v>
      </c>
      <c r="F622" s="29">
        <f>Item_Enchant_Old!F626</f>
        <v>0</v>
      </c>
      <c r="G622" s="29">
        <f>Item_Enchant_Old!G626</f>
        <v>2</v>
      </c>
      <c r="H622" s="29" t="str">
        <f>Item_Enchant_Old!H626</f>
        <v>@</v>
      </c>
      <c r="I622" s="29">
        <f>Item_Enchant_Old!I626</f>
        <v>1</v>
      </c>
      <c r="J622" s="29" t="str">
        <f>Item_Enchant_Old!J626</f>
        <v>절대값/상대값(%) 가능</v>
      </c>
      <c r="K622" s="29">
        <f>Item_Enchant_Old!K626</f>
        <v>12</v>
      </c>
      <c r="L622" s="29">
        <f>Item_Enchant_Old!L626</f>
        <v>0</v>
      </c>
      <c r="M622" s="29">
        <f>Item_Enchant_Old!M626</f>
        <v>6</v>
      </c>
      <c r="N622" s="29">
        <f>Item_Enchant_Old!N626</f>
        <v>53</v>
      </c>
      <c r="O622" s="29">
        <f>Item_Enchant_Old!O626</f>
        <v>1</v>
      </c>
      <c r="P622" s="29">
        <f>Item_Enchant_Old!P626</f>
        <v>1</v>
      </c>
      <c r="Q622" s="29">
        <f>Item_Enchant_Old!Q626</f>
        <v>1</v>
      </c>
      <c r="R622" s="29">
        <f>Item_Enchant_Old!R626</f>
        <v>1</v>
      </c>
    </row>
    <row r="623" spans="1:18" s="29" customFormat="1" hidden="1">
      <c r="A623" s="29">
        <f>Item_Enchant_Old!A627</f>
        <v>622</v>
      </c>
      <c r="B623" s="29" t="str">
        <f>Item_Enchant_Old!B627</f>
        <v>ACTIVE_PHYSICAL_CRITICAL_DAMAGE_UP</v>
      </c>
      <c r="C623" s="29">
        <f>Item_Enchant_Old!C627</f>
        <v>658</v>
      </c>
      <c r="D623" s="29">
        <f>Item_Enchant_Old!D627</f>
        <v>0</v>
      </c>
      <c r="E623" s="29">
        <f>Item_Enchant_Old!E627</f>
        <v>0</v>
      </c>
      <c r="F623" s="29">
        <f>Item_Enchant_Old!F627</f>
        <v>0</v>
      </c>
      <c r="G623" s="29">
        <f>Item_Enchant_Old!G627</f>
        <v>4</v>
      </c>
      <c r="H623" s="29" t="str">
        <f>Item_Enchant_Old!H627</f>
        <v>@</v>
      </c>
      <c r="I623" s="29">
        <f>Item_Enchant_Old!I627</f>
        <v>1</v>
      </c>
      <c r="J623" s="29" t="str">
        <f>Item_Enchant_Old!J627</f>
        <v>절대값만 가능</v>
      </c>
      <c r="K623" s="29">
        <f>Item_Enchant_Old!K627</f>
        <v>12</v>
      </c>
      <c r="L623" s="29">
        <f>Item_Enchant_Old!L627</f>
        <v>0</v>
      </c>
      <c r="M623" s="29">
        <f>Item_Enchant_Old!M627</f>
        <v>6</v>
      </c>
      <c r="N623" s="29">
        <f>Item_Enchant_Old!N627</f>
        <v>28</v>
      </c>
      <c r="O623" s="29">
        <f>Item_Enchant_Old!O627</f>
        <v>1</v>
      </c>
      <c r="P623" s="29">
        <f>Item_Enchant_Old!P627</f>
        <v>1</v>
      </c>
      <c r="Q623" s="29">
        <f>Item_Enchant_Old!Q627</f>
        <v>1</v>
      </c>
      <c r="R623" s="29">
        <f>Item_Enchant_Old!R627</f>
        <v>1</v>
      </c>
    </row>
    <row r="624" spans="1:18" s="29" customFormat="1" hidden="1">
      <c r="A624" s="29">
        <f>Item_Enchant_Old!A628</f>
        <v>623</v>
      </c>
      <c r="B624" s="29" t="str">
        <f>Item_Enchant_Old!B628</f>
        <v>ACTIVE_ENERGY_CRITICAL_DAMAGE_UP</v>
      </c>
      <c r="C624" s="29">
        <f>Item_Enchant_Old!C628</f>
        <v>659</v>
      </c>
      <c r="D624" s="29">
        <f>Item_Enchant_Old!D628</f>
        <v>0</v>
      </c>
      <c r="E624" s="29">
        <f>Item_Enchant_Old!E628</f>
        <v>0</v>
      </c>
      <c r="F624" s="29">
        <f>Item_Enchant_Old!F628</f>
        <v>0</v>
      </c>
      <c r="G624" s="29">
        <f>Item_Enchant_Old!G628</f>
        <v>4</v>
      </c>
      <c r="H624" s="29" t="str">
        <f>Item_Enchant_Old!H628</f>
        <v>@</v>
      </c>
      <c r="I624" s="29">
        <f>Item_Enchant_Old!I628</f>
        <v>1</v>
      </c>
      <c r="J624" s="29" t="str">
        <f>Item_Enchant_Old!J628</f>
        <v>절대값만 가능</v>
      </c>
      <c r="K624" s="29">
        <f>Item_Enchant_Old!K628</f>
        <v>12</v>
      </c>
      <c r="L624" s="29">
        <f>Item_Enchant_Old!L628</f>
        <v>0</v>
      </c>
      <c r="M624" s="29">
        <f>Item_Enchant_Old!M628</f>
        <v>6</v>
      </c>
      <c r="N624" s="29">
        <f>Item_Enchant_Old!N628</f>
        <v>32</v>
      </c>
      <c r="O624" s="29">
        <f>Item_Enchant_Old!O628</f>
        <v>1</v>
      </c>
      <c r="P624" s="29">
        <f>Item_Enchant_Old!P628</f>
        <v>1</v>
      </c>
      <c r="Q624" s="29">
        <f>Item_Enchant_Old!Q628</f>
        <v>1</v>
      </c>
      <c r="R624" s="29">
        <f>Item_Enchant_Old!R628</f>
        <v>1</v>
      </c>
    </row>
    <row r="625" spans="1:18" s="29" customFormat="1" hidden="1">
      <c r="A625" s="29">
        <f>Item_Enchant_Old!A629</f>
        <v>624</v>
      </c>
      <c r="B625" s="29" t="str">
        <f>Item_Enchant_Old!B629</f>
        <v>ACTIVE_FOC_UP</v>
      </c>
      <c r="C625" s="29">
        <f>Item_Enchant_Old!C629</f>
        <v>612</v>
      </c>
      <c r="D625" s="29">
        <f>Item_Enchant_Old!D629</f>
        <v>0</v>
      </c>
      <c r="E625" s="29">
        <f>Item_Enchant_Old!E629</f>
        <v>0</v>
      </c>
      <c r="F625" s="29">
        <f>Item_Enchant_Old!F629</f>
        <v>0</v>
      </c>
      <c r="G625" s="29">
        <f>Item_Enchant_Old!G629</f>
        <v>2</v>
      </c>
      <c r="H625" s="29" t="str">
        <f>Item_Enchant_Old!H629</f>
        <v>@</v>
      </c>
      <c r="I625" s="29">
        <f>Item_Enchant_Old!I629</f>
        <v>1</v>
      </c>
      <c r="J625" s="29" t="str">
        <f>Item_Enchant_Old!J629</f>
        <v>절대값/상대값(%) 가능</v>
      </c>
      <c r="K625" s="29">
        <f>Item_Enchant_Old!K629</f>
        <v>12</v>
      </c>
      <c r="L625" s="29">
        <f>Item_Enchant_Old!L629</f>
        <v>0</v>
      </c>
      <c r="M625" s="29">
        <f>Item_Enchant_Old!M629</f>
        <v>7</v>
      </c>
      <c r="N625" s="29">
        <f>Item_Enchant_Old!N629</f>
        <v>53</v>
      </c>
      <c r="O625" s="29">
        <f>Item_Enchant_Old!O629</f>
        <v>1</v>
      </c>
      <c r="P625" s="29">
        <f>Item_Enchant_Old!P629</f>
        <v>1</v>
      </c>
      <c r="Q625" s="29">
        <f>Item_Enchant_Old!Q629</f>
        <v>1</v>
      </c>
      <c r="R625" s="29">
        <f>Item_Enchant_Old!R629</f>
        <v>1</v>
      </c>
    </row>
    <row r="626" spans="1:18" s="29" customFormat="1" hidden="1">
      <c r="A626" s="29">
        <f>Item_Enchant_Old!A630</f>
        <v>625</v>
      </c>
      <c r="B626" s="29" t="str">
        <f>Item_Enchant_Old!B630</f>
        <v>ACTIVE_ATTACK_RATE_UP</v>
      </c>
      <c r="C626" s="29">
        <f>Item_Enchant_Old!C630</f>
        <v>618</v>
      </c>
      <c r="D626" s="29">
        <f>Item_Enchant_Old!D630</f>
        <v>0</v>
      </c>
      <c r="E626" s="29">
        <f>Item_Enchant_Old!E630</f>
        <v>0</v>
      </c>
      <c r="F626" s="29">
        <f>Item_Enchant_Old!F630</f>
        <v>0</v>
      </c>
      <c r="G626" s="29">
        <f>Item_Enchant_Old!G630</f>
        <v>1</v>
      </c>
      <c r="H626" s="29" t="str">
        <f>Item_Enchant_Old!H630</f>
        <v>@</v>
      </c>
      <c r="I626" s="29">
        <f>Item_Enchant_Old!I630</f>
        <v>1</v>
      </c>
      <c r="J626" s="29" t="str">
        <f>Item_Enchant_Old!J630</f>
        <v>절대값/상대값(%) 가능</v>
      </c>
      <c r="K626" s="29">
        <f>Item_Enchant_Old!K630</f>
        <v>12</v>
      </c>
      <c r="L626" s="29">
        <f>Item_Enchant_Old!L630</f>
        <v>0</v>
      </c>
      <c r="M626" s="29">
        <f>Item_Enchant_Old!M630</f>
        <v>7</v>
      </c>
      <c r="N626" s="29">
        <f>Item_Enchant_Old!N630</f>
        <v>528</v>
      </c>
      <c r="O626" s="29">
        <f>Item_Enchant_Old!O630</f>
        <v>1</v>
      </c>
      <c r="P626" s="29">
        <f>Item_Enchant_Old!P630</f>
        <v>1</v>
      </c>
      <c r="Q626" s="29">
        <f>Item_Enchant_Old!Q630</f>
        <v>1</v>
      </c>
      <c r="R626" s="29">
        <f>Item_Enchant_Old!R630</f>
        <v>1</v>
      </c>
    </row>
    <row r="627" spans="1:18" s="29" customFormat="1" hidden="1">
      <c r="A627" s="29">
        <f>Item_Enchant_Old!A631</f>
        <v>626</v>
      </c>
      <c r="B627" s="29" t="str">
        <f>Item_Enchant_Old!B631</f>
        <v>ACTIVE_ENG_UP</v>
      </c>
      <c r="C627" s="29">
        <f>Item_Enchant_Old!C631</f>
        <v>615</v>
      </c>
      <c r="D627" s="29">
        <f>Item_Enchant_Old!D631</f>
        <v>0</v>
      </c>
      <c r="E627" s="29">
        <f>Item_Enchant_Old!E631</f>
        <v>0</v>
      </c>
      <c r="F627" s="29">
        <f>Item_Enchant_Old!F631</f>
        <v>0</v>
      </c>
      <c r="G627" s="29">
        <f>Item_Enchant_Old!G631</f>
        <v>2</v>
      </c>
      <c r="H627" s="29" t="str">
        <f>Item_Enchant_Old!H631</f>
        <v>@</v>
      </c>
      <c r="I627" s="29">
        <f>Item_Enchant_Old!I631</f>
        <v>1</v>
      </c>
      <c r="J627" s="29" t="str">
        <f>Item_Enchant_Old!J631</f>
        <v>절대값/상대값(%) 가능</v>
      </c>
      <c r="K627" s="29">
        <f>Item_Enchant_Old!K631</f>
        <v>12</v>
      </c>
      <c r="L627" s="29">
        <f>Item_Enchant_Old!L631</f>
        <v>0</v>
      </c>
      <c r="M627" s="29">
        <f>Item_Enchant_Old!M631</f>
        <v>7</v>
      </c>
      <c r="N627" s="29">
        <f>Item_Enchant_Old!N631</f>
        <v>62</v>
      </c>
      <c r="O627" s="29">
        <f>Item_Enchant_Old!O631</f>
        <v>1</v>
      </c>
      <c r="P627" s="29">
        <f>Item_Enchant_Old!P631</f>
        <v>1</v>
      </c>
      <c r="Q627" s="29">
        <f>Item_Enchant_Old!Q631</f>
        <v>1</v>
      </c>
      <c r="R627" s="29">
        <f>Item_Enchant_Old!R631</f>
        <v>1</v>
      </c>
    </row>
    <row r="628" spans="1:18" s="29" customFormat="1" hidden="1">
      <c r="A628" s="29">
        <f>Item_Enchant_Old!A632</f>
        <v>627</v>
      </c>
      <c r="B628" s="29" t="str">
        <f>Item_Enchant_Old!B632</f>
        <v>ACTIVE_PHYSICAL_CRITICAL</v>
      </c>
      <c r="C628" s="29">
        <f>Item_Enchant_Old!C632</f>
        <v>632</v>
      </c>
      <c r="D628" s="29">
        <f>Item_Enchant_Old!D632</f>
        <v>0</v>
      </c>
      <c r="E628" s="29">
        <f>Item_Enchant_Old!E632</f>
        <v>0</v>
      </c>
      <c r="F628" s="29">
        <f>Item_Enchant_Old!F632</f>
        <v>0</v>
      </c>
      <c r="G628" s="29">
        <f>Item_Enchant_Old!G632</f>
        <v>5</v>
      </c>
      <c r="H628" s="29" t="str">
        <f>Item_Enchant_Old!H632</f>
        <v>@</v>
      </c>
      <c r="I628" s="29">
        <f>Item_Enchant_Old!I632</f>
        <v>1</v>
      </c>
      <c r="J628" s="29" t="str">
        <f>Item_Enchant_Old!J632</f>
        <v>절대값/상대값(%) 가능</v>
      </c>
      <c r="K628" s="29">
        <f>Item_Enchant_Old!K632</f>
        <v>12</v>
      </c>
      <c r="L628" s="29">
        <f>Item_Enchant_Old!L632</f>
        <v>0</v>
      </c>
      <c r="M628" s="29">
        <f>Item_Enchant_Old!M632</f>
        <v>7</v>
      </c>
      <c r="N628" s="29">
        <f>Item_Enchant_Old!N632</f>
        <v>21</v>
      </c>
      <c r="O628" s="29">
        <f>Item_Enchant_Old!O632</f>
        <v>1</v>
      </c>
      <c r="P628" s="29">
        <f>Item_Enchant_Old!P632</f>
        <v>1</v>
      </c>
      <c r="Q628" s="29">
        <f>Item_Enchant_Old!Q632</f>
        <v>1</v>
      </c>
      <c r="R628" s="29">
        <f>Item_Enchant_Old!R632</f>
        <v>1</v>
      </c>
    </row>
    <row r="629" spans="1:18" s="29" customFormat="1" hidden="1">
      <c r="A629" s="29">
        <f>Item_Enchant_Old!A633</f>
        <v>628</v>
      </c>
      <c r="B629" s="29" t="str">
        <f>Item_Enchant_Old!B633</f>
        <v>ACTIVE_ENERGY_CRITICAL</v>
      </c>
      <c r="C629" s="29">
        <f>Item_Enchant_Old!C633</f>
        <v>633</v>
      </c>
      <c r="D629" s="29">
        <f>Item_Enchant_Old!D633</f>
        <v>0</v>
      </c>
      <c r="E629" s="29">
        <f>Item_Enchant_Old!E633</f>
        <v>0</v>
      </c>
      <c r="F629" s="29">
        <f>Item_Enchant_Old!F633</f>
        <v>0</v>
      </c>
      <c r="G629" s="29">
        <f>Item_Enchant_Old!G633</f>
        <v>5</v>
      </c>
      <c r="H629" s="29" t="str">
        <f>Item_Enchant_Old!H633</f>
        <v>@</v>
      </c>
      <c r="I629" s="29">
        <f>Item_Enchant_Old!I633</f>
        <v>1</v>
      </c>
      <c r="J629" s="29" t="str">
        <f>Item_Enchant_Old!J633</f>
        <v>절대값/상대값(%) 가능</v>
      </c>
      <c r="K629" s="29">
        <f>Item_Enchant_Old!K633</f>
        <v>12</v>
      </c>
      <c r="L629" s="29">
        <f>Item_Enchant_Old!L633</f>
        <v>0</v>
      </c>
      <c r="M629" s="29">
        <f>Item_Enchant_Old!M633</f>
        <v>7</v>
      </c>
      <c r="N629" s="29">
        <f>Item_Enchant_Old!N633</f>
        <v>24</v>
      </c>
      <c r="O629" s="29">
        <f>Item_Enchant_Old!O633</f>
        <v>1</v>
      </c>
      <c r="P629" s="29">
        <f>Item_Enchant_Old!P633</f>
        <v>1</v>
      </c>
      <c r="Q629" s="29">
        <f>Item_Enchant_Old!Q633</f>
        <v>1</v>
      </c>
      <c r="R629" s="29">
        <f>Item_Enchant_Old!R633</f>
        <v>1</v>
      </c>
    </row>
    <row r="630" spans="1:18" s="29" customFormat="1" hidden="1">
      <c r="A630" s="29">
        <f>Item_Enchant_Old!A634</f>
        <v>629</v>
      </c>
      <c r="B630" s="29" t="str">
        <f>Item_Enchant_Old!B634</f>
        <v>ACTIVE_FOC_UP</v>
      </c>
      <c r="C630" s="29">
        <f>Item_Enchant_Old!C634</f>
        <v>612</v>
      </c>
      <c r="D630" s="29">
        <f>Item_Enchant_Old!D634</f>
        <v>0</v>
      </c>
      <c r="E630" s="29">
        <f>Item_Enchant_Old!E634</f>
        <v>0</v>
      </c>
      <c r="F630" s="29">
        <f>Item_Enchant_Old!F634</f>
        <v>0</v>
      </c>
      <c r="G630" s="29">
        <f>Item_Enchant_Old!G634</f>
        <v>2</v>
      </c>
      <c r="H630" s="29" t="str">
        <f>Item_Enchant_Old!H634</f>
        <v>@</v>
      </c>
      <c r="I630" s="29">
        <f>Item_Enchant_Old!I634</f>
        <v>1</v>
      </c>
      <c r="J630" s="29" t="str">
        <f>Item_Enchant_Old!J634</f>
        <v>절대값/상대값(%) 가능</v>
      </c>
      <c r="K630" s="29">
        <f>Item_Enchant_Old!K634</f>
        <v>12</v>
      </c>
      <c r="L630" s="29">
        <f>Item_Enchant_Old!L634</f>
        <v>0</v>
      </c>
      <c r="M630" s="29">
        <f>Item_Enchant_Old!M634</f>
        <v>8</v>
      </c>
      <c r="N630" s="29">
        <f>Item_Enchant_Old!N634</f>
        <v>53</v>
      </c>
      <c r="O630" s="29">
        <f>Item_Enchant_Old!O634</f>
        <v>1</v>
      </c>
      <c r="P630" s="29">
        <f>Item_Enchant_Old!P634</f>
        <v>1</v>
      </c>
      <c r="Q630" s="29">
        <f>Item_Enchant_Old!Q634</f>
        <v>1</v>
      </c>
      <c r="R630" s="29">
        <f>Item_Enchant_Old!R634</f>
        <v>1</v>
      </c>
    </row>
    <row r="631" spans="1:18" s="29" customFormat="1" hidden="1">
      <c r="A631" s="29">
        <f>Item_Enchant_Old!A635</f>
        <v>630</v>
      </c>
      <c r="B631" s="29" t="str">
        <f>Item_Enchant_Old!B635</f>
        <v>ACTIVE_CON_UP</v>
      </c>
      <c r="C631" s="29">
        <f>Item_Enchant_Old!C635</f>
        <v>611</v>
      </c>
      <c r="D631" s="29">
        <f>Item_Enchant_Old!D635</f>
        <v>0</v>
      </c>
      <c r="E631" s="29">
        <f>Item_Enchant_Old!E635</f>
        <v>0</v>
      </c>
      <c r="F631" s="29">
        <f>Item_Enchant_Old!F635</f>
        <v>0</v>
      </c>
      <c r="G631" s="29">
        <f>Item_Enchant_Old!G635</f>
        <v>3</v>
      </c>
      <c r="H631" s="29" t="str">
        <f>Item_Enchant_Old!H635</f>
        <v>@</v>
      </c>
      <c r="I631" s="29">
        <f>Item_Enchant_Old!I635</f>
        <v>1</v>
      </c>
      <c r="J631" s="29" t="str">
        <f>Item_Enchant_Old!J635</f>
        <v>절대값/상대값(%) 가능</v>
      </c>
      <c r="K631" s="29">
        <f>Item_Enchant_Old!K635</f>
        <v>12</v>
      </c>
      <c r="L631" s="29">
        <f>Item_Enchant_Old!L635</f>
        <v>0</v>
      </c>
      <c r="M631" s="29">
        <f>Item_Enchant_Old!M635</f>
        <v>8</v>
      </c>
      <c r="N631" s="29">
        <f>Item_Enchant_Old!N635</f>
        <v>48</v>
      </c>
      <c r="O631" s="29">
        <f>Item_Enchant_Old!O635</f>
        <v>1</v>
      </c>
      <c r="P631" s="29">
        <f>Item_Enchant_Old!P635</f>
        <v>1</v>
      </c>
      <c r="Q631" s="29">
        <f>Item_Enchant_Old!Q635</f>
        <v>1</v>
      </c>
      <c r="R631" s="29">
        <f>Item_Enchant_Old!R635</f>
        <v>1</v>
      </c>
    </row>
    <row r="632" spans="1:18" s="29" customFormat="1" hidden="1">
      <c r="A632" s="29">
        <f>Item_Enchant_Old!A636</f>
        <v>631</v>
      </c>
      <c r="B632" s="29" t="str">
        <f>Item_Enchant_Old!B636</f>
        <v>ACTIVE_BLOCK_RATE_UP</v>
      </c>
      <c r="C632" s="29">
        <f>Item_Enchant_Old!C636</f>
        <v>620</v>
      </c>
      <c r="D632" s="29">
        <f>Item_Enchant_Old!D636</f>
        <v>0</v>
      </c>
      <c r="E632" s="29">
        <f>Item_Enchant_Old!E636</f>
        <v>0</v>
      </c>
      <c r="F632" s="29">
        <f>Item_Enchant_Old!F636</f>
        <v>0</v>
      </c>
      <c r="G632" s="29">
        <f>Item_Enchant_Old!G636</f>
        <v>1</v>
      </c>
      <c r="H632" s="29" t="str">
        <f>Item_Enchant_Old!H636</f>
        <v>@</v>
      </c>
      <c r="I632" s="29">
        <f>Item_Enchant_Old!I636</f>
        <v>1</v>
      </c>
      <c r="J632" s="29" t="str">
        <f>Item_Enchant_Old!J636</f>
        <v>절대값/상대값(%) 가능</v>
      </c>
      <c r="K632" s="29">
        <f>Item_Enchant_Old!K636</f>
        <v>12</v>
      </c>
      <c r="L632" s="29">
        <f>Item_Enchant_Old!L636</f>
        <v>0</v>
      </c>
      <c r="M632" s="29">
        <f>Item_Enchant_Old!M636</f>
        <v>8</v>
      </c>
      <c r="N632" s="29">
        <f>Item_Enchant_Old!N636</f>
        <v>352</v>
      </c>
      <c r="O632" s="29">
        <f>Item_Enchant_Old!O636</f>
        <v>1</v>
      </c>
      <c r="P632" s="29">
        <f>Item_Enchant_Old!P636</f>
        <v>1</v>
      </c>
      <c r="Q632" s="29">
        <f>Item_Enchant_Old!Q636</f>
        <v>1</v>
      </c>
      <c r="R632" s="29">
        <f>Item_Enchant_Old!R636</f>
        <v>1</v>
      </c>
    </row>
    <row r="633" spans="1:18" s="29" customFormat="1" hidden="1">
      <c r="A633" s="29">
        <f>Item_Enchant_Old!A637</f>
        <v>632</v>
      </c>
      <c r="B633" s="29" t="str">
        <f>Item_Enchant_Old!B637</f>
        <v>ACTIVE_ENG_UP</v>
      </c>
      <c r="C633" s="29">
        <f>Item_Enchant_Old!C637</f>
        <v>615</v>
      </c>
      <c r="D633" s="29">
        <f>Item_Enchant_Old!D637</f>
        <v>0</v>
      </c>
      <c r="E633" s="29">
        <f>Item_Enchant_Old!E637</f>
        <v>0</v>
      </c>
      <c r="F633" s="29">
        <f>Item_Enchant_Old!F637</f>
        <v>0</v>
      </c>
      <c r="G633" s="29">
        <f>Item_Enchant_Old!G637</f>
        <v>2</v>
      </c>
      <c r="H633" s="29" t="str">
        <f>Item_Enchant_Old!H637</f>
        <v>@</v>
      </c>
      <c r="I633" s="29">
        <f>Item_Enchant_Old!I637</f>
        <v>1</v>
      </c>
      <c r="J633" s="29" t="str">
        <f>Item_Enchant_Old!J637</f>
        <v>절대값/상대값(%) 가능</v>
      </c>
      <c r="K633" s="29">
        <f>Item_Enchant_Old!K637</f>
        <v>12</v>
      </c>
      <c r="L633" s="29">
        <f>Item_Enchant_Old!L637</f>
        <v>0</v>
      </c>
      <c r="M633" s="29">
        <f>Item_Enchant_Old!M637</f>
        <v>8</v>
      </c>
      <c r="N633" s="29">
        <f>Item_Enchant_Old!N637</f>
        <v>62</v>
      </c>
      <c r="O633" s="29">
        <f>Item_Enchant_Old!O637</f>
        <v>1</v>
      </c>
      <c r="P633" s="29">
        <f>Item_Enchant_Old!P637</f>
        <v>1</v>
      </c>
      <c r="Q633" s="29">
        <f>Item_Enchant_Old!Q637</f>
        <v>1</v>
      </c>
      <c r="R633" s="29">
        <f>Item_Enchant_Old!R637</f>
        <v>1</v>
      </c>
    </row>
    <row r="634" spans="1:18" s="29" customFormat="1" hidden="1">
      <c r="A634" s="29">
        <f>Item_Enchant_Old!A638</f>
        <v>633</v>
      </c>
      <c r="B634" s="29" t="str">
        <f>Item_Enchant_Old!B638</f>
        <v>ACTIVE_PHYSICAL_CRITICAL</v>
      </c>
      <c r="C634" s="29">
        <f>Item_Enchant_Old!C638</f>
        <v>632</v>
      </c>
      <c r="D634" s="29">
        <f>Item_Enchant_Old!D638</f>
        <v>0</v>
      </c>
      <c r="E634" s="29">
        <f>Item_Enchant_Old!E638</f>
        <v>0</v>
      </c>
      <c r="F634" s="29">
        <f>Item_Enchant_Old!F638</f>
        <v>0</v>
      </c>
      <c r="G634" s="29">
        <f>Item_Enchant_Old!G638</f>
        <v>5</v>
      </c>
      <c r="H634" s="29" t="str">
        <f>Item_Enchant_Old!H638</f>
        <v>@</v>
      </c>
      <c r="I634" s="29">
        <f>Item_Enchant_Old!I638</f>
        <v>1</v>
      </c>
      <c r="J634" s="29" t="str">
        <f>Item_Enchant_Old!J638</f>
        <v>절대값/상대값(%) 가능</v>
      </c>
      <c r="K634" s="29">
        <f>Item_Enchant_Old!K638</f>
        <v>12</v>
      </c>
      <c r="L634" s="29">
        <f>Item_Enchant_Old!L638</f>
        <v>0</v>
      </c>
      <c r="M634" s="29">
        <f>Item_Enchant_Old!M638</f>
        <v>9</v>
      </c>
      <c r="N634" s="29">
        <f>Item_Enchant_Old!N638</f>
        <v>21</v>
      </c>
      <c r="O634" s="29">
        <f>Item_Enchant_Old!O638</f>
        <v>1</v>
      </c>
      <c r="P634" s="29">
        <f>Item_Enchant_Old!P638</f>
        <v>1</v>
      </c>
      <c r="Q634" s="29">
        <f>Item_Enchant_Old!Q638</f>
        <v>1</v>
      </c>
      <c r="R634" s="29">
        <f>Item_Enchant_Old!R638</f>
        <v>1</v>
      </c>
    </row>
    <row r="635" spans="1:18" s="29" customFormat="1" hidden="1">
      <c r="A635" s="29">
        <f>Item_Enchant_Old!A639</f>
        <v>634</v>
      </c>
      <c r="B635" s="29" t="str">
        <f>Item_Enchant_Old!B639</f>
        <v>ACTIVE_ENERGY_CRITICAL</v>
      </c>
      <c r="C635" s="29">
        <f>Item_Enchant_Old!C639</f>
        <v>633</v>
      </c>
      <c r="D635" s="29">
        <f>Item_Enchant_Old!D639</f>
        <v>0</v>
      </c>
      <c r="E635" s="29">
        <f>Item_Enchant_Old!E639</f>
        <v>0</v>
      </c>
      <c r="F635" s="29">
        <f>Item_Enchant_Old!F639</f>
        <v>0</v>
      </c>
      <c r="G635" s="29">
        <f>Item_Enchant_Old!G639</f>
        <v>5</v>
      </c>
      <c r="H635" s="29" t="str">
        <f>Item_Enchant_Old!H639</f>
        <v>@</v>
      </c>
      <c r="I635" s="29">
        <f>Item_Enchant_Old!I639</f>
        <v>1</v>
      </c>
      <c r="J635" s="29" t="str">
        <f>Item_Enchant_Old!J639</f>
        <v>절대값/상대값(%) 가능</v>
      </c>
      <c r="K635" s="29">
        <f>Item_Enchant_Old!K639</f>
        <v>12</v>
      </c>
      <c r="L635" s="29">
        <f>Item_Enchant_Old!L639</f>
        <v>0</v>
      </c>
      <c r="M635" s="29">
        <f>Item_Enchant_Old!M639</f>
        <v>9</v>
      </c>
      <c r="N635" s="29">
        <f>Item_Enchant_Old!N639</f>
        <v>24</v>
      </c>
      <c r="O635" s="29">
        <f>Item_Enchant_Old!O639</f>
        <v>1</v>
      </c>
      <c r="P635" s="29">
        <f>Item_Enchant_Old!P639</f>
        <v>1</v>
      </c>
      <c r="Q635" s="29">
        <f>Item_Enchant_Old!Q639</f>
        <v>1</v>
      </c>
      <c r="R635" s="29">
        <f>Item_Enchant_Old!R639</f>
        <v>1</v>
      </c>
    </row>
    <row r="636" spans="1:18" s="29" customFormat="1" hidden="1">
      <c r="A636" s="29">
        <f>Item_Enchant_Old!A640</f>
        <v>635</v>
      </c>
      <c r="B636" s="29" t="str">
        <f>Item_Enchant_Old!B640</f>
        <v>ACTIVE_DEX_UP</v>
      </c>
      <c r="C636" s="29">
        <f>Item_Enchant_Old!C640</f>
        <v>613</v>
      </c>
      <c r="D636" s="29">
        <f>Item_Enchant_Old!D640</f>
        <v>0</v>
      </c>
      <c r="E636" s="29">
        <f>Item_Enchant_Old!E640</f>
        <v>0</v>
      </c>
      <c r="F636" s="29">
        <f>Item_Enchant_Old!F640</f>
        <v>0</v>
      </c>
      <c r="G636" s="29">
        <f>Item_Enchant_Old!G640</f>
        <v>3</v>
      </c>
      <c r="H636" s="29" t="str">
        <f>Item_Enchant_Old!H640</f>
        <v>@</v>
      </c>
      <c r="I636" s="29">
        <f>Item_Enchant_Old!I640</f>
        <v>1</v>
      </c>
      <c r="J636" s="29" t="str">
        <f>Item_Enchant_Old!J640</f>
        <v>절대값/상대값(%) 가능</v>
      </c>
      <c r="K636" s="29">
        <f>Item_Enchant_Old!K640</f>
        <v>12</v>
      </c>
      <c r="L636" s="29">
        <f>Item_Enchant_Old!L640</f>
        <v>0</v>
      </c>
      <c r="M636" s="29">
        <f>Item_Enchant_Old!M640</f>
        <v>9</v>
      </c>
      <c r="N636" s="29">
        <f>Item_Enchant_Old!N640</f>
        <v>44</v>
      </c>
      <c r="O636" s="29">
        <f>Item_Enchant_Old!O640</f>
        <v>1</v>
      </c>
      <c r="P636" s="29">
        <f>Item_Enchant_Old!P640</f>
        <v>1</v>
      </c>
      <c r="Q636" s="29">
        <f>Item_Enchant_Old!Q640</f>
        <v>1</v>
      </c>
      <c r="R636" s="29">
        <f>Item_Enchant_Old!R640</f>
        <v>1</v>
      </c>
    </row>
    <row r="637" spans="1:18" s="29" customFormat="1" hidden="1">
      <c r="A637" s="29">
        <f>Item_Enchant_Old!A641</f>
        <v>636</v>
      </c>
      <c r="B637" s="29" t="str">
        <f>Item_Enchant_Old!B641</f>
        <v>ACTIVE_FOC_UP</v>
      </c>
      <c r="C637" s="29">
        <f>Item_Enchant_Old!C641</f>
        <v>612</v>
      </c>
      <c r="D637" s="29">
        <f>Item_Enchant_Old!D641</f>
        <v>0</v>
      </c>
      <c r="E637" s="29">
        <f>Item_Enchant_Old!E641</f>
        <v>0</v>
      </c>
      <c r="F637" s="29">
        <f>Item_Enchant_Old!F641</f>
        <v>0</v>
      </c>
      <c r="G637" s="29">
        <f>Item_Enchant_Old!G641</f>
        <v>2</v>
      </c>
      <c r="H637" s="29" t="str">
        <f>Item_Enchant_Old!H641</f>
        <v>@</v>
      </c>
      <c r="I637" s="29">
        <f>Item_Enchant_Old!I641</f>
        <v>1</v>
      </c>
      <c r="J637" s="29" t="str">
        <f>Item_Enchant_Old!J641</f>
        <v>절대값/상대값(%) 가능</v>
      </c>
      <c r="K637" s="29">
        <f>Item_Enchant_Old!K641</f>
        <v>12</v>
      </c>
      <c r="L637" s="29">
        <f>Item_Enchant_Old!L641</f>
        <v>0</v>
      </c>
      <c r="M637" s="29">
        <f>Item_Enchant_Old!M641</f>
        <v>9</v>
      </c>
      <c r="N637" s="29">
        <f>Item_Enchant_Old!N641</f>
        <v>53</v>
      </c>
      <c r="O637" s="29">
        <f>Item_Enchant_Old!O641</f>
        <v>1</v>
      </c>
      <c r="P637" s="29">
        <f>Item_Enchant_Old!P641</f>
        <v>1</v>
      </c>
      <c r="Q637" s="29">
        <f>Item_Enchant_Old!Q641</f>
        <v>1</v>
      </c>
      <c r="R637" s="29">
        <f>Item_Enchant_Old!R641</f>
        <v>1</v>
      </c>
    </row>
    <row r="638" spans="1:18" s="29" customFormat="1" hidden="1">
      <c r="A638" s="29">
        <f>Item_Enchant_Old!A642</f>
        <v>637</v>
      </c>
      <c r="B638" s="29" t="str">
        <f>Item_Enchant_Old!B642</f>
        <v>ACTIVE_PHYSICAL_CRITICAL_DAMAGE_UP</v>
      </c>
      <c r="C638" s="29">
        <f>Item_Enchant_Old!C642</f>
        <v>658</v>
      </c>
      <c r="D638" s="29">
        <f>Item_Enchant_Old!D642</f>
        <v>0</v>
      </c>
      <c r="E638" s="29">
        <f>Item_Enchant_Old!E642</f>
        <v>0</v>
      </c>
      <c r="F638" s="29">
        <f>Item_Enchant_Old!F642</f>
        <v>0</v>
      </c>
      <c r="G638" s="29">
        <f>Item_Enchant_Old!G642</f>
        <v>4</v>
      </c>
      <c r="H638" s="29" t="str">
        <f>Item_Enchant_Old!H642</f>
        <v>@</v>
      </c>
      <c r="I638" s="29">
        <f>Item_Enchant_Old!I642</f>
        <v>1</v>
      </c>
      <c r="J638" s="29" t="str">
        <f>Item_Enchant_Old!J642</f>
        <v>절대값만 가능</v>
      </c>
      <c r="K638" s="29">
        <f>Item_Enchant_Old!K642</f>
        <v>12</v>
      </c>
      <c r="L638" s="29">
        <f>Item_Enchant_Old!L642</f>
        <v>0</v>
      </c>
      <c r="M638" s="29">
        <f>Item_Enchant_Old!M642</f>
        <v>10</v>
      </c>
      <c r="N638" s="29">
        <f>Item_Enchant_Old!N642</f>
        <v>28</v>
      </c>
      <c r="O638" s="29">
        <f>Item_Enchant_Old!O642</f>
        <v>1</v>
      </c>
      <c r="P638" s="29">
        <f>Item_Enchant_Old!P642</f>
        <v>1</v>
      </c>
      <c r="Q638" s="29">
        <f>Item_Enchant_Old!Q642</f>
        <v>1</v>
      </c>
      <c r="R638" s="29">
        <f>Item_Enchant_Old!R642</f>
        <v>1</v>
      </c>
    </row>
    <row r="639" spans="1:18" s="29" customFormat="1" hidden="1">
      <c r="A639" s="29">
        <f>Item_Enchant_Old!A643</f>
        <v>638</v>
      </c>
      <c r="B639" s="29" t="str">
        <f>Item_Enchant_Old!B643</f>
        <v>ACTIVE_ENERGY_CRITICAL_DAMAGE_UP</v>
      </c>
      <c r="C639" s="29">
        <f>Item_Enchant_Old!C643</f>
        <v>659</v>
      </c>
      <c r="D639" s="29">
        <f>Item_Enchant_Old!D643</f>
        <v>0</v>
      </c>
      <c r="E639" s="29">
        <f>Item_Enchant_Old!E643</f>
        <v>0</v>
      </c>
      <c r="F639" s="29">
        <f>Item_Enchant_Old!F643</f>
        <v>0</v>
      </c>
      <c r="G639" s="29">
        <f>Item_Enchant_Old!G643</f>
        <v>4</v>
      </c>
      <c r="H639" s="29" t="str">
        <f>Item_Enchant_Old!H643</f>
        <v>@</v>
      </c>
      <c r="I639" s="29">
        <f>Item_Enchant_Old!I643</f>
        <v>1</v>
      </c>
      <c r="J639" s="29" t="str">
        <f>Item_Enchant_Old!J643</f>
        <v>절대값만 가능</v>
      </c>
      <c r="K639" s="29">
        <f>Item_Enchant_Old!K643</f>
        <v>12</v>
      </c>
      <c r="L639" s="29">
        <f>Item_Enchant_Old!L643</f>
        <v>0</v>
      </c>
      <c r="M639" s="29">
        <f>Item_Enchant_Old!M643</f>
        <v>10</v>
      </c>
      <c r="N639" s="29">
        <f>Item_Enchant_Old!N643</f>
        <v>32</v>
      </c>
      <c r="O639" s="29">
        <f>Item_Enchant_Old!O643</f>
        <v>1</v>
      </c>
      <c r="P639" s="29">
        <f>Item_Enchant_Old!P643</f>
        <v>1</v>
      </c>
      <c r="Q639" s="29">
        <f>Item_Enchant_Old!Q643</f>
        <v>1</v>
      </c>
      <c r="R639" s="29">
        <f>Item_Enchant_Old!R643</f>
        <v>1</v>
      </c>
    </row>
    <row r="640" spans="1:18" s="29" customFormat="1" hidden="1">
      <c r="A640" s="29">
        <f>Item_Enchant_Old!A644</f>
        <v>639</v>
      </c>
      <c r="B640" s="29" t="str">
        <f>Item_Enchant_Old!B644</f>
        <v>ACTIVE_DEX_UP</v>
      </c>
      <c r="C640" s="29">
        <f>Item_Enchant_Old!C644</f>
        <v>613</v>
      </c>
      <c r="D640" s="29">
        <f>Item_Enchant_Old!D644</f>
        <v>0</v>
      </c>
      <c r="E640" s="29">
        <f>Item_Enchant_Old!E644</f>
        <v>0</v>
      </c>
      <c r="F640" s="29">
        <f>Item_Enchant_Old!F644</f>
        <v>0</v>
      </c>
      <c r="G640" s="29">
        <f>Item_Enchant_Old!G644</f>
        <v>3</v>
      </c>
      <c r="H640" s="29" t="str">
        <f>Item_Enchant_Old!H644</f>
        <v>@</v>
      </c>
      <c r="I640" s="29">
        <f>Item_Enchant_Old!I644</f>
        <v>1</v>
      </c>
      <c r="J640" s="29" t="str">
        <f>Item_Enchant_Old!J644</f>
        <v>절대값/상대값(%) 가능</v>
      </c>
      <c r="K640" s="29">
        <f>Item_Enchant_Old!K644</f>
        <v>12</v>
      </c>
      <c r="L640" s="29">
        <f>Item_Enchant_Old!L644</f>
        <v>0</v>
      </c>
      <c r="M640" s="29">
        <f>Item_Enchant_Old!M644</f>
        <v>10</v>
      </c>
      <c r="N640" s="29">
        <f>Item_Enchant_Old!N644</f>
        <v>44</v>
      </c>
      <c r="O640" s="29">
        <f>Item_Enchant_Old!O644</f>
        <v>1</v>
      </c>
      <c r="P640" s="29">
        <f>Item_Enchant_Old!P644</f>
        <v>1</v>
      </c>
      <c r="Q640" s="29">
        <f>Item_Enchant_Old!Q644</f>
        <v>1</v>
      </c>
      <c r="R640" s="29">
        <f>Item_Enchant_Old!R644</f>
        <v>1</v>
      </c>
    </row>
    <row r="641" spans="1:18" s="29" customFormat="1" hidden="1">
      <c r="A641" s="29">
        <f>Item_Enchant_Old!A645</f>
        <v>640</v>
      </c>
      <c r="B641" s="29" t="str">
        <f>Item_Enchant_Old!B645</f>
        <v>ACTIVE_ATTACK_SPEED_UP</v>
      </c>
      <c r="C641" s="29">
        <f>Item_Enchant_Old!C645</f>
        <v>617</v>
      </c>
      <c r="D641" s="29">
        <f>Item_Enchant_Old!D645</f>
        <v>1</v>
      </c>
      <c r="E641" s="29">
        <f>Item_Enchant_Old!E645</f>
        <v>0</v>
      </c>
      <c r="F641" s="29">
        <f>Item_Enchant_Old!F645</f>
        <v>0</v>
      </c>
      <c r="G641" s="29">
        <f>Item_Enchant_Old!G645</f>
        <v>10</v>
      </c>
      <c r="H641" s="29" t="str">
        <f>Item_Enchant_Old!H645</f>
        <v>@</v>
      </c>
      <c r="I641" s="29">
        <f>Item_Enchant_Old!I645</f>
        <v>1</v>
      </c>
      <c r="J641" s="29" t="str">
        <f>Item_Enchant_Old!J645</f>
        <v>절대값/상대값(%) 가능</v>
      </c>
      <c r="K641" s="29">
        <f>Item_Enchant_Old!K645</f>
        <v>12</v>
      </c>
      <c r="L641" s="29">
        <f>Item_Enchant_Old!L645</f>
        <v>0</v>
      </c>
      <c r="M641" s="29">
        <f>Item_Enchant_Old!M645</f>
        <v>10</v>
      </c>
      <c r="N641" s="29">
        <f>Item_Enchant_Old!N645</f>
        <v>10</v>
      </c>
      <c r="O641" s="29">
        <f>Item_Enchant_Old!O645</f>
        <v>1</v>
      </c>
      <c r="P641" s="29">
        <f>Item_Enchant_Old!P645</f>
        <v>1</v>
      </c>
      <c r="Q641" s="29">
        <f>Item_Enchant_Old!Q645</f>
        <v>1</v>
      </c>
      <c r="R641" s="29">
        <f>Item_Enchant_Old!R645</f>
        <v>1</v>
      </c>
    </row>
    <row r="642" spans="1:18" s="29" customFormat="1" hidden="1">
      <c r="A642" s="29">
        <f>Item_Enchant_Old!A646</f>
        <v>641</v>
      </c>
      <c r="B642" s="29" t="str">
        <f>Item_Enchant_Old!B646</f>
        <v>ACTIVE_STR_UP</v>
      </c>
      <c r="C642" s="29">
        <f>Item_Enchant_Old!C646</f>
        <v>610</v>
      </c>
      <c r="D642" s="29">
        <f>Item_Enchant_Old!D646</f>
        <v>0</v>
      </c>
      <c r="E642" s="29">
        <f>Item_Enchant_Old!E646</f>
        <v>0</v>
      </c>
      <c r="F642" s="29">
        <f>Item_Enchant_Old!F646</f>
        <v>0</v>
      </c>
      <c r="G642" s="29">
        <f>Item_Enchant_Old!G646</f>
        <v>2</v>
      </c>
      <c r="H642" s="29" t="str">
        <f>Item_Enchant_Old!H646</f>
        <v>@</v>
      </c>
      <c r="I642" s="29">
        <f>Item_Enchant_Old!I646</f>
        <v>1</v>
      </c>
      <c r="J642" s="29" t="str">
        <f>Item_Enchant_Old!J646</f>
        <v>절대값/상대값(%) 가능</v>
      </c>
      <c r="K642" s="29">
        <f>Item_Enchant_Old!K646</f>
        <v>12</v>
      </c>
      <c r="L642" s="29">
        <f>Item_Enchant_Old!L646</f>
        <v>0</v>
      </c>
      <c r="M642" s="29">
        <f>Item_Enchant_Old!M646</f>
        <v>11</v>
      </c>
      <c r="N642" s="29">
        <f>Item_Enchant_Old!N646</f>
        <v>57</v>
      </c>
      <c r="O642" s="29">
        <f>Item_Enchant_Old!O646</f>
        <v>1</v>
      </c>
      <c r="P642" s="29">
        <f>Item_Enchant_Old!P646</f>
        <v>1</v>
      </c>
      <c r="Q642" s="29">
        <f>Item_Enchant_Old!Q646</f>
        <v>1</v>
      </c>
      <c r="R642" s="29">
        <f>Item_Enchant_Old!R646</f>
        <v>1</v>
      </c>
    </row>
    <row r="643" spans="1:18" s="29" customFormat="1" hidden="1">
      <c r="A643" s="29">
        <f>Item_Enchant_Old!A647</f>
        <v>642</v>
      </c>
      <c r="B643" s="29" t="str">
        <f>Item_Enchant_Old!B647</f>
        <v>ACTIVE_CON_UP</v>
      </c>
      <c r="C643" s="29">
        <f>Item_Enchant_Old!C647</f>
        <v>611</v>
      </c>
      <c r="D643" s="29">
        <f>Item_Enchant_Old!D647</f>
        <v>0</v>
      </c>
      <c r="E643" s="29">
        <f>Item_Enchant_Old!E647</f>
        <v>0</v>
      </c>
      <c r="F643" s="29">
        <f>Item_Enchant_Old!F647</f>
        <v>0</v>
      </c>
      <c r="G643" s="29">
        <f>Item_Enchant_Old!G647</f>
        <v>3</v>
      </c>
      <c r="H643" s="29" t="str">
        <f>Item_Enchant_Old!H647</f>
        <v>@</v>
      </c>
      <c r="I643" s="29">
        <f>Item_Enchant_Old!I647</f>
        <v>1</v>
      </c>
      <c r="J643" s="29" t="str">
        <f>Item_Enchant_Old!J647</f>
        <v>절대값/상대값(%) 가능</v>
      </c>
      <c r="K643" s="29">
        <f>Item_Enchant_Old!K647</f>
        <v>12</v>
      </c>
      <c r="L643" s="29">
        <f>Item_Enchant_Old!L647</f>
        <v>0</v>
      </c>
      <c r="M643" s="29">
        <f>Item_Enchant_Old!M647</f>
        <v>11</v>
      </c>
      <c r="N643" s="29">
        <f>Item_Enchant_Old!N647</f>
        <v>48</v>
      </c>
      <c r="O643" s="29">
        <f>Item_Enchant_Old!O647</f>
        <v>1</v>
      </c>
      <c r="P643" s="29">
        <f>Item_Enchant_Old!P647</f>
        <v>1</v>
      </c>
      <c r="Q643" s="29">
        <f>Item_Enchant_Old!Q647</f>
        <v>1</v>
      </c>
      <c r="R643" s="29">
        <f>Item_Enchant_Old!R647</f>
        <v>1</v>
      </c>
    </row>
    <row r="644" spans="1:18" s="29" customFormat="1" hidden="1">
      <c r="A644" s="29">
        <f>Item_Enchant_Old!A648</f>
        <v>643</v>
      </c>
      <c r="B644" s="29" t="str">
        <f>Item_Enchant_Old!B648</f>
        <v>ACTIVE_FOC_UP</v>
      </c>
      <c r="C644" s="29">
        <f>Item_Enchant_Old!C648</f>
        <v>612</v>
      </c>
      <c r="D644" s="29">
        <f>Item_Enchant_Old!D648</f>
        <v>0</v>
      </c>
      <c r="E644" s="29">
        <f>Item_Enchant_Old!E648</f>
        <v>0</v>
      </c>
      <c r="F644" s="29">
        <f>Item_Enchant_Old!F648</f>
        <v>0</v>
      </c>
      <c r="G644" s="29">
        <f>Item_Enchant_Old!G648</f>
        <v>2</v>
      </c>
      <c r="H644" s="29" t="str">
        <f>Item_Enchant_Old!H648</f>
        <v>@</v>
      </c>
      <c r="I644" s="29">
        <f>Item_Enchant_Old!I648</f>
        <v>1</v>
      </c>
      <c r="J644" s="29" t="str">
        <f>Item_Enchant_Old!J648</f>
        <v>절대값/상대값(%) 가능</v>
      </c>
      <c r="K644" s="29">
        <f>Item_Enchant_Old!K648</f>
        <v>12</v>
      </c>
      <c r="L644" s="29">
        <f>Item_Enchant_Old!L648</f>
        <v>0</v>
      </c>
      <c r="M644" s="29">
        <f>Item_Enchant_Old!M648</f>
        <v>11</v>
      </c>
      <c r="N644" s="29">
        <f>Item_Enchant_Old!N648</f>
        <v>53</v>
      </c>
      <c r="O644" s="29">
        <f>Item_Enchant_Old!O648</f>
        <v>1</v>
      </c>
      <c r="P644" s="29">
        <f>Item_Enchant_Old!P648</f>
        <v>1</v>
      </c>
      <c r="Q644" s="29">
        <f>Item_Enchant_Old!Q648</f>
        <v>1</v>
      </c>
      <c r="R644" s="29">
        <f>Item_Enchant_Old!R648</f>
        <v>1</v>
      </c>
    </row>
    <row r="645" spans="1:18" s="29" customFormat="1" hidden="1">
      <c r="A645" s="29">
        <f>Item_Enchant_Old!A649</f>
        <v>644</v>
      </c>
      <c r="B645" s="29" t="str">
        <f>Item_Enchant_Old!B649</f>
        <v>ACTIVE_DEX_UP</v>
      </c>
      <c r="C645" s="29">
        <f>Item_Enchant_Old!C649</f>
        <v>613</v>
      </c>
      <c r="D645" s="29">
        <f>Item_Enchant_Old!D649</f>
        <v>0</v>
      </c>
      <c r="E645" s="29">
        <f>Item_Enchant_Old!E649</f>
        <v>0</v>
      </c>
      <c r="F645" s="29">
        <f>Item_Enchant_Old!F649</f>
        <v>0</v>
      </c>
      <c r="G645" s="29">
        <f>Item_Enchant_Old!G649</f>
        <v>3</v>
      </c>
      <c r="H645" s="29" t="str">
        <f>Item_Enchant_Old!H649</f>
        <v>@</v>
      </c>
      <c r="I645" s="29">
        <f>Item_Enchant_Old!I649</f>
        <v>1</v>
      </c>
      <c r="J645" s="29" t="str">
        <f>Item_Enchant_Old!J649</f>
        <v>절대값/상대값(%) 가능</v>
      </c>
      <c r="K645" s="29">
        <f>Item_Enchant_Old!K649</f>
        <v>12</v>
      </c>
      <c r="L645" s="29">
        <f>Item_Enchant_Old!L649</f>
        <v>0</v>
      </c>
      <c r="M645" s="29">
        <f>Item_Enchant_Old!M649</f>
        <v>11</v>
      </c>
      <c r="N645" s="29">
        <f>Item_Enchant_Old!N649</f>
        <v>44</v>
      </c>
      <c r="O645" s="29">
        <f>Item_Enchant_Old!O649</f>
        <v>1</v>
      </c>
      <c r="P645" s="29">
        <f>Item_Enchant_Old!P649</f>
        <v>1</v>
      </c>
      <c r="Q645" s="29">
        <f>Item_Enchant_Old!Q649</f>
        <v>1</v>
      </c>
      <c r="R645" s="29">
        <f>Item_Enchant_Old!R649</f>
        <v>1</v>
      </c>
    </row>
    <row r="646" spans="1:18" s="29" customFormat="1" hidden="1">
      <c r="A646" s="29">
        <f>Item_Enchant_Old!A650</f>
        <v>645</v>
      </c>
      <c r="B646" s="29" t="str">
        <f>Item_Enchant_Old!B650</f>
        <v>ACTIVE_SOL_UP</v>
      </c>
      <c r="C646" s="29">
        <f>Item_Enchant_Old!C650</f>
        <v>614</v>
      </c>
      <c r="D646" s="29">
        <f>Item_Enchant_Old!D650</f>
        <v>0</v>
      </c>
      <c r="E646" s="29">
        <f>Item_Enchant_Old!E650</f>
        <v>0</v>
      </c>
      <c r="F646" s="29">
        <f>Item_Enchant_Old!F650</f>
        <v>0</v>
      </c>
      <c r="G646" s="29">
        <f>Item_Enchant_Old!G650</f>
        <v>2</v>
      </c>
      <c r="H646" s="29" t="str">
        <f>Item_Enchant_Old!H650</f>
        <v>@</v>
      </c>
      <c r="I646" s="29">
        <f>Item_Enchant_Old!I650</f>
        <v>1</v>
      </c>
      <c r="J646" s="29" t="str">
        <f>Item_Enchant_Old!J650</f>
        <v>절대값/상대값(%) 가능</v>
      </c>
      <c r="K646" s="29">
        <f>Item_Enchant_Old!K650</f>
        <v>12</v>
      </c>
      <c r="L646" s="29">
        <f>Item_Enchant_Old!L650</f>
        <v>0</v>
      </c>
      <c r="M646" s="29">
        <f>Item_Enchant_Old!M650</f>
        <v>11</v>
      </c>
      <c r="N646" s="29">
        <f>Item_Enchant_Old!N650</f>
        <v>53</v>
      </c>
      <c r="O646" s="29">
        <f>Item_Enchant_Old!O650</f>
        <v>1</v>
      </c>
      <c r="P646" s="29">
        <f>Item_Enchant_Old!P650</f>
        <v>1</v>
      </c>
      <c r="Q646" s="29">
        <f>Item_Enchant_Old!Q650</f>
        <v>1</v>
      </c>
      <c r="R646" s="29">
        <f>Item_Enchant_Old!R650</f>
        <v>1</v>
      </c>
    </row>
    <row r="647" spans="1:18" s="29" customFormat="1" hidden="1">
      <c r="A647" s="29">
        <f>Item_Enchant_Old!A651</f>
        <v>646</v>
      </c>
      <c r="B647" s="29" t="str">
        <f>Item_Enchant_Old!B651</f>
        <v>ACTIVE_ENG_UP</v>
      </c>
      <c r="C647" s="29">
        <f>Item_Enchant_Old!C651</f>
        <v>615</v>
      </c>
      <c r="D647" s="29">
        <f>Item_Enchant_Old!D651</f>
        <v>0</v>
      </c>
      <c r="E647" s="29">
        <f>Item_Enchant_Old!E651</f>
        <v>0</v>
      </c>
      <c r="F647" s="29">
        <f>Item_Enchant_Old!F651</f>
        <v>0</v>
      </c>
      <c r="G647" s="29">
        <f>Item_Enchant_Old!G651</f>
        <v>2</v>
      </c>
      <c r="H647" s="29" t="str">
        <f>Item_Enchant_Old!H651</f>
        <v>@</v>
      </c>
      <c r="I647" s="29">
        <f>Item_Enchant_Old!I651</f>
        <v>1</v>
      </c>
      <c r="J647" s="29" t="str">
        <f>Item_Enchant_Old!J651</f>
        <v>절대값/상대값(%) 가능</v>
      </c>
      <c r="K647" s="29">
        <f>Item_Enchant_Old!K651</f>
        <v>12</v>
      </c>
      <c r="L647" s="29">
        <f>Item_Enchant_Old!L651</f>
        <v>0</v>
      </c>
      <c r="M647" s="29">
        <f>Item_Enchant_Old!M651</f>
        <v>11</v>
      </c>
      <c r="N647" s="29">
        <f>Item_Enchant_Old!N651</f>
        <v>62</v>
      </c>
      <c r="O647" s="29">
        <f>Item_Enchant_Old!O651</f>
        <v>1</v>
      </c>
      <c r="P647" s="29">
        <f>Item_Enchant_Old!P651</f>
        <v>1</v>
      </c>
      <c r="Q647" s="29">
        <f>Item_Enchant_Old!Q651</f>
        <v>1</v>
      </c>
      <c r="R647" s="29">
        <f>Item_Enchant_Old!R651</f>
        <v>1</v>
      </c>
    </row>
    <row r="648" spans="1:18" s="29" customFormat="1" hidden="1">
      <c r="A648" s="29">
        <f>Item_Enchant_Old!A652</f>
        <v>647</v>
      </c>
      <c r="B648" s="29" t="str">
        <f>Item_Enchant_Old!B652</f>
        <v>ACTIVE_PHYSICAL_DEFENCE_UP</v>
      </c>
      <c r="C648" s="29">
        <f>Item_Enchant_Old!C652</f>
        <v>608</v>
      </c>
      <c r="D648" s="29">
        <f>Item_Enchant_Old!D652</f>
        <v>0</v>
      </c>
      <c r="E648" s="29">
        <f>Item_Enchant_Old!E652</f>
        <v>0</v>
      </c>
      <c r="F648" s="29">
        <f>Item_Enchant_Old!F652</f>
        <v>0</v>
      </c>
      <c r="G648" s="29">
        <f>Item_Enchant_Old!G652</f>
        <v>1</v>
      </c>
      <c r="H648" s="29" t="str">
        <f>Item_Enchant_Old!H652</f>
        <v>@</v>
      </c>
      <c r="I648" s="29">
        <f>Item_Enchant_Old!I652</f>
        <v>1</v>
      </c>
      <c r="J648" s="29" t="str">
        <f>Item_Enchant_Old!J652</f>
        <v>절대값/상대값(%) 가능</v>
      </c>
      <c r="K648" s="29">
        <f>Item_Enchant_Old!K652</f>
        <v>12</v>
      </c>
      <c r="L648" s="29">
        <f>Item_Enchant_Old!L652</f>
        <v>0</v>
      </c>
      <c r="M648" s="29">
        <f>Item_Enchant_Old!M652</f>
        <v>12</v>
      </c>
      <c r="N648" s="29">
        <f>Item_Enchant_Old!N652</f>
        <v>1350</v>
      </c>
      <c r="O648" s="29">
        <f>Item_Enchant_Old!O652</f>
        <v>1</v>
      </c>
      <c r="P648" s="29">
        <f>Item_Enchant_Old!P652</f>
        <v>1</v>
      </c>
      <c r="Q648" s="29">
        <f>Item_Enchant_Old!Q652</f>
        <v>1</v>
      </c>
      <c r="R648" s="29">
        <f>Item_Enchant_Old!R652</f>
        <v>1</v>
      </c>
    </row>
    <row r="649" spans="1:18" s="29" customFormat="1" hidden="1">
      <c r="A649" s="29">
        <f>Item_Enchant_Old!A653</f>
        <v>648</v>
      </c>
      <c r="B649" s="29" t="str">
        <f>Item_Enchant_Old!B653</f>
        <v>ACTIVE_BLOCK_RATE_UP</v>
      </c>
      <c r="C649" s="29">
        <f>Item_Enchant_Old!C653</f>
        <v>620</v>
      </c>
      <c r="D649" s="29">
        <f>Item_Enchant_Old!D653</f>
        <v>0</v>
      </c>
      <c r="E649" s="29">
        <f>Item_Enchant_Old!E653</f>
        <v>0</v>
      </c>
      <c r="F649" s="29">
        <f>Item_Enchant_Old!F653</f>
        <v>0</v>
      </c>
      <c r="G649" s="29">
        <f>Item_Enchant_Old!G653</f>
        <v>1</v>
      </c>
      <c r="H649" s="29" t="str">
        <f>Item_Enchant_Old!H653</f>
        <v>@</v>
      </c>
      <c r="I649" s="29">
        <f>Item_Enchant_Old!I653</f>
        <v>1</v>
      </c>
      <c r="J649" s="29" t="str">
        <f>Item_Enchant_Old!J653</f>
        <v>절대값/상대값(%) 가능</v>
      </c>
      <c r="K649" s="29">
        <f>Item_Enchant_Old!K653</f>
        <v>12</v>
      </c>
      <c r="L649" s="29">
        <f>Item_Enchant_Old!L653</f>
        <v>0</v>
      </c>
      <c r="M649" s="29">
        <f>Item_Enchant_Old!M653</f>
        <v>12</v>
      </c>
      <c r="N649" s="29">
        <f>Item_Enchant_Old!N653</f>
        <v>352</v>
      </c>
      <c r="O649" s="29">
        <f>Item_Enchant_Old!O653</f>
        <v>1</v>
      </c>
      <c r="P649" s="29">
        <f>Item_Enchant_Old!P653</f>
        <v>1</v>
      </c>
      <c r="Q649" s="29">
        <f>Item_Enchant_Old!Q653</f>
        <v>1</v>
      </c>
      <c r="R649" s="29">
        <f>Item_Enchant_Old!R653</f>
        <v>1</v>
      </c>
    </row>
    <row r="650" spans="1:18" s="29" customFormat="1" hidden="1">
      <c r="A650" s="29">
        <f>Item_Enchant_Old!A654</f>
        <v>649</v>
      </c>
      <c r="B650" s="29" t="str">
        <f>Item_Enchant_Old!B654</f>
        <v>ACTIVE_CON_UP</v>
      </c>
      <c r="C650" s="29">
        <f>Item_Enchant_Old!C654</f>
        <v>611</v>
      </c>
      <c r="D650" s="29">
        <f>Item_Enchant_Old!D654</f>
        <v>0</v>
      </c>
      <c r="E650" s="29">
        <f>Item_Enchant_Old!E654</f>
        <v>0</v>
      </c>
      <c r="F650" s="29">
        <f>Item_Enchant_Old!F654</f>
        <v>0</v>
      </c>
      <c r="G650" s="29">
        <f>Item_Enchant_Old!G654</f>
        <v>3</v>
      </c>
      <c r="H650" s="29" t="str">
        <f>Item_Enchant_Old!H654</f>
        <v>@</v>
      </c>
      <c r="I650" s="29">
        <f>Item_Enchant_Old!I654</f>
        <v>1</v>
      </c>
      <c r="J650" s="29" t="str">
        <f>Item_Enchant_Old!J654</f>
        <v>절대값/상대값(%) 가능</v>
      </c>
      <c r="K650" s="29">
        <f>Item_Enchant_Old!K654</f>
        <v>12</v>
      </c>
      <c r="L650" s="29">
        <f>Item_Enchant_Old!L654</f>
        <v>0</v>
      </c>
      <c r="M650" s="29">
        <f>Item_Enchant_Old!M654</f>
        <v>12</v>
      </c>
      <c r="N650" s="29">
        <f>Item_Enchant_Old!N654</f>
        <v>48</v>
      </c>
      <c r="O650" s="29">
        <f>Item_Enchant_Old!O654</f>
        <v>1</v>
      </c>
      <c r="P650" s="29">
        <f>Item_Enchant_Old!P654</f>
        <v>1</v>
      </c>
      <c r="Q650" s="29">
        <f>Item_Enchant_Old!Q654</f>
        <v>1</v>
      </c>
      <c r="R650" s="29">
        <f>Item_Enchant_Old!R654</f>
        <v>1</v>
      </c>
    </row>
    <row r="651" spans="1:18" s="29" customFormat="1" hidden="1">
      <c r="A651" s="29">
        <f>Item_Enchant_Old!A655</f>
        <v>650</v>
      </c>
      <c r="B651" s="29" t="str">
        <f>Item_Enchant_Old!B655</f>
        <v>ACTIVE_FOC_UP</v>
      </c>
      <c r="C651" s="29">
        <f>Item_Enchant_Old!C655</f>
        <v>612</v>
      </c>
      <c r="D651" s="29">
        <f>Item_Enchant_Old!D655</f>
        <v>0</v>
      </c>
      <c r="E651" s="29">
        <f>Item_Enchant_Old!E655</f>
        <v>0</v>
      </c>
      <c r="F651" s="29">
        <f>Item_Enchant_Old!F655</f>
        <v>0</v>
      </c>
      <c r="G651" s="29">
        <f>Item_Enchant_Old!G655</f>
        <v>2</v>
      </c>
      <c r="H651" s="29" t="str">
        <f>Item_Enchant_Old!H655</f>
        <v>@</v>
      </c>
      <c r="I651" s="29">
        <f>Item_Enchant_Old!I655</f>
        <v>1</v>
      </c>
      <c r="J651" s="29" t="str">
        <f>Item_Enchant_Old!J655</f>
        <v>절대값/상대값(%) 가능</v>
      </c>
      <c r="K651" s="29">
        <f>Item_Enchant_Old!K655</f>
        <v>12</v>
      </c>
      <c r="L651" s="29">
        <f>Item_Enchant_Old!L655</f>
        <v>0</v>
      </c>
      <c r="M651" s="29">
        <f>Item_Enchant_Old!M655</f>
        <v>12</v>
      </c>
      <c r="N651" s="29">
        <f>Item_Enchant_Old!N655</f>
        <v>53</v>
      </c>
      <c r="O651" s="29">
        <f>Item_Enchant_Old!O655</f>
        <v>1</v>
      </c>
      <c r="P651" s="29">
        <f>Item_Enchant_Old!P655</f>
        <v>1</v>
      </c>
      <c r="Q651" s="29">
        <f>Item_Enchant_Old!Q655</f>
        <v>1</v>
      </c>
      <c r="R651" s="29">
        <f>Item_Enchant_Old!R655</f>
        <v>1</v>
      </c>
    </row>
    <row r="652" spans="1:18" s="29" customFormat="1" hidden="1">
      <c r="A652" s="29">
        <f>Item_Enchant_Old!A656</f>
        <v>651</v>
      </c>
      <c r="B652" s="29" t="str">
        <f>Item_Enchant_Old!B656</f>
        <v>ACTIVE_ENERGY_OFFENCE_UP</v>
      </c>
      <c r="C652" s="29">
        <f>Item_Enchant_Old!C656</f>
        <v>607</v>
      </c>
      <c r="D652" s="29">
        <f>Item_Enchant_Old!D656</f>
        <v>0</v>
      </c>
      <c r="E652" s="29">
        <f>Item_Enchant_Old!E656</f>
        <v>0</v>
      </c>
      <c r="F652" s="29">
        <f>Item_Enchant_Old!F656</f>
        <v>0</v>
      </c>
      <c r="G652" s="29">
        <f>Item_Enchant_Old!G656</f>
        <v>1</v>
      </c>
      <c r="H652" s="29" t="str">
        <f>Item_Enchant_Old!H656</f>
        <v>@</v>
      </c>
      <c r="I652" s="29">
        <f>Item_Enchant_Old!I656</f>
        <v>1</v>
      </c>
      <c r="J652" s="29" t="str">
        <f>Item_Enchant_Old!J656</f>
        <v>절대값/상대값(%) 가능</v>
      </c>
      <c r="K652" s="29">
        <f>Item_Enchant_Old!K656</f>
        <v>13</v>
      </c>
      <c r="L652" s="29">
        <f>Item_Enchant_Old!L656</f>
        <v>0</v>
      </c>
      <c r="M652" s="29">
        <f>Item_Enchant_Old!M656</f>
        <v>3</v>
      </c>
      <c r="N652" s="29">
        <f>Item_Enchant_Old!N656</f>
        <v>104</v>
      </c>
      <c r="O652" s="29">
        <f>Item_Enchant_Old!O656</f>
        <v>1</v>
      </c>
      <c r="P652" s="29">
        <f>Item_Enchant_Old!P656</f>
        <v>1</v>
      </c>
      <c r="Q652" s="29">
        <f>Item_Enchant_Old!Q656</f>
        <v>1</v>
      </c>
      <c r="R652" s="29">
        <f>Item_Enchant_Old!R656</f>
        <v>1</v>
      </c>
    </row>
    <row r="653" spans="1:18" s="29" customFormat="1" hidden="1">
      <c r="A653" s="29">
        <f>Item_Enchant_Old!A657</f>
        <v>652</v>
      </c>
      <c r="B653" s="29" t="str">
        <f>Item_Enchant_Old!B657</f>
        <v>ACTIVE_FOC_UP</v>
      </c>
      <c r="C653" s="29">
        <f>Item_Enchant_Old!C657</f>
        <v>612</v>
      </c>
      <c r="D653" s="29">
        <f>Item_Enchant_Old!D657</f>
        <v>0</v>
      </c>
      <c r="E653" s="29">
        <f>Item_Enchant_Old!E657</f>
        <v>0</v>
      </c>
      <c r="F653" s="29">
        <f>Item_Enchant_Old!F657</f>
        <v>0</v>
      </c>
      <c r="G653" s="29">
        <f>Item_Enchant_Old!G657</f>
        <v>2</v>
      </c>
      <c r="H653" s="29" t="str">
        <f>Item_Enchant_Old!H657</f>
        <v>@</v>
      </c>
      <c r="I653" s="29">
        <f>Item_Enchant_Old!I657</f>
        <v>1</v>
      </c>
      <c r="J653" s="29" t="str">
        <f>Item_Enchant_Old!J657</f>
        <v>절대값/상대값(%) 가능</v>
      </c>
      <c r="K653" s="29">
        <f>Item_Enchant_Old!K657</f>
        <v>13</v>
      </c>
      <c r="L653" s="29">
        <f>Item_Enchant_Old!L657</f>
        <v>0</v>
      </c>
      <c r="M653" s="29">
        <f>Item_Enchant_Old!M657</f>
        <v>3</v>
      </c>
      <c r="N653" s="29">
        <f>Item_Enchant_Old!N657</f>
        <v>53</v>
      </c>
      <c r="O653" s="29">
        <f>Item_Enchant_Old!O657</f>
        <v>1</v>
      </c>
      <c r="P653" s="29">
        <f>Item_Enchant_Old!P657</f>
        <v>1</v>
      </c>
      <c r="Q653" s="29">
        <f>Item_Enchant_Old!Q657</f>
        <v>1</v>
      </c>
      <c r="R653" s="29">
        <f>Item_Enchant_Old!R657</f>
        <v>1</v>
      </c>
    </row>
    <row r="654" spans="1:18" s="29" customFormat="1" hidden="1">
      <c r="A654" s="29">
        <f>Item_Enchant_Old!A658</f>
        <v>653</v>
      </c>
      <c r="B654" s="29" t="str">
        <f>Item_Enchant_Old!B658</f>
        <v>ACTIVE_SOL_UP</v>
      </c>
      <c r="C654" s="29">
        <f>Item_Enchant_Old!C658</f>
        <v>614</v>
      </c>
      <c r="D654" s="29">
        <f>Item_Enchant_Old!D658</f>
        <v>0</v>
      </c>
      <c r="E654" s="29">
        <f>Item_Enchant_Old!E658</f>
        <v>0</v>
      </c>
      <c r="F654" s="29">
        <f>Item_Enchant_Old!F658</f>
        <v>0</v>
      </c>
      <c r="G654" s="29">
        <f>Item_Enchant_Old!G658</f>
        <v>2</v>
      </c>
      <c r="H654" s="29" t="str">
        <f>Item_Enchant_Old!H658</f>
        <v>@</v>
      </c>
      <c r="I654" s="29">
        <f>Item_Enchant_Old!I658</f>
        <v>1</v>
      </c>
      <c r="J654" s="29" t="str">
        <f>Item_Enchant_Old!J658</f>
        <v>절대값/상대값(%) 가능</v>
      </c>
      <c r="K654" s="29">
        <f>Item_Enchant_Old!K658</f>
        <v>13</v>
      </c>
      <c r="L654" s="29">
        <f>Item_Enchant_Old!L658</f>
        <v>0</v>
      </c>
      <c r="M654" s="29">
        <f>Item_Enchant_Old!M658</f>
        <v>3</v>
      </c>
      <c r="N654" s="29">
        <f>Item_Enchant_Old!N658</f>
        <v>53</v>
      </c>
      <c r="O654" s="29">
        <f>Item_Enchant_Old!O658</f>
        <v>1</v>
      </c>
      <c r="P654" s="29">
        <f>Item_Enchant_Old!P658</f>
        <v>1</v>
      </c>
      <c r="Q654" s="29">
        <f>Item_Enchant_Old!Q658</f>
        <v>1</v>
      </c>
      <c r="R654" s="29">
        <f>Item_Enchant_Old!R658</f>
        <v>1</v>
      </c>
    </row>
    <row r="655" spans="1:18" s="29" customFormat="1" hidden="1">
      <c r="A655" s="29">
        <f>Item_Enchant_Old!A659</f>
        <v>654</v>
      </c>
      <c r="B655" s="29" t="str">
        <f>Item_Enchant_Old!B659</f>
        <v>ACTIVE_ENERGY_CRITICAL_DAMAGE_UP</v>
      </c>
      <c r="C655" s="29">
        <f>Item_Enchant_Old!C659</f>
        <v>659</v>
      </c>
      <c r="D655" s="29">
        <f>Item_Enchant_Old!D659</f>
        <v>0</v>
      </c>
      <c r="E655" s="29">
        <f>Item_Enchant_Old!E659</f>
        <v>0</v>
      </c>
      <c r="F655" s="29">
        <f>Item_Enchant_Old!F659</f>
        <v>0</v>
      </c>
      <c r="G655" s="29">
        <f>Item_Enchant_Old!G659</f>
        <v>4</v>
      </c>
      <c r="H655" s="29" t="str">
        <f>Item_Enchant_Old!H659</f>
        <v>@</v>
      </c>
      <c r="I655" s="29">
        <f>Item_Enchant_Old!I659</f>
        <v>1</v>
      </c>
      <c r="J655" s="29" t="str">
        <f>Item_Enchant_Old!J659</f>
        <v>절대값만 가능</v>
      </c>
      <c r="K655" s="29">
        <f>Item_Enchant_Old!K659</f>
        <v>13</v>
      </c>
      <c r="L655" s="29">
        <f>Item_Enchant_Old!L659</f>
        <v>0</v>
      </c>
      <c r="M655" s="29">
        <f>Item_Enchant_Old!M659</f>
        <v>3</v>
      </c>
      <c r="N655" s="29">
        <f>Item_Enchant_Old!N659</f>
        <v>32</v>
      </c>
      <c r="O655" s="29">
        <f>Item_Enchant_Old!O659</f>
        <v>1</v>
      </c>
      <c r="P655" s="29">
        <f>Item_Enchant_Old!P659</f>
        <v>1</v>
      </c>
      <c r="Q655" s="29">
        <f>Item_Enchant_Old!Q659</f>
        <v>1</v>
      </c>
      <c r="R655" s="29">
        <f>Item_Enchant_Old!R659</f>
        <v>1</v>
      </c>
    </row>
    <row r="656" spans="1:18" s="29" customFormat="1" hidden="1">
      <c r="A656" s="29">
        <f>Item_Enchant_Old!A660</f>
        <v>655</v>
      </c>
      <c r="B656" s="29" t="str">
        <f>Item_Enchant_Old!B660</f>
        <v>ACTIVE_ENERGY_CRITICAL</v>
      </c>
      <c r="C656" s="29">
        <f>Item_Enchant_Old!C660</f>
        <v>633</v>
      </c>
      <c r="D656" s="29">
        <f>Item_Enchant_Old!D660</f>
        <v>0</v>
      </c>
      <c r="E656" s="29">
        <f>Item_Enchant_Old!E660</f>
        <v>0</v>
      </c>
      <c r="F656" s="29">
        <f>Item_Enchant_Old!F660</f>
        <v>0</v>
      </c>
      <c r="G656" s="29">
        <f>Item_Enchant_Old!G660</f>
        <v>5</v>
      </c>
      <c r="H656" s="29" t="str">
        <f>Item_Enchant_Old!H660</f>
        <v>@</v>
      </c>
      <c r="I656" s="29">
        <f>Item_Enchant_Old!I660</f>
        <v>1</v>
      </c>
      <c r="J656" s="29" t="str">
        <f>Item_Enchant_Old!J660</f>
        <v>절대값/상대값(%) 가능</v>
      </c>
      <c r="K656" s="29">
        <f>Item_Enchant_Old!K660</f>
        <v>13</v>
      </c>
      <c r="L656" s="29">
        <f>Item_Enchant_Old!L660</f>
        <v>0</v>
      </c>
      <c r="M656" s="29">
        <f>Item_Enchant_Old!M660</f>
        <v>4</v>
      </c>
      <c r="N656" s="29">
        <f>Item_Enchant_Old!N660</f>
        <v>24</v>
      </c>
      <c r="O656" s="29">
        <f>Item_Enchant_Old!O660</f>
        <v>1</v>
      </c>
      <c r="P656" s="29">
        <f>Item_Enchant_Old!P660</f>
        <v>1</v>
      </c>
      <c r="Q656" s="29">
        <f>Item_Enchant_Old!Q660</f>
        <v>1</v>
      </c>
      <c r="R656" s="29">
        <f>Item_Enchant_Old!R660</f>
        <v>1</v>
      </c>
    </row>
    <row r="657" spans="1:18" s="29" customFormat="1" hidden="1">
      <c r="A657" s="29">
        <f>Item_Enchant_Old!A661</f>
        <v>656</v>
      </c>
      <c r="B657" s="29" t="str">
        <f>Item_Enchant_Old!B661</f>
        <v>ACTIVE_ENERGY_CRITICAL_DAMAGE_UP</v>
      </c>
      <c r="C657" s="29">
        <f>Item_Enchant_Old!C661</f>
        <v>659</v>
      </c>
      <c r="D657" s="29">
        <f>Item_Enchant_Old!D661</f>
        <v>0</v>
      </c>
      <c r="E657" s="29">
        <f>Item_Enchant_Old!E661</f>
        <v>0</v>
      </c>
      <c r="F657" s="29">
        <f>Item_Enchant_Old!F661</f>
        <v>0</v>
      </c>
      <c r="G657" s="29">
        <f>Item_Enchant_Old!G661</f>
        <v>4</v>
      </c>
      <c r="H657" s="29" t="str">
        <f>Item_Enchant_Old!H661</f>
        <v>@</v>
      </c>
      <c r="I657" s="29">
        <f>Item_Enchant_Old!I661</f>
        <v>1</v>
      </c>
      <c r="J657" s="29" t="str">
        <f>Item_Enchant_Old!J661</f>
        <v>절대값만 가능</v>
      </c>
      <c r="K657" s="29">
        <f>Item_Enchant_Old!K661</f>
        <v>13</v>
      </c>
      <c r="L657" s="29">
        <f>Item_Enchant_Old!L661</f>
        <v>0</v>
      </c>
      <c r="M657" s="29">
        <f>Item_Enchant_Old!M661</f>
        <v>4</v>
      </c>
      <c r="N657" s="29">
        <f>Item_Enchant_Old!N661</f>
        <v>32</v>
      </c>
      <c r="O657" s="29">
        <f>Item_Enchant_Old!O661</f>
        <v>1</v>
      </c>
      <c r="P657" s="29">
        <f>Item_Enchant_Old!P661</f>
        <v>1</v>
      </c>
      <c r="Q657" s="29">
        <f>Item_Enchant_Old!Q661</f>
        <v>1</v>
      </c>
      <c r="R657" s="29">
        <f>Item_Enchant_Old!R661</f>
        <v>1</v>
      </c>
    </row>
    <row r="658" spans="1:18" s="29" customFormat="1" hidden="1">
      <c r="A658" s="29">
        <f>Item_Enchant_Old!A662</f>
        <v>657</v>
      </c>
      <c r="B658" s="29" t="str">
        <f>Item_Enchant_Old!B662</f>
        <v>ACTIVE_FOC_UP</v>
      </c>
      <c r="C658" s="29">
        <f>Item_Enchant_Old!C662</f>
        <v>612</v>
      </c>
      <c r="D658" s="29">
        <f>Item_Enchant_Old!D662</f>
        <v>0</v>
      </c>
      <c r="E658" s="29">
        <f>Item_Enchant_Old!E662</f>
        <v>0</v>
      </c>
      <c r="F658" s="29">
        <f>Item_Enchant_Old!F662</f>
        <v>0</v>
      </c>
      <c r="G658" s="29">
        <f>Item_Enchant_Old!G662</f>
        <v>2</v>
      </c>
      <c r="H658" s="29" t="str">
        <f>Item_Enchant_Old!H662</f>
        <v>@</v>
      </c>
      <c r="I658" s="29">
        <f>Item_Enchant_Old!I662</f>
        <v>1</v>
      </c>
      <c r="J658" s="29" t="str">
        <f>Item_Enchant_Old!J662</f>
        <v>절대값/상대값(%) 가능</v>
      </c>
      <c r="K658" s="29">
        <f>Item_Enchant_Old!K662</f>
        <v>13</v>
      </c>
      <c r="L658" s="29">
        <f>Item_Enchant_Old!L662</f>
        <v>0</v>
      </c>
      <c r="M658" s="29">
        <f>Item_Enchant_Old!M662</f>
        <v>4</v>
      </c>
      <c r="N658" s="29">
        <f>Item_Enchant_Old!N662</f>
        <v>53</v>
      </c>
      <c r="O658" s="29">
        <f>Item_Enchant_Old!O662</f>
        <v>1</v>
      </c>
      <c r="P658" s="29">
        <f>Item_Enchant_Old!P662</f>
        <v>1</v>
      </c>
      <c r="Q658" s="29">
        <f>Item_Enchant_Old!Q662</f>
        <v>1</v>
      </c>
      <c r="R658" s="29">
        <f>Item_Enchant_Old!R662</f>
        <v>1</v>
      </c>
    </row>
    <row r="659" spans="1:18" s="29" customFormat="1" hidden="1">
      <c r="A659" s="29">
        <f>Item_Enchant_Old!A663</f>
        <v>658</v>
      </c>
      <c r="B659" s="29" t="str">
        <f>Item_Enchant_Old!B663</f>
        <v>ACTIVE_DEX_UP</v>
      </c>
      <c r="C659" s="29">
        <f>Item_Enchant_Old!C663</f>
        <v>613</v>
      </c>
      <c r="D659" s="29">
        <f>Item_Enchant_Old!D663</f>
        <v>0</v>
      </c>
      <c r="E659" s="29">
        <f>Item_Enchant_Old!E663</f>
        <v>0</v>
      </c>
      <c r="F659" s="29">
        <f>Item_Enchant_Old!F663</f>
        <v>0</v>
      </c>
      <c r="G659" s="29">
        <f>Item_Enchant_Old!G663</f>
        <v>3</v>
      </c>
      <c r="H659" s="29" t="str">
        <f>Item_Enchant_Old!H663</f>
        <v>@</v>
      </c>
      <c r="I659" s="29">
        <f>Item_Enchant_Old!I663</f>
        <v>1</v>
      </c>
      <c r="J659" s="29" t="str">
        <f>Item_Enchant_Old!J663</f>
        <v>절대값/상대값(%) 가능</v>
      </c>
      <c r="K659" s="29">
        <f>Item_Enchant_Old!K663</f>
        <v>13</v>
      </c>
      <c r="L659" s="29">
        <f>Item_Enchant_Old!L663</f>
        <v>0</v>
      </c>
      <c r="M659" s="29">
        <f>Item_Enchant_Old!M663</f>
        <v>4</v>
      </c>
      <c r="N659" s="29">
        <f>Item_Enchant_Old!N663</f>
        <v>44</v>
      </c>
      <c r="O659" s="29">
        <f>Item_Enchant_Old!O663</f>
        <v>1</v>
      </c>
      <c r="P659" s="29">
        <f>Item_Enchant_Old!P663</f>
        <v>1</v>
      </c>
      <c r="Q659" s="29">
        <f>Item_Enchant_Old!Q663</f>
        <v>1</v>
      </c>
      <c r="R659" s="29">
        <f>Item_Enchant_Old!R663</f>
        <v>1</v>
      </c>
    </row>
    <row r="660" spans="1:18" s="29" customFormat="1" hidden="1">
      <c r="A660" s="29">
        <f>Item_Enchant_Old!A664</f>
        <v>659</v>
      </c>
      <c r="B660" s="29" t="str">
        <f>Item_Enchant_Old!B664</f>
        <v>ACTIVE_ATTACK_SPEED_UP</v>
      </c>
      <c r="C660" s="29">
        <f>Item_Enchant_Old!C664</f>
        <v>617</v>
      </c>
      <c r="D660" s="29">
        <f>Item_Enchant_Old!D664</f>
        <v>1</v>
      </c>
      <c r="E660" s="29">
        <f>Item_Enchant_Old!E664</f>
        <v>0</v>
      </c>
      <c r="F660" s="29">
        <f>Item_Enchant_Old!F664</f>
        <v>0</v>
      </c>
      <c r="G660" s="29">
        <f>Item_Enchant_Old!G664</f>
        <v>10</v>
      </c>
      <c r="H660" s="29" t="str">
        <f>Item_Enchant_Old!H664</f>
        <v>@</v>
      </c>
      <c r="I660" s="29">
        <f>Item_Enchant_Old!I664</f>
        <v>1</v>
      </c>
      <c r="J660" s="29" t="str">
        <f>Item_Enchant_Old!J664</f>
        <v>절대값/상대값(%) 가능</v>
      </c>
      <c r="K660" s="29">
        <f>Item_Enchant_Old!K664</f>
        <v>13</v>
      </c>
      <c r="L660" s="29">
        <f>Item_Enchant_Old!L664</f>
        <v>0</v>
      </c>
      <c r="M660" s="29">
        <f>Item_Enchant_Old!M664</f>
        <v>5</v>
      </c>
      <c r="N660" s="29">
        <f>Item_Enchant_Old!N664</f>
        <v>10</v>
      </c>
      <c r="O660" s="29">
        <f>Item_Enchant_Old!O664</f>
        <v>1</v>
      </c>
      <c r="P660" s="29">
        <f>Item_Enchant_Old!P664</f>
        <v>1</v>
      </c>
      <c r="Q660" s="29">
        <f>Item_Enchant_Old!Q664</f>
        <v>1</v>
      </c>
      <c r="R660" s="29">
        <f>Item_Enchant_Old!R664</f>
        <v>1</v>
      </c>
    </row>
    <row r="661" spans="1:18" s="29" customFormat="1" hidden="1">
      <c r="A661" s="29">
        <f>Item_Enchant_Old!A665</f>
        <v>660</v>
      </c>
      <c r="B661" s="29" t="str">
        <f>Item_Enchant_Old!B665</f>
        <v>ACTIVE_DEX_UP</v>
      </c>
      <c r="C661" s="29">
        <f>Item_Enchant_Old!C665</f>
        <v>613</v>
      </c>
      <c r="D661" s="29">
        <f>Item_Enchant_Old!D665</f>
        <v>0</v>
      </c>
      <c r="E661" s="29">
        <f>Item_Enchant_Old!E665</f>
        <v>0</v>
      </c>
      <c r="F661" s="29">
        <f>Item_Enchant_Old!F665</f>
        <v>0</v>
      </c>
      <c r="G661" s="29">
        <f>Item_Enchant_Old!G665</f>
        <v>3</v>
      </c>
      <c r="H661" s="29" t="str">
        <f>Item_Enchant_Old!H665</f>
        <v>@</v>
      </c>
      <c r="I661" s="29">
        <f>Item_Enchant_Old!I665</f>
        <v>1</v>
      </c>
      <c r="J661" s="29" t="str">
        <f>Item_Enchant_Old!J665</f>
        <v>절대값/상대값(%) 가능</v>
      </c>
      <c r="K661" s="29">
        <f>Item_Enchant_Old!K665</f>
        <v>13</v>
      </c>
      <c r="L661" s="29">
        <f>Item_Enchant_Old!L665</f>
        <v>0</v>
      </c>
      <c r="M661" s="29">
        <f>Item_Enchant_Old!M665</f>
        <v>5</v>
      </c>
      <c r="N661" s="29">
        <f>Item_Enchant_Old!N665</f>
        <v>44</v>
      </c>
      <c r="O661" s="29">
        <f>Item_Enchant_Old!O665</f>
        <v>1</v>
      </c>
      <c r="P661" s="29">
        <f>Item_Enchant_Old!P665</f>
        <v>1</v>
      </c>
      <c r="Q661" s="29">
        <f>Item_Enchant_Old!Q665</f>
        <v>1</v>
      </c>
      <c r="R661" s="29">
        <f>Item_Enchant_Old!R665</f>
        <v>1</v>
      </c>
    </row>
    <row r="662" spans="1:18" s="29" customFormat="1" hidden="1">
      <c r="A662" s="29">
        <f>Item_Enchant_Old!A666</f>
        <v>661</v>
      </c>
      <c r="B662" s="29" t="str">
        <f>Item_Enchant_Old!B666</f>
        <v>ACTIVE_FOC_UP</v>
      </c>
      <c r="C662" s="29">
        <f>Item_Enchant_Old!C666</f>
        <v>612</v>
      </c>
      <c r="D662" s="29">
        <f>Item_Enchant_Old!D666</f>
        <v>0</v>
      </c>
      <c r="E662" s="29">
        <f>Item_Enchant_Old!E666</f>
        <v>0</v>
      </c>
      <c r="F662" s="29">
        <f>Item_Enchant_Old!F666</f>
        <v>0</v>
      </c>
      <c r="G662" s="29">
        <f>Item_Enchant_Old!G666</f>
        <v>2</v>
      </c>
      <c r="H662" s="29" t="str">
        <f>Item_Enchant_Old!H666</f>
        <v>@</v>
      </c>
      <c r="I662" s="29">
        <f>Item_Enchant_Old!I666</f>
        <v>1</v>
      </c>
      <c r="J662" s="29" t="str">
        <f>Item_Enchant_Old!J666</f>
        <v>절대값/상대값(%) 가능</v>
      </c>
      <c r="K662" s="29">
        <f>Item_Enchant_Old!K666</f>
        <v>13</v>
      </c>
      <c r="L662" s="29">
        <f>Item_Enchant_Old!L666</f>
        <v>0</v>
      </c>
      <c r="M662" s="29">
        <f>Item_Enchant_Old!M666</f>
        <v>5</v>
      </c>
      <c r="N662" s="29">
        <f>Item_Enchant_Old!N666</f>
        <v>53</v>
      </c>
      <c r="O662" s="29">
        <f>Item_Enchant_Old!O666</f>
        <v>1</v>
      </c>
      <c r="P662" s="29">
        <f>Item_Enchant_Old!P666</f>
        <v>1</v>
      </c>
      <c r="Q662" s="29">
        <f>Item_Enchant_Old!Q666</f>
        <v>1</v>
      </c>
      <c r="R662" s="29">
        <f>Item_Enchant_Old!R666</f>
        <v>1</v>
      </c>
    </row>
    <row r="663" spans="1:18" s="29" customFormat="1" hidden="1">
      <c r="A663" s="29">
        <f>Item_Enchant_Old!A667</f>
        <v>662</v>
      </c>
      <c r="B663" s="29" t="str">
        <f>Item_Enchant_Old!B667</f>
        <v>ACTIVE_PHYSICAL_OFFENCE_UP</v>
      </c>
      <c r="C663" s="29">
        <f>Item_Enchant_Old!C667</f>
        <v>606</v>
      </c>
      <c r="D663" s="29">
        <f>Item_Enchant_Old!D667</f>
        <v>0</v>
      </c>
      <c r="E663" s="29">
        <f>Item_Enchant_Old!E667</f>
        <v>0</v>
      </c>
      <c r="F663" s="29">
        <f>Item_Enchant_Old!F667</f>
        <v>0</v>
      </c>
      <c r="G663" s="29">
        <f>Item_Enchant_Old!G667</f>
        <v>1</v>
      </c>
      <c r="H663" s="29" t="str">
        <f>Item_Enchant_Old!H667</f>
        <v>@</v>
      </c>
      <c r="I663" s="29">
        <f>Item_Enchant_Old!I667</f>
        <v>1</v>
      </c>
      <c r="J663" s="29" t="str">
        <f>Item_Enchant_Old!J667</f>
        <v>절대값/상대값(%) 가능</v>
      </c>
      <c r="K663" s="29">
        <f>Item_Enchant_Old!K667</f>
        <v>13</v>
      </c>
      <c r="L663" s="29">
        <f>Item_Enchant_Old!L667</f>
        <v>0</v>
      </c>
      <c r="M663" s="29">
        <f>Item_Enchant_Old!M667</f>
        <v>5</v>
      </c>
      <c r="N663" s="29">
        <f>Item_Enchant_Old!N667</f>
        <v>125</v>
      </c>
      <c r="O663" s="29">
        <f>Item_Enchant_Old!O667</f>
        <v>1</v>
      </c>
      <c r="P663" s="29">
        <f>Item_Enchant_Old!P667</f>
        <v>1</v>
      </c>
      <c r="Q663" s="29">
        <f>Item_Enchant_Old!Q667</f>
        <v>1</v>
      </c>
      <c r="R663" s="29">
        <f>Item_Enchant_Old!R667</f>
        <v>1</v>
      </c>
    </row>
    <row r="664" spans="1:18" s="29" customFormat="1" hidden="1">
      <c r="A664" s="29">
        <f>Item_Enchant_Old!A668</f>
        <v>663</v>
      </c>
      <c r="B664" s="29" t="str">
        <f>Item_Enchant_Old!B668</f>
        <v>ACTIVE_ENERGY_OFFENCE_UP</v>
      </c>
      <c r="C664" s="29">
        <f>Item_Enchant_Old!C668</f>
        <v>607</v>
      </c>
      <c r="D664" s="29">
        <f>Item_Enchant_Old!D668</f>
        <v>0</v>
      </c>
      <c r="E664" s="29">
        <f>Item_Enchant_Old!E668</f>
        <v>0</v>
      </c>
      <c r="F664" s="29">
        <f>Item_Enchant_Old!F668</f>
        <v>0</v>
      </c>
      <c r="G664" s="29">
        <f>Item_Enchant_Old!G668</f>
        <v>1</v>
      </c>
      <c r="H664" s="29" t="str">
        <f>Item_Enchant_Old!H668</f>
        <v>@</v>
      </c>
      <c r="I664" s="29">
        <f>Item_Enchant_Old!I668</f>
        <v>1</v>
      </c>
      <c r="J664" s="29" t="str">
        <f>Item_Enchant_Old!J668</f>
        <v>절대값/상대값(%) 가능</v>
      </c>
      <c r="K664" s="29">
        <f>Item_Enchant_Old!K668</f>
        <v>13</v>
      </c>
      <c r="L664" s="29">
        <f>Item_Enchant_Old!L668</f>
        <v>0</v>
      </c>
      <c r="M664" s="29">
        <f>Item_Enchant_Old!M668</f>
        <v>5</v>
      </c>
      <c r="N664" s="29">
        <f>Item_Enchant_Old!N668</f>
        <v>104</v>
      </c>
      <c r="O664" s="29">
        <f>Item_Enchant_Old!O668</f>
        <v>1</v>
      </c>
      <c r="P664" s="29">
        <f>Item_Enchant_Old!P668</f>
        <v>1</v>
      </c>
      <c r="Q664" s="29">
        <f>Item_Enchant_Old!Q668</f>
        <v>1</v>
      </c>
      <c r="R664" s="29">
        <f>Item_Enchant_Old!R668</f>
        <v>1</v>
      </c>
    </row>
    <row r="665" spans="1:18" s="29" customFormat="1" hidden="1">
      <c r="A665" s="29">
        <f>Item_Enchant_Old!A669</f>
        <v>664</v>
      </c>
      <c r="B665" s="29" t="str">
        <f>Item_Enchant_Old!B669</f>
        <v>ACTIVE_PHYSICAL_OFFENCE_UP</v>
      </c>
      <c r="C665" s="29">
        <f>Item_Enchant_Old!C669</f>
        <v>606</v>
      </c>
      <c r="D665" s="29">
        <f>Item_Enchant_Old!D669</f>
        <v>0</v>
      </c>
      <c r="E665" s="29">
        <f>Item_Enchant_Old!E669</f>
        <v>0</v>
      </c>
      <c r="F665" s="29">
        <f>Item_Enchant_Old!F669</f>
        <v>0</v>
      </c>
      <c r="G665" s="29">
        <f>Item_Enchant_Old!G669</f>
        <v>1</v>
      </c>
      <c r="H665" s="29" t="str">
        <f>Item_Enchant_Old!H669</f>
        <v>@</v>
      </c>
      <c r="I665" s="29">
        <f>Item_Enchant_Old!I669</f>
        <v>1</v>
      </c>
      <c r="J665" s="29" t="str">
        <f>Item_Enchant_Old!J669</f>
        <v>절대값/상대값(%) 가능</v>
      </c>
      <c r="K665" s="29">
        <f>Item_Enchant_Old!K669</f>
        <v>13</v>
      </c>
      <c r="L665" s="29">
        <f>Item_Enchant_Old!L669</f>
        <v>0</v>
      </c>
      <c r="M665" s="29">
        <f>Item_Enchant_Old!M669</f>
        <v>6</v>
      </c>
      <c r="N665" s="29">
        <f>Item_Enchant_Old!N669</f>
        <v>125</v>
      </c>
      <c r="O665" s="29">
        <f>Item_Enchant_Old!O669</f>
        <v>1</v>
      </c>
      <c r="P665" s="29">
        <f>Item_Enchant_Old!P669</f>
        <v>1</v>
      </c>
      <c r="Q665" s="29">
        <f>Item_Enchant_Old!Q669</f>
        <v>1</v>
      </c>
      <c r="R665" s="29">
        <f>Item_Enchant_Old!R669</f>
        <v>1</v>
      </c>
    </row>
    <row r="666" spans="1:18" s="29" customFormat="1" hidden="1">
      <c r="A666" s="29">
        <f>Item_Enchant_Old!A670</f>
        <v>665</v>
      </c>
      <c r="B666" s="29" t="str">
        <f>Item_Enchant_Old!B670</f>
        <v>ACTIVE_ENERGY_OFFENCE_UP</v>
      </c>
      <c r="C666" s="29">
        <f>Item_Enchant_Old!C670</f>
        <v>607</v>
      </c>
      <c r="D666" s="29">
        <f>Item_Enchant_Old!D670</f>
        <v>0</v>
      </c>
      <c r="E666" s="29">
        <f>Item_Enchant_Old!E670</f>
        <v>0</v>
      </c>
      <c r="F666" s="29">
        <f>Item_Enchant_Old!F670</f>
        <v>0</v>
      </c>
      <c r="G666" s="29">
        <f>Item_Enchant_Old!G670</f>
        <v>1</v>
      </c>
      <c r="H666" s="29" t="str">
        <f>Item_Enchant_Old!H670</f>
        <v>@</v>
      </c>
      <c r="I666" s="29">
        <f>Item_Enchant_Old!I670</f>
        <v>1</v>
      </c>
      <c r="J666" s="29" t="str">
        <f>Item_Enchant_Old!J670</f>
        <v>절대값/상대값(%) 가능</v>
      </c>
      <c r="K666" s="29">
        <f>Item_Enchant_Old!K670</f>
        <v>13</v>
      </c>
      <c r="L666" s="29">
        <f>Item_Enchant_Old!L670</f>
        <v>0</v>
      </c>
      <c r="M666" s="29">
        <f>Item_Enchant_Old!M670</f>
        <v>6</v>
      </c>
      <c r="N666" s="29">
        <f>Item_Enchant_Old!N670</f>
        <v>104</v>
      </c>
      <c r="O666" s="29">
        <f>Item_Enchant_Old!O670</f>
        <v>1</v>
      </c>
      <c r="P666" s="29">
        <f>Item_Enchant_Old!P670</f>
        <v>1</v>
      </c>
      <c r="Q666" s="29">
        <f>Item_Enchant_Old!Q670</f>
        <v>1</v>
      </c>
      <c r="R666" s="29">
        <f>Item_Enchant_Old!R670</f>
        <v>1</v>
      </c>
    </row>
    <row r="667" spans="1:18" s="29" customFormat="1" hidden="1">
      <c r="A667" s="29">
        <f>Item_Enchant_Old!A671</f>
        <v>666</v>
      </c>
      <c r="B667" s="29" t="str">
        <f>Item_Enchant_Old!B671</f>
        <v>ACTIVE_STR_UP</v>
      </c>
      <c r="C667" s="29">
        <f>Item_Enchant_Old!C671</f>
        <v>610</v>
      </c>
      <c r="D667" s="29">
        <f>Item_Enchant_Old!D671</f>
        <v>0</v>
      </c>
      <c r="E667" s="29">
        <f>Item_Enchant_Old!E671</f>
        <v>0</v>
      </c>
      <c r="F667" s="29">
        <f>Item_Enchant_Old!F671</f>
        <v>0</v>
      </c>
      <c r="G667" s="29">
        <f>Item_Enchant_Old!G671</f>
        <v>2</v>
      </c>
      <c r="H667" s="29" t="str">
        <f>Item_Enchant_Old!H671</f>
        <v>@</v>
      </c>
      <c r="I667" s="29">
        <f>Item_Enchant_Old!I671</f>
        <v>1</v>
      </c>
      <c r="J667" s="29" t="str">
        <f>Item_Enchant_Old!J671</f>
        <v>절대값/상대값(%) 가능</v>
      </c>
      <c r="K667" s="29">
        <f>Item_Enchant_Old!K671</f>
        <v>13</v>
      </c>
      <c r="L667" s="29">
        <f>Item_Enchant_Old!L671</f>
        <v>0</v>
      </c>
      <c r="M667" s="29">
        <f>Item_Enchant_Old!M671</f>
        <v>6</v>
      </c>
      <c r="N667" s="29">
        <f>Item_Enchant_Old!N671</f>
        <v>57</v>
      </c>
      <c r="O667" s="29">
        <f>Item_Enchant_Old!O671</f>
        <v>1</v>
      </c>
      <c r="P667" s="29">
        <f>Item_Enchant_Old!P671</f>
        <v>1</v>
      </c>
      <c r="Q667" s="29">
        <f>Item_Enchant_Old!Q671</f>
        <v>1</v>
      </c>
      <c r="R667" s="29">
        <f>Item_Enchant_Old!R671</f>
        <v>1</v>
      </c>
    </row>
    <row r="668" spans="1:18" s="29" customFormat="1" hidden="1">
      <c r="A668" s="29">
        <f>Item_Enchant_Old!A672</f>
        <v>667</v>
      </c>
      <c r="B668" s="29" t="str">
        <f>Item_Enchant_Old!B672</f>
        <v>ACTIVE_SOL_UP</v>
      </c>
      <c r="C668" s="29">
        <f>Item_Enchant_Old!C672</f>
        <v>614</v>
      </c>
      <c r="D668" s="29">
        <f>Item_Enchant_Old!D672</f>
        <v>0</v>
      </c>
      <c r="E668" s="29">
        <f>Item_Enchant_Old!E672</f>
        <v>0</v>
      </c>
      <c r="F668" s="29">
        <f>Item_Enchant_Old!F672</f>
        <v>0</v>
      </c>
      <c r="G668" s="29">
        <f>Item_Enchant_Old!G672</f>
        <v>2</v>
      </c>
      <c r="H668" s="29" t="str">
        <f>Item_Enchant_Old!H672</f>
        <v>@</v>
      </c>
      <c r="I668" s="29">
        <f>Item_Enchant_Old!I672</f>
        <v>1</v>
      </c>
      <c r="J668" s="29" t="str">
        <f>Item_Enchant_Old!J672</f>
        <v>절대값/상대값(%) 가능</v>
      </c>
      <c r="K668" s="29">
        <f>Item_Enchant_Old!K672</f>
        <v>13</v>
      </c>
      <c r="L668" s="29">
        <f>Item_Enchant_Old!L672</f>
        <v>0</v>
      </c>
      <c r="M668" s="29">
        <f>Item_Enchant_Old!M672</f>
        <v>6</v>
      </c>
      <c r="N668" s="29">
        <f>Item_Enchant_Old!N672</f>
        <v>53</v>
      </c>
      <c r="O668" s="29">
        <f>Item_Enchant_Old!O672</f>
        <v>1</v>
      </c>
      <c r="P668" s="29">
        <f>Item_Enchant_Old!P672</f>
        <v>1</v>
      </c>
      <c r="Q668" s="29">
        <f>Item_Enchant_Old!Q672</f>
        <v>1</v>
      </c>
      <c r="R668" s="29">
        <f>Item_Enchant_Old!R672</f>
        <v>1</v>
      </c>
    </row>
    <row r="669" spans="1:18" s="29" customFormat="1" hidden="1">
      <c r="A669" s="29">
        <f>Item_Enchant_Old!A673</f>
        <v>668</v>
      </c>
      <c r="B669" s="29" t="str">
        <f>Item_Enchant_Old!B673</f>
        <v>ACTIVE_PHYSICAL_CRITICAL_DAMAGE_UP</v>
      </c>
      <c r="C669" s="29">
        <f>Item_Enchant_Old!C673</f>
        <v>658</v>
      </c>
      <c r="D669" s="29">
        <f>Item_Enchant_Old!D673</f>
        <v>0</v>
      </c>
      <c r="E669" s="29">
        <f>Item_Enchant_Old!E673</f>
        <v>0</v>
      </c>
      <c r="F669" s="29">
        <f>Item_Enchant_Old!F673</f>
        <v>0</v>
      </c>
      <c r="G669" s="29">
        <f>Item_Enchant_Old!G673</f>
        <v>4</v>
      </c>
      <c r="H669" s="29" t="str">
        <f>Item_Enchant_Old!H673</f>
        <v>@</v>
      </c>
      <c r="I669" s="29">
        <f>Item_Enchant_Old!I673</f>
        <v>1</v>
      </c>
      <c r="J669" s="29" t="str">
        <f>Item_Enchant_Old!J673</f>
        <v>절대값만 가능</v>
      </c>
      <c r="K669" s="29">
        <f>Item_Enchant_Old!K673</f>
        <v>13</v>
      </c>
      <c r="L669" s="29">
        <f>Item_Enchant_Old!L673</f>
        <v>0</v>
      </c>
      <c r="M669" s="29">
        <f>Item_Enchant_Old!M673</f>
        <v>6</v>
      </c>
      <c r="N669" s="29">
        <f>Item_Enchant_Old!N673</f>
        <v>28</v>
      </c>
      <c r="O669" s="29">
        <f>Item_Enchant_Old!O673</f>
        <v>1</v>
      </c>
      <c r="P669" s="29">
        <f>Item_Enchant_Old!P673</f>
        <v>1</v>
      </c>
      <c r="Q669" s="29">
        <f>Item_Enchant_Old!Q673</f>
        <v>1</v>
      </c>
      <c r="R669" s="29">
        <f>Item_Enchant_Old!R673</f>
        <v>1</v>
      </c>
    </row>
    <row r="670" spans="1:18" s="29" customFormat="1" hidden="1">
      <c r="A670" s="29">
        <f>Item_Enchant_Old!A674</f>
        <v>669</v>
      </c>
      <c r="B670" s="29" t="str">
        <f>Item_Enchant_Old!B674</f>
        <v>ACTIVE_ENERGY_CRITICAL_DAMAGE_UP</v>
      </c>
      <c r="C670" s="29">
        <f>Item_Enchant_Old!C674</f>
        <v>659</v>
      </c>
      <c r="D670" s="29">
        <f>Item_Enchant_Old!D674</f>
        <v>0</v>
      </c>
      <c r="E670" s="29">
        <f>Item_Enchant_Old!E674</f>
        <v>0</v>
      </c>
      <c r="F670" s="29">
        <f>Item_Enchant_Old!F674</f>
        <v>0</v>
      </c>
      <c r="G670" s="29">
        <f>Item_Enchant_Old!G674</f>
        <v>4</v>
      </c>
      <c r="H670" s="29" t="str">
        <f>Item_Enchant_Old!H674</f>
        <v>@</v>
      </c>
      <c r="I670" s="29">
        <f>Item_Enchant_Old!I674</f>
        <v>1</v>
      </c>
      <c r="J670" s="29" t="str">
        <f>Item_Enchant_Old!J674</f>
        <v>절대값만 가능</v>
      </c>
      <c r="K670" s="29">
        <f>Item_Enchant_Old!K674</f>
        <v>13</v>
      </c>
      <c r="L670" s="29">
        <f>Item_Enchant_Old!L674</f>
        <v>0</v>
      </c>
      <c r="M670" s="29">
        <f>Item_Enchant_Old!M674</f>
        <v>6</v>
      </c>
      <c r="N670" s="29">
        <f>Item_Enchant_Old!N674</f>
        <v>32</v>
      </c>
      <c r="O670" s="29">
        <f>Item_Enchant_Old!O674</f>
        <v>1</v>
      </c>
      <c r="P670" s="29">
        <f>Item_Enchant_Old!P674</f>
        <v>1</v>
      </c>
      <c r="Q670" s="29">
        <f>Item_Enchant_Old!Q674</f>
        <v>1</v>
      </c>
      <c r="R670" s="29">
        <f>Item_Enchant_Old!R674</f>
        <v>1</v>
      </c>
    </row>
    <row r="671" spans="1:18" s="29" customFormat="1" hidden="1">
      <c r="A671" s="29">
        <f>Item_Enchant_Old!A675</f>
        <v>670</v>
      </c>
      <c r="B671" s="29" t="str">
        <f>Item_Enchant_Old!B675</f>
        <v>ACTIVE_FOC_UP</v>
      </c>
      <c r="C671" s="29">
        <f>Item_Enchant_Old!C675</f>
        <v>612</v>
      </c>
      <c r="D671" s="29">
        <f>Item_Enchant_Old!D675</f>
        <v>0</v>
      </c>
      <c r="E671" s="29">
        <f>Item_Enchant_Old!E675</f>
        <v>0</v>
      </c>
      <c r="F671" s="29">
        <f>Item_Enchant_Old!F675</f>
        <v>0</v>
      </c>
      <c r="G671" s="29">
        <f>Item_Enchant_Old!G675</f>
        <v>2</v>
      </c>
      <c r="H671" s="29" t="str">
        <f>Item_Enchant_Old!H675</f>
        <v>@</v>
      </c>
      <c r="I671" s="29">
        <f>Item_Enchant_Old!I675</f>
        <v>1</v>
      </c>
      <c r="J671" s="29" t="str">
        <f>Item_Enchant_Old!J675</f>
        <v>절대값/상대값(%) 가능</v>
      </c>
      <c r="K671" s="29">
        <f>Item_Enchant_Old!K675</f>
        <v>13</v>
      </c>
      <c r="L671" s="29">
        <f>Item_Enchant_Old!L675</f>
        <v>0</v>
      </c>
      <c r="M671" s="29">
        <f>Item_Enchant_Old!M675</f>
        <v>7</v>
      </c>
      <c r="N671" s="29">
        <f>Item_Enchant_Old!N675</f>
        <v>53</v>
      </c>
      <c r="O671" s="29">
        <f>Item_Enchant_Old!O675</f>
        <v>1</v>
      </c>
      <c r="P671" s="29">
        <f>Item_Enchant_Old!P675</f>
        <v>1</v>
      </c>
      <c r="Q671" s="29">
        <f>Item_Enchant_Old!Q675</f>
        <v>1</v>
      </c>
      <c r="R671" s="29">
        <f>Item_Enchant_Old!R675</f>
        <v>1</v>
      </c>
    </row>
    <row r="672" spans="1:18" s="29" customFormat="1" hidden="1">
      <c r="A672" s="29">
        <f>Item_Enchant_Old!A676</f>
        <v>671</v>
      </c>
      <c r="B672" s="29" t="str">
        <f>Item_Enchant_Old!B676</f>
        <v>ACTIVE_ATTACK_RATE_UP</v>
      </c>
      <c r="C672" s="29">
        <f>Item_Enchant_Old!C676</f>
        <v>618</v>
      </c>
      <c r="D672" s="29">
        <f>Item_Enchant_Old!D676</f>
        <v>0</v>
      </c>
      <c r="E672" s="29">
        <f>Item_Enchant_Old!E676</f>
        <v>0</v>
      </c>
      <c r="F672" s="29">
        <f>Item_Enchant_Old!F676</f>
        <v>0</v>
      </c>
      <c r="G672" s="29">
        <f>Item_Enchant_Old!G676</f>
        <v>1</v>
      </c>
      <c r="H672" s="29" t="str">
        <f>Item_Enchant_Old!H676</f>
        <v>@</v>
      </c>
      <c r="I672" s="29">
        <f>Item_Enchant_Old!I676</f>
        <v>1</v>
      </c>
      <c r="J672" s="29" t="str">
        <f>Item_Enchant_Old!J676</f>
        <v>절대값/상대값(%) 가능</v>
      </c>
      <c r="K672" s="29">
        <f>Item_Enchant_Old!K676</f>
        <v>13</v>
      </c>
      <c r="L672" s="29">
        <f>Item_Enchant_Old!L676</f>
        <v>0</v>
      </c>
      <c r="M672" s="29">
        <f>Item_Enchant_Old!M676</f>
        <v>7</v>
      </c>
      <c r="N672" s="29">
        <f>Item_Enchant_Old!N676</f>
        <v>528</v>
      </c>
      <c r="O672" s="29">
        <f>Item_Enchant_Old!O676</f>
        <v>1</v>
      </c>
      <c r="P672" s="29">
        <f>Item_Enchant_Old!P676</f>
        <v>1</v>
      </c>
      <c r="Q672" s="29">
        <f>Item_Enchant_Old!Q676</f>
        <v>1</v>
      </c>
      <c r="R672" s="29">
        <f>Item_Enchant_Old!R676</f>
        <v>1</v>
      </c>
    </row>
    <row r="673" spans="1:18" s="29" customFormat="1" hidden="1">
      <c r="A673" s="29">
        <f>Item_Enchant_Old!A677</f>
        <v>672</v>
      </c>
      <c r="B673" s="29" t="str">
        <f>Item_Enchant_Old!B677</f>
        <v>ACTIVE_ENG_UP</v>
      </c>
      <c r="C673" s="29">
        <f>Item_Enchant_Old!C677</f>
        <v>615</v>
      </c>
      <c r="D673" s="29">
        <f>Item_Enchant_Old!D677</f>
        <v>0</v>
      </c>
      <c r="E673" s="29">
        <f>Item_Enchant_Old!E677</f>
        <v>0</v>
      </c>
      <c r="F673" s="29">
        <f>Item_Enchant_Old!F677</f>
        <v>0</v>
      </c>
      <c r="G673" s="29">
        <f>Item_Enchant_Old!G677</f>
        <v>2</v>
      </c>
      <c r="H673" s="29" t="str">
        <f>Item_Enchant_Old!H677</f>
        <v>@</v>
      </c>
      <c r="I673" s="29">
        <f>Item_Enchant_Old!I677</f>
        <v>1</v>
      </c>
      <c r="J673" s="29" t="str">
        <f>Item_Enchant_Old!J677</f>
        <v>절대값/상대값(%) 가능</v>
      </c>
      <c r="K673" s="29">
        <f>Item_Enchant_Old!K677</f>
        <v>13</v>
      </c>
      <c r="L673" s="29">
        <f>Item_Enchant_Old!L677</f>
        <v>0</v>
      </c>
      <c r="M673" s="29">
        <f>Item_Enchant_Old!M677</f>
        <v>7</v>
      </c>
      <c r="N673" s="29">
        <f>Item_Enchant_Old!N677</f>
        <v>62</v>
      </c>
      <c r="O673" s="29">
        <f>Item_Enchant_Old!O677</f>
        <v>1</v>
      </c>
      <c r="P673" s="29">
        <f>Item_Enchant_Old!P677</f>
        <v>1</v>
      </c>
      <c r="Q673" s="29">
        <f>Item_Enchant_Old!Q677</f>
        <v>1</v>
      </c>
      <c r="R673" s="29">
        <f>Item_Enchant_Old!R677</f>
        <v>1</v>
      </c>
    </row>
    <row r="674" spans="1:18" s="29" customFormat="1" hidden="1">
      <c r="A674" s="29">
        <f>Item_Enchant_Old!A678</f>
        <v>673</v>
      </c>
      <c r="B674" s="29" t="str">
        <f>Item_Enchant_Old!B678</f>
        <v>ACTIVE_PHYSICAL_CRITICAL</v>
      </c>
      <c r="C674" s="29">
        <f>Item_Enchant_Old!C678</f>
        <v>632</v>
      </c>
      <c r="D674" s="29">
        <f>Item_Enchant_Old!D678</f>
        <v>0</v>
      </c>
      <c r="E674" s="29">
        <f>Item_Enchant_Old!E678</f>
        <v>0</v>
      </c>
      <c r="F674" s="29">
        <f>Item_Enchant_Old!F678</f>
        <v>0</v>
      </c>
      <c r="G674" s="29">
        <f>Item_Enchant_Old!G678</f>
        <v>5</v>
      </c>
      <c r="H674" s="29" t="str">
        <f>Item_Enchant_Old!H678</f>
        <v>@</v>
      </c>
      <c r="I674" s="29">
        <f>Item_Enchant_Old!I678</f>
        <v>1</v>
      </c>
      <c r="J674" s="29" t="str">
        <f>Item_Enchant_Old!J678</f>
        <v>절대값/상대값(%) 가능</v>
      </c>
      <c r="K674" s="29">
        <f>Item_Enchant_Old!K678</f>
        <v>13</v>
      </c>
      <c r="L674" s="29">
        <f>Item_Enchant_Old!L678</f>
        <v>0</v>
      </c>
      <c r="M674" s="29">
        <f>Item_Enchant_Old!M678</f>
        <v>7</v>
      </c>
      <c r="N674" s="29">
        <f>Item_Enchant_Old!N678</f>
        <v>21</v>
      </c>
      <c r="O674" s="29">
        <f>Item_Enchant_Old!O678</f>
        <v>1</v>
      </c>
      <c r="P674" s="29">
        <f>Item_Enchant_Old!P678</f>
        <v>1</v>
      </c>
      <c r="Q674" s="29">
        <f>Item_Enchant_Old!Q678</f>
        <v>1</v>
      </c>
      <c r="R674" s="29">
        <f>Item_Enchant_Old!R678</f>
        <v>1</v>
      </c>
    </row>
    <row r="675" spans="1:18" s="29" customFormat="1" hidden="1">
      <c r="A675" s="29">
        <f>Item_Enchant_Old!A679</f>
        <v>674</v>
      </c>
      <c r="B675" s="29" t="str">
        <f>Item_Enchant_Old!B679</f>
        <v>ACTIVE_ENERGY_CRITICAL</v>
      </c>
      <c r="C675" s="29">
        <f>Item_Enchant_Old!C679</f>
        <v>633</v>
      </c>
      <c r="D675" s="29">
        <f>Item_Enchant_Old!D679</f>
        <v>0</v>
      </c>
      <c r="E675" s="29">
        <f>Item_Enchant_Old!E679</f>
        <v>0</v>
      </c>
      <c r="F675" s="29">
        <f>Item_Enchant_Old!F679</f>
        <v>0</v>
      </c>
      <c r="G675" s="29">
        <f>Item_Enchant_Old!G679</f>
        <v>5</v>
      </c>
      <c r="H675" s="29" t="str">
        <f>Item_Enchant_Old!H679</f>
        <v>@</v>
      </c>
      <c r="I675" s="29">
        <f>Item_Enchant_Old!I679</f>
        <v>1</v>
      </c>
      <c r="J675" s="29" t="str">
        <f>Item_Enchant_Old!J679</f>
        <v>절대값/상대값(%) 가능</v>
      </c>
      <c r="K675" s="29">
        <f>Item_Enchant_Old!K679</f>
        <v>13</v>
      </c>
      <c r="L675" s="29">
        <f>Item_Enchant_Old!L679</f>
        <v>0</v>
      </c>
      <c r="M675" s="29">
        <f>Item_Enchant_Old!M679</f>
        <v>7</v>
      </c>
      <c r="N675" s="29">
        <f>Item_Enchant_Old!N679</f>
        <v>24</v>
      </c>
      <c r="O675" s="29">
        <f>Item_Enchant_Old!O679</f>
        <v>1</v>
      </c>
      <c r="P675" s="29">
        <f>Item_Enchant_Old!P679</f>
        <v>1</v>
      </c>
      <c r="Q675" s="29">
        <f>Item_Enchant_Old!Q679</f>
        <v>1</v>
      </c>
      <c r="R675" s="29">
        <f>Item_Enchant_Old!R679</f>
        <v>1</v>
      </c>
    </row>
    <row r="676" spans="1:18" s="29" customFormat="1" hidden="1">
      <c r="A676" s="29">
        <f>Item_Enchant_Old!A680</f>
        <v>675</v>
      </c>
      <c r="B676" s="29" t="str">
        <f>Item_Enchant_Old!B680</f>
        <v>ACTIVE_FOC_UP</v>
      </c>
      <c r="C676" s="29">
        <f>Item_Enchant_Old!C680</f>
        <v>612</v>
      </c>
      <c r="D676" s="29">
        <f>Item_Enchant_Old!D680</f>
        <v>0</v>
      </c>
      <c r="E676" s="29">
        <f>Item_Enchant_Old!E680</f>
        <v>0</v>
      </c>
      <c r="F676" s="29">
        <f>Item_Enchant_Old!F680</f>
        <v>0</v>
      </c>
      <c r="G676" s="29">
        <f>Item_Enchant_Old!G680</f>
        <v>2</v>
      </c>
      <c r="H676" s="29" t="str">
        <f>Item_Enchant_Old!H680</f>
        <v>@</v>
      </c>
      <c r="I676" s="29">
        <f>Item_Enchant_Old!I680</f>
        <v>1</v>
      </c>
      <c r="J676" s="29" t="str">
        <f>Item_Enchant_Old!J680</f>
        <v>절대값/상대값(%) 가능</v>
      </c>
      <c r="K676" s="29">
        <f>Item_Enchant_Old!K680</f>
        <v>13</v>
      </c>
      <c r="L676" s="29">
        <f>Item_Enchant_Old!L680</f>
        <v>0</v>
      </c>
      <c r="M676" s="29">
        <f>Item_Enchant_Old!M680</f>
        <v>8</v>
      </c>
      <c r="N676" s="29">
        <f>Item_Enchant_Old!N680</f>
        <v>53</v>
      </c>
      <c r="O676" s="29">
        <f>Item_Enchant_Old!O680</f>
        <v>1</v>
      </c>
      <c r="P676" s="29">
        <f>Item_Enchant_Old!P680</f>
        <v>1</v>
      </c>
      <c r="Q676" s="29">
        <f>Item_Enchant_Old!Q680</f>
        <v>1</v>
      </c>
      <c r="R676" s="29">
        <f>Item_Enchant_Old!R680</f>
        <v>1</v>
      </c>
    </row>
    <row r="677" spans="1:18" s="29" customFormat="1" hidden="1">
      <c r="A677" s="29">
        <f>Item_Enchant_Old!A681</f>
        <v>676</v>
      </c>
      <c r="B677" s="29" t="str">
        <f>Item_Enchant_Old!B681</f>
        <v>ACTIVE_CON_UP</v>
      </c>
      <c r="C677" s="29">
        <f>Item_Enchant_Old!C681</f>
        <v>611</v>
      </c>
      <c r="D677" s="29">
        <f>Item_Enchant_Old!D681</f>
        <v>0</v>
      </c>
      <c r="E677" s="29">
        <f>Item_Enchant_Old!E681</f>
        <v>0</v>
      </c>
      <c r="F677" s="29">
        <f>Item_Enchant_Old!F681</f>
        <v>0</v>
      </c>
      <c r="G677" s="29">
        <f>Item_Enchant_Old!G681</f>
        <v>3</v>
      </c>
      <c r="H677" s="29" t="str">
        <f>Item_Enchant_Old!H681</f>
        <v>@</v>
      </c>
      <c r="I677" s="29">
        <f>Item_Enchant_Old!I681</f>
        <v>1</v>
      </c>
      <c r="J677" s="29" t="str">
        <f>Item_Enchant_Old!J681</f>
        <v>절대값/상대값(%) 가능</v>
      </c>
      <c r="K677" s="29">
        <f>Item_Enchant_Old!K681</f>
        <v>13</v>
      </c>
      <c r="L677" s="29">
        <f>Item_Enchant_Old!L681</f>
        <v>0</v>
      </c>
      <c r="M677" s="29">
        <f>Item_Enchant_Old!M681</f>
        <v>8</v>
      </c>
      <c r="N677" s="29">
        <f>Item_Enchant_Old!N681</f>
        <v>48</v>
      </c>
      <c r="O677" s="29">
        <f>Item_Enchant_Old!O681</f>
        <v>1</v>
      </c>
      <c r="P677" s="29">
        <f>Item_Enchant_Old!P681</f>
        <v>1</v>
      </c>
      <c r="Q677" s="29">
        <f>Item_Enchant_Old!Q681</f>
        <v>1</v>
      </c>
      <c r="R677" s="29">
        <f>Item_Enchant_Old!R681</f>
        <v>1</v>
      </c>
    </row>
    <row r="678" spans="1:18" s="29" customFormat="1" hidden="1">
      <c r="A678" s="29">
        <f>Item_Enchant_Old!A682</f>
        <v>677</v>
      </c>
      <c r="B678" s="29" t="str">
        <f>Item_Enchant_Old!B682</f>
        <v>ACTIVE_BLOCK_RATE_UP</v>
      </c>
      <c r="C678" s="29">
        <f>Item_Enchant_Old!C682</f>
        <v>620</v>
      </c>
      <c r="D678" s="29">
        <f>Item_Enchant_Old!D682</f>
        <v>0</v>
      </c>
      <c r="E678" s="29">
        <f>Item_Enchant_Old!E682</f>
        <v>0</v>
      </c>
      <c r="F678" s="29">
        <f>Item_Enchant_Old!F682</f>
        <v>0</v>
      </c>
      <c r="G678" s="29">
        <f>Item_Enchant_Old!G682</f>
        <v>1</v>
      </c>
      <c r="H678" s="29" t="str">
        <f>Item_Enchant_Old!H682</f>
        <v>@</v>
      </c>
      <c r="I678" s="29">
        <f>Item_Enchant_Old!I682</f>
        <v>1</v>
      </c>
      <c r="J678" s="29" t="str">
        <f>Item_Enchant_Old!J682</f>
        <v>절대값/상대값(%) 가능</v>
      </c>
      <c r="K678" s="29">
        <f>Item_Enchant_Old!K682</f>
        <v>13</v>
      </c>
      <c r="L678" s="29">
        <f>Item_Enchant_Old!L682</f>
        <v>0</v>
      </c>
      <c r="M678" s="29">
        <f>Item_Enchant_Old!M682</f>
        <v>8</v>
      </c>
      <c r="N678" s="29">
        <f>Item_Enchant_Old!N682</f>
        <v>352</v>
      </c>
      <c r="O678" s="29">
        <f>Item_Enchant_Old!O682</f>
        <v>1</v>
      </c>
      <c r="P678" s="29">
        <f>Item_Enchant_Old!P682</f>
        <v>1</v>
      </c>
      <c r="Q678" s="29">
        <f>Item_Enchant_Old!Q682</f>
        <v>1</v>
      </c>
      <c r="R678" s="29">
        <f>Item_Enchant_Old!R682</f>
        <v>1</v>
      </c>
    </row>
    <row r="679" spans="1:18" s="29" customFormat="1" hidden="1">
      <c r="A679" s="29">
        <f>Item_Enchant_Old!A683</f>
        <v>678</v>
      </c>
      <c r="B679" s="29" t="str">
        <f>Item_Enchant_Old!B683</f>
        <v>ACTIVE_ENG_UP</v>
      </c>
      <c r="C679" s="29">
        <f>Item_Enchant_Old!C683</f>
        <v>615</v>
      </c>
      <c r="D679" s="29">
        <f>Item_Enchant_Old!D683</f>
        <v>0</v>
      </c>
      <c r="E679" s="29">
        <f>Item_Enchant_Old!E683</f>
        <v>0</v>
      </c>
      <c r="F679" s="29">
        <f>Item_Enchant_Old!F683</f>
        <v>0</v>
      </c>
      <c r="G679" s="29">
        <f>Item_Enchant_Old!G683</f>
        <v>2</v>
      </c>
      <c r="H679" s="29" t="str">
        <f>Item_Enchant_Old!H683</f>
        <v>@</v>
      </c>
      <c r="I679" s="29">
        <f>Item_Enchant_Old!I683</f>
        <v>1</v>
      </c>
      <c r="J679" s="29" t="str">
        <f>Item_Enchant_Old!J683</f>
        <v>절대값/상대값(%) 가능</v>
      </c>
      <c r="K679" s="29">
        <f>Item_Enchant_Old!K683</f>
        <v>13</v>
      </c>
      <c r="L679" s="29">
        <f>Item_Enchant_Old!L683</f>
        <v>0</v>
      </c>
      <c r="M679" s="29">
        <f>Item_Enchant_Old!M683</f>
        <v>8</v>
      </c>
      <c r="N679" s="29">
        <f>Item_Enchant_Old!N683</f>
        <v>62</v>
      </c>
      <c r="O679" s="29">
        <f>Item_Enchant_Old!O683</f>
        <v>1</v>
      </c>
      <c r="P679" s="29">
        <f>Item_Enchant_Old!P683</f>
        <v>1</v>
      </c>
      <c r="Q679" s="29">
        <f>Item_Enchant_Old!Q683</f>
        <v>1</v>
      </c>
      <c r="R679" s="29">
        <f>Item_Enchant_Old!R683</f>
        <v>1</v>
      </c>
    </row>
    <row r="680" spans="1:18" s="29" customFormat="1" hidden="1">
      <c r="A680" s="29">
        <f>Item_Enchant_Old!A684</f>
        <v>679</v>
      </c>
      <c r="B680" s="29" t="str">
        <f>Item_Enchant_Old!B684</f>
        <v>ACTIVE_PHYSICAL_CRITICAL</v>
      </c>
      <c r="C680" s="29">
        <f>Item_Enchant_Old!C684</f>
        <v>632</v>
      </c>
      <c r="D680" s="29">
        <f>Item_Enchant_Old!D684</f>
        <v>0</v>
      </c>
      <c r="E680" s="29">
        <f>Item_Enchant_Old!E684</f>
        <v>0</v>
      </c>
      <c r="F680" s="29">
        <f>Item_Enchant_Old!F684</f>
        <v>0</v>
      </c>
      <c r="G680" s="29">
        <f>Item_Enchant_Old!G684</f>
        <v>5</v>
      </c>
      <c r="H680" s="29" t="str">
        <f>Item_Enchant_Old!H684</f>
        <v>@</v>
      </c>
      <c r="I680" s="29">
        <f>Item_Enchant_Old!I684</f>
        <v>1</v>
      </c>
      <c r="J680" s="29" t="str">
        <f>Item_Enchant_Old!J684</f>
        <v>절대값/상대값(%) 가능</v>
      </c>
      <c r="K680" s="29">
        <f>Item_Enchant_Old!K684</f>
        <v>13</v>
      </c>
      <c r="L680" s="29">
        <f>Item_Enchant_Old!L684</f>
        <v>0</v>
      </c>
      <c r="M680" s="29">
        <f>Item_Enchant_Old!M684</f>
        <v>9</v>
      </c>
      <c r="N680" s="29">
        <f>Item_Enchant_Old!N684</f>
        <v>21</v>
      </c>
      <c r="O680" s="29">
        <f>Item_Enchant_Old!O684</f>
        <v>1</v>
      </c>
      <c r="P680" s="29">
        <f>Item_Enchant_Old!P684</f>
        <v>1</v>
      </c>
      <c r="Q680" s="29">
        <f>Item_Enchant_Old!Q684</f>
        <v>1</v>
      </c>
      <c r="R680" s="29">
        <f>Item_Enchant_Old!R684</f>
        <v>1</v>
      </c>
    </row>
    <row r="681" spans="1:18" s="29" customFormat="1" hidden="1">
      <c r="A681" s="29">
        <f>Item_Enchant_Old!A685</f>
        <v>680</v>
      </c>
      <c r="B681" s="29" t="str">
        <f>Item_Enchant_Old!B685</f>
        <v>ACTIVE_ENERGY_CRITICAL</v>
      </c>
      <c r="C681" s="29">
        <f>Item_Enchant_Old!C685</f>
        <v>633</v>
      </c>
      <c r="D681" s="29">
        <f>Item_Enchant_Old!D685</f>
        <v>0</v>
      </c>
      <c r="E681" s="29">
        <f>Item_Enchant_Old!E685</f>
        <v>0</v>
      </c>
      <c r="F681" s="29">
        <f>Item_Enchant_Old!F685</f>
        <v>0</v>
      </c>
      <c r="G681" s="29">
        <f>Item_Enchant_Old!G685</f>
        <v>5</v>
      </c>
      <c r="H681" s="29" t="str">
        <f>Item_Enchant_Old!H685</f>
        <v>@</v>
      </c>
      <c r="I681" s="29">
        <f>Item_Enchant_Old!I685</f>
        <v>1</v>
      </c>
      <c r="J681" s="29" t="str">
        <f>Item_Enchant_Old!J685</f>
        <v>절대값/상대값(%) 가능</v>
      </c>
      <c r="K681" s="29">
        <f>Item_Enchant_Old!K685</f>
        <v>13</v>
      </c>
      <c r="L681" s="29">
        <f>Item_Enchant_Old!L685</f>
        <v>0</v>
      </c>
      <c r="M681" s="29">
        <f>Item_Enchant_Old!M685</f>
        <v>9</v>
      </c>
      <c r="N681" s="29">
        <f>Item_Enchant_Old!N685</f>
        <v>24</v>
      </c>
      <c r="O681" s="29">
        <f>Item_Enchant_Old!O685</f>
        <v>1</v>
      </c>
      <c r="P681" s="29">
        <f>Item_Enchant_Old!P685</f>
        <v>1</v>
      </c>
      <c r="Q681" s="29">
        <f>Item_Enchant_Old!Q685</f>
        <v>1</v>
      </c>
      <c r="R681" s="29">
        <f>Item_Enchant_Old!R685</f>
        <v>1</v>
      </c>
    </row>
    <row r="682" spans="1:18" s="29" customFormat="1" hidden="1">
      <c r="A682" s="29">
        <f>Item_Enchant_Old!A686</f>
        <v>681</v>
      </c>
      <c r="B682" s="29" t="str">
        <f>Item_Enchant_Old!B686</f>
        <v>ACTIVE_DEX_UP</v>
      </c>
      <c r="C682" s="29">
        <f>Item_Enchant_Old!C686</f>
        <v>613</v>
      </c>
      <c r="D682" s="29">
        <f>Item_Enchant_Old!D686</f>
        <v>0</v>
      </c>
      <c r="E682" s="29">
        <f>Item_Enchant_Old!E686</f>
        <v>0</v>
      </c>
      <c r="F682" s="29">
        <f>Item_Enchant_Old!F686</f>
        <v>0</v>
      </c>
      <c r="G682" s="29">
        <f>Item_Enchant_Old!G686</f>
        <v>3</v>
      </c>
      <c r="H682" s="29" t="str">
        <f>Item_Enchant_Old!H686</f>
        <v>@</v>
      </c>
      <c r="I682" s="29">
        <f>Item_Enchant_Old!I686</f>
        <v>1</v>
      </c>
      <c r="J682" s="29" t="str">
        <f>Item_Enchant_Old!J686</f>
        <v>절대값/상대값(%) 가능</v>
      </c>
      <c r="K682" s="29">
        <f>Item_Enchant_Old!K686</f>
        <v>13</v>
      </c>
      <c r="L682" s="29">
        <f>Item_Enchant_Old!L686</f>
        <v>0</v>
      </c>
      <c r="M682" s="29">
        <f>Item_Enchant_Old!M686</f>
        <v>9</v>
      </c>
      <c r="N682" s="29">
        <f>Item_Enchant_Old!N686</f>
        <v>44</v>
      </c>
      <c r="O682" s="29">
        <f>Item_Enchant_Old!O686</f>
        <v>1</v>
      </c>
      <c r="P682" s="29">
        <f>Item_Enchant_Old!P686</f>
        <v>1</v>
      </c>
      <c r="Q682" s="29">
        <f>Item_Enchant_Old!Q686</f>
        <v>1</v>
      </c>
      <c r="R682" s="29">
        <f>Item_Enchant_Old!R686</f>
        <v>1</v>
      </c>
    </row>
    <row r="683" spans="1:18" s="29" customFormat="1" hidden="1">
      <c r="A683" s="29">
        <f>Item_Enchant_Old!A687</f>
        <v>682</v>
      </c>
      <c r="B683" s="29" t="str">
        <f>Item_Enchant_Old!B687</f>
        <v>ACTIVE_FOC_UP</v>
      </c>
      <c r="C683" s="29">
        <f>Item_Enchant_Old!C687</f>
        <v>612</v>
      </c>
      <c r="D683" s="29">
        <f>Item_Enchant_Old!D687</f>
        <v>0</v>
      </c>
      <c r="E683" s="29">
        <f>Item_Enchant_Old!E687</f>
        <v>0</v>
      </c>
      <c r="F683" s="29">
        <f>Item_Enchant_Old!F687</f>
        <v>0</v>
      </c>
      <c r="G683" s="29">
        <f>Item_Enchant_Old!G687</f>
        <v>2</v>
      </c>
      <c r="H683" s="29" t="str">
        <f>Item_Enchant_Old!H687</f>
        <v>@</v>
      </c>
      <c r="I683" s="29">
        <f>Item_Enchant_Old!I687</f>
        <v>1</v>
      </c>
      <c r="J683" s="29" t="str">
        <f>Item_Enchant_Old!J687</f>
        <v>절대값/상대값(%) 가능</v>
      </c>
      <c r="K683" s="29">
        <f>Item_Enchant_Old!K687</f>
        <v>13</v>
      </c>
      <c r="L683" s="29">
        <f>Item_Enchant_Old!L687</f>
        <v>0</v>
      </c>
      <c r="M683" s="29">
        <f>Item_Enchant_Old!M687</f>
        <v>9</v>
      </c>
      <c r="N683" s="29">
        <f>Item_Enchant_Old!N687</f>
        <v>53</v>
      </c>
      <c r="O683" s="29">
        <f>Item_Enchant_Old!O687</f>
        <v>1</v>
      </c>
      <c r="P683" s="29">
        <f>Item_Enchant_Old!P687</f>
        <v>1</v>
      </c>
      <c r="Q683" s="29">
        <f>Item_Enchant_Old!Q687</f>
        <v>1</v>
      </c>
      <c r="R683" s="29">
        <f>Item_Enchant_Old!R687</f>
        <v>1</v>
      </c>
    </row>
    <row r="684" spans="1:18" s="29" customFormat="1" hidden="1">
      <c r="A684" s="29">
        <f>Item_Enchant_Old!A688</f>
        <v>683</v>
      </c>
      <c r="B684" s="29" t="str">
        <f>Item_Enchant_Old!B688</f>
        <v>ACTIVE_PHYSICAL_CRITICAL_DAMAGE_UP</v>
      </c>
      <c r="C684" s="29">
        <f>Item_Enchant_Old!C688</f>
        <v>658</v>
      </c>
      <c r="D684" s="29">
        <f>Item_Enchant_Old!D688</f>
        <v>0</v>
      </c>
      <c r="E684" s="29">
        <f>Item_Enchant_Old!E688</f>
        <v>0</v>
      </c>
      <c r="F684" s="29">
        <f>Item_Enchant_Old!F688</f>
        <v>0</v>
      </c>
      <c r="G684" s="29">
        <f>Item_Enchant_Old!G688</f>
        <v>4</v>
      </c>
      <c r="H684" s="29" t="str">
        <f>Item_Enchant_Old!H688</f>
        <v>@</v>
      </c>
      <c r="I684" s="29">
        <f>Item_Enchant_Old!I688</f>
        <v>1</v>
      </c>
      <c r="J684" s="29" t="str">
        <f>Item_Enchant_Old!J688</f>
        <v>절대값만 가능</v>
      </c>
      <c r="K684" s="29">
        <f>Item_Enchant_Old!K688</f>
        <v>13</v>
      </c>
      <c r="L684" s="29">
        <f>Item_Enchant_Old!L688</f>
        <v>0</v>
      </c>
      <c r="M684" s="29">
        <f>Item_Enchant_Old!M688</f>
        <v>10</v>
      </c>
      <c r="N684" s="29">
        <f>Item_Enchant_Old!N688</f>
        <v>28</v>
      </c>
      <c r="O684" s="29">
        <f>Item_Enchant_Old!O688</f>
        <v>1</v>
      </c>
      <c r="P684" s="29">
        <f>Item_Enchant_Old!P688</f>
        <v>1</v>
      </c>
      <c r="Q684" s="29">
        <f>Item_Enchant_Old!Q688</f>
        <v>1</v>
      </c>
      <c r="R684" s="29">
        <f>Item_Enchant_Old!R688</f>
        <v>1</v>
      </c>
    </row>
    <row r="685" spans="1:18" s="29" customFormat="1" hidden="1">
      <c r="A685" s="29">
        <f>Item_Enchant_Old!A689</f>
        <v>684</v>
      </c>
      <c r="B685" s="29" t="str">
        <f>Item_Enchant_Old!B689</f>
        <v>ACTIVE_ENERGY_CRITICAL_DAMAGE_UP</v>
      </c>
      <c r="C685" s="29">
        <f>Item_Enchant_Old!C689</f>
        <v>659</v>
      </c>
      <c r="D685" s="29">
        <f>Item_Enchant_Old!D689</f>
        <v>0</v>
      </c>
      <c r="E685" s="29">
        <f>Item_Enchant_Old!E689</f>
        <v>0</v>
      </c>
      <c r="F685" s="29">
        <f>Item_Enchant_Old!F689</f>
        <v>0</v>
      </c>
      <c r="G685" s="29">
        <f>Item_Enchant_Old!G689</f>
        <v>4</v>
      </c>
      <c r="H685" s="29" t="str">
        <f>Item_Enchant_Old!H689</f>
        <v>@</v>
      </c>
      <c r="I685" s="29">
        <f>Item_Enchant_Old!I689</f>
        <v>1</v>
      </c>
      <c r="J685" s="29" t="str">
        <f>Item_Enchant_Old!J689</f>
        <v>절대값만 가능</v>
      </c>
      <c r="K685" s="29">
        <f>Item_Enchant_Old!K689</f>
        <v>13</v>
      </c>
      <c r="L685" s="29">
        <f>Item_Enchant_Old!L689</f>
        <v>0</v>
      </c>
      <c r="M685" s="29">
        <f>Item_Enchant_Old!M689</f>
        <v>10</v>
      </c>
      <c r="N685" s="29">
        <f>Item_Enchant_Old!N689</f>
        <v>32</v>
      </c>
      <c r="O685" s="29">
        <f>Item_Enchant_Old!O689</f>
        <v>1</v>
      </c>
      <c r="P685" s="29">
        <f>Item_Enchant_Old!P689</f>
        <v>1</v>
      </c>
      <c r="Q685" s="29">
        <f>Item_Enchant_Old!Q689</f>
        <v>1</v>
      </c>
      <c r="R685" s="29">
        <f>Item_Enchant_Old!R689</f>
        <v>1</v>
      </c>
    </row>
    <row r="686" spans="1:18" s="29" customFormat="1" hidden="1">
      <c r="A686" s="29">
        <f>Item_Enchant_Old!A690</f>
        <v>685</v>
      </c>
      <c r="B686" s="29" t="str">
        <f>Item_Enchant_Old!B690</f>
        <v>ACTIVE_DEX_UP</v>
      </c>
      <c r="C686" s="29">
        <f>Item_Enchant_Old!C690</f>
        <v>613</v>
      </c>
      <c r="D686" s="29">
        <f>Item_Enchant_Old!D690</f>
        <v>0</v>
      </c>
      <c r="E686" s="29">
        <f>Item_Enchant_Old!E690</f>
        <v>0</v>
      </c>
      <c r="F686" s="29">
        <f>Item_Enchant_Old!F690</f>
        <v>0</v>
      </c>
      <c r="G686" s="29">
        <f>Item_Enchant_Old!G690</f>
        <v>3</v>
      </c>
      <c r="H686" s="29" t="str">
        <f>Item_Enchant_Old!H690</f>
        <v>@</v>
      </c>
      <c r="I686" s="29">
        <f>Item_Enchant_Old!I690</f>
        <v>1</v>
      </c>
      <c r="J686" s="29" t="str">
        <f>Item_Enchant_Old!J690</f>
        <v>절대값/상대값(%) 가능</v>
      </c>
      <c r="K686" s="29">
        <f>Item_Enchant_Old!K690</f>
        <v>13</v>
      </c>
      <c r="L686" s="29">
        <f>Item_Enchant_Old!L690</f>
        <v>0</v>
      </c>
      <c r="M686" s="29">
        <f>Item_Enchant_Old!M690</f>
        <v>10</v>
      </c>
      <c r="N686" s="29">
        <f>Item_Enchant_Old!N690</f>
        <v>44</v>
      </c>
      <c r="O686" s="29">
        <f>Item_Enchant_Old!O690</f>
        <v>1</v>
      </c>
      <c r="P686" s="29">
        <f>Item_Enchant_Old!P690</f>
        <v>1</v>
      </c>
      <c r="Q686" s="29">
        <f>Item_Enchant_Old!Q690</f>
        <v>1</v>
      </c>
      <c r="R686" s="29">
        <f>Item_Enchant_Old!R690</f>
        <v>1</v>
      </c>
    </row>
    <row r="687" spans="1:18" s="29" customFormat="1" hidden="1">
      <c r="A687" s="29">
        <f>Item_Enchant_Old!A691</f>
        <v>686</v>
      </c>
      <c r="B687" s="29" t="str">
        <f>Item_Enchant_Old!B691</f>
        <v>ACTIVE_ATTACK_SPEED_UP</v>
      </c>
      <c r="C687" s="29">
        <f>Item_Enchant_Old!C691</f>
        <v>617</v>
      </c>
      <c r="D687" s="29">
        <f>Item_Enchant_Old!D691</f>
        <v>1</v>
      </c>
      <c r="E687" s="29">
        <f>Item_Enchant_Old!E691</f>
        <v>0</v>
      </c>
      <c r="F687" s="29">
        <f>Item_Enchant_Old!F691</f>
        <v>0</v>
      </c>
      <c r="G687" s="29">
        <f>Item_Enchant_Old!G691</f>
        <v>10</v>
      </c>
      <c r="H687" s="29" t="str">
        <f>Item_Enchant_Old!H691</f>
        <v>@</v>
      </c>
      <c r="I687" s="29">
        <f>Item_Enchant_Old!I691</f>
        <v>1</v>
      </c>
      <c r="J687" s="29" t="str">
        <f>Item_Enchant_Old!J691</f>
        <v>절대값/상대값(%) 가능</v>
      </c>
      <c r="K687" s="29">
        <f>Item_Enchant_Old!K691</f>
        <v>13</v>
      </c>
      <c r="L687" s="29">
        <f>Item_Enchant_Old!L691</f>
        <v>0</v>
      </c>
      <c r="M687" s="29">
        <f>Item_Enchant_Old!M691</f>
        <v>10</v>
      </c>
      <c r="N687" s="29">
        <f>Item_Enchant_Old!N691</f>
        <v>10</v>
      </c>
      <c r="O687" s="29">
        <f>Item_Enchant_Old!O691</f>
        <v>1</v>
      </c>
      <c r="P687" s="29">
        <f>Item_Enchant_Old!P691</f>
        <v>1</v>
      </c>
      <c r="Q687" s="29">
        <f>Item_Enchant_Old!Q691</f>
        <v>1</v>
      </c>
      <c r="R687" s="29">
        <f>Item_Enchant_Old!R691</f>
        <v>1</v>
      </c>
    </row>
    <row r="688" spans="1:18" s="29" customFormat="1" hidden="1">
      <c r="A688" s="29">
        <f>Item_Enchant_Old!A692</f>
        <v>687</v>
      </c>
      <c r="B688" s="29" t="str">
        <f>Item_Enchant_Old!B692</f>
        <v>ACTIVE_STR_UP</v>
      </c>
      <c r="C688" s="29">
        <f>Item_Enchant_Old!C692</f>
        <v>610</v>
      </c>
      <c r="D688" s="29">
        <f>Item_Enchant_Old!D692</f>
        <v>0</v>
      </c>
      <c r="E688" s="29">
        <f>Item_Enchant_Old!E692</f>
        <v>0</v>
      </c>
      <c r="F688" s="29">
        <f>Item_Enchant_Old!F692</f>
        <v>0</v>
      </c>
      <c r="G688" s="29">
        <f>Item_Enchant_Old!G692</f>
        <v>2</v>
      </c>
      <c r="H688" s="29" t="str">
        <f>Item_Enchant_Old!H692</f>
        <v>@</v>
      </c>
      <c r="I688" s="29">
        <f>Item_Enchant_Old!I692</f>
        <v>1</v>
      </c>
      <c r="J688" s="29" t="str">
        <f>Item_Enchant_Old!J692</f>
        <v>절대값/상대값(%) 가능</v>
      </c>
      <c r="K688" s="29">
        <f>Item_Enchant_Old!K692</f>
        <v>13</v>
      </c>
      <c r="L688" s="29">
        <f>Item_Enchant_Old!L692</f>
        <v>0</v>
      </c>
      <c r="M688" s="29">
        <f>Item_Enchant_Old!M692</f>
        <v>11</v>
      </c>
      <c r="N688" s="29">
        <f>Item_Enchant_Old!N692</f>
        <v>57</v>
      </c>
      <c r="O688" s="29">
        <f>Item_Enchant_Old!O692</f>
        <v>1</v>
      </c>
      <c r="P688" s="29">
        <f>Item_Enchant_Old!P692</f>
        <v>1</v>
      </c>
      <c r="Q688" s="29">
        <f>Item_Enchant_Old!Q692</f>
        <v>1</v>
      </c>
      <c r="R688" s="29">
        <f>Item_Enchant_Old!R692</f>
        <v>1</v>
      </c>
    </row>
    <row r="689" spans="1:18" s="29" customFormat="1" hidden="1">
      <c r="A689" s="29">
        <f>Item_Enchant_Old!A693</f>
        <v>688</v>
      </c>
      <c r="B689" s="29" t="str">
        <f>Item_Enchant_Old!B693</f>
        <v>ACTIVE_CON_UP</v>
      </c>
      <c r="C689" s="29">
        <f>Item_Enchant_Old!C693</f>
        <v>611</v>
      </c>
      <c r="D689" s="29">
        <f>Item_Enchant_Old!D693</f>
        <v>0</v>
      </c>
      <c r="E689" s="29">
        <f>Item_Enchant_Old!E693</f>
        <v>0</v>
      </c>
      <c r="F689" s="29">
        <f>Item_Enchant_Old!F693</f>
        <v>0</v>
      </c>
      <c r="G689" s="29">
        <f>Item_Enchant_Old!G693</f>
        <v>3</v>
      </c>
      <c r="H689" s="29" t="str">
        <f>Item_Enchant_Old!H693</f>
        <v>@</v>
      </c>
      <c r="I689" s="29">
        <f>Item_Enchant_Old!I693</f>
        <v>1</v>
      </c>
      <c r="J689" s="29" t="str">
        <f>Item_Enchant_Old!J693</f>
        <v>절대값/상대값(%) 가능</v>
      </c>
      <c r="K689" s="29">
        <f>Item_Enchant_Old!K693</f>
        <v>13</v>
      </c>
      <c r="L689" s="29">
        <f>Item_Enchant_Old!L693</f>
        <v>0</v>
      </c>
      <c r="M689" s="29">
        <f>Item_Enchant_Old!M693</f>
        <v>11</v>
      </c>
      <c r="N689" s="29">
        <f>Item_Enchant_Old!N693</f>
        <v>48</v>
      </c>
      <c r="O689" s="29">
        <f>Item_Enchant_Old!O693</f>
        <v>1</v>
      </c>
      <c r="P689" s="29">
        <f>Item_Enchant_Old!P693</f>
        <v>1</v>
      </c>
      <c r="Q689" s="29">
        <f>Item_Enchant_Old!Q693</f>
        <v>1</v>
      </c>
      <c r="R689" s="29">
        <f>Item_Enchant_Old!R693</f>
        <v>1</v>
      </c>
    </row>
    <row r="690" spans="1:18" s="29" customFormat="1" hidden="1">
      <c r="A690" s="29">
        <f>Item_Enchant_Old!A694</f>
        <v>689</v>
      </c>
      <c r="B690" s="29" t="str">
        <f>Item_Enchant_Old!B694</f>
        <v>ACTIVE_FOC_UP</v>
      </c>
      <c r="C690" s="29">
        <f>Item_Enchant_Old!C694</f>
        <v>612</v>
      </c>
      <c r="D690" s="29">
        <f>Item_Enchant_Old!D694</f>
        <v>0</v>
      </c>
      <c r="E690" s="29">
        <f>Item_Enchant_Old!E694</f>
        <v>0</v>
      </c>
      <c r="F690" s="29">
        <f>Item_Enchant_Old!F694</f>
        <v>0</v>
      </c>
      <c r="G690" s="29">
        <f>Item_Enchant_Old!G694</f>
        <v>2</v>
      </c>
      <c r="H690" s="29" t="str">
        <f>Item_Enchant_Old!H694</f>
        <v>@</v>
      </c>
      <c r="I690" s="29">
        <f>Item_Enchant_Old!I694</f>
        <v>1</v>
      </c>
      <c r="J690" s="29" t="str">
        <f>Item_Enchant_Old!J694</f>
        <v>절대값/상대값(%) 가능</v>
      </c>
      <c r="K690" s="29">
        <f>Item_Enchant_Old!K694</f>
        <v>13</v>
      </c>
      <c r="L690" s="29">
        <f>Item_Enchant_Old!L694</f>
        <v>0</v>
      </c>
      <c r="M690" s="29">
        <f>Item_Enchant_Old!M694</f>
        <v>11</v>
      </c>
      <c r="N690" s="29">
        <f>Item_Enchant_Old!N694</f>
        <v>53</v>
      </c>
      <c r="O690" s="29">
        <f>Item_Enchant_Old!O694</f>
        <v>1</v>
      </c>
      <c r="P690" s="29">
        <f>Item_Enchant_Old!P694</f>
        <v>1</v>
      </c>
      <c r="Q690" s="29">
        <f>Item_Enchant_Old!Q694</f>
        <v>1</v>
      </c>
      <c r="R690" s="29">
        <f>Item_Enchant_Old!R694</f>
        <v>1</v>
      </c>
    </row>
    <row r="691" spans="1:18" s="29" customFormat="1" hidden="1">
      <c r="A691" s="29">
        <f>Item_Enchant_Old!A695</f>
        <v>690</v>
      </c>
      <c r="B691" s="29" t="str">
        <f>Item_Enchant_Old!B695</f>
        <v>ACTIVE_DEX_UP</v>
      </c>
      <c r="C691" s="29">
        <f>Item_Enchant_Old!C695</f>
        <v>613</v>
      </c>
      <c r="D691" s="29">
        <f>Item_Enchant_Old!D695</f>
        <v>0</v>
      </c>
      <c r="E691" s="29">
        <f>Item_Enchant_Old!E695</f>
        <v>0</v>
      </c>
      <c r="F691" s="29">
        <f>Item_Enchant_Old!F695</f>
        <v>0</v>
      </c>
      <c r="G691" s="29">
        <f>Item_Enchant_Old!G695</f>
        <v>3</v>
      </c>
      <c r="H691" s="29" t="str">
        <f>Item_Enchant_Old!H695</f>
        <v>@</v>
      </c>
      <c r="I691" s="29">
        <f>Item_Enchant_Old!I695</f>
        <v>1</v>
      </c>
      <c r="J691" s="29" t="str">
        <f>Item_Enchant_Old!J695</f>
        <v>절대값/상대값(%) 가능</v>
      </c>
      <c r="K691" s="29">
        <f>Item_Enchant_Old!K695</f>
        <v>13</v>
      </c>
      <c r="L691" s="29">
        <f>Item_Enchant_Old!L695</f>
        <v>0</v>
      </c>
      <c r="M691" s="29">
        <f>Item_Enchant_Old!M695</f>
        <v>11</v>
      </c>
      <c r="N691" s="29">
        <f>Item_Enchant_Old!N695</f>
        <v>44</v>
      </c>
      <c r="O691" s="29">
        <f>Item_Enchant_Old!O695</f>
        <v>1</v>
      </c>
      <c r="P691" s="29">
        <f>Item_Enchant_Old!P695</f>
        <v>1</v>
      </c>
      <c r="Q691" s="29">
        <f>Item_Enchant_Old!Q695</f>
        <v>1</v>
      </c>
      <c r="R691" s="29">
        <f>Item_Enchant_Old!R695</f>
        <v>1</v>
      </c>
    </row>
    <row r="692" spans="1:18" s="29" customFormat="1" hidden="1">
      <c r="A692" s="29">
        <f>Item_Enchant_Old!A696</f>
        <v>691</v>
      </c>
      <c r="B692" s="29" t="str">
        <f>Item_Enchant_Old!B696</f>
        <v>ACTIVE_SOL_UP</v>
      </c>
      <c r="C692" s="29">
        <f>Item_Enchant_Old!C696</f>
        <v>614</v>
      </c>
      <c r="D692" s="29">
        <f>Item_Enchant_Old!D696</f>
        <v>0</v>
      </c>
      <c r="E692" s="29">
        <f>Item_Enchant_Old!E696</f>
        <v>0</v>
      </c>
      <c r="F692" s="29">
        <f>Item_Enchant_Old!F696</f>
        <v>0</v>
      </c>
      <c r="G692" s="29">
        <f>Item_Enchant_Old!G696</f>
        <v>2</v>
      </c>
      <c r="H692" s="29" t="str">
        <f>Item_Enchant_Old!H696</f>
        <v>@</v>
      </c>
      <c r="I692" s="29">
        <f>Item_Enchant_Old!I696</f>
        <v>1</v>
      </c>
      <c r="J692" s="29" t="str">
        <f>Item_Enchant_Old!J696</f>
        <v>절대값/상대값(%) 가능</v>
      </c>
      <c r="K692" s="29">
        <f>Item_Enchant_Old!K696</f>
        <v>13</v>
      </c>
      <c r="L692" s="29">
        <f>Item_Enchant_Old!L696</f>
        <v>0</v>
      </c>
      <c r="M692" s="29">
        <f>Item_Enchant_Old!M696</f>
        <v>11</v>
      </c>
      <c r="N692" s="29">
        <f>Item_Enchant_Old!N696</f>
        <v>53</v>
      </c>
      <c r="O692" s="29">
        <f>Item_Enchant_Old!O696</f>
        <v>1</v>
      </c>
      <c r="P692" s="29">
        <f>Item_Enchant_Old!P696</f>
        <v>1</v>
      </c>
      <c r="Q692" s="29">
        <f>Item_Enchant_Old!Q696</f>
        <v>1</v>
      </c>
      <c r="R692" s="29">
        <f>Item_Enchant_Old!R696</f>
        <v>1</v>
      </c>
    </row>
    <row r="693" spans="1:18" s="29" customFormat="1" hidden="1">
      <c r="A693" s="29">
        <f>Item_Enchant_Old!A697</f>
        <v>692</v>
      </c>
      <c r="B693" s="29" t="str">
        <f>Item_Enchant_Old!B697</f>
        <v>ACTIVE_ENG_UP</v>
      </c>
      <c r="C693" s="29">
        <f>Item_Enchant_Old!C697</f>
        <v>615</v>
      </c>
      <c r="D693" s="29">
        <f>Item_Enchant_Old!D697</f>
        <v>0</v>
      </c>
      <c r="E693" s="29">
        <f>Item_Enchant_Old!E697</f>
        <v>0</v>
      </c>
      <c r="F693" s="29">
        <f>Item_Enchant_Old!F697</f>
        <v>0</v>
      </c>
      <c r="G693" s="29">
        <f>Item_Enchant_Old!G697</f>
        <v>2</v>
      </c>
      <c r="H693" s="29" t="str">
        <f>Item_Enchant_Old!H697</f>
        <v>@</v>
      </c>
      <c r="I693" s="29">
        <f>Item_Enchant_Old!I697</f>
        <v>1</v>
      </c>
      <c r="J693" s="29" t="str">
        <f>Item_Enchant_Old!J697</f>
        <v>절대값/상대값(%) 가능</v>
      </c>
      <c r="K693" s="29">
        <f>Item_Enchant_Old!K697</f>
        <v>13</v>
      </c>
      <c r="L693" s="29">
        <f>Item_Enchant_Old!L697</f>
        <v>0</v>
      </c>
      <c r="M693" s="29">
        <f>Item_Enchant_Old!M697</f>
        <v>11</v>
      </c>
      <c r="N693" s="29">
        <f>Item_Enchant_Old!N697</f>
        <v>62</v>
      </c>
      <c r="O693" s="29">
        <f>Item_Enchant_Old!O697</f>
        <v>1</v>
      </c>
      <c r="P693" s="29">
        <f>Item_Enchant_Old!P697</f>
        <v>1</v>
      </c>
      <c r="Q693" s="29">
        <f>Item_Enchant_Old!Q697</f>
        <v>1</v>
      </c>
      <c r="R693" s="29">
        <f>Item_Enchant_Old!R697</f>
        <v>1</v>
      </c>
    </row>
    <row r="694" spans="1:18" s="29" customFormat="1" hidden="1">
      <c r="A694" s="29">
        <f>Item_Enchant_Old!A698</f>
        <v>693</v>
      </c>
      <c r="B694" s="29" t="str">
        <f>Item_Enchant_Old!B698</f>
        <v>ACTIVE_PHYSICAL_DEFENCE_UP</v>
      </c>
      <c r="C694" s="29">
        <f>Item_Enchant_Old!C698</f>
        <v>608</v>
      </c>
      <c r="D694" s="29">
        <f>Item_Enchant_Old!D698</f>
        <v>0</v>
      </c>
      <c r="E694" s="29">
        <f>Item_Enchant_Old!E698</f>
        <v>0</v>
      </c>
      <c r="F694" s="29">
        <f>Item_Enchant_Old!F698</f>
        <v>0</v>
      </c>
      <c r="G694" s="29">
        <f>Item_Enchant_Old!G698</f>
        <v>1</v>
      </c>
      <c r="H694" s="29" t="str">
        <f>Item_Enchant_Old!H698</f>
        <v>@</v>
      </c>
      <c r="I694" s="29">
        <f>Item_Enchant_Old!I698</f>
        <v>1</v>
      </c>
      <c r="J694" s="29" t="str">
        <f>Item_Enchant_Old!J698</f>
        <v>절대값/상대값(%) 가능</v>
      </c>
      <c r="K694" s="29">
        <f>Item_Enchant_Old!K698</f>
        <v>13</v>
      </c>
      <c r="L694" s="29">
        <f>Item_Enchant_Old!L698</f>
        <v>0</v>
      </c>
      <c r="M694" s="29">
        <f>Item_Enchant_Old!M698</f>
        <v>12</v>
      </c>
      <c r="N694" s="29">
        <f>Item_Enchant_Old!N698</f>
        <v>1350</v>
      </c>
      <c r="O694" s="29">
        <f>Item_Enchant_Old!O698</f>
        <v>1</v>
      </c>
      <c r="P694" s="29">
        <f>Item_Enchant_Old!P698</f>
        <v>1</v>
      </c>
      <c r="Q694" s="29">
        <f>Item_Enchant_Old!Q698</f>
        <v>1</v>
      </c>
      <c r="R694" s="29">
        <f>Item_Enchant_Old!R698</f>
        <v>1</v>
      </c>
    </row>
    <row r="695" spans="1:18" s="29" customFormat="1" hidden="1">
      <c r="A695" s="29">
        <f>Item_Enchant_Old!A699</f>
        <v>694</v>
      </c>
      <c r="B695" s="29" t="str">
        <f>Item_Enchant_Old!B699</f>
        <v>ACTIVE_BLOCK_RATE_UP</v>
      </c>
      <c r="C695" s="29">
        <f>Item_Enchant_Old!C699</f>
        <v>620</v>
      </c>
      <c r="D695" s="29">
        <f>Item_Enchant_Old!D699</f>
        <v>0</v>
      </c>
      <c r="E695" s="29">
        <f>Item_Enchant_Old!E699</f>
        <v>0</v>
      </c>
      <c r="F695" s="29">
        <f>Item_Enchant_Old!F699</f>
        <v>0</v>
      </c>
      <c r="G695" s="29">
        <f>Item_Enchant_Old!G699</f>
        <v>1</v>
      </c>
      <c r="H695" s="29" t="str">
        <f>Item_Enchant_Old!H699</f>
        <v>@</v>
      </c>
      <c r="I695" s="29">
        <f>Item_Enchant_Old!I699</f>
        <v>1</v>
      </c>
      <c r="J695" s="29" t="str">
        <f>Item_Enchant_Old!J699</f>
        <v>절대값/상대값(%) 가능</v>
      </c>
      <c r="K695" s="29">
        <f>Item_Enchant_Old!K699</f>
        <v>13</v>
      </c>
      <c r="L695" s="29">
        <f>Item_Enchant_Old!L699</f>
        <v>0</v>
      </c>
      <c r="M695" s="29">
        <f>Item_Enchant_Old!M699</f>
        <v>12</v>
      </c>
      <c r="N695" s="29">
        <f>Item_Enchant_Old!N699</f>
        <v>352</v>
      </c>
      <c r="O695" s="29">
        <f>Item_Enchant_Old!O699</f>
        <v>1</v>
      </c>
      <c r="P695" s="29">
        <f>Item_Enchant_Old!P699</f>
        <v>1</v>
      </c>
      <c r="Q695" s="29">
        <f>Item_Enchant_Old!Q699</f>
        <v>1</v>
      </c>
      <c r="R695" s="29">
        <f>Item_Enchant_Old!R699</f>
        <v>1</v>
      </c>
    </row>
    <row r="696" spans="1:18" s="29" customFormat="1" hidden="1">
      <c r="A696" s="29">
        <f>Item_Enchant_Old!A700</f>
        <v>695</v>
      </c>
      <c r="B696" s="29" t="str">
        <f>Item_Enchant_Old!B700</f>
        <v>ACTIVE_CON_UP</v>
      </c>
      <c r="C696" s="29">
        <f>Item_Enchant_Old!C700</f>
        <v>611</v>
      </c>
      <c r="D696" s="29">
        <f>Item_Enchant_Old!D700</f>
        <v>0</v>
      </c>
      <c r="E696" s="29">
        <f>Item_Enchant_Old!E700</f>
        <v>0</v>
      </c>
      <c r="F696" s="29">
        <f>Item_Enchant_Old!F700</f>
        <v>0</v>
      </c>
      <c r="G696" s="29">
        <f>Item_Enchant_Old!G700</f>
        <v>3</v>
      </c>
      <c r="H696" s="29" t="str">
        <f>Item_Enchant_Old!H700</f>
        <v>@</v>
      </c>
      <c r="I696" s="29">
        <f>Item_Enchant_Old!I700</f>
        <v>1</v>
      </c>
      <c r="J696" s="29" t="str">
        <f>Item_Enchant_Old!J700</f>
        <v>절대값/상대값(%) 가능</v>
      </c>
      <c r="K696" s="29">
        <f>Item_Enchant_Old!K700</f>
        <v>13</v>
      </c>
      <c r="L696" s="29">
        <f>Item_Enchant_Old!L700</f>
        <v>0</v>
      </c>
      <c r="M696" s="29">
        <f>Item_Enchant_Old!M700</f>
        <v>12</v>
      </c>
      <c r="N696" s="29">
        <f>Item_Enchant_Old!N700</f>
        <v>48</v>
      </c>
      <c r="O696" s="29">
        <f>Item_Enchant_Old!O700</f>
        <v>1</v>
      </c>
      <c r="P696" s="29">
        <f>Item_Enchant_Old!P700</f>
        <v>1</v>
      </c>
      <c r="Q696" s="29">
        <f>Item_Enchant_Old!Q700</f>
        <v>1</v>
      </c>
      <c r="R696" s="29">
        <f>Item_Enchant_Old!R700</f>
        <v>1</v>
      </c>
    </row>
    <row r="697" spans="1:18" s="29" customFormat="1" hidden="1">
      <c r="A697" s="29">
        <f>Item_Enchant_Old!A701</f>
        <v>696</v>
      </c>
      <c r="B697" s="29" t="str">
        <f>Item_Enchant_Old!B701</f>
        <v>ACTIVE_FOC_UP</v>
      </c>
      <c r="C697" s="29">
        <f>Item_Enchant_Old!C701</f>
        <v>612</v>
      </c>
      <c r="D697" s="29">
        <f>Item_Enchant_Old!D701</f>
        <v>0</v>
      </c>
      <c r="E697" s="29">
        <f>Item_Enchant_Old!E701</f>
        <v>0</v>
      </c>
      <c r="F697" s="29">
        <f>Item_Enchant_Old!F701</f>
        <v>0</v>
      </c>
      <c r="G697" s="29">
        <f>Item_Enchant_Old!G701</f>
        <v>2</v>
      </c>
      <c r="H697" s="29" t="str">
        <f>Item_Enchant_Old!H701</f>
        <v>@</v>
      </c>
      <c r="I697" s="29">
        <f>Item_Enchant_Old!I701</f>
        <v>1</v>
      </c>
      <c r="J697" s="29" t="str">
        <f>Item_Enchant_Old!J701</f>
        <v>절대값/상대값(%) 가능</v>
      </c>
      <c r="K697" s="29">
        <f>Item_Enchant_Old!K701</f>
        <v>13</v>
      </c>
      <c r="L697" s="29">
        <f>Item_Enchant_Old!L701</f>
        <v>0</v>
      </c>
      <c r="M697" s="29">
        <f>Item_Enchant_Old!M701</f>
        <v>12</v>
      </c>
      <c r="N697" s="29">
        <f>Item_Enchant_Old!N701</f>
        <v>53</v>
      </c>
      <c r="O697" s="29">
        <f>Item_Enchant_Old!O701</f>
        <v>1</v>
      </c>
      <c r="P697" s="29">
        <f>Item_Enchant_Old!P701</f>
        <v>1</v>
      </c>
      <c r="Q697" s="29">
        <f>Item_Enchant_Old!Q701</f>
        <v>1</v>
      </c>
      <c r="R697" s="29">
        <f>Item_Enchant_Old!R701</f>
        <v>1</v>
      </c>
    </row>
    <row r="698" spans="1:18" s="29" customFormat="1" hidden="1">
      <c r="A698" s="29">
        <f>Item_Enchant_Old!A702</f>
        <v>697</v>
      </c>
      <c r="B698" s="29" t="str">
        <f>Item_Enchant_Old!B702</f>
        <v>ACTIVE_PHYSICAL_OFFENCE_UP</v>
      </c>
      <c r="C698" s="29">
        <f>Item_Enchant_Old!C702</f>
        <v>606</v>
      </c>
      <c r="D698" s="29">
        <f>Item_Enchant_Old!D702</f>
        <v>0</v>
      </c>
      <c r="E698" s="29">
        <f>Item_Enchant_Old!E702</f>
        <v>0</v>
      </c>
      <c r="F698" s="29">
        <f>Item_Enchant_Old!F702</f>
        <v>0</v>
      </c>
      <c r="G698" s="29">
        <f>Item_Enchant_Old!G702</f>
        <v>1</v>
      </c>
      <c r="H698" s="29" t="str">
        <f>Item_Enchant_Old!H702</f>
        <v>@</v>
      </c>
      <c r="I698" s="29">
        <f>Item_Enchant_Old!I702</f>
        <v>1</v>
      </c>
      <c r="J698" s="29" t="str">
        <f>Item_Enchant_Old!J702</f>
        <v>절대값/상대값(%) 가능</v>
      </c>
      <c r="K698" s="29">
        <f>Item_Enchant_Old!K702</f>
        <v>14</v>
      </c>
      <c r="L698" s="29">
        <f>Item_Enchant_Old!L702</f>
        <v>0</v>
      </c>
      <c r="M698" s="29">
        <f>Item_Enchant_Old!M702</f>
        <v>1</v>
      </c>
      <c r="N698" s="29">
        <f>Item_Enchant_Old!N702</f>
        <v>125</v>
      </c>
      <c r="O698" s="29">
        <f>Item_Enchant_Old!O702</f>
        <v>1</v>
      </c>
      <c r="P698" s="29">
        <f>Item_Enchant_Old!P702</f>
        <v>1</v>
      </c>
      <c r="Q698" s="29">
        <f>Item_Enchant_Old!Q702</f>
        <v>1</v>
      </c>
      <c r="R698" s="29">
        <f>Item_Enchant_Old!R702</f>
        <v>1</v>
      </c>
    </row>
    <row r="699" spans="1:18" s="29" customFormat="1" hidden="1">
      <c r="A699" s="29">
        <f>Item_Enchant_Old!A703</f>
        <v>698</v>
      </c>
      <c r="B699" s="29" t="str">
        <f>Item_Enchant_Old!B703</f>
        <v>ACTIVE_STR_UP</v>
      </c>
      <c r="C699" s="29">
        <f>Item_Enchant_Old!C703</f>
        <v>610</v>
      </c>
      <c r="D699" s="29">
        <f>Item_Enchant_Old!D703</f>
        <v>0</v>
      </c>
      <c r="E699" s="29">
        <f>Item_Enchant_Old!E703</f>
        <v>0</v>
      </c>
      <c r="F699" s="29">
        <f>Item_Enchant_Old!F703</f>
        <v>0</v>
      </c>
      <c r="G699" s="29">
        <f>Item_Enchant_Old!G703</f>
        <v>2</v>
      </c>
      <c r="H699" s="29" t="str">
        <f>Item_Enchant_Old!H703</f>
        <v>@</v>
      </c>
      <c r="I699" s="29">
        <f>Item_Enchant_Old!I703</f>
        <v>1</v>
      </c>
      <c r="J699" s="29" t="str">
        <f>Item_Enchant_Old!J703</f>
        <v>절대값/상대값(%) 가능</v>
      </c>
      <c r="K699" s="29">
        <f>Item_Enchant_Old!K703</f>
        <v>14</v>
      </c>
      <c r="L699" s="29">
        <f>Item_Enchant_Old!L703</f>
        <v>0</v>
      </c>
      <c r="M699" s="29">
        <f>Item_Enchant_Old!M703</f>
        <v>1</v>
      </c>
      <c r="N699" s="29">
        <f>Item_Enchant_Old!N703</f>
        <v>57</v>
      </c>
      <c r="O699" s="29">
        <f>Item_Enchant_Old!O703</f>
        <v>1</v>
      </c>
      <c r="P699" s="29">
        <f>Item_Enchant_Old!P703</f>
        <v>1</v>
      </c>
      <c r="Q699" s="29">
        <f>Item_Enchant_Old!Q703</f>
        <v>1</v>
      </c>
      <c r="R699" s="29">
        <f>Item_Enchant_Old!R703</f>
        <v>1</v>
      </c>
    </row>
    <row r="700" spans="1:18" s="29" customFormat="1" hidden="1">
      <c r="A700" s="29">
        <f>Item_Enchant_Old!A704</f>
        <v>699</v>
      </c>
      <c r="B700" s="29" t="str">
        <f>Item_Enchant_Old!B704</f>
        <v>ACTIVE_DEX_UP</v>
      </c>
      <c r="C700" s="29">
        <f>Item_Enchant_Old!C704</f>
        <v>613</v>
      </c>
      <c r="D700" s="29">
        <f>Item_Enchant_Old!D704</f>
        <v>0</v>
      </c>
      <c r="E700" s="29">
        <f>Item_Enchant_Old!E704</f>
        <v>0</v>
      </c>
      <c r="F700" s="29">
        <f>Item_Enchant_Old!F704</f>
        <v>0</v>
      </c>
      <c r="G700" s="29">
        <f>Item_Enchant_Old!G704</f>
        <v>3</v>
      </c>
      <c r="H700" s="29" t="str">
        <f>Item_Enchant_Old!H704</f>
        <v>@</v>
      </c>
      <c r="I700" s="29">
        <f>Item_Enchant_Old!I704</f>
        <v>1</v>
      </c>
      <c r="J700" s="29" t="str">
        <f>Item_Enchant_Old!J704</f>
        <v>절대값/상대값(%) 가능</v>
      </c>
      <c r="K700" s="29">
        <f>Item_Enchant_Old!K704</f>
        <v>14</v>
      </c>
      <c r="L700" s="29">
        <f>Item_Enchant_Old!L704</f>
        <v>0</v>
      </c>
      <c r="M700" s="29">
        <f>Item_Enchant_Old!M704</f>
        <v>1</v>
      </c>
      <c r="N700" s="29">
        <f>Item_Enchant_Old!N704</f>
        <v>44</v>
      </c>
      <c r="O700" s="29">
        <f>Item_Enchant_Old!O704</f>
        <v>1</v>
      </c>
      <c r="P700" s="29">
        <f>Item_Enchant_Old!P704</f>
        <v>1</v>
      </c>
      <c r="Q700" s="29">
        <f>Item_Enchant_Old!Q704</f>
        <v>1</v>
      </c>
      <c r="R700" s="29">
        <f>Item_Enchant_Old!R704</f>
        <v>1</v>
      </c>
    </row>
    <row r="701" spans="1:18" s="29" customFormat="1" hidden="1">
      <c r="A701" s="29">
        <f>Item_Enchant_Old!A705</f>
        <v>700</v>
      </c>
      <c r="B701" s="29" t="str">
        <f>Item_Enchant_Old!B705</f>
        <v>ACTIVE_PHYSICAL_CRITICAL_DAMAGE_UP</v>
      </c>
      <c r="C701" s="29">
        <f>Item_Enchant_Old!C705</f>
        <v>658</v>
      </c>
      <c r="D701" s="29">
        <f>Item_Enchant_Old!D705</f>
        <v>0</v>
      </c>
      <c r="E701" s="29">
        <f>Item_Enchant_Old!E705</f>
        <v>0</v>
      </c>
      <c r="F701" s="29">
        <f>Item_Enchant_Old!F705</f>
        <v>0</v>
      </c>
      <c r="G701" s="29">
        <f>Item_Enchant_Old!G705</f>
        <v>4</v>
      </c>
      <c r="H701" s="29" t="str">
        <f>Item_Enchant_Old!H705</f>
        <v>@</v>
      </c>
      <c r="I701" s="29">
        <f>Item_Enchant_Old!I705</f>
        <v>1</v>
      </c>
      <c r="J701" s="29" t="str">
        <f>Item_Enchant_Old!J705</f>
        <v>절대값만 가능</v>
      </c>
      <c r="K701" s="29">
        <f>Item_Enchant_Old!K705</f>
        <v>14</v>
      </c>
      <c r="L701" s="29">
        <f>Item_Enchant_Old!L705</f>
        <v>0</v>
      </c>
      <c r="M701" s="29">
        <f>Item_Enchant_Old!M705</f>
        <v>1</v>
      </c>
      <c r="N701" s="29">
        <f>Item_Enchant_Old!N705</f>
        <v>28</v>
      </c>
      <c r="O701" s="29">
        <f>Item_Enchant_Old!O705</f>
        <v>1</v>
      </c>
      <c r="P701" s="29">
        <f>Item_Enchant_Old!P705</f>
        <v>1</v>
      </c>
      <c r="Q701" s="29">
        <f>Item_Enchant_Old!Q705</f>
        <v>1</v>
      </c>
      <c r="R701" s="29">
        <f>Item_Enchant_Old!R705</f>
        <v>1</v>
      </c>
    </row>
    <row r="702" spans="1:18" s="29" customFormat="1" hidden="1">
      <c r="A702" s="29">
        <f>Item_Enchant_Old!A706</f>
        <v>701</v>
      </c>
      <c r="B702" s="29" t="str">
        <f>Item_Enchant_Old!B706</f>
        <v>ACTIVE_PHYSICAL_CRITICAL_DAMAGE_UP</v>
      </c>
      <c r="C702" s="29">
        <f>Item_Enchant_Old!C706</f>
        <v>658</v>
      </c>
      <c r="D702" s="29">
        <f>Item_Enchant_Old!D706</f>
        <v>0</v>
      </c>
      <c r="E702" s="29">
        <f>Item_Enchant_Old!E706</f>
        <v>0</v>
      </c>
      <c r="F702" s="29">
        <f>Item_Enchant_Old!F706</f>
        <v>0</v>
      </c>
      <c r="G702" s="29">
        <f>Item_Enchant_Old!G706</f>
        <v>4</v>
      </c>
      <c r="H702" s="29" t="str">
        <f>Item_Enchant_Old!H706</f>
        <v>@</v>
      </c>
      <c r="I702" s="29">
        <f>Item_Enchant_Old!I706</f>
        <v>1</v>
      </c>
      <c r="J702" s="29" t="str">
        <f>Item_Enchant_Old!J706</f>
        <v>절대값만 가능</v>
      </c>
      <c r="K702" s="29">
        <f>Item_Enchant_Old!K706</f>
        <v>14</v>
      </c>
      <c r="L702" s="29">
        <f>Item_Enchant_Old!L706</f>
        <v>0</v>
      </c>
      <c r="M702" s="29">
        <f>Item_Enchant_Old!M706</f>
        <v>2</v>
      </c>
      <c r="N702" s="29">
        <f>Item_Enchant_Old!N706</f>
        <v>28</v>
      </c>
      <c r="O702" s="29">
        <f>Item_Enchant_Old!O706</f>
        <v>1</v>
      </c>
      <c r="P702" s="29">
        <f>Item_Enchant_Old!P706</f>
        <v>1</v>
      </c>
      <c r="Q702" s="29">
        <f>Item_Enchant_Old!Q706</f>
        <v>1</v>
      </c>
      <c r="R702" s="29">
        <f>Item_Enchant_Old!R706</f>
        <v>1</v>
      </c>
    </row>
    <row r="703" spans="1:18" s="29" customFormat="1" hidden="1">
      <c r="A703" s="29">
        <f>Item_Enchant_Old!A707</f>
        <v>702</v>
      </c>
      <c r="B703" s="29" t="str">
        <f>Item_Enchant_Old!B707</f>
        <v>ACTIVE_PHYSICAL_CRITICAL</v>
      </c>
      <c r="C703" s="29">
        <f>Item_Enchant_Old!C707</f>
        <v>632</v>
      </c>
      <c r="D703" s="29">
        <f>Item_Enchant_Old!D707</f>
        <v>0</v>
      </c>
      <c r="E703" s="29">
        <f>Item_Enchant_Old!E707</f>
        <v>0</v>
      </c>
      <c r="F703" s="29">
        <f>Item_Enchant_Old!F707</f>
        <v>0</v>
      </c>
      <c r="G703" s="29">
        <f>Item_Enchant_Old!G707</f>
        <v>5</v>
      </c>
      <c r="H703" s="29" t="str">
        <f>Item_Enchant_Old!H707</f>
        <v>@</v>
      </c>
      <c r="I703" s="29">
        <f>Item_Enchant_Old!I707</f>
        <v>1</v>
      </c>
      <c r="J703" s="29" t="str">
        <f>Item_Enchant_Old!J707</f>
        <v>절대값/상대값(%) 가능</v>
      </c>
      <c r="K703" s="29">
        <f>Item_Enchant_Old!K707</f>
        <v>14</v>
      </c>
      <c r="L703" s="29">
        <f>Item_Enchant_Old!L707</f>
        <v>0</v>
      </c>
      <c r="M703" s="29">
        <f>Item_Enchant_Old!M707</f>
        <v>2</v>
      </c>
      <c r="N703" s="29">
        <f>Item_Enchant_Old!N707</f>
        <v>21</v>
      </c>
      <c r="O703" s="29">
        <f>Item_Enchant_Old!O707</f>
        <v>1</v>
      </c>
      <c r="P703" s="29">
        <f>Item_Enchant_Old!P707</f>
        <v>1</v>
      </c>
      <c r="Q703" s="29">
        <f>Item_Enchant_Old!Q707</f>
        <v>1</v>
      </c>
      <c r="R703" s="29">
        <f>Item_Enchant_Old!R707</f>
        <v>1</v>
      </c>
    </row>
    <row r="704" spans="1:18" s="29" customFormat="1" hidden="1">
      <c r="A704" s="29">
        <f>Item_Enchant_Old!A708</f>
        <v>703</v>
      </c>
      <c r="B704" s="29" t="str">
        <f>Item_Enchant_Old!B708</f>
        <v>ACTIVE_DEX_UP</v>
      </c>
      <c r="C704" s="29">
        <f>Item_Enchant_Old!C708</f>
        <v>613</v>
      </c>
      <c r="D704" s="29">
        <f>Item_Enchant_Old!D708</f>
        <v>0</v>
      </c>
      <c r="E704" s="29">
        <f>Item_Enchant_Old!E708</f>
        <v>0</v>
      </c>
      <c r="F704" s="29">
        <f>Item_Enchant_Old!F708</f>
        <v>0</v>
      </c>
      <c r="G704" s="29">
        <f>Item_Enchant_Old!G708</f>
        <v>3</v>
      </c>
      <c r="H704" s="29" t="str">
        <f>Item_Enchant_Old!H708</f>
        <v>@</v>
      </c>
      <c r="I704" s="29">
        <f>Item_Enchant_Old!I708</f>
        <v>1</v>
      </c>
      <c r="J704" s="29" t="str">
        <f>Item_Enchant_Old!J708</f>
        <v>절대값/상대값(%) 가능</v>
      </c>
      <c r="K704" s="29">
        <f>Item_Enchant_Old!K708</f>
        <v>14</v>
      </c>
      <c r="L704" s="29">
        <f>Item_Enchant_Old!L708</f>
        <v>0</v>
      </c>
      <c r="M704" s="29">
        <f>Item_Enchant_Old!M708</f>
        <v>2</v>
      </c>
      <c r="N704" s="29">
        <f>Item_Enchant_Old!N708</f>
        <v>44</v>
      </c>
      <c r="O704" s="29">
        <f>Item_Enchant_Old!O708</f>
        <v>1</v>
      </c>
      <c r="P704" s="29">
        <f>Item_Enchant_Old!P708</f>
        <v>1</v>
      </c>
      <c r="Q704" s="29">
        <f>Item_Enchant_Old!Q708</f>
        <v>1</v>
      </c>
      <c r="R704" s="29">
        <f>Item_Enchant_Old!R708</f>
        <v>1</v>
      </c>
    </row>
    <row r="705" spans="1:18" s="29" customFormat="1" hidden="1">
      <c r="A705" s="29">
        <f>Item_Enchant_Old!A709</f>
        <v>704</v>
      </c>
      <c r="B705" s="29" t="str">
        <f>Item_Enchant_Old!B709</f>
        <v>ACTIVE_FOC_UP</v>
      </c>
      <c r="C705" s="29">
        <f>Item_Enchant_Old!C709</f>
        <v>612</v>
      </c>
      <c r="D705" s="29">
        <f>Item_Enchant_Old!D709</f>
        <v>0</v>
      </c>
      <c r="E705" s="29">
        <f>Item_Enchant_Old!E709</f>
        <v>0</v>
      </c>
      <c r="F705" s="29">
        <f>Item_Enchant_Old!F709</f>
        <v>0</v>
      </c>
      <c r="G705" s="29">
        <f>Item_Enchant_Old!G709</f>
        <v>2</v>
      </c>
      <c r="H705" s="29" t="str">
        <f>Item_Enchant_Old!H709</f>
        <v>@</v>
      </c>
      <c r="I705" s="29">
        <f>Item_Enchant_Old!I709</f>
        <v>1</v>
      </c>
      <c r="J705" s="29" t="str">
        <f>Item_Enchant_Old!J709</f>
        <v>절대값/상대값(%) 가능</v>
      </c>
      <c r="K705" s="29">
        <f>Item_Enchant_Old!K709</f>
        <v>14</v>
      </c>
      <c r="L705" s="29">
        <f>Item_Enchant_Old!L709</f>
        <v>0</v>
      </c>
      <c r="M705" s="29">
        <f>Item_Enchant_Old!M709</f>
        <v>2</v>
      </c>
      <c r="N705" s="29">
        <f>Item_Enchant_Old!N709</f>
        <v>53</v>
      </c>
      <c r="O705" s="29">
        <f>Item_Enchant_Old!O709</f>
        <v>1</v>
      </c>
      <c r="P705" s="29">
        <f>Item_Enchant_Old!P709</f>
        <v>1</v>
      </c>
      <c r="Q705" s="29">
        <f>Item_Enchant_Old!Q709</f>
        <v>1</v>
      </c>
      <c r="R705" s="29">
        <f>Item_Enchant_Old!R709</f>
        <v>1</v>
      </c>
    </row>
    <row r="706" spans="1:18" s="29" customFormat="1" hidden="1">
      <c r="A706" s="29">
        <f>Item_Enchant_Old!A710</f>
        <v>705</v>
      </c>
      <c r="B706" s="29" t="str">
        <f>Item_Enchant_Old!B710</f>
        <v>ACTIVE_ENERGY_OFFENCE_UP</v>
      </c>
      <c r="C706" s="29">
        <f>Item_Enchant_Old!C710</f>
        <v>607</v>
      </c>
      <c r="D706" s="29">
        <f>Item_Enchant_Old!D710</f>
        <v>0</v>
      </c>
      <c r="E706" s="29">
        <f>Item_Enchant_Old!E710</f>
        <v>0</v>
      </c>
      <c r="F706" s="29">
        <f>Item_Enchant_Old!F710</f>
        <v>0</v>
      </c>
      <c r="G706" s="29">
        <f>Item_Enchant_Old!G710</f>
        <v>1</v>
      </c>
      <c r="H706" s="29" t="str">
        <f>Item_Enchant_Old!H710</f>
        <v>@</v>
      </c>
      <c r="I706" s="29">
        <f>Item_Enchant_Old!I710</f>
        <v>1</v>
      </c>
      <c r="J706" s="29" t="str">
        <f>Item_Enchant_Old!J710</f>
        <v>절대값/상대값(%) 가능</v>
      </c>
      <c r="K706" s="29">
        <f>Item_Enchant_Old!K710</f>
        <v>14</v>
      </c>
      <c r="L706" s="29">
        <f>Item_Enchant_Old!L710</f>
        <v>0</v>
      </c>
      <c r="M706" s="29">
        <f>Item_Enchant_Old!M710</f>
        <v>3</v>
      </c>
      <c r="N706" s="29">
        <f>Item_Enchant_Old!N710</f>
        <v>104</v>
      </c>
      <c r="O706" s="29">
        <f>Item_Enchant_Old!O710</f>
        <v>1</v>
      </c>
      <c r="P706" s="29">
        <f>Item_Enchant_Old!P710</f>
        <v>1</v>
      </c>
      <c r="Q706" s="29">
        <f>Item_Enchant_Old!Q710</f>
        <v>1</v>
      </c>
      <c r="R706" s="29">
        <f>Item_Enchant_Old!R710</f>
        <v>1</v>
      </c>
    </row>
    <row r="707" spans="1:18" s="29" customFormat="1" hidden="1">
      <c r="A707" s="29">
        <f>Item_Enchant_Old!A711</f>
        <v>706</v>
      </c>
      <c r="B707" s="29" t="str">
        <f>Item_Enchant_Old!B711</f>
        <v>ACTIVE_FOC_UP</v>
      </c>
      <c r="C707" s="29">
        <f>Item_Enchant_Old!C711</f>
        <v>612</v>
      </c>
      <c r="D707" s="29">
        <f>Item_Enchant_Old!D711</f>
        <v>0</v>
      </c>
      <c r="E707" s="29">
        <f>Item_Enchant_Old!E711</f>
        <v>0</v>
      </c>
      <c r="F707" s="29">
        <f>Item_Enchant_Old!F711</f>
        <v>0</v>
      </c>
      <c r="G707" s="29">
        <f>Item_Enchant_Old!G711</f>
        <v>2</v>
      </c>
      <c r="H707" s="29" t="str">
        <f>Item_Enchant_Old!H711</f>
        <v>@</v>
      </c>
      <c r="I707" s="29">
        <f>Item_Enchant_Old!I711</f>
        <v>1</v>
      </c>
      <c r="J707" s="29" t="str">
        <f>Item_Enchant_Old!J711</f>
        <v>절대값/상대값(%) 가능</v>
      </c>
      <c r="K707" s="29">
        <f>Item_Enchant_Old!K711</f>
        <v>14</v>
      </c>
      <c r="L707" s="29">
        <f>Item_Enchant_Old!L711</f>
        <v>0</v>
      </c>
      <c r="M707" s="29">
        <f>Item_Enchant_Old!M711</f>
        <v>3</v>
      </c>
      <c r="N707" s="29">
        <f>Item_Enchant_Old!N711</f>
        <v>53</v>
      </c>
      <c r="O707" s="29">
        <f>Item_Enchant_Old!O711</f>
        <v>1</v>
      </c>
      <c r="P707" s="29">
        <f>Item_Enchant_Old!P711</f>
        <v>1</v>
      </c>
      <c r="Q707" s="29">
        <f>Item_Enchant_Old!Q711</f>
        <v>1</v>
      </c>
      <c r="R707" s="29">
        <f>Item_Enchant_Old!R711</f>
        <v>1</v>
      </c>
    </row>
    <row r="708" spans="1:18" s="29" customFormat="1" hidden="1">
      <c r="A708" s="29">
        <f>Item_Enchant_Old!A712</f>
        <v>707</v>
      </c>
      <c r="B708" s="29" t="str">
        <f>Item_Enchant_Old!B712</f>
        <v>ACTIVE_SOL_UP</v>
      </c>
      <c r="C708" s="29">
        <f>Item_Enchant_Old!C712</f>
        <v>614</v>
      </c>
      <c r="D708" s="29">
        <f>Item_Enchant_Old!D712</f>
        <v>0</v>
      </c>
      <c r="E708" s="29">
        <f>Item_Enchant_Old!E712</f>
        <v>0</v>
      </c>
      <c r="F708" s="29">
        <f>Item_Enchant_Old!F712</f>
        <v>0</v>
      </c>
      <c r="G708" s="29">
        <f>Item_Enchant_Old!G712</f>
        <v>2</v>
      </c>
      <c r="H708" s="29" t="str">
        <f>Item_Enchant_Old!H712</f>
        <v>@</v>
      </c>
      <c r="I708" s="29">
        <f>Item_Enchant_Old!I712</f>
        <v>1</v>
      </c>
      <c r="J708" s="29" t="str">
        <f>Item_Enchant_Old!J712</f>
        <v>절대값/상대값(%) 가능</v>
      </c>
      <c r="K708" s="29">
        <f>Item_Enchant_Old!K712</f>
        <v>14</v>
      </c>
      <c r="L708" s="29">
        <f>Item_Enchant_Old!L712</f>
        <v>0</v>
      </c>
      <c r="M708" s="29">
        <f>Item_Enchant_Old!M712</f>
        <v>3</v>
      </c>
      <c r="N708" s="29">
        <f>Item_Enchant_Old!N712</f>
        <v>53</v>
      </c>
      <c r="O708" s="29">
        <f>Item_Enchant_Old!O712</f>
        <v>1</v>
      </c>
      <c r="P708" s="29">
        <f>Item_Enchant_Old!P712</f>
        <v>1</v>
      </c>
      <c r="Q708" s="29">
        <f>Item_Enchant_Old!Q712</f>
        <v>1</v>
      </c>
      <c r="R708" s="29">
        <f>Item_Enchant_Old!R712</f>
        <v>1</v>
      </c>
    </row>
    <row r="709" spans="1:18" s="29" customFormat="1" hidden="1">
      <c r="A709" s="29">
        <f>Item_Enchant_Old!A713</f>
        <v>708</v>
      </c>
      <c r="B709" s="29" t="str">
        <f>Item_Enchant_Old!B713</f>
        <v>ACTIVE_ENERGY_CRITICAL_DAMAGE_UP</v>
      </c>
      <c r="C709" s="29">
        <f>Item_Enchant_Old!C713</f>
        <v>659</v>
      </c>
      <c r="D709" s="29">
        <f>Item_Enchant_Old!D713</f>
        <v>0</v>
      </c>
      <c r="E709" s="29">
        <f>Item_Enchant_Old!E713</f>
        <v>0</v>
      </c>
      <c r="F709" s="29">
        <f>Item_Enchant_Old!F713</f>
        <v>0</v>
      </c>
      <c r="G709" s="29">
        <f>Item_Enchant_Old!G713</f>
        <v>4</v>
      </c>
      <c r="H709" s="29" t="str">
        <f>Item_Enchant_Old!H713</f>
        <v>@</v>
      </c>
      <c r="I709" s="29">
        <f>Item_Enchant_Old!I713</f>
        <v>1</v>
      </c>
      <c r="J709" s="29" t="str">
        <f>Item_Enchant_Old!J713</f>
        <v>절대값만 가능</v>
      </c>
      <c r="K709" s="29">
        <f>Item_Enchant_Old!K713</f>
        <v>14</v>
      </c>
      <c r="L709" s="29">
        <f>Item_Enchant_Old!L713</f>
        <v>0</v>
      </c>
      <c r="M709" s="29">
        <f>Item_Enchant_Old!M713</f>
        <v>3</v>
      </c>
      <c r="N709" s="29">
        <f>Item_Enchant_Old!N713</f>
        <v>32</v>
      </c>
      <c r="O709" s="29">
        <f>Item_Enchant_Old!O713</f>
        <v>1</v>
      </c>
      <c r="P709" s="29">
        <f>Item_Enchant_Old!P713</f>
        <v>1</v>
      </c>
      <c r="Q709" s="29">
        <f>Item_Enchant_Old!Q713</f>
        <v>1</v>
      </c>
      <c r="R709" s="29">
        <f>Item_Enchant_Old!R713</f>
        <v>1</v>
      </c>
    </row>
    <row r="710" spans="1:18" s="29" customFormat="1" hidden="1">
      <c r="A710" s="29">
        <f>Item_Enchant_Old!A714</f>
        <v>709</v>
      </c>
      <c r="B710" s="29" t="str">
        <f>Item_Enchant_Old!B714</f>
        <v>ACTIVE_ENERGY_CRITICAL</v>
      </c>
      <c r="C710" s="29">
        <f>Item_Enchant_Old!C714</f>
        <v>633</v>
      </c>
      <c r="D710" s="29">
        <f>Item_Enchant_Old!D714</f>
        <v>0</v>
      </c>
      <c r="E710" s="29">
        <f>Item_Enchant_Old!E714</f>
        <v>0</v>
      </c>
      <c r="F710" s="29">
        <f>Item_Enchant_Old!F714</f>
        <v>0</v>
      </c>
      <c r="G710" s="29">
        <f>Item_Enchant_Old!G714</f>
        <v>5</v>
      </c>
      <c r="H710" s="29" t="str">
        <f>Item_Enchant_Old!H714</f>
        <v>@</v>
      </c>
      <c r="I710" s="29">
        <f>Item_Enchant_Old!I714</f>
        <v>1</v>
      </c>
      <c r="J710" s="29" t="str">
        <f>Item_Enchant_Old!J714</f>
        <v>절대값/상대값(%) 가능</v>
      </c>
      <c r="K710" s="29">
        <f>Item_Enchant_Old!K714</f>
        <v>14</v>
      </c>
      <c r="L710" s="29">
        <f>Item_Enchant_Old!L714</f>
        <v>0</v>
      </c>
      <c r="M710" s="29">
        <f>Item_Enchant_Old!M714</f>
        <v>4</v>
      </c>
      <c r="N710" s="29">
        <f>Item_Enchant_Old!N714</f>
        <v>24</v>
      </c>
      <c r="O710" s="29">
        <f>Item_Enchant_Old!O714</f>
        <v>1</v>
      </c>
      <c r="P710" s="29">
        <f>Item_Enchant_Old!P714</f>
        <v>1</v>
      </c>
      <c r="Q710" s="29">
        <f>Item_Enchant_Old!Q714</f>
        <v>1</v>
      </c>
      <c r="R710" s="29">
        <f>Item_Enchant_Old!R714</f>
        <v>1</v>
      </c>
    </row>
    <row r="711" spans="1:18" s="29" customFormat="1" hidden="1">
      <c r="A711" s="29">
        <f>Item_Enchant_Old!A715</f>
        <v>710</v>
      </c>
      <c r="B711" s="29" t="str">
        <f>Item_Enchant_Old!B715</f>
        <v>ACTIVE_ENERGY_CRITICAL_DAMAGE_UP</v>
      </c>
      <c r="C711" s="29">
        <f>Item_Enchant_Old!C715</f>
        <v>659</v>
      </c>
      <c r="D711" s="29">
        <f>Item_Enchant_Old!D715</f>
        <v>0</v>
      </c>
      <c r="E711" s="29">
        <f>Item_Enchant_Old!E715</f>
        <v>0</v>
      </c>
      <c r="F711" s="29">
        <f>Item_Enchant_Old!F715</f>
        <v>0</v>
      </c>
      <c r="G711" s="29">
        <f>Item_Enchant_Old!G715</f>
        <v>4</v>
      </c>
      <c r="H711" s="29" t="str">
        <f>Item_Enchant_Old!H715</f>
        <v>@</v>
      </c>
      <c r="I711" s="29">
        <f>Item_Enchant_Old!I715</f>
        <v>1</v>
      </c>
      <c r="J711" s="29" t="str">
        <f>Item_Enchant_Old!J715</f>
        <v>절대값만 가능</v>
      </c>
      <c r="K711" s="29">
        <f>Item_Enchant_Old!K715</f>
        <v>14</v>
      </c>
      <c r="L711" s="29">
        <f>Item_Enchant_Old!L715</f>
        <v>0</v>
      </c>
      <c r="M711" s="29">
        <f>Item_Enchant_Old!M715</f>
        <v>4</v>
      </c>
      <c r="N711" s="29">
        <f>Item_Enchant_Old!N715</f>
        <v>32</v>
      </c>
      <c r="O711" s="29">
        <f>Item_Enchant_Old!O715</f>
        <v>1</v>
      </c>
      <c r="P711" s="29">
        <f>Item_Enchant_Old!P715</f>
        <v>1</v>
      </c>
      <c r="Q711" s="29">
        <f>Item_Enchant_Old!Q715</f>
        <v>1</v>
      </c>
      <c r="R711" s="29">
        <f>Item_Enchant_Old!R715</f>
        <v>1</v>
      </c>
    </row>
    <row r="712" spans="1:18" s="29" customFormat="1" hidden="1">
      <c r="A712" s="29">
        <f>Item_Enchant_Old!A716</f>
        <v>711</v>
      </c>
      <c r="B712" s="29" t="str">
        <f>Item_Enchant_Old!B716</f>
        <v>ACTIVE_FOC_UP</v>
      </c>
      <c r="C712" s="29">
        <f>Item_Enchant_Old!C716</f>
        <v>612</v>
      </c>
      <c r="D712" s="29">
        <f>Item_Enchant_Old!D716</f>
        <v>0</v>
      </c>
      <c r="E712" s="29">
        <f>Item_Enchant_Old!E716</f>
        <v>0</v>
      </c>
      <c r="F712" s="29">
        <f>Item_Enchant_Old!F716</f>
        <v>0</v>
      </c>
      <c r="G712" s="29">
        <f>Item_Enchant_Old!G716</f>
        <v>2</v>
      </c>
      <c r="H712" s="29" t="str">
        <f>Item_Enchant_Old!H716</f>
        <v>@</v>
      </c>
      <c r="I712" s="29">
        <f>Item_Enchant_Old!I716</f>
        <v>1</v>
      </c>
      <c r="J712" s="29" t="str">
        <f>Item_Enchant_Old!J716</f>
        <v>절대값/상대값(%) 가능</v>
      </c>
      <c r="K712" s="29">
        <f>Item_Enchant_Old!K716</f>
        <v>14</v>
      </c>
      <c r="L712" s="29">
        <f>Item_Enchant_Old!L716</f>
        <v>0</v>
      </c>
      <c r="M712" s="29">
        <f>Item_Enchant_Old!M716</f>
        <v>4</v>
      </c>
      <c r="N712" s="29">
        <f>Item_Enchant_Old!N716</f>
        <v>53</v>
      </c>
      <c r="O712" s="29">
        <f>Item_Enchant_Old!O716</f>
        <v>1</v>
      </c>
      <c r="P712" s="29">
        <f>Item_Enchant_Old!P716</f>
        <v>1</v>
      </c>
      <c r="Q712" s="29">
        <f>Item_Enchant_Old!Q716</f>
        <v>1</v>
      </c>
      <c r="R712" s="29">
        <f>Item_Enchant_Old!R716</f>
        <v>1</v>
      </c>
    </row>
    <row r="713" spans="1:18" s="29" customFormat="1" hidden="1">
      <c r="A713" s="29">
        <f>Item_Enchant_Old!A717</f>
        <v>712</v>
      </c>
      <c r="B713" s="29" t="str">
        <f>Item_Enchant_Old!B717</f>
        <v>ACTIVE_DEX_UP</v>
      </c>
      <c r="C713" s="29">
        <f>Item_Enchant_Old!C717</f>
        <v>613</v>
      </c>
      <c r="D713" s="29">
        <f>Item_Enchant_Old!D717</f>
        <v>0</v>
      </c>
      <c r="E713" s="29">
        <f>Item_Enchant_Old!E717</f>
        <v>0</v>
      </c>
      <c r="F713" s="29">
        <f>Item_Enchant_Old!F717</f>
        <v>0</v>
      </c>
      <c r="G713" s="29">
        <f>Item_Enchant_Old!G717</f>
        <v>3</v>
      </c>
      <c r="H713" s="29" t="str">
        <f>Item_Enchant_Old!H717</f>
        <v>@</v>
      </c>
      <c r="I713" s="29">
        <f>Item_Enchant_Old!I717</f>
        <v>1</v>
      </c>
      <c r="J713" s="29" t="str">
        <f>Item_Enchant_Old!J717</f>
        <v>절대값/상대값(%) 가능</v>
      </c>
      <c r="K713" s="29">
        <f>Item_Enchant_Old!K717</f>
        <v>14</v>
      </c>
      <c r="L713" s="29">
        <f>Item_Enchant_Old!L717</f>
        <v>0</v>
      </c>
      <c r="M713" s="29">
        <f>Item_Enchant_Old!M717</f>
        <v>4</v>
      </c>
      <c r="N713" s="29">
        <f>Item_Enchant_Old!N717</f>
        <v>44</v>
      </c>
      <c r="O713" s="29">
        <f>Item_Enchant_Old!O717</f>
        <v>1</v>
      </c>
      <c r="P713" s="29">
        <f>Item_Enchant_Old!P717</f>
        <v>1</v>
      </c>
      <c r="Q713" s="29">
        <f>Item_Enchant_Old!Q717</f>
        <v>1</v>
      </c>
      <c r="R713" s="29">
        <f>Item_Enchant_Old!R717</f>
        <v>1</v>
      </c>
    </row>
    <row r="714" spans="1:18" s="29" customFormat="1" hidden="1">
      <c r="A714" s="29">
        <f>Item_Enchant_Old!A718</f>
        <v>713</v>
      </c>
      <c r="B714" s="29" t="str">
        <f>Item_Enchant_Old!B718</f>
        <v>ACTIVE_ATTACK_SPEED_UP</v>
      </c>
      <c r="C714" s="29">
        <f>Item_Enchant_Old!C718</f>
        <v>617</v>
      </c>
      <c r="D714" s="29">
        <f>Item_Enchant_Old!D718</f>
        <v>1</v>
      </c>
      <c r="E714" s="29">
        <f>Item_Enchant_Old!E718</f>
        <v>0</v>
      </c>
      <c r="F714" s="29">
        <f>Item_Enchant_Old!F718</f>
        <v>0</v>
      </c>
      <c r="G714" s="29">
        <f>Item_Enchant_Old!G718</f>
        <v>10</v>
      </c>
      <c r="H714" s="29" t="str">
        <f>Item_Enchant_Old!H718</f>
        <v>@</v>
      </c>
      <c r="I714" s="29">
        <f>Item_Enchant_Old!I718</f>
        <v>1</v>
      </c>
      <c r="J714" s="29" t="str">
        <f>Item_Enchant_Old!J718</f>
        <v>절대값/상대값(%) 가능</v>
      </c>
      <c r="K714" s="29">
        <f>Item_Enchant_Old!K718</f>
        <v>14</v>
      </c>
      <c r="L714" s="29">
        <f>Item_Enchant_Old!L718</f>
        <v>0</v>
      </c>
      <c r="M714" s="29">
        <f>Item_Enchant_Old!M718</f>
        <v>5</v>
      </c>
      <c r="N714" s="29">
        <f>Item_Enchant_Old!N718</f>
        <v>10</v>
      </c>
      <c r="O714" s="29">
        <f>Item_Enchant_Old!O718</f>
        <v>1</v>
      </c>
      <c r="P714" s="29">
        <f>Item_Enchant_Old!P718</f>
        <v>1</v>
      </c>
      <c r="Q714" s="29">
        <f>Item_Enchant_Old!Q718</f>
        <v>1</v>
      </c>
      <c r="R714" s="29">
        <f>Item_Enchant_Old!R718</f>
        <v>1</v>
      </c>
    </row>
    <row r="715" spans="1:18" s="29" customFormat="1" hidden="1">
      <c r="A715" s="29">
        <f>Item_Enchant_Old!A719</f>
        <v>714</v>
      </c>
      <c r="B715" s="29" t="str">
        <f>Item_Enchant_Old!B719</f>
        <v>ACTIVE_DEX_UP</v>
      </c>
      <c r="C715" s="29">
        <f>Item_Enchant_Old!C719</f>
        <v>613</v>
      </c>
      <c r="D715" s="29">
        <f>Item_Enchant_Old!D719</f>
        <v>0</v>
      </c>
      <c r="E715" s="29">
        <f>Item_Enchant_Old!E719</f>
        <v>0</v>
      </c>
      <c r="F715" s="29">
        <f>Item_Enchant_Old!F719</f>
        <v>0</v>
      </c>
      <c r="G715" s="29">
        <f>Item_Enchant_Old!G719</f>
        <v>3</v>
      </c>
      <c r="H715" s="29" t="str">
        <f>Item_Enchant_Old!H719</f>
        <v>@</v>
      </c>
      <c r="I715" s="29">
        <f>Item_Enchant_Old!I719</f>
        <v>1</v>
      </c>
      <c r="J715" s="29" t="str">
        <f>Item_Enchant_Old!J719</f>
        <v>절대값/상대값(%) 가능</v>
      </c>
      <c r="K715" s="29">
        <f>Item_Enchant_Old!K719</f>
        <v>14</v>
      </c>
      <c r="L715" s="29">
        <f>Item_Enchant_Old!L719</f>
        <v>0</v>
      </c>
      <c r="M715" s="29">
        <f>Item_Enchant_Old!M719</f>
        <v>5</v>
      </c>
      <c r="N715" s="29">
        <f>Item_Enchant_Old!N719</f>
        <v>44</v>
      </c>
      <c r="O715" s="29">
        <f>Item_Enchant_Old!O719</f>
        <v>1</v>
      </c>
      <c r="P715" s="29">
        <f>Item_Enchant_Old!P719</f>
        <v>1</v>
      </c>
      <c r="Q715" s="29">
        <f>Item_Enchant_Old!Q719</f>
        <v>1</v>
      </c>
      <c r="R715" s="29">
        <f>Item_Enchant_Old!R719</f>
        <v>1</v>
      </c>
    </row>
    <row r="716" spans="1:18" s="29" customFormat="1" hidden="1">
      <c r="A716" s="29">
        <f>Item_Enchant_Old!A720</f>
        <v>715</v>
      </c>
      <c r="B716" s="29" t="str">
        <f>Item_Enchant_Old!B720</f>
        <v>ACTIVE_FOC_UP</v>
      </c>
      <c r="C716" s="29">
        <f>Item_Enchant_Old!C720</f>
        <v>612</v>
      </c>
      <c r="D716" s="29">
        <f>Item_Enchant_Old!D720</f>
        <v>0</v>
      </c>
      <c r="E716" s="29">
        <f>Item_Enchant_Old!E720</f>
        <v>0</v>
      </c>
      <c r="F716" s="29">
        <f>Item_Enchant_Old!F720</f>
        <v>0</v>
      </c>
      <c r="G716" s="29">
        <f>Item_Enchant_Old!G720</f>
        <v>2</v>
      </c>
      <c r="H716" s="29" t="str">
        <f>Item_Enchant_Old!H720</f>
        <v>@</v>
      </c>
      <c r="I716" s="29">
        <f>Item_Enchant_Old!I720</f>
        <v>1</v>
      </c>
      <c r="J716" s="29" t="str">
        <f>Item_Enchant_Old!J720</f>
        <v>절대값/상대값(%) 가능</v>
      </c>
      <c r="K716" s="29">
        <f>Item_Enchant_Old!K720</f>
        <v>14</v>
      </c>
      <c r="L716" s="29">
        <f>Item_Enchant_Old!L720</f>
        <v>0</v>
      </c>
      <c r="M716" s="29">
        <f>Item_Enchant_Old!M720</f>
        <v>5</v>
      </c>
      <c r="N716" s="29">
        <f>Item_Enchant_Old!N720</f>
        <v>53</v>
      </c>
      <c r="O716" s="29">
        <f>Item_Enchant_Old!O720</f>
        <v>1</v>
      </c>
      <c r="P716" s="29">
        <f>Item_Enchant_Old!P720</f>
        <v>1</v>
      </c>
      <c r="Q716" s="29">
        <f>Item_Enchant_Old!Q720</f>
        <v>1</v>
      </c>
      <c r="R716" s="29">
        <f>Item_Enchant_Old!R720</f>
        <v>1</v>
      </c>
    </row>
    <row r="717" spans="1:18" s="29" customFormat="1" hidden="1">
      <c r="A717" s="29">
        <f>Item_Enchant_Old!A721</f>
        <v>716</v>
      </c>
      <c r="B717" s="29" t="str">
        <f>Item_Enchant_Old!B721</f>
        <v>ACTIVE_PHYSICAL_OFFENCE_UP</v>
      </c>
      <c r="C717" s="29">
        <f>Item_Enchant_Old!C721</f>
        <v>606</v>
      </c>
      <c r="D717" s="29">
        <f>Item_Enchant_Old!D721</f>
        <v>0</v>
      </c>
      <c r="E717" s="29">
        <f>Item_Enchant_Old!E721</f>
        <v>0</v>
      </c>
      <c r="F717" s="29">
        <f>Item_Enchant_Old!F721</f>
        <v>0</v>
      </c>
      <c r="G717" s="29">
        <f>Item_Enchant_Old!G721</f>
        <v>1</v>
      </c>
      <c r="H717" s="29" t="str">
        <f>Item_Enchant_Old!H721</f>
        <v>@</v>
      </c>
      <c r="I717" s="29">
        <f>Item_Enchant_Old!I721</f>
        <v>1</v>
      </c>
      <c r="J717" s="29" t="str">
        <f>Item_Enchant_Old!J721</f>
        <v>절대값/상대값(%) 가능</v>
      </c>
      <c r="K717" s="29">
        <f>Item_Enchant_Old!K721</f>
        <v>14</v>
      </c>
      <c r="L717" s="29">
        <f>Item_Enchant_Old!L721</f>
        <v>0</v>
      </c>
      <c r="M717" s="29">
        <f>Item_Enchant_Old!M721</f>
        <v>5</v>
      </c>
      <c r="N717" s="29">
        <f>Item_Enchant_Old!N721</f>
        <v>125</v>
      </c>
      <c r="O717" s="29">
        <f>Item_Enchant_Old!O721</f>
        <v>1</v>
      </c>
      <c r="P717" s="29">
        <f>Item_Enchant_Old!P721</f>
        <v>1</v>
      </c>
      <c r="Q717" s="29">
        <f>Item_Enchant_Old!Q721</f>
        <v>1</v>
      </c>
      <c r="R717" s="29">
        <f>Item_Enchant_Old!R721</f>
        <v>1</v>
      </c>
    </row>
    <row r="718" spans="1:18" s="29" customFormat="1" hidden="1">
      <c r="A718" s="29">
        <f>Item_Enchant_Old!A722</f>
        <v>717</v>
      </c>
      <c r="B718" s="29" t="str">
        <f>Item_Enchant_Old!B722</f>
        <v>ACTIVE_ENERGY_OFFENCE_UP</v>
      </c>
      <c r="C718" s="29">
        <f>Item_Enchant_Old!C722</f>
        <v>607</v>
      </c>
      <c r="D718" s="29">
        <f>Item_Enchant_Old!D722</f>
        <v>0</v>
      </c>
      <c r="E718" s="29">
        <f>Item_Enchant_Old!E722</f>
        <v>0</v>
      </c>
      <c r="F718" s="29">
        <f>Item_Enchant_Old!F722</f>
        <v>0</v>
      </c>
      <c r="G718" s="29">
        <f>Item_Enchant_Old!G722</f>
        <v>1</v>
      </c>
      <c r="H718" s="29" t="str">
        <f>Item_Enchant_Old!H722</f>
        <v>@</v>
      </c>
      <c r="I718" s="29">
        <f>Item_Enchant_Old!I722</f>
        <v>1</v>
      </c>
      <c r="J718" s="29" t="str">
        <f>Item_Enchant_Old!J722</f>
        <v>절대값/상대값(%) 가능</v>
      </c>
      <c r="K718" s="29">
        <f>Item_Enchant_Old!K722</f>
        <v>14</v>
      </c>
      <c r="L718" s="29">
        <f>Item_Enchant_Old!L722</f>
        <v>0</v>
      </c>
      <c r="M718" s="29">
        <f>Item_Enchant_Old!M722</f>
        <v>5</v>
      </c>
      <c r="N718" s="29">
        <f>Item_Enchant_Old!N722</f>
        <v>104</v>
      </c>
      <c r="O718" s="29">
        <f>Item_Enchant_Old!O722</f>
        <v>1</v>
      </c>
      <c r="P718" s="29">
        <f>Item_Enchant_Old!P722</f>
        <v>1</v>
      </c>
      <c r="Q718" s="29">
        <f>Item_Enchant_Old!Q722</f>
        <v>1</v>
      </c>
      <c r="R718" s="29">
        <f>Item_Enchant_Old!R722</f>
        <v>1</v>
      </c>
    </row>
    <row r="719" spans="1:18" s="29" customFormat="1" hidden="1">
      <c r="A719" s="29">
        <f>Item_Enchant_Old!A723</f>
        <v>718</v>
      </c>
      <c r="B719" s="29" t="str">
        <f>Item_Enchant_Old!B723</f>
        <v>ACTIVE_PHYSICAL_OFFENCE_UP</v>
      </c>
      <c r="C719" s="29">
        <f>Item_Enchant_Old!C723</f>
        <v>606</v>
      </c>
      <c r="D719" s="29">
        <f>Item_Enchant_Old!D723</f>
        <v>0</v>
      </c>
      <c r="E719" s="29">
        <f>Item_Enchant_Old!E723</f>
        <v>0</v>
      </c>
      <c r="F719" s="29">
        <f>Item_Enchant_Old!F723</f>
        <v>0</v>
      </c>
      <c r="G719" s="29">
        <f>Item_Enchant_Old!G723</f>
        <v>1</v>
      </c>
      <c r="H719" s="29" t="str">
        <f>Item_Enchant_Old!H723</f>
        <v>@</v>
      </c>
      <c r="I719" s="29">
        <f>Item_Enchant_Old!I723</f>
        <v>1</v>
      </c>
      <c r="J719" s="29" t="str">
        <f>Item_Enchant_Old!J723</f>
        <v>절대값/상대값(%) 가능</v>
      </c>
      <c r="K719" s="29">
        <f>Item_Enchant_Old!K723</f>
        <v>14</v>
      </c>
      <c r="L719" s="29">
        <f>Item_Enchant_Old!L723</f>
        <v>0</v>
      </c>
      <c r="M719" s="29">
        <f>Item_Enchant_Old!M723</f>
        <v>6</v>
      </c>
      <c r="N719" s="29">
        <f>Item_Enchant_Old!N723</f>
        <v>125</v>
      </c>
      <c r="O719" s="29">
        <f>Item_Enchant_Old!O723</f>
        <v>1</v>
      </c>
      <c r="P719" s="29">
        <f>Item_Enchant_Old!P723</f>
        <v>1</v>
      </c>
      <c r="Q719" s="29">
        <f>Item_Enchant_Old!Q723</f>
        <v>1</v>
      </c>
      <c r="R719" s="29">
        <f>Item_Enchant_Old!R723</f>
        <v>1</v>
      </c>
    </row>
    <row r="720" spans="1:18" s="29" customFormat="1" hidden="1">
      <c r="A720" s="29">
        <f>Item_Enchant_Old!A724</f>
        <v>719</v>
      </c>
      <c r="B720" s="29" t="str">
        <f>Item_Enchant_Old!B724</f>
        <v>ACTIVE_ENERGY_OFFENCE_UP</v>
      </c>
      <c r="C720" s="29">
        <f>Item_Enchant_Old!C724</f>
        <v>607</v>
      </c>
      <c r="D720" s="29">
        <f>Item_Enchant_Old!D724</f>
        <v>0</v>
      </c>
      <c r="E720" s="29">
        <f>Item_Enchant_Old!E724</f>
        <v>0</v>
      </c>
      <c r="F720" s="29">
        <f>Item_Enchant_Old!F724</f>
        <v>0</v>
      </c>
      <c r="G720" s="29">
        <f>Item_Enchant_Old!G724</f>
        <v>1</v>
      </c>
      <c r="H720" s="29" t="str">
        <f>Item_Enchant_Old!H724</f>
        <v>@</v>
      </c>
      <c r="I720" s="29">
        <f>Item_Enchant_Old!I724</f>
        <v>1</v>
      </c>
      <c r="J720" s="29" t="str">
        <f>Item_Enchant_Old!J724</f>
        <v>절대값/상대값(%) 가능</v>
      </c>
      <c r="K720" s="29">
        <f>Item_Enchant_Old!K724</f>
        <v>14</v>
      </c>
      <c r="L720" s="29">
        <f>Item_Enchant_Old!L724</f>
        <v>0</v>
      </c>
      <c r="M720" s="29">
        <f>Item_Enchant_Old!M724</f>
        <v>6</v>
      </c>
      <c r="N720" s="29">
        <f>Item_Enchant_Old!N724</f>
        <v>104</v>
      </c>
      <c r="O720" s="29">
        <f>Item_Enchant_Old!O724</f>
        <v>1</v>
      </c>
      <c r="P720" s="29">
        <f>Item_Enchant_Old!P724</f>
        <v>1</v>
      </c>
      <c r="Q720" s="29">
        <f>Item_Enchant_Old!Q724</f>
        <v>1</v>
      </c>
      <c r="R720" s="29">
        <f>Item_Enchant_Old!R724</f>
        <v>1</v>
      </c>
    </row>
    <row r="721" spans="1:18" s="29" customFormat="1" hidden="1">
      <c r="A721" s="29">
        <f>Item_Enchant_Old!A725</f>
        <v>720</v>
      </c>
      <c r="B721" s="29" t="str">
        <f>Item_Enchant_Old!B725</f>
        <v>ACTIVE_STR_UP</v>
      </c>
      <c r="C721" s="29">
        <f>Item_Enchant_Old!C725</f>
        <v>610</v>
      </c>
      <c r="D721" s="29">
        <f>Item_Enchant_Old!D725</f>
        <v>0</v>
      </c>
      <c r="E721" s="29">
        <f>Item_Enchant_Old!E725</f>
        <v>0</v>
      </c>
      <c r="F721" s="29">
        <f>Item_Enchant_Old!F725</f>
        <v>0</v>
      </c>
      <c r="G721" s="29">
        <f>Item_Enchant_Old!G725</f>
        <v>2</v>
      </c>
      <c r="H721" s="29" t="str">
        <f>Item_Enchant_Old!H725</f>
        <v>@</v>
      </c>
      <c r="I721" s="29">
        <f>Item_Enchant_Old!I725</f>
        <v>1</v>
      </c>
      <c r="J721" s="29" t="str">
        <f>Item_Enchant_Old!J725</f>
        <v>절대값/상대값(%) 가능</v>
      </c>
      <c r="K721" s="29">
        <f>Item_Enchant_Old!K725</f>
        <v>14</v>
      </c>
      <c r="L721" s="29">
        <f>Item_Enchant_Old!L725</f>
        <v>0</v>
      </c>
      <c r="M721" s="29">
        <f>Item_Enchant_Old!M725</f>
        <v>6</v>
      </c>
      <c r="N721" s="29">
        <f>Item_Enchant_Old!N725</f>
        <v>57</v>
      </c>
      <c r="O721" s="29">
        <f>Item_Enchant_Old!O725</f>
        <v>1</v>
      </c>
      <c r="P721" s="29">
        <f>Item_Enchant_Old!P725</f>
        <v>1</v>
      </c>
      <c r="Q721" s="29">
        <f>Item_Enchant_Old!Q725</f>
        <v>1</v>
      </c>
      <c r="R721" s="29">
        <f>Item_Enchant_Old!R725</f>
        <v>1</v>
      </c>
    </row>
    <row r="722" spans="1:18" s="29" customFormat="1" hidden="1">
      <c r="A722" s="29">
        <f>Item_Enchant_Old!A726</f>
        <v>721</v>
      </c>
      <c r="B722" s="29" t="str">
        <f>Item_Enchant_Old!B726</f>
        <v>ACTIVE_SOL_UP</v>
      </c>
      <c r="C722" s="29">
        <f>Item_Enchant_Old!C726</f>
        <v>614</v>
      </c>
      <c r="D722" s="29">
        <f>Item_Enchant_Old!D726</f>
        <v>0</v>
      </c>
      <c r="E722" s="29">
        <f>Item_Enchant_Old!E726</f>
        <v>0</v>
      </c>
      <c r="F722" s="29">
        <f>Item_Enchant_Old!F726</f>
        <v>0</v>
      </c>
      <c r="G722" s="29">
        <f>Item_Enchant_Old!G726</f>
        <v>2</v>
      </c>
      <c r="H722" s="29" t="str">
        <f>Item_Enchant_Old!H726</f>
        <v>@</v>
      </c>
      <c r="I722" s="29">
        <f>Item_Enchant_Old!I726</f>
        <v>1</v>
      </c>
      <c r="J722" s="29" t="str">
        <f>Item_Enchant_Old!J726</f>
        <v>절대값/상대값(%) 가능</v>
      </c>
      <c r="K722" s="29">
        <f>Item_Enchant_Old!K726</f>
        <v>14</v>
      </c>
      <c r="L722" s="29">
        <f>Item_Enchant_Old!L726</f>
        <v>0</v>
      </c>
      <c r="M722" s="29">
        <f>Item_Enchant_Old!M726</f>
        <v>6</v>
      </c>
      <c r="N722" s="29">
        <f>Item_Enchant_Old!N726</f>
        <v>53</v>
      </c>
      <c r="O722" s="29">
        <f>Item_Enchant_Old!O726</f>
        <v>1</v>
      </c>
      <c r="P722" s="29">
        <f>Item_Enchant_Old!P726</f>
        <v>1</v>
      </c>
      <c r="Q722" s="29">
        <f>Item_Enchant_Old!Q726</f>
        <v>1</v>
      </c>
      <c r="R722" s="29">
        <f>Item_Enchant_Old!R726</f>
        <v>1</v>
      </c>
    </row>
    <row r="723" spans="1:18" s="29" customFormat="1" hidden="1">
      <c r="A723" s="29">
        <f>Item_Enchant_Old!A727</f>
        <v>722</v>
      </c>
      <c r="B723" s="29" t="str">
        <f>Item_Enchant_Old!B727</f>
        <v>ACTIVE_PHYSICAL_CRITICAL_DAMAGE_UP</v>
      </c>
      <c r="C723" s="29">
        <f>Item_Enchant_Old!C727</f>
        <v>658</v>
      </c>
      <c r="D723" s="29">
        <f>Item_Enchant_Old!D727</f>
        <v>0</v>
      </c>
      <c r="E723" s="29">
        <f>Item_Enchant_Old!E727</f>
        <v>0</v>
      </c>
      <c r="F723" s="29">
        <f>Item_Enchant_Old!F727</f>
        <v>0</v>
      </c>
      <c r="G723" s="29">
        <f>Item_Enchant_Old!G727</f>
        <v>4</v>
      </c>
      <c r="H723" s="29" t="str">
        <f>Item_Enchant_Old!H727</f>
        <v>@</v>
      </c>
      <c r="I723" s="29">
        <f>Item_Enchant_Old!I727</f>
        <v>1</v>
      </c>
      <c r="J723" s="29" t="str">
        <f>Item_Enchant_Old!J727</f>
        <v>절대값만 가능</v>
      </c>
      <c r="K723" s="29">
        <f>Item_Enchant_Old!K727</f>
        <v>14</v>
      </c>
      <c r="L723" s="29">
        <f>Item_Enchant_Old!L727</f>
        <v>0</v>
      </c>
      <c r="M723" s="29">
        <f>Item_Enchant_Old!M727</f>
        <v>6</v>
      </c>
      <c r="N723" s="29">
        <f>Item_Enchant_Old!N727</f>
        <v>28</v>
      </c>
      <c r="O723" s="29">
        <f>Item_Enchant_Old!O727</f>
        <v>1</v>
      </c>
      <c r="P723" s="29">
        <f>Item_Enchant_Old!P727</f>
        <v>1</v>
      </c>
      <c r="Q723" s="29">
        <f>Item_Enchant_Old!Q727</f>
        <v>1</v>
      </c>
      <c r="R723" s="29">
        <f>Item_Enchant_Old!R727</f>
        <v>1</v>
      </c>
    </row>
    <row r="724" spans="1:18" s="29" customFormat="1" hidden="1">
      <c r="A724" s="29">
        <f>Item_Enchant_Old!A728</f>
        <v>723</v>
      </c>
      <c r="B724" s="29" t="str">
        <f>Item_Enchant_Old!B728</f>
        <v>ACTIVE_ENERGY_CRITICAL_DAMAGE_UP</v>
      </c>
      <c r="C724" s="29">
        <f>Item_Enchant_Old!C728</f>
        <v>659</v>
      </c>
      <c r="D724" s="29">
        <f>Item_Enchant_Old!D728</f>
        <v>0</v>
      </c>
      <c r="E724" s="29">
        <f>Item_Enchant_Old!E728</f>
        <v>0</v>
      </c>
      <c r="F724" s="29">
        <f>Item_Enchant_Old!F728</f>
        <v>0</v>
      </c>
      <c r="G724" s="29">
        <f>Item_Enchant_Old!G728</f>
        <v>4</v>
      </c>
      <c r="H724" s="29" t="str">
        <f>Item_Enchant_Old!H728</f>
        <v>@</v>
      </c>
      <c r="I724" s="29">
        <f>Item_Enchant_Old!I728</f>
        <v>1</v>
      </c>
      <c r="J724" s="29" t="str">
        <f>Item_Enchant_Old!J728</f>
        <v>절대값만 가능</v>
      </c>
      <c r="K724" s="29">
        <f>Item_Enchant_Old!K728</f>
        <v>14</v>
      </c>
      <c r="L724" s="29">
        <f>Item_Enchant_Old!L728</f>
        <v>0</v>
      </c>
      <c r="M724" s="29">
        <f>Item_Enchant_Old!M728</f>
        <v>6</v>
      </c>
      <c r="N724" s="29">
        <f>Item_Enchant_Old!N728</f>
        <v>32</v>
      </c>
      <c r="O724" s="29">
        <f>Item_Enchant_Old!O728</f>
        <v>1</v>
      </c>
      <c r="P724" s="29">
        <f>Item_Enchant_Old!P728</f>
        <v>1</v>
      </c>
      <c r="Q724" s="29">
        <f>Item_Enchant_Old!Q728</f>
        <v>1</v>
      </c>
      <c r="R724" s="29">
        <f>Item_Enchant_Old!R728</f>
        <v>1</v>
      </c>
    </row>
    <row r="725" spans="1:18" s="29" customFormat="1" hidden="1">
      <c r="A725" s="29">
        <f>Item_Enchant_Old!A729</f>
        <v>724</v>
      </c>
      <c r="B725" s="29" t="str">
        <f>Item_Enchant_Old!B729</f>
        <v>ACTIVE_FOC_UP</v>
      </c>
      <c r="C725" s="29">
        <f>Item_Enchant_Old!C729</f>
        <v>612</v>
      </c>
      <c r="D725" s="29">
        <f>Item_Enchant_Old!D729</f>
        <v>0</v>
      </c>
      <c r="E725" s="29">
        <f>Item_Enchant_Old!E729</f>
        <v>0</v>
      </c>
      <c r="F725" s="29">
        <f>Item_Enchant_Old!F729</f>
        <v>0</v>
      </c>
      <c r="G725" s="29">
        <f>Item_Enchant_Old!G729</f>
        <v>2</v>
      </c>
      <c r="H725" s="29" t="str">
        <f>Item_Enchant_Old!H729</f>
        <v>@</v>
      </c>
      <c r="I725" s="29">
        <f>Item_Enchant_Old!I729</f>
        <v>1</v>
      </c>
      <c r="J725" s="29" t="str">
        <f>Item_Enchant_Old!J729</f>
        <v>절대값/상대값(%) 가능</v>
      </c>
      <c r="K725" s="29">
        <f>Item_Enchant_Old!K729</f>
        <v>14</v>
      </c>
      <c r="L725" s="29">
        <f>Item_Enchant_Old!L729</f>
        <v>0</v>
      </c>
      <c r="M725" s="29">
        <f>Item_Enchant_Old!M729</f>
        <v>7</v>
      </c>
      <c r="N725" s="29">
        <f>Item_Enchant_Old!N729</f>
        <v>53</v>
      </c>
      <c r="O725" s="29">
        <f>Item_Enchant_Old!O729</f>
        <v>1</v>
      </c>
      <c r="P725" s="29">
        <f>Item_Enchant_Old!P729</f>
        <v>1</v>
      </c>
      <c r="Q725" s="29">
        <f>Item_Enchant_Old!Q729</f>
        <v>1</v>
      </c>
      <c r="R725" s="29">
        <f>Item_Enchant_Old!R729</f>
        <v>1</v>
      </c>
    </row>
    <row r="726" spans="1:18" s="29" customFormat="1" hidden="1">
      <c r="A726" s="29">
        <f>Item_Enchant_Old!A730</f>
        <v>725</v>
      </c>
      <c r="B726" s="29" t="str">
        <f>Item_Enchant_Old!B730</f>
        <v>ACTIVE_ATTACK_RATE_UP</v>
      </c>
      <c r="C726" s="29">
        <f>Item_Enchant_Old!C730</f>
        <v>618</v>
      </c>
      <c r="D726" s="29">
        <f>Item_Enchant_Old!D730</f>
        <v>0</v>
      </c>
      <c r="E726" s="29">
        <f>Item_Enchant_Old!E730</f>
        <v>0</v>
      </c>
      <c r="F726" s="29">
        <f>Item_Enchant_Old!F730</f>
        <v>0</v>
      </c>
      <c r="G726" s="29">
        <f>Item_Enchant_Old!G730</f>
        <v>1</v>
      </c>
      <c r="H726" s="29" t="str">
        <f>Item_Enchant_Old!H730</f>
        <v>@</v>
      </c>
      <c r="I726" s="29">
        <f>Item_Enchant_Old!I730</f>
        <v>1</v>
      </c>
      <c r="J726" s="29" t="str">
        <f>Item_Enchant_Old!J730</f>
        <v>절대값/상대값(%) 가능</v>
      </c>
      <c r="K726" s="29">
        <f>Item_Enchant_Old!K730</f>
        <v>14</v>
      </c>
      <c r="L726" s="29">
        <f>Item_Enchant_Old!L730</f>
        <v>0</v>
      </c>
      <c r="M726" s="29">
        <f>Item_Enchant_Old!M730</f>
        <v>7</v>
      </c>
      <c r="N726" s="29">
        <f>Item_Enchant_Old!N730</f>
        <v>528</v>
      </c>
      <c r="O726" s="29">
        <f>Item_Enchant_Old!O730</f>
        <v>1</v>
      </c>
      <c r="P726" s="29">
        <f>Item_Enchant_Old!P730</f>
        <v>1</v>
      </c>
      <c r="Q726" s="29">
        <f>Item_Enchant_Old!Q730</f>
        <v>1</v>
      </c>
      <c r="R726" s="29">
        <f>Item_Enchant_Old!R730</f>
        <v>1</v>
      </c>
    </row>
    <row r="727" spans="1:18" s="29" customFormat="1" hidden="1">
      <c r="A727" s="29">
        <f>Item_Enchant_Old!A731</f>
        <v>726</v>
      </c>
      <c r="B727" s="29" t="str">
        <f>Item_Enchant_Old!B731</f>
        <v>ACTIVE_ENG_UP</v>
      </c>
      <c r="C727" s="29">
        <f>Item_Enchant_Old!C731</f>
        <v>615</v>
      </c>
      <c r="D727" s="29">
        <f>Item_Enchant_Old!D731</f>
        <v>0</v>
      </c>
      <c r="E727" s="29">
        <f>Item_Enchant_Old!E731</f>
        <v>0</v>
      </c>
      <c r="F727" s="29">
        <f>Item_Enchant_Old!F731</f>
        <v>0</v>
      </c>
      <c r="G727" s="29">
        <f>Item_Enchant_Old!G731</f>
        <v>2</v>
      </c>
      <c r="H727" s="29" t="str">
        <f>Item_Enchant_Old!H731</f>
        <v>@</v>
      </c>
      <c r="I727" s="29">
        <f>Item_Enchant_Old!I731</f>
        <v>1</v>
      </c>
      <c r="J727" s="29" t="str">
        <f>Item_Enchant_Old!J731</f>
        <v>절대값/상대값(%) 가능</v>
      </c>
      <c r="K727" s="29">
        <f>Item_Enchant_Old!K731</f>
        <v>14</v>
      </c>
      <c r="L727" s="29">
        <f>Item_Enchant_Old!L731</f>
        <v>0</v>
      </c>
      <c r="M727" s="29">
        <f>Item_Enchant_Old!M731</f>
        <v>7</v>
      </c>
      <c r="N727" s="29">
        <f>Item_Enchant_Old!N731</f>
        <v>62</v>
      </c>
      <c r="O727" s="29">
        <f>Item_Enchant_Old!O731</f>
        <v>1</v>
      </c>
      <c r="P727" s="29">
        <f>Item_Enchant_Old!P731</f>
        <v>1</v>
      </c>
      <c r="Q727" s="29">
        <f>Item_Enchant_Old!Q731</f>
        <v>1</v>
      </c>
      <c r="R727" s="29">
        <f>Item_Enchant_Old!R731</f>
        <v>1</v>
      </c>
    </row>
    <row r="728" spans="1:18" s="29" customFormat="1" hidden="1">
      <c r="A728" s="29">
        <f>Item_Enchant_Old!A732</f>
        <v>727</v>
      </c>
      <c r="B728" s="29" t="str">
        <f>Item_Enchant_Old!B732</f>
        <v>ACTIVE_PHYSICAL_CRITICAL</v>
      </c>
      <c r="C728" s="29">
        <f>Item_Enchant_Old!C732</f>
        <v>632</v>
      </c>
      <c r="D728" s="29">
        <f>Item_Enchant_Old!D732</f>
        <v>0</v>
      </c>
      <c r="E728" s="29">
        <f>Item_Enchant_Old!E732</f>
        <v>0</v>
      </c>
      <c r="F728" s="29">
        <f>Item_Enchant_Old!F732</f>
        <v>0</v>
      </c>
      <c r="G728" s="29">
        <f>Item_Enchant_Old!G732</f>
        <v>5</v>
      </c>
      <c r="H728" s="29" t="str">
        <f>Item_Enchant_Old!H732</f>
        <v>@</v>
      </c>
      <c r="I728" s="29">
        <f>Item_Enchant_Old!I732</f>
        <v>1</v>
      </c>
      <c r="J728" s="29" t="str">
        <f>Item_Enchant_Old!J732</f>
        <v>절대값/상대값(%) 가능</v>
      </c>
      <c r="K728" s="29">
        <f>Item_Enchant_Old!K732</f>
        <v>14</v>
      </c>
      <c r="L728" s="29">
        <f>Item_Enchant_Old!L732</f>
        <v>0</v>
      </c>
      <c r="M728" s="29">
        <f>Item_Enchant_Old!M732</f>
        <v>7</v>
      </c>
      <c r="N728" s="29">
        <f>Item_Enchant_Old!N732</f>
        <v>21</v>
      </c>
      <c r="O728" s="29">
        <f>Item_Enchant_Old!O732</f>
        <v>1</v>
      </c>
      <c r="P728" s="29">
        <f>Item_Enchant_Old!P732</f>
        <v>1</v>
      </c>
      <c r="Q728" s="29">
        <f>Item_Enchant_Old!Q732</f>
        <v>1</v>
      </c>
      <c r="R728" s="29">
        <f>Item_Enchant_Old!R732</f>
        <v>1</v>
      </c>
    </row>
    <row r="729" spans="1:18" s="29" customFormat="1" hidden="1">
      <c r="A729" s="29">
        <f>Item_Enchant_Old!A733</f>
        <v>728</v>
      </c>
      <c r="B729" s="29" t="str">
        <f>Item_Enchant_Old!B733</f>
        <v>ACTIVE_ENERGY_CRITICAL</v>
      </c>
      <c r="C729" s="29">
        <f>Item_Enchant_Old!C733</f>
        <v>633</v>
      </c>
      <c r="D729" s="29">
        <f>Item_Enchant_Old!D733</f>
        <v>0</v>
      </c>
      <c r="E729" s="29">
        <f>Item_Enchant_Old!E733</f>
        <v>0</v>
      </c>
      <c r="F729" s="29">
        <f>Item_Enchant_Old!F733</f>
        <v>0</v>
      </c>
      <c r="G729" s="29">
        <f>Item_Enchant_Old!G733</f>
        <v>5</v>
      </c>
      <c r="H729" s="29" t="str">
        <f>Item_Enchant_Old!H733</f>
        <v>@</v>
      </c>
      <c r="I729" s="29">
        <f>Item_Enchant_Old!I733</f>
        <v>1</v>
      </c>
      <c r="J729" s="29" t="str">
        <f>Item_Enchant_Old!J733</f>
        <v>절대값/상대값(%) 가능</v>
      </c>
      <c r="K729" s="29">
        <f>Item_Enchant_Old!K733</f>
        <v>14</v>
      </c>
      <c r="L729" s="29">
        <f>Item_Enchant_Old!L733</f>
        <v>0</v>
      </c>
      <c r="M729" s="29">
        <f>Item_Enchant_Old!M733</f>
        <v>7</v>
      </c>
      <c r="N729" s="29">
        <f>Item_Enchant_Old!N733</f>
        <v>24</v>
      </c>
      <c r="O729" s="29">
        <f>Item_Enchant_Old!O733</f>
        <v>1</v>
      </c>
      <c r="P729" s="29">
        <f>Item_Enchant_Old!P733</f>
        <v>1</v>
      </c>
      <c r="Q729" s="29">
        <f>Item_Enchant_Old!Q733</f>
        <v>1</v>
      </c>
      <c r="R729" s="29">
        <f>Item_Enchant_Old!R733</f>
        <v>1</v>
      </c>
    </row>
    <row r="730" spans="1:18" s="29" customFormat="1" hidden="1">
      <c r="A730" s="29">
        <f>Item_Enchant_Old!A734</f>
        <v>729</v>
      </c>
      <c r="B730" s="29" t="str">
        <f>Item_Enchant_Old!B734</f>
        <v>ACTIVE_FOC_UP</v>
      </c>
      <c r="C730" s="29">
        <f>Item_Enchant_Old!C734</f>
        <v>612</v>
      </c>
      <c r="D730" s="29">
        <f>Item_Enchant_Old!D734</f>
        <v>0</v>
      </c>
      <c r="E730" s="29">
        <f>Item_Enchant_Old!E734</f>
        <v>0</v>
      </c>
      <c r="F730" s="29">
        <f>Item_Enchant_Old!F734</f>
        <v>0</v>
      </c>
      <c r="G730" s="29">
        <f>Item_Enchant_Old!G734</f>
        <v>2</v>
      </c>
      <c r="H730" s="29" t="str">
        <f>Item_Enchant_Old!H734</f>
        <v>@</v>
      </c>
      <c r="I730" s="29">
        <f>Item_Enchant_Old!I734</f>
        <v>1</v>
      </c>
      <c r="J730" s="29" t="str">
        <f>Item_Enchant_Old!J734</f>
        <v>절대값/상대값(%) 가능</v>
      </c>
      <c r="K730" s="29">
        <f>Item_Enchant_Old!K734</f>
        <v>14</v>
      </c>
      <c r="L730" s="29">
        <f>Item_Enchant_Old!L734</f>
        <v>0</v>
      </c>
      <c r="M730" s="29">
        <f>Item_Enchant_Old!M734</f>
        <v>8</v>
      </c>
      <c r="N730" s="29">
        <f>Item_Enchant_Old!N734</f>
        <v>53</v>
      </c>
      <c r="O730" s="29">
        <f>Item_Enchant_Old!O734</f>
        <v>1</v>
      </c>
      <c r="P730" s="29">
        <f>Item_Enchant_Old!P734</f>
        <v>1</v>
      </c>
      <c r="Q730" s="29">
        <f>Item_Enchant_Old!Q734</f>
        <v>1</v>
      </c>
      <c r="R730" s="29">
        <f>Item_Enchant_Old!R734</f>
        <v>1</v>
      </c>
    </row>
    <row r="731" spans="1:18" s="29" customFormat="1" hidden="1">
      <c r="A731" s="29">
        <f>Item_Enchant_Old!A735</f>
        <v>730</v>
      </c>
      <c r="B731" s="29" t="str">
        <f>Item_Enchant_Old!B735</f>
        <v>ACTIVE_CON_UP</v>
      </c>
      <c r="C731" s="29">
        <f>Item_Enchant_Old!C735</f>
        <v>611</v>
      </c>
      <c r="D731" s="29">
        <f>Item_Enchant_Old!D735</f>
        <v>0</v>
      </c>
      <c r="E731" s="29">
        <f>Item_Enchant_Old!E735</f>
        <v>0</v>
      </c>
      <c r="F731" s="29">
        <f>Item_Enchant_Old!F735</f>
        <v>0</v>
      </c>
      <c r="G731" s="29">
        <f>Item_Enchant_Old!G735</f>
        <v>3</v>
      </c>
      <c r="H731" s="29" t="str">
        <f>Item_Enchant_Old!H735</f>
        <v>@</v>
      </c>
      <c r="I731" s="29">
        <f>Item_Enchant_Old!I735</f>
        <v>1</v>
      </c>
      <c r="J731" s="29" t="str">
        <f>Item_Enchant_Old!J735</f>
        <v>절대값/상대값(%) 가능</v>
      </c>
      <c r="K731" s="29">
        <f>Item_Enchant_Old!K735</f>
        <v>14</v>
      </c>
      <c r="L731" s="29">
        <f>Item_Enchant_Old!L735</f>
        <v>0</v>
      </c>
      <c r="M731" s="29">
        <f>Item_Enchant_Old!M735</f>
        <v>8</v>
      </c>
      <c r="N731" s="29">
        <f>Item_Enchant_Old!N735</f>
        <v>48</v>
      </c>
      <c r="O731" s="29">
        <f>Item_Enchant_Old!O735</f>
        <v>1</v>
      </c>
      <c r="P731" s="29">
        <f>Item_Enchant_Old!P735</f>
        <v>1</v>
      </c>
      <c r="Q731" s="29">
        <f>Item_Enchant_Old!Q735</f>
        <v>1</v>
      </c>
      <c r="R731" s="29">
        <f>Item_Enchant_Old!R735</f>
        <v>1</v>
      </c>
    </row>
    <row r="732" spans="1:18" s="29" customFormat="1" hidden="1">
      <c r="A732" s="29">
        <f>Item_Enchant_Old!A736</f>
        <v>731</v>
      </c>
      <c r="B732" s="29" t="str">
        <f>Item_Enchant_Old!B736</f>
        <v>ACTIVE_BLOCK_RATE_UP</v>
      </c>
      <c r="C732" s="29">
        <f>Item_Enchant_Old!C736</f>
        <v>620</v>
      </c>
      <c r="D732" s="29">
        <f>Item_Enchant_Old!D736</f>
        <v>0</v>
      </c>
      <c r="E732" s="29">
        <f>Item_Enchant_Old!E736</f>
        <v>0</v>
      </c>
      <c r="F732" s="29">
        <f>Item_Enchant_Old!F736</f>
        <v>0</v>
      </c>
      <c r="G732" s="29">
        <f>Item_Enchant_Old!G736</f>
        <v>1</v>
      </c>
      <c r="H732" s="29" t="str">
        <f>Item_Enchant_Old!H736</f>
        <v>@</v>
      </c>
      <c r="I732" s="29">
        <f>Item_Enchant_Old!I736</f>
        <v>1</v>
      </c>
      <c r="J732" s="29" t="str">
        <f>Item_Enchant_Old!J736</f>
        <v>절대값/상대값(%) 가능</v>
      </c>
      <c r="K732" s="29">
        <f>Item_Enchant_Old!K736</f>
        <v>14</v>
      </c>
      <c r="L732" s="29">
        <f>Item_Enchant_Old!L736</f>
        <v>0</v>
      </c>
      <c r="M732" s="29">
        <f>Item_Enchant_Old!M736</f>
        <v>8</v>
      </c>
      <c r="N732" s="29">
        <f>Item_Enchant_Old!N736</f>
        <v>352</v>
      </c>
      <c r="O732" s="29">
        <f>Item_Enchant_Old!O736</f>
        <v>1</v>
      </c>
      <c r="P732" s="29">
        <f>Item_Enchant_Old!P736</f>
        <v>1</v>
      </c>
      <c r="Q732" s="29">
        <f>Item_Enchant_Old!Q736</f>
        <v>1</v>
      </c>
      <c r="R732" s="29">
        <f>Item_Enchant_Old!R736</f>
        <v>1</v>
      </c>
    </row>
    <row r="733" spans="1:18" s="29" customFormat="1" hidden="1">
      <c r="A733" s="29">
        <f>Item_Enchant_Old!A737</f>
        <v>732</v>
      </c>
      <c r="B733" s="29" t="str">
        <f>Item_Enchant_Old!B737</f>
        <v>ACTIVE_ENG_UP</v>
      </c>
      <c r="C733" s="29">
        <f>Item_Enchant_Old!C737</f>
        <v>615</v>
      </c>
      <c r="D733" s="29">
        <f>Item_Enchant_Old!D737</f>
        <v>0</v>
      </c>
      <c r="E733" s="29">
        <f>Item_Enchant_Old!E737</f>
        <v>0</v>
      </c>
      <c r="F733" s="29">
        <f>Item_Enchant_Old!F737</f>
        <v>0</v>
      </c>
      <c r="G733" s="29">
        <f>Item_Enchant_Old!G737</f>
        <v>2</v>
      </c>
      <c r="H733" s="29" t="str">
        <f>Item_Enchant_Old!H737</f>
        <v>@</v>
      </c>
      <c r="I733" s="29">
        <f>Item_Enchant_Old!I737</f>
        <v>1</v>
      </c>
      <c r="J733" s="29" t="str">
        <f>Item_Enchant_Old!J737</f>
        <v>절대값/상대값(%) 가능</v>
      </c>
      <c r="K733" s="29">
        <f>Item_Enchant_Old!K737</f>
        <v>14</v>
      </c>
      <c r="L733" s="29">
        <f>Item_Enchant_Old!L737</f>
        <v>0</v>
      </c>
      <c r="M733" s="29">
        <f>Item_Enchant_Old!M737</f>
        <v>8</v>
      </c>
      <c r="N733" s="29">
        <f>Item_Enchant_Old!N737</f>
        <v>62</v>
      </c>
      <c r="O733" s="29">
        <f>Item_Enchant_Old!O737</f>
        <v>1</v>
      </c>
      <c r="P733" s="29">
        <f>Item_Enchant_Old!P737</f>
        <v>1</v>
      </c>
      <c r="Q733" s="29">
        <f>Item_Enchant_Old!Q737</f>
        <v>1</v>
      </c>
      <c r="R733" s="29">
        <f>Item_Enchant_Old!R737</f>
        <v>1</v>
      </c>
    </row>
    <row r="734" spans="1:18" s="29" customFormat="1" hidden="1">
      <c r="A734" s="29">
        <f>Item_Enchant_Old!A738</f>
        <v>733</v>
      </c>
      <c r="B734" s="29" t="str">
        <f>Item_Enchant_Old!B738</f>
        <v>ACTIVE_PHYSICAL_CRITICAL</v>
      </c>
      <c r="C734" s="29">
        <f>Item_Enchant_Old!C738</f>
        <v>632</v>
      </c>
      <c r="D734" s="29">
        <f>Item_Enchant_Old!D738</f>
        <v>0</v>
      </c>
      <c r="E734" s="29">
        <f>Item_Enchant_Old!E738</f>
        <v>0</v>
      </c>
      <c r="F734" s="29">
        <f>Item_Enchant_Old!F738</f>
        <v>0</v>
      </c>
      <c r="G734" s="29">
        <f>Item_Enchant_Old!G738</f>
        <v>5</v>
      </c>
      <c r="H734" s="29" t="str">
        <f>Item_Enchant_Old!H738</f>
        <v>@</v>
      </c>
      <c r="I734" s="29">
        <f>Item_Enchant_Old!I738</f>
        <v>1</v>
      </c>
      <c r="J734" s="29" t="str">
        <f>Item_Enchant_Old!J738</f>
        <v>절대값/상대값(%) 가능</v>
      </c>
      <c r="K734" s="29">
        <f>Item_Enchant_Old!K738</f>
        <v>14</v>
      </c>
      <c r="L734" s="29">
        <f>Item_Enchant_Old!L738</f>
        <v>0</v>
      </c>
      <c r="M734" s="29">
        <f>Item_Enchant_Old!M738</f>
        <v>9</v>
      </c>
      <c r="N734" s="29">
        <f>Item_Enchant_Old!N738</f>
        <v>21</v>
      </c>
      <c r="O734" s="29">
        <f>Item_Enchant_Old!O738</f>
        <v>1</v>
      </c>
      <c r="P734" s="29">
        <f>Item_Enchant_Old!P738</f>
        <v>1</v>
      </c>
      <c r="Q734" s="29">
        <f>Item_Enchant_Old!Q738</f>
        <v>1</v>
      </c>
      <c r="R734" s="29">
        <f>Item_Enchant_Old!R738</f>
        <v>1</v>
      </c>
    </row>
    <row r="735" spans="1:18" s="29" customFormat="1" hidden="1">
      <c r="A735" s="29">
        <f>Item_Enchant_Old!A739</f>
        <v>734</v>
      </c>
      <c r="B735" s="29" t="str">
        <f>Item_Enchant_Old!B739</f>
        <v>ACTIVE_ENERGY_CRITICAL</v>
      </c>
      <c r="C735" s="29">
        <f>Item_Enchant_Old!C739</f>
        <v>633</v>
      </c>
      <c r="D735" s="29">
        <f>Item_Enchant_Old!D739</f>
        <v>0</v>
      </c>
      <c r="E735" s="29">
        <f>Item_Enchant_Old!E739</f>
        <v>0</v>
      </c>
      <c r="F735" s="29">
        <f>Item_Enchant_Old!F739</f>
        <v>0</v>
      </c>
      <c r="G735" s="29">
        <f>Item_Enchant_Old!G739</f>
        <v>5</v>
      </c>
      <c r="H735" s="29" t="str">
        <f>Item_Enchant_Old!H739</f>
        <v>@</v>
      </c>
      <c r="I735" s="29">
        <f>Item_Enchant_Old!I739</f>
        <v>1</v>
      </c>
      <c r="J735" s="29" t="str">
        <f>Item_Enchant_Old!J739</f>
        <v>절대값/상대값(%) 가능</v>
      </c>
      <c r="K735" s="29">
        <f>Item_Enchant_Old!K739</f>
        <v>14</v>
      </c>
      <c r="L735" s="29">
        <f>Item_Enchant_Old!L739</f>
        <v>0</v>
      </c>
      <c r="M735" s="29">
        <f>Item_Enchant_Old!M739</f>
        <v>9</v>
      </c>
      <c r="N735" s="29">
        <f>Item_Enchant_Old!N739</f>
        <v>24</v>
      </c>
      <c r="O735" s="29">
        <f>Item_Enchant_Old!O739</f>
        <v>1</v>
      </c>
      <c r="P735" s="29">
        <f>Item_Enchant_Old!P739</f>
        <v>1</v>
      </c>
      <c r="Q735" s="29">
        <f>Item_Enchant_Old!Q739</f>
        <v>1</v>
      </c>
      <c r="R735" s="29">
        <f>Item_Enchant_Old!R739</f>
        <v>1</v>
      </c>
    </row>
    <row r="736" spans="1:18" s="29" customFormat="1" hidden="1">
      <c r="A736" s="29">
        <f>Item_Enchant_Old!A740</f>
        <v>735</v>
      </c>
      <c r="B736" s="29" t="str">
        <f>Item_Enchant_Old!B740</f>
        <v>ACTIVE_DEX_UP</v>
      </c>
      <c r="C736" s="29">
        <f>Item_Enchant_Old!C740</f>
        <v>613</v>
      </c>
      <c r="D736" s="29">
        <f>Item_Enchant_Old!D740</f>
        <v>0</v>
      </c>
      <c r="E736" s="29">
        <f>Item_Enchant_Old!E740</f>
        <v>0</v>
      </c>
      <c r="F736" s="29">
        <f>Item_Enchant_Old!F740</f>
        <v>0</v>
      </c>
      <c r="G736" s="29">
        <f>Item_Enchant_Old!G740</f>
        <v>3</v>
      </c>
      <c r="H736" s="29" t="str">
        <f>Item_Enchant_Old!H740</f>
        <v>@</v>
      </c>
      <c r="I736" s="29">
        <f>Item_Enchant_Old!I740</f>
        <v>1</v>
      </c>
      <c r="J736" s="29" t="str">
        <f>Item_Enchant_Old!J740</f>
        <v>절대값/상대값(%) 가능</v>
      </c>
      <c r="K736" s="29">
        <f>Item_Enchant_Old!K740</f>
        <v>14</v>
      </c>
      <c r="L736" s="29">
        <f>Item_Enchant_Old!L740</f>
        <v>0</v>
      </c>
      <c r="M736" s="29">
        <f>Item_Enchant_Old!M740</f>
        <v>9</v>
      </c>
      <c r="N736" s="29">
        <f>Item_Enchant_Old!N740</f>
        <v>44</v>
      </c>
      <c r="O736" s="29">
        <f>Item_Enchant_Old!O740</f>
        <v>1</v>
      </c>
      <c r="P736" s="29">
        <f>Item_Enchant_Old!P740</f>
        <v>1</v>
      </c>
      <c r="Q736" s="29">
        <f>Item_Enchant_Old!Q740</f>
        <v>1</v>
      </c>
      <c r="R736" s="29">
        <f>Item_Enchant_Old!R740</f>
        <v>1</v>
      </c>
    </row>
    <row r="737" spans="1:18" s="29" customFormat="1" hidden="1">
      <c r="A737" s="29">
        <f>Item_Enchant_Old!A741</f>
        <v>736</v>
      </c>
      <c r="B737" s="29" t="str">
        <f>Item_Enchant_Old!B741</f>
        <v>ACTIVE_FOC_UP</v>
      </c>
      <c r="C737" s="29">
        <f>Item_Enchant_Old!C741</f>
        <v>612</v>
      </c>
      <c r="D737" s="29">
        <f>Item_Enchant_Old!D741</f>
        <v>0</v>
      </c>
      <c r="E737" s="29">
        <f>Item_Enchant_Old!E741</f>
        <v>0</v>
      </c>
      <c r="F737" s="29">
        <f>Item_Enchant_Old!F741</f>
        <v>0</v>
      </c>
      <c r="G737" s="29">
        <f>Item_Enchant_Old!G741</f>
        <v>2</v>
      </c>
      <c r="H737" s="29" t="str">
        <f>Item_Enchant_Old!H741</f>
        <v>@</v>
      </c>
      <c r="I737" s="29">
        <f>Item_Enchant_Old!I741</f>
        <v>1</v>
      </c>
      <c r="J737" s="29" t="str">
        <f>Item_Enchant_Old!J741</f>
        <v>절대값/상대값(%) 가능</v>
      </c>
      <c r="K737" s="29">
        <f>Item_Enchant_Old!K741</f>
        <v>14</v>
      </c>
      <c r="L737" s="29">
        <f>Item_Enchant_Old!L741</f>
        <v>0</v>
      </c>
      <c r="M737" s="29">
        <f>Item_Enchant_Old!M741</f>
        <v>9</v>
      </c>
      <c r="N737" s="29">
        <f>Item_Enchant_Old!N741</f>
        <v>53</v>
      </c>
      <c r="O737" s="29">
        <f>Item_Enchant_Old!O741</f>
        <v>1</v>
      </c>
      <c r="P737" s="29">
        <f>Item_Enchant_Old!P741</f>
        <v>1</v>
      </c>
      <c r="Q737" s="29">
        <f>Item_Enchant_Old!Q741</f>
        <v>1</v>
      </c>
      <c r="R737" s="29">
        <f>Item_Enchant_Old!R741</f>
        <v>1</v>
      </c>
    </row>
    <row r="738" spans="1:18" s="29" customFormat="1" hidden="1">
      <c r="A738" s="29">
        <f>Item_Enchant_Old!A742</f>
        <v>737</v>
      </c>
      <c r="B738" s="29" t="str">
        <f>Item_Enchant_Old!B742</f>
        <v>ACTIVE_PHYSICAL_CRITICAL_DAMAGE_UP</v>
      </c>
      <c r="C738" s="29">
        <f>Item_Enchant_Old!C742</f>
        <v>658</v>
      </c>
      <c r="D738" s="29">
        <f>Item_Enchant_Old!D742</f>
        <v>0</v>
      </c>
      <c r="E738" s="29">
        <f>Item_Enchant_Old!E742</f>
        <v>0</v>
      </c>
      <c r="F738" s="29">
        <f>Item_Enchant_Old!F742</f>
        <v>0</v>
      </c>
      <c r="G738" s="29">
        <f>Item_Enchant_Old!G742</f>
        <v>4</v>
      </c>
      <c r="H738" s="29" t="str">
        <f>Item_Enchant_Old!H742</f>
        <v>@</v>
      </c>
      <c r="I738" s="29">
        <f>Item_Enchant_Old!I742</f>
        <v>1</v>
      </c>
      <c r="J738" s="29" t="str">
        <f>Item_Enchant_Old!J742</f>
        <v>절대값만 가능</v>
      </c>
      <c r="K738" s="29">
        <f>Item_Enchant_Old!K742</f>
        <v>14</v>
      </c>
      <c r="L738" s="29">
        <f>Item_Enchant_Old!L742</f>
        <v>0</v>
      </c>
      <c r="M738" s="29">
        <f>Item_Enchant_Old!M742</f>
        <v>10</v>
      </c>
      <c r="N738" s="29">
        <f>Item_Enchant_Old!N742</f>
        <v>28</v>
      </c>
      <c r="O738" s="29">
        <f>Item_Enchant_Old!O742</f>
        <v>1</v>
      </c>
      <c r="P738" s="29">
        <f>Item_Enchant_Old!P742</f>
        <v>1</v>
      </c>
      <c r="Q738" s="29">
        <f>Item_Enchant_Old!Q742</f>
        <v>1</v>
      </c>
      <c r="R738" s="29">
        <f>Item_Enchant_Old!R742</f>
        <v>1</v>
      </c>
    </row>
    <row r="739" spans="1:18" s="29" customFormat="1" hidden="1">
      <c r="A739" s="29">
        <f>Item_Enchant_Old!A743</f>
        <v>738</v>
      </c>
      <c r="B739" s="29" t="str">
        <f>Item_Enchant_Old!B743</f>
        <v>ACTIVE_ENERGY_CRITICAL_DAMAGE_UP</v>
      </c>
      <c r="C739" s="29">
        <f>Item_Enchant_Old!C743</f>
        <v>659</v>
      </c>
      <c r="D739" s="29">
        <f>Item_Enchant_Old!D743</f>
        <v>0</v>
      </c>
      <c r="E739" s="29">
        <f>Item_Enchant_Old!E743</f>
        <v>0</v>
      </c>
      <c r="F739" s="29">
        <f>Item_Enchant_Old!F743</f>
        <v>0</v>
      </c>
      <c r="G739" s="29">
        <f>Item_Enchant_Old!G743</f>
        <v>4</v>
      </c>
      <c r="H739" s="29" t="str">
        <f>Item_Enchant_Old!H743</f>
        <v>@</v>
      </c>
      <c r="I739" s="29">
        <f>Item_Enchant_Old!I743</f>
        <v>1</v>
      </c>
      <c r="J739" s="29" t="str">
        <f>Item_Enchant_Old!J743</f>
        <v>절대값만 가능</v>
      </c>
      <c r="K739" s="29">
        <f>Item_Enchant_Old!K743</f>
        <v>14</v>
      </c>
      <c r="L739" s="29">
        <f>Item_Enchant_Old!L743</f>
        <v>0</v>
      </c>
      <c r="M739" s="29">
        <f>Item_Enchant_Old!M743</f>
        <v>10</v>
      </c>
      <c r="N739" s="29">
        <f>Item_Enchant_Old!N743</f>
        <v>32</v>
      </c>
      <c r="O739" s="29">
        <f>Item_Enchant_Old!O743</f>
        <v>1</v>
      </c>
      <c r="P739" s="29">
        <f>Item_Enchant_Old!P743</f>
        <v>1</v>
      </c>
      <c r="Q739" s="29">
        <f>Item_Enchant_Old!Q743</f>
        <v>1</v>
      </c>
      <c r="R739" s="29">
        <f>Item_Enchant_Old!R743</f>
        <v>1</v>
      </c>
    </row>
    <row r="740" spans="1:18" s="29" customFormat="1" hidden="1">
      <c r="A740" s="29">
        <f>Item_Enchant_Old!A744</f>
        <v>739</v>
      </c>
      <c r="B740" s="29" t="str">
        <f>Item_Enchant_Old!B744</f>
        <v>ACTIVE_DEX_UP</v>
      </c>
      <c r="C740" s="29">
        <f>Item_Enchant_Old!C744</f>
        <v>613</v>
      </c>
      <c r="D740" s="29">
        <f>Item_Enchant_Old!D744</f>
        <v>0</v>
      </c>
      <c r="E740" s="29">
        <f>Item_Enchant_Old!E744</f>
        <v>0</v>
      </c>
      <c r="F740" s="29">
        <f>Item_Enchant_Old!F744</f>
        <v>0</v>
      </c>
      <c r="G740" s="29">
        <f>Item_Enchant_Old!G744</f>
        <v>3</v>
      </c>
      <c r="H740" s="29" t="str">
        <f>Item_Enchant_Old!H744</f>
        <v>@</v>
      </c>
      <c r="I740" s="29">
        <f>Item_Enchant_Old!I744</f>
        <v>1</v>
      </c>
      <c r="J740" s="29" t="str">
        <f>Item_Enchant_Old!J744</f>
        <v>절대값/상대값(%) 가능</v>
      </c>
      <c r="K740" s="29">
        <f>Item_Enchant_Old!K744</f>
        <v>14</v>
      </c>
      <c r="L740" s="29">
        <f>Item_Enchant_Old!L744</f>
        <v>0</v>
      </c>
      <c r="M740" s="29">
        <f>Item_Enchant_Old!M744</f>
        <v>10</v>
      </c>
      <c r="N740" s="29">
        <f>Item_Enchant_Old!N744</f>
        <v>44</v>
      </c>
      <c r="O740" s="29">
        <f>Item_Enchant_Old!O744</f>
        <v>1</v>
      </c>
      <c r="P740" s="29">
        <f>Item_Enchant_Old!P744</f>
        <v>1</v>
      </c>
      <c r="Q740" s="29">
        <f>Item_Enchant_Old!Q744</f>
        <v>1</v>
      </c>
      <c r="R740" s="29">
        <f>Item_Enchant_Old!R744</f>
        <v>1</v>
      </c>
    </row>
    <row r="741" spans="1:18" s="29" customFormat="1" hidden="1">
      <c r="A741" s="29">
        <f>Item_Enchant_Old!A745</f>
        <v>740</v>
      </c>
      <c r="B741" s="29" t="str">
        <f>Item_Enchant_Old!B745</f>
        <v>ACTIVE_ATTACK_SPEED_UP</v>
      </c>
      <c r="C741" s="29">
        <f>Item_Enchant_Old!C745</f>
        <v>617</v>
      </c>
      <c r="D741" s="29">
        <f>Item_Enchant_Old!D745</f>
        <v>1</v>
      </c>
      <c r="E741" s="29">
        <f>Item_Enchant_Old!E745</f>
        <v>0</v>
      </c>
      <c r="F741" s="29">
        <f>Item_Enchant_Old!F745</f>
        <v>0</v>
      </c>
      <c r="G741" s="29">
        <f>Item_Enchant_Old!G745</f>
        <v>10</v>
      </c>
      <c r="H741" s="29" t="str">
        <f>Item_Enchant_Old!H745</f>
        <v>@</v>
      </c>
      <c r="I741" s="29">
        <f>Item_Enchant_Old!I745</f>
        <v>1</v>
      </c>
      <c r="J741" s="29" t="str">
        <f>Item_Enchant_Old!J745</f>
        <v>절대값/상대값(%) 가능</v>
      </c>
      <c r="K741" s="29">
        <f>Item_Enchant_Old!K745</f>
        <v>14</v>
      </c>
      <c r="L741" s="29">
        <f>Item_Enchant_Old!L745</f>
        <v>0</v>
      </c>
      <c r="M741" s="29">
        <f>Item_Enchant_Old!M745</f>
        <v>10</v>
      </c>
      <c r="N741" s="29">
        <f>Item_Enchant_Old!N745</f>
        <v>10</v>
      </c>
      <c r="O741" s="29">
        <f>Item_Enchant_Old!O745</f>
        <v>1</v>
      </c>
      <c r="P741" s="29">
        <f>Item_Enchant_Old!P745</f>
        <v>1</v>
      </c>
      <c r="Q741" s="29">
        <f>Item_Enchant_Old!Q745</f>
        <v>1</v>
      </c>
      <c r="R741" s="29">
        <f>Item_Enchant_Old!R745</f>
        <v>1</v>
      </c>
    </row>
    <row r="742" spans="1:18" s="29" customFormat="1" hidden="1">
      <c r="A742" s="29">
        <f>Item_Enchant_Old!A746</f>
        <v>741</v>
      </c>
      <c r="B742" s="29" t="str">
        <f>Item_Enchant_Old!B746</f>
        <v>ACTIVE_STR_UP</v>
      </c>
      <c r="C742" s="29">
        <f>Item_Enchant_Old!C746</f>
        <v>610</v>
      </c>
      <c r="D742" s="29">
        <f>Item_Enchant_Old!D746</f>
        <v>0</v>
      </c>
      <c r="E742" s="29">
        <f>Item_Enchant_Old!E746</f>
        <v>0</v>
      </c>
      <c r="F742" s="29">
        <f>Item_Enchant_Old!F746</f>
        <v>0</v>
      </c>
      <c r="G742" s="29">
        <f>Item_Enchant_Old!G746</f>
        <v>2</v>
      </c>
      <c r="H742" s="29" t="str">
        <f>Item_Enchant_Old!H746</f>
        <v>@</v>
      </c>
      <c r="I742" s="29">
        <f>Item_Enchant_Old!I746</f>
        <v>1</v>
      </c>
      <c r="J742" s="29" t="str">
        <f>Item_Enchant_Old!J746</f>
        <v>절대값/상대값(%) 가능</v>
      </c>
      <c r="K742" s="29">
        <f>Item_Enchant_Old!K746</f>
        <v>14</v>
      </c>
      <c r="L742" s="29">
        <f>Item_Enchant_Old!L746</f>
        <v>0</v>
      </c>
      <c r="M742" s="29">
        <f>Item_Enchant_Old!M746</f>
        <v>11</v>
      </c>
      <c r="N742" s="29">
        <f>Item_Enchant_Old!N746</f>
        <v>57</v>
      </c>
      <c r="O742" s="29">
        <f>Item_Enchant_Old!O746</f>
        <v>1</v>
      </c>
      <c r="P742" s="29">
        <f>Item_Enchant_Old!P746</f>
        <v>1</v>
      </c>
      <c r="Q742" s="29">
        <f>Item_Enchant_Old!Q746</f>
        <v>1</v>
      </c>
      <c r="R742" s="29">
        <f>Item_Enchant_Old!R746</f>
        <v>1</v>
      </c>
    </row>
    <row r="743" spans="1:18" s="29" customFormat="1" hidden="1">
      <c r="A743" s="29">
        <f>Item_Enchant_Old!A747</f>
        <v>742</v>
      </c>
      <c r="B743" s="29" t="str">
        <f>Item_Enchant_Old!B747</f>
        <v>ACTIVE_CON_UP</v>
      </c>
      <c r="C743" s="29">
        <f>Item_Enchant_Old!C747</f>
        <v>611</v>
      </c>
      <c r="D743" s="29">
        <f>Item_Enchant_Old!D747</f>
        <v>0</v>
      </c>
      <c r="E743" s="29">
        <f>Item_Enchant_Old!E747</f>
        <v>0</v>
      </c>
      <c r="F743" s="29">
        <f>Item_Enchant_Old!F747</f>
        <v>0</v>
      </c>
      <c r="G743" s="29">
        <f>Item_Enchant_Old!G747</f>
        <v>3</v>
      </c>
      <c r="H743" s="29" t="str">
        <f>Item_Enchant_Old!H747</f>
        <v>@</v>
      </c>
      <c r="I743" s="29">
        <f>Item_Enchant_Old!I747</f>
        <v>1</v>
      </c>
      <c r="J743" s="29" t="str">
        <f>Item_Enchant_Old!J747</f>
        <v>절대값/상대값(%) 가능</v>
      </c>
      <c r="K743" s="29">
        <f>Item_Enchant_Old!K747</f>
        <v>14</v>
      </c>
      <c r="L743" s="29">
        <f>Item_Enchant_Old!L747</f>
        <v>0</v>
      </c>
      <c r="M743" s="29">
        <f>Item_Enchant_Old!M747</f>
        <v>11</v>
      </c>
      <c r="N743" s="29">
        <f>Item_Enchant_Old!N747</f>
        <v>48</v>
      </c>
      <c r="O743" s="29">
        <f>Item_Enchant_Old!O747</f>
        <v>1</v>
      </c>
      <c r="P743" s="29">
        <f>Item_Enchant_Old!P747</f>
        <v>1</v>
      </c>
      <c r="Q743" s="29">
        <f>Item_Enchant_Old!Q747</f>
        <v>1</v>
      </c>
      <c r="R743" s="29">
        <f>Item_Enchant_Old!R747</f>
        <v>1</v>
      </c>
    </row>
    <row r="744" spans="1:18" s="29" customFormat="1" hidden="1">
      <c r="A744" s="29">
        <f>Item_Enchant_Old!A748</f>
        <v>743</v>
      </c>
      <c r="B744" s="29" t="str">
        <f>Item_Enchant_Old!B748</f>
        <v>ACTIVE_FOC_UP</v>
      </c>
      <c r="C744" s="29">
        <f>Item_Enchant_Old!C748</f>
        <v>612</v>
      </c>
      <c r="D744" s="29">
        <f>Item_Enchant_Old!D748</f>
        <v>0</v>
      </c>
      <c r="E744" s="29">
        <f>Item_Enchant_Old!E748</f>
        <v>0</v>
      </c>
      <c r="F744" s="29">
        <f>Item_Enchant_Old!F748</f>
        <v>0</v>
      </c>
      <c r="G744" s="29">
        <f>Item_Enchant_Old!G748</f>
        <v>2</v>
      </c>
      <c r="H744" s="29" t="str">
        <f>Item_Enchant_Old!H748</f>
        <v>@</v>
      </c>
      <c r="I744" s="29">
        <f>Item_Enchant_Old!I748</f>
        <v>1</v>
      </c>
      <c r="J744" s="29" t="str">
        <f>Item_Enchant_Old!J748</f>
        <v>절대값/상대값(%) 가능</v>
      </c>
      <c r="K744" s="29">
        <f>Item_Enchant_Old!K748</f>
        <v>14</v>
      </c>
      <c r="L744" s="29">
        <f>Item_Enchant_Old!L748</f>
        <v>0</v>
      </c>
      <c r="M744" s="29">
        <f>Item_Enchant_Old!M748</f>
        <v>11</v>
      </c>
      <c r="N744" s="29">
        <f>Item_Enchant_Old!N748</f>
        <v>53</v>
      </c>
      <c r="O744" s="29">
        <f>Item_Enchant_Old!O748</f>
        <v>1</v>
      </c>
      <c r="P744" s="29">
        <f>Item_Enchant_Old!P748</f>
        <v>1</v>
      </c>
      <c r="Q744" s="29">
        <f>Item_Enchant_Old!Q748</f>
        <v>1</v>
      </c>
      <c r="R744" s="29">
        <f>Item_Enchant_Old!R748</f>
        <v>1</v>
      </c>
    </row>
    <row r="745" spans="1:18" s="29" customFormat="1" hidden="1">
      <c r="A745" s="29">
        <f>Item_Enchant_Old!A749</f>
        <v>744</v>
      </c>
      <c r="B745" s="29" t="str">
        <f>Item_Enchant_Old!B749</f>
        <v>ACTIVE_DEX_UP</v>
      </c>
      <c r="C745" s="29">
        <f>Item_Enchant_Old!C749</f>
        <v>613</v>
      </c>
      <c r="D745" s="29">
        <f>Item_Enchant_Old!D749</f>
        <v>0</v>
      </c>
      <c r="E745" s="29">
        <f>Item_Enchant_Old!E749</f>
        <v>0</v>
      </c>
      <c r="F745" s="29">
        <f>Item_Enchant_Old!F749</f>
        <v>0</v>
      </c>
      <c r="G745" s="29">
        <f>Item_Enchant_Old!G749</f>
        <v>3</v>
      </c>
      <c r="H745" s="29" t="str">
        <f>Item_Enchant_Old!H749</f>
        <v>@</v>
      </c>
      <c r="I745" s="29">
        <f>Item_Enchant_Old!I749</f>
        <v>1</v>
      </c>
      <c r="J745" s="29" t="str">
        <f>Item_Enchant_Old!J749</f>
        <v>절대값/상대값(%) 가능</v>
      </c>
      <c r="K745" s="29">
        <f>Item_Enchant_Old!K749</f>
        <v>14</v>
      </c>
      <c r="L745" s="29">
        <f>Item_Enchant_Old!L749</f>
        <v>0</v>
      </c>
      <c r="M745" s="29">
        <f>Item_Enchant_Old!M749</f>
        <v>11</v>
      </c>
      <c r="N745" s="29">
        <f>Item_Enchant_Old!N749</f>
        <v>44</v>
      </c>
      <c r="O745" s="29">
        <f>Item_Enchant_Old!O749</f>
        <v>1</v>
      </c>
      <c r="P745" s="29">
        <f>Item_Enchant_Old!P749</f>
        <v>1</v>
      </c>
      <c r="Q745" s="29">
        <f>Item_Enchant_Old!Q749</f>
        <v>1</v>
      </c>
      <c r="R745" s="29">
        <f>Item_Enchant_Old!R749</f>
        <v>1</v>
      </c>
    </row>
    <row r="746" spans="1:18" s="29" customFormat="1" hidden="1">
      <c r="A746" s="29">
        <f>Item_Enchant_Old!A750</f>
        <v>745</v>
      </c>
      <c r="B746" s="29" t="str">
        <f>Item_Enchant_Old!B750</f>
        <v>ACTIVE_SOL_UP</v>
      </c>
      <c r="C746" s="29">
        <f>Item_Enchant_Old!C750</f>
        <v>614</v>
      </c>
      <c r="D746" s="29">
        <f>Item_Enchant_Old!D750</f>
        <v>0</v>
      </c>
      <c r="E746" s="29">
        <f>Item_Enchant_Old!E750</f>
        <v>0</v>
      </c>
      <c r="F746" s="29">
        <f>Item_Enchant_Old!F750</f>
        <v>0</v>
      </c>
      <c r="G746" s="29">
        <f>Item_Enchant_Old!G750</f>
        <v>2</v>
      </c>
      <c r="H746" s="29" t="str">
        <f>Item_Enchant_Old!H750</f>
        <v>@</v>
      </c>
      <c r="I746" s="29">
        <f>Item_Enchant_Old!I750</f>
        <v>1</v>
      </c>
      <c r="J746" s="29" t="str">
        <f>Item_Enchant_Old!J750</f>
        <v>절대값/상대값(%) 가능</v>
      </c>
      <c r="K746" s="29">
        <f>Item_Enchant_Old!K750</f>
        <v>14</v>
      </c>
      <c r="L746" s="29">
        <f>Item_Enchant_Old!L750</f>
        <v>0</v>
      </c>
      <c r="M746" s="29">
        <f>Item_Enchant_Old!M750</f>
        <v>11</v>
      </c>
      <c r="N746" s="29">
        <f>Item_Enchant_Old!N750</f>
        <v>53</v>
      </c>
      <c r="O746" s="29">
        <f>Item_Enchant_Old!O750</f>
        <v>1</v>
      </c>
      <c r="P746" s="29">
        <f>Item_Enchant_Old!P750</f>
        <v>1</v>
      </c>
      <c r="Q746" s="29">
        <f>Item_Enchant_Old!Q750</f>
        <v>1</v>
      </c>
      <c r="R746" s="29">
        <f>Item_Enchant_Old!R750</f>
        <v>1</v>
      </c>
    </row>
    <row r="747" spans="1:18" s="29" customFormat="1" hidden="1">
      <c r="A747" s="29">
        <f>Item_Enchant_Old!A751</f>
        <v>746</v>
      </c>
      <c r="B747" s="29" t="str">
        <f>Item_Enchant_Old!B751</f>
        <v>ACTIVE_ENG_UP</v>
      </c>
      <c r="C747" s="29">
        <f>Item_Enchant_Old!C751</f>
        <v>615</v>
      </c>
      <c r="D747" s="29">
        <f>Item_Enchant_Old!D751</f>
        <v>0</v>
      </c>
      <c r="E747" s="29">
        <f>Item_Enchant_Old!E751</f>
        <v>0</v>
      </c>
      <c r="F747" s="29">
        <f>Item_Enchant_Old!F751</f>
        <v>0</v>
      </c>
      <c r="G747" s="29">
        <f>Item_Enchant_Old!G751</f>
        <v>2</v>
      </c>
      <c r="H747" s="29" t="str">
        <f>Item_Enchant_Old!H751</f>
        <v>@</v>
      </c>
      <c r="I747" s="29">
        <f>Item_Enchant_Old!I751</f>
        <v>1</v>
      </c>
      <c r="J747" s="29" t="str">
        <f>Item_Enchant_Old!J751</f>
        <v>절대값/상대값(%) 가능</v>
      </c>
      <c r="K747" s="29">
        <f>Item_Enchant_Old!K751</f>
        <v>14</v>
      </c>
      <c r="L747" s="29">
        <f>Item_Enchant_Old!L751</f>
        <v>0</v>
      </c>
      <c r="M747" s="29">
        <f>Item_Enchant_Old!M751</f>
        <v>11</v>
      </c>
      <c r="N747" s="29">
        <f>Item_Enchant_Old!N751</f>
        <v>62</v>
      </c>
      <c r="O747" s="29">
        <f>Item_Enchant_Old!O751</f>
        <v>1</v>
      </c>
      <c r="P747" s="29">
        <f>Item_Enchant_Old!P751</f>
        <v>1</v>
      </c>
      <c r="Q747" s="29">
        <f>Item_Enchant_Old!Q751</f>
        <v>1</v>
      </c>
      <c r="R747" s="29">
        <f>Item_Enchant_Old!R751</f>
        <v>1</v>
      </c>
    </row>
    <row r="748" spans="1:18" s="29" customFormat="1" hidden="1">
      <c r="A748" s="29">
        <f>Item_Enchant_Old!A752</f>
        <v>747</v>
      </c>
      <c r="B748" s="29" t="str">
        <f>Item_Enchant_Old!B752</f>
        <v>ACTIVE_PHYSICAL_DEFENCE_UP</v>
      </c>
      <c r="C748" s="29">
        <f>Item_Enchant_Old!C752</f>
        <v>608</v>
      </c>
      <c r="D748" s="29">
        <f>Item_Enchant_Old!D752</f>
        <v>0</v>
      </c>
      <c r="E748" s="29">
        <f>Item_Enchant_Old!E752</f>
        <v>0</v>
      </c>
      <c r="F748" s="29">
        <f>Item_Enchant_Old!F752</f>
        <v>0</v>
      </c>
      <c r="G748" s="29">
        <f>Item_Enchant_Old!G752</f>
        <v>1</v>
      </c>
      <c r="H748" s="29" t="str">
        <f>Item_Enchant_Old!H752</f>
        <v>@</v>
      </c>
      <c r="I748" s="29">
        <f>Item_Enchant_Old!I752</f>
        <v>1</v>
      </c>
      <c r="J748" s="29" t="str">
        <f>Item_Enchant_Old!J752</f>
        <v>절대값/상대값(%) 가능</v>
      </c>
      <c r="K748" s="29">
        <f>Item_Enchant_Old!K752</f>
        <v>14</v>
      </c>
      <c r="L748" s="29">
        <f>Item_Enchant_Old!L752</f>
        <v>0</v>
      </c>
      <c r="M748" s="29">
        <f>Item_Enchant_Old!M752</f>
        <v>12</v>
      </c>
      <c r="N748" s="29">
        <f>Item_Enchant_Old!N752</f>
        <v>1350</v>
      </c>
      <c r="O748" s="29">
        <f>Item_Enchant_Old!O752</f>
        <v>1</v>
      </c>
      <c r="P748" s="29">
        <f>Item_Enchant_Old!P752</f>
        <v>1</v>
      </c>
      <c r="Q748" s="29">
        <f>Item_Enchant_Old!Q752</f>
        <v>1</v>
      </c>
      <c r="R748" s="29">
        <f>Item_Enchant_Old!R752</f>
        <v>1</v>
      </c>
    </row>
    <row r="749" spans="1:18" s="29" customFormat="1" hidden="1">
      <c r="A749" s="29">
        <f>Item_Enchant_Old!A753</f>
        <v>748</v>
      </c>
      <c r="B749" s="29" t="str">
        <f>Item_Enchant_Old!B753</f>
        <v>ACTIVE_BLOCK_RATE_UP</v>
      </c>
      <c r="C749" s="29">
        <f>Item_Enchant_Old!C753</f>
        <v>620</v>
      </c>
      <c r="D749" s="29">
        <f>Item_Enchant_Old!D753</f>
        <v>0</v>
      </c>
      <c r="E749" s="29">
        <f>Item_Enchant_Old!E753</f>
        <v>0</v>
      </c>
      <c r="F749" s="29">
        <f>Item_Enchant_Old!F753</f>
        <v>0</v>
      </c>
      <c r="G749" s="29">
        <f>Item_Enchant_Old!G753</f>
        <v>1</v>
      </c>
      <c r="H749" s="29" t="str">
        <f>Item_Enchant_Old!H753</f>
        <v>@</v>
      </c>
      <c r="I749" s="29">
        <f>Item_Enchant_Old!I753</f>
        <v>1</v>
      </c>
      <c r="J749" s="29" t="str">
        <f>Item_Enchant_Old!J753</f>
        <v>절대값/상대값(%) 가능</v>
      </c>
      <c r="K749" s="29">
        <f>Item_Enchant_Old!K753</f>
        <v>14</v>
      </c>
      <c r="L749" s="29">
        <f>Item_Enchant_Old!L753</f>
        <v>0</v>
      </c>
      <c r="M749" s="29">
        <f>Item_Enchant_Old!M753</f>
        <v>12</v>
      </c>
      <c r="N749" s="29">
        <f>Item_Enchant_Old!N753</f>
        <v>352</v>
      </c>
      <c r="O749" s="29">
        <f>Item_Enchant_Old!O753</f>
        <v>1</v>
      </c>
      <c r="P749" s="29">
        <f>Item_Enchant_Old!P753</f>
        <v>1</v>
      </c>
      <c r="Q749" s="29">
        <f>Item_Enchant_Old!Q753</f>
        <v>1</v>
      </c>
      <c r="R749" s="29">
        <f>Item_Enchant_Old!R753</f>
        <v>1</v>
      </c>
    </row>
    <row r="750" spans="1:18" s="29" customFormat="1" hidden="1">
      <c r="A750" s="29">
        <f>Item_Enchant_Old!A754</f>
        <v>749</v>
      </c>
      <c r="B750" s="29" t="str">
        <f>Item_Enchant_Old!B754</f>
        <v>ACTIVE_CON_UP</v>
      </c>
      <c r="C750" s="29">
        <f>Item_Enchant_Old!C754</f>
        <v>611</v>
      </c>
      <c r="D750" s="29">
        <f>Item_Enchant_Old!D754</f>
        <v>0</v>
      </c>
      <c r="E750" s="29">
        <f>Item_Enchant_Old!E754</f>
        <v>0</v>
      </c>
      <c r="F750" s="29">
        <f>Item_Enchant_Old!F754</f>
        <v>0</v>
      </c>
      <c r="G750" s="29">
        <f>Item_Enchant_Old!G754</f>
        <v>3</v>
      </c>
      <c r="H750" s="29" t="str">
        <f>Item_Enchant_Old!H754</f>
        <v>@</v>
      </c>
      <c r="I750" s="29">
        <f>Item_Enchant_Old!I754</f>
        <v>1</v>
      </c>
      <c r="J750" s="29" t="str">
        <f>Item_Enchant_Old!J754</f>
        <v>절대값/상대값(%) 가능</v>
      </c>
      <c r="K750" s="29">
        <f>Item_Enchant_Old!K754</f>
        <v>14</v>
      </c>
      <c r="L750" s="29">
        <f>Item_Enchant_Old!L754</f>
        <v>0</v>
      </c>
      <c r="M750" s="29">
        <f>Item_Enchant_Old!M754</f>
        <v>12</v>
      </c>
      <c r="N750" s="29">
        <f>Item_Enchant_Old!N754</f>
        <v>48</v>
      </c>
      <c r="O750" s="29">
        <f>Item_Enchant_Old!O754</f>
        <v>1</v>
      </c>
      <c r="P750" s="29">
        <f>Item_Enchant_Old!P754</f>
        <v>1</v>
      </c>
      <c r="Q750" s="29">
        <f>Item_Enchant_Old!Q754</f>
        <v>1</v>
      </c>
      <c r="R750" s="29">
        <f>Item_Enchant_Old!R754</f>
        <v>1</v>
      </c>
    </row>
    <row r="751" spans="1:18" s="29" customFormat="1" hidden="1">
      <c r="A751" s="29">
        <f>Item_Enchant_Old!A755</f>
        <v>750</v>
      </c>
      <c r="B751" s="29" t="str">
        <f>Item_Enchant_Old!B755</f>
        <v>ACTIVE_FOC_UP</v>
      </c>
      <c r="C751" s="29">
        <f>Item_Enchant_Old!C755</f>
        <v>612</v>
      </c>
      <c r="D751" s="29">
        <f>Item_Enchant_Old!D755</f>
        <v>0</v>
      </c>
      <c r="E751" s="29">
        <f>Item_Enchant_Old!E755</f>
        <v>0</v>
      </c>
      <c r="F751" s="29">
        <f>Item_Enchant_Old!F755</f>
        <v>0</v>
      </c>
      <c r="G751" s="29">
        <f>Item_Enchant_Old!G755</f>
        <v>2</v>
      </c>
      <c r="H751" s="29" t="str">
        <f>Item_Enchant_Old!H755</f>
        <v>@</v>
      </c>
      <c r="I751" s="29">
        <f>Item_Enchant_Old!I755</f>
        <v>1</v>
      </c>
      <c r="J751" s="29" t="str">
        <f>Item_Enchant_Old!J755</f>
        <v>절대값/상대값(%) 가능</v>
      </c>
      <c r="K751" s="29">
        <f>Item_Enchant_Old!K755</f>
        <v>14</v>
      </c>
      <c r="L751" s="29">
        <f>Item_Enchant_Old!L755</f>
        <v>0</v>
      </c>
      <c r="M751" s="29">
        <f>Item_Enchant_Old!M755</f>
        <v>12</v>
      </c>
      <c r="N751" s="29">
        <f>Item_Enchant_Old!N755</f>
        <v>53</v>
      </c>
      <c r="O751" s="29">
        <f>Item_Enchant_Old!O755</f>
        <v>1</v>
      </c>
      <c r="P751" s="29">
        <f>Item_Enchant_Old!P755</f>
        <v>1</v>
      </c>
      <c r="Q751" s="29">
        <f>Item_Enchant_Old!Q755</f>
        <v>1</v>
      </c>
      <c r="R751" s="29">
        <f>Item_Enchant_Old!R755</f>
        <v>1</v>
      </c>
    </row>
    <row r="752" spans="1:18" s="29" customFormat="1" hidden="1">
      <c r="A752" s="29">
        <f>Item_Enchant_Old!A756</f>
        <v>751</v>
      </c>
      <c r="B752" s="29" t="str">
        <f>Item_Enchant_Old!B756</f>
        <v>ACTIVE_PHYSICAL_OFFENCE_UP</v>
      </c>
      <c r="C752" s="29">
        <f>Item_Enchant_Old!C756</f>
        <v>606</v>
      </c>
      <c r="D752" s="29">
        <f>Item_Enchant_Old!D756</f>
        <v>0</v>
      </c>
      <c r="E752" s="29">
        <f>Item_Enchant_Old!E756</f>
        <v>0</v>
      </c>
      <c r="F752" s="29">
        <f>Item_Enchant_Old!F756</f>
        <v>0</v>
      </c>
      <c r="G752" s="29">
        <f>Item_Enchant_Old!G756</f>
        <v>1</v>
      </c>
      <c r="H752" s="29" t="str">
        <f>Item_Enchant_Old!H756</f>
        <v>@</v>
      </c>
      <c r="I752" s="29">
        <f>Item_Enchant_Old!I756</f>
        <v>1</v>
      </c>
      <c r="J752" s="29" t="str">
        <f>Item_Enchant_Old!J756</f>
        <v>절대값/상대값(%) 가능</v>
      </c>
      <c r="K752" s="29">
        <f>Item_Enchant_Old!K756</f>
        <v>15</v>
      </c>
      <c r="L752" s="29">
        <f>Item_Enchant_Old!L756</f>
        <v>0</v>
      </c>
      <c r="M752" s="29">
        <f>Item_Enchant_Old!M756</f>
        <v>1</v>
      </c>
      <c r="N752" s="29">
        <f>Item_Enchant_Old!N756</f>
        <v>125</v>
      </c>
      <c r="O752" s="29">
        <f>Item_Enchant_Old!O756</f>
        <v>1</v>
      </c>
      <c r="P752" s="29">
        <f>Item_Enchant_Old!P756</f>
        <v>1</v>
      </c>
      <c r="Q752" s="29">
        <f>Item_Enchant_Old!Q756</f>
        <v>1</v>
      </c>
      <c r="R752" s="29">
        <f>Item_Enchant_Old!R756</f>
        <v>1</v>
      </c>
    </row>
    <row r="753" spans="1:18" s="29" customFormat="1" hidden="1">
      <c r="A753" s="29">
        <f>Item_Enchant_Old!A757</f>
        <v>752</v>
      </c>
      <c r="B753" s="29" t="str">
        <f>Item_Enchant_Old!B757</f>
        <v>ACTIVE_STR_UP</v>
      </c>
      <c r="C753" s="29">
        <f>Item_Enchant_Old!C757</f>
        <v>610</v>
      </c>
      <c r="D753" s="29">
        <f>Item_Enchant_Old!D757</f>
        <v>0</v>
      </c>
      <c r="E753" s="29">
        <f>Item_Enchant_Old!E757</f>
        <v>0</v>
      </c>
      <c r="F753" s="29">
        <f>Item_Enchant_Old!F757</f>
        <v>0</v>
      </c>
      <c r="G753" s="29">
        <f>Item_Enchant_Old!G757</f>
        <v>2</v>
      </c>
      <c r="H753" s="29" t="str">
        <f>Item_Enchant_Old!H757</f>
        <v>@</v>
      </c>
      <c r="I753" s="29">
        <f>Item_Enchant_Old!I757</f>
        <v>1</v>
      </c>
      <c r="J753" s="29" t="str">
        <f>Item_Enchant_Old!J757</f>
        <v>절대값/상대값(%) 가능</v>
      </c>
      <c r="K753" s="29">
        <f>Item_Enchant_Old!K757</f>
        <v>15</v>
      </c>
      <c r="L753" s="29">
        <f>Item_Enchant_Old!L757</f>
        <v>0</v>
      </c>
      <c r="M753" s="29">
        <f>Item_Enchant_Old!M757</f>
        <v>1</v>
      </c>
      <c r="N753" s="29">
        <f>Item_Enchant_Old!N757</f>
        <v>57</v>
      </c>
      <c r="O753" s="29">
        <f>Item_Enchant_Old!O757</f>
        <v>1</v>
      </c>
      <c r="P753" s="29">
        <f>Item_Enchant_Old!P757</f>
        <v>1</v>
      </c>
      <c r="Q753" s="29">
        <f>Item_Enchant_Old!Q757</f>
        <v>1</v>
      </c>
      <c r="R753" s="29">
        <f>Item_Enchant_Old!R757</f>
        <v>1</v>
      </c>
    </row>
    <row r="754" spans="1:18" s="29" customFormat="1" hidden="1">
      <c r="A754" s="29">
        <f>Item_Enchant_Old!A758</f>
        <v>753</v>
      </c>
      <c r="B754" s="29" t="str">
        <f>Item_Enchant_Old!B758</f>
        <v>ACTIVE_DEX_UP</v>
      </c>
      <c r="C754" s="29">
        <f>Item_Enchant_Old!C758</f>
        <v>613</v>
      </c>
      <c r="D754" s="29">
        <f>Item_Enchant_Old!D758</f>
        <v>0</v>
      </c>
      <c r="E754" s="29">
        <f>Item_Enchant_Old!E758</f>
        <v>0</v>
      </c>
      <c r="F754" s="29">
        <f>Item_Enchant_Old!F758</f>
        <v>0</v>
      </c>
      <c r="G754" s="29">
        <f>Item_Enchant_Old!G758</f>
        <v>3</v>
      </c>
      <c r="H754" s="29" t="str">
        <f>Item_Enchant_Old!H758</f>
        <v>@</v>
      </c>
      <c r="I754" s="29">
        <f>Item_Enchant_Old!I758</f>
        <v>1</v>
      </c>
      <c r="J754" s="29" t="str">
        <f>Item_Enchant_Old!J758</f>
        <v>절대값/상대값(%) 가능</v>
      </c>
      <c r="K754" s="29">
        <f>Item_Enchant_Old!K758</f>
        <v>15</v>
      </c>
      <c r="L754" s="29">
        <f>Item_Enchant_Old!L758</f>
        <v>0</v>
      </c>
      <c r="M754" s="29">
        <f>Item_Enchant_Old!M758</f>
        <v>1</v>
      </c>
      <c r="N754" s="29">
        <f>Item_Enchant_Old!N758</f>
        <v>44</v>
      </c>
      <c r="O754" s="29">
        <f>Item_Enchant_Old!O758</f>
        <v>1</v>
      </c>
      <c r="P754" s="29">
        <f>Item_Enchant_Old!P758</f>
        <v>1</v>
      </c>
      <c r="Q754" s="29">
        <f>Item_Enchant_Old!Q758</f>
        <v>1</v>
      </c>
      <c r="R754" s="29">
        <f>Item_Enchant_Old!R758</f>
        <v>1</v>
      </c>
    </row>
    <row r="755" spans="1:18" s="29" customFormat="1" hidden="1">
      <c r="A755" s="29">
        <f>Item_Enchant_Old!A759</f>
        <v>754</v>
      </c>
      <c r="B755" s="29" t="str">
        <f>Item_Enchant_Old!B759</f>
        <v>ACTIVE_PHYSICAL_CRITICAL_DAMAGE_UP</v>
      </c>
      <c r="C755" s="29">
        <f>Item_Enchant_Old!C759</f>
        <v>658</v>
      </c>
      <c r="D755" s="29">
        <f>Item_Enchant_Old!D759</f>
        <v>0</v>
      </c>
      <c r="E755" s="29">
        <f>Item_Enchant_Old!E759</f>
        <v>0</v>
      </c>
      <c r="F755" s="29">
        <f>Item_Enchant_Old!F759</f>
        <v>0</v>
      </c>
      <c r="G755" s="29">
        <f>Item_Enchant_Old!G759</f>
        <v>4</v>
      </c>
      <c r="H755" s="29" t="str">
        <f>Item_Enchant_Old!H759</f>
        <v>@</v>
      </c>
      <c r="I755" s="29">
        <f>Item_Enchant_Old!I759</f>
        <v>1</v>
      </c>
      <c r="J755" s="29" t="str">
        <f>Item_Enchant_Old!J759</f>
        <v>절대값만 가능</v>
      </c>
      <c r="K755" s="29">
        <f>Item_Enchant_Old!K759</f>
        <v>15</v>
      </c>
      <c r="L755" s="29">
        <f>Item_Enchant_Old!L759</f>
        <v>0</v>
      </c>
      <c r="M755" s="29">
        <f>Item_Enchant_Old!M759</f>
        <v>1</v>
      </c>
      <c r="N755" s="29">
        <f>Item_Enchant_Old!N759</f>
        <v>28</v>
      </c>
      <c r="O755" s="29">
        <f>Item_Enchant_Old!O759</f>
        <v>1</v>
      </c>
      <c r="P755" s="29">
        <f>Item_Enchant_Old!P759</f>
        <v>1</v>
      </c>
      <c r="Q755" s="29">
        <f>Item_Enchant_Old!Q759</f>
        <v>1</v>
      </c>
      <c r="R755" s="29">
        <f>Item_Enchant_Old!R759</f>
        <v>1</v>
      </c>
    </row>
    <row r="756" spans="1:18" s="29" customFormat="1" hidden="1">
      <c r="A756" s="29">
        <f>Item_Enchant_Old!A760</f>
        <v>755</v>
      </c>
      <c r="B756" s="29" t="str">
        <f>Item_Enchant_Old!B760</f>
        <v>ACTIVE_PHYSICAL_CRITICAL_DAMAGE_UP</v>
      </c>
      <c r="C756" s="29">
        <f>Item_Enchant_Old!C760</f>
        <v>658</v>
      </c>
      <c r="D756" s="29">
        <f>Item_Enchant_Old!D760</f>
        <v>0</v>
      </c>
      <c r="E756" s="29">
        <f>Item_Enchant_Old!E760</f>
        <v>0</v>
      </c>
      <c r="F756" s="29">
        <f>Item_Enchant_Old!F760</f>
        <v>0</v>
      </c>
      <c r="G756" s="29">
        <f>Item_Enchant_Old!G760</f>
        <v>4</v>
      </c>
      <c r="H756" s="29" t="str">
        <f>Item_Enchant_Old!H760</f>
        <v>@</v>
      </c>
      <c r="I756" s="29">
        <f>Item_Enchant_Old!I760</f>
        <v>1</v>
      </c>
      <c r="J756" s="29" t="str">
        <f>Item_Enchant_Old!J760</f>
        <v>절대값만 가능</v>
      </c>
      <c r="K756" s="29">
        <f>Item_Enchant_Old!K760</f>
        <v>15</v>
      </c>
      <c r="L756" s="29">
        <f>Item_Enchant_Old!L760</f>
        <v>0</v>
      </c>
      <c r="M756" s="29">
        <f>Item_Enchant_Old!M760</f>
        <v>2</v>
      </c>
      <c r="N756" s="29">
        <f>Item_Enchant_Old!N760</f>
        <v>28</v>
      </c>
      <c r="O756" s="29">
        <f>Item_Enchant_Old!O760</f>
        <v>1</v>
      </c>
      <c r="P756" s="29">
        <f>Item_Enchant_Old!P760</f>
        <v>1</v>
      </c>
      <c r="Q756" s="29">
        <f>Item_Enchant_Old!Q760</f>
        <v>1</v>
      </c>
      <c r="R756" s="29">
        <f>Item_Enchant_Old!R760</f>
        <v>1</v>
      </c>
    </row>
    <row r="757" spans="1:18" s="29" customFormat="1" hidden="1">
      <c r="A757" s="29">
        <f>Item_Enchant_Old!A761</f>
        <v>756</v>
      </c>
      <c r="B757" s="29" t="str">
        <f>Item_Enchant_Old!B761</f>
        <v>ACTIVE_PHYSICAL_CRITICAL</v>
      </c>
      <c r="C757" s="29">
        <f>Item_Enchant_Old!C761</f>
        <v>632</v>
      </c>
      <c r="D757" s="29">
        <f>Item_Enchant_Old!D761</f>
        <v>0</v>
      </c>
      <c r="E757" s="29">
        <f>Item_Enchant_Old!E761</f>
        <v>0</v>
      </c>
      <c r="F757" s="29">
        <f>Item_Enchant_Old!F761</f>
        <v>0</v>
      </c>
      <c r="G757" s="29">
        <f>Item_Enchant_Old!G761</f>
        <v>5</v>
      </c>
      <c r="H757" s="29" t="str">
        <f>Item_Enchant_Old!H761</f>
        <v>@</v>
      </c>
      <c r="I757" s="29">
        <f>Item_Enchant_Old!I761</f>
        <v>1</v>
      </c>
      <c r="J757" s="29" t="str">
        <f>Item_Enchant_Old!J761</f>
        <v>절대값/상대값(%) 가능</v>
      </c>
      <c r="K757" s="29">
        <f>Item_Enchant_Old!K761</f>
        <v>15</v>
      </c>
      <c r="L757" s="29">
        <f>Item_Enchant_Old!L761</f>
        <v>0</v>
      </c>
      <c r="M757" s="29">
        <f>Item_Enchant_Old!M761</f>
        <v>2</v>
      </c>
      <c r="N757" s="29">
        <f>Item_Enchant_Old!N761</f>
        <v>21</v>
      </c>
      <c r="O757" s="29">
        <f>Item_Enchant_Old!O761</f>
        <v>1</v>
      </c>
      <c r="P757" s="29">
        <f>Item_Enchant_Old!P761</f>
        <v>1</v>
      </c>
      <c r="Q757" s="29">
        <f>Item_Enchant_Old!Q761</f>
        <v>1</v>
      </c>
      <c r="R757" s="29">
        <f>Item_Enchant_Old!R761</f>
        <v>1</v>
      </c>
    </row>
    <row r="758" spans="1:18" s="29" customFormat="1" hidden="1">
      <c r="A758" s="29">
        <f>Item_Enchant_Old!A762</f>
        <v>757</v>
      </c>
      <c r="B758" s="29" t="str">
        <f>Item_Enchant_Old!B762</f>
        <v>ACTIVE_DEX_UP</v>
      </c>
      <c r="C758" s="29">
        <f>Item_Enchant_Old!C762</f>
        <v>613</v>
      </c>
      <c r="D758" s="29">
        <f>Item_Enchant_Old!D762</f>
        <v>0</v>
      </c>
      <c r="E758" s="29">
        <f>Item_Enchant_Old!E762</f>
        <v>0</v>
      </c>
      <c r="F758" s="29">
        <f>Item_Enchant_Old!F762</f>
        <v>0</v>
      </c>
      <c r="G758" s="29">
        <f>Item_Enchant_Old!G762</f>
        <v>3</v>
      </c>
      <c r="H758" s="29" t="str">
        <f>Item_Enchant_Old!H762</f>
        <v>@</v>
      </c>
      <c r="I758" s="29">
        <f>Item_Enchant_Old!I762</f>
        <v>1</v>
      </c>
      <c r="J758" s="29" t="str">
        <f>Item_Enchant_Old!J762</f>
        <v>절대값/상대값(%) 가능</v>
      </c>
      <c r="K758" s="29">
        <f>Item_Enchant_Old!K762</f>
        <v>15</v>
      </c>
      <c r="L758" s="29">
        <f>Item_Enchant_Old!L762</f>
        <v>0</v>
      </c>
      <c r="M758" s="29">
        <f>Item_Enchant_Old!M762</f>
        <v>2</v>
      </c>
      <c r="N758" s="29">
        <f>Item_Enchant_Old!N762</f>
        <v>44</v>
      </c>
      <c r="O758" s="29">
        <f>Item_Enchant_Old!O762</f>
        <v>1</v>
      </c>
      <c r="P758" s="29">
        <f>Item_Enchant_Old!P762</f>
        <v>1</v>
      </c>
      <c r="Q758" s="29">
        <f>Item_Enchant_Old!Q762</f>
        <v>1</v>
      </c>
      <c r="R758" s="29">
        <f>Item_Enchant_Old!R762</f>
        <v>1</v>
      </c>
    </row>
    <row r="759" spans="1:18" s="29" customFormat="1" hidden="1">
      <c r="A759" s="29">
        <f>Item_Enchant_Old!A763</f>
        <v>758</v>
      </c>
      <c r="B759" s="29" t="str">
        <f>Item_Enchant_Old!B763</f>
        <v>ACTIVE_FOC_UP</v>
      </c>
      <c r="C759" s="29">
        <f>Item_Enchant_Old!C763</f>
        <v>612</v>
      </c>
      <c r="D759" s="29">
        <f>Item_Enchant_Old!D763</f>
        <v>0</v>
      </c>
      <c r="E759" s="29">
        <f>Item_Enchant_Old!E763</f>
        <v>0</v>
      </c>
      <c r="F759" s="29">
        <f>Item_Enchant_Old!F763</f>
        <v>0</v>
      </c>
      <c r="G759" s="29">
        <f>Item_Enchant_Old!G763</f>
        <v>2</v>
      </c>
      <c r="H759" s="29" t="str">
        <f>Item_Enchant_Old!H763</f>
        <v>@</v>
      </c>
      <c r="I759" s="29">
        <f>Item_Enchant_Old!I763</f>
        <v>1</v>
      </c>
      <c r="J759" s="29" t="str">
        <f>Item_Enchant_Old!J763</f>
        <v>절대값/상대값(%) 가능</v>
      </c>
      <c r="K759" s="29">
        <f>Item_Enchant_Old!K763</f>
        <v>15</v>
      </c>
      <c r="L759" s="29">
        <f>Item_Enchant_Old!L763</f>
        <v>0</v>
      </c>
      <c r="M759" s="29">
        <f>Item_Enchant_Old!M763</f>
        <v>2</v>
      </c>
      <c r="N759" s="29">
        <f>Item_Enchant_Old!N763</f>
        <v>53</v>
      </c>
      <c r="O759" s="29">
        <f>Item_Enchant_Old!O763</f>
        <v>1</v>
      </c>
      <c r="P759" s="29">
        <f>Item_Enchant_Old!P763</f>
        <v>1</v>
      </c>
      <c r="Q759" s="29">
        <f>Item_Enchant_Old!Q763</f>
        <v>1</v>
      </c>
      <c r="R759" s="29">
        <f>Item_Enchant_Old!R763</f>
        <v>1</v>
      </c>
    </row>
    <row r="760" spans="1:18" s="29" customFormat="1" hidden="1">
      <c r="A760" s="29">
        <f>Item_Enchant_Old!A764</f>
        <v>759</v>
      </c>
      <c r="B760" s="29" t="str">
        <f>Item_Enchant_Old!B764</f>
        <v>ACTIVE_ENERGY_OFFENCE_UP</v>
      </c>
      <c r="C760" s="29">
        <f>Item_Enchant_Old!C764</f>
        <v>607</v>
      </c>
      <c r="D760" s="29">
        <f>Item_Enchant_Old!D764</f>
        <v>0</v>
      </c>
      <c r="E760" s="29">
        <f>Item_Enchant_Old!E764</f>
        <v>0</v>
      </c>
      <c r="F760" s="29">
        <f>Item_Enchant_Old!F764</f>
        <v>0</v>
      </c>
      <c r="G760" s="29">
        <f>Item_Enchant_Old!G764</f>
        <v>1</v>
      </c>
      <c r="H760" s="29" t="str">
        <f>Item_Enchant_Old!H764</f>
        <v>@</v>
      </c>
      <c r="I760" s="29">
        <f>Item_Enchant_Old!I764</f>
        <v>1</v>
      </c>
      <c r="J760" s="29" t="str">
        <f>Item_Enchant_Old!J764</f>
        <v>절대값/상대값(%) 가능</v>
      </c>
      <c r="K760" s="29">
        <f>Item_Enchant_Old!K764</f>
        <v>15</v>
      </c>
      <c r="L760" s="29">
        <f>Item_Enchant_Old!L764</f>
        <v>0</v>
      </c>
      <c r="M760" s="29">
        <f>Item_Enchant_Old!M764</f>
        <v>3</v>
      </c>
      <c r="N760" s="29">
        <f>Item_Enchant_Old!N764</f>
        <v>104</v>
      </c>
      <c r="O760" s="29">
        <f>Item_Enchant_Old!O764</f>
        <v>1</v>
      </c>
      <c r="P760" s="29">
        <f>Item_Enchant_Old!P764</f>
        <v>1</v>
      </c>
      <c r="Q760" s="29">
        <f>Item_Enchant_Old!Q764</f>
        <v>1</v>
      </c>
      <c r="R760" s="29">
        <f>Item_Enchant_Old!R764</f>
        <v>1</v>
      </c>
    </row>
    <row r="761" spans="1:18" s="29" customFormat="1" hidden="1">
      <c r="A761" s="29">
        <f>Item_Enchant_Old!A765</f>
        <v>760</v>
      </c>
      <c r="B761" s="29" t="str">
        <f>Item_Enchant_Old!B765</f>
        <v>ACTIVE_FOC_UP</v>
      </c>
      <c r="C761" s="29">
        <f>Item_Enchant_Old!C765</f>
        <v>612</v>
      </c>
      <c r="D761" s="29">
        <f>Item_Enchant_Old!D765</f>
        <v>0</v>
      </c>
      <c r="E761" s="29">
        <f>Item_Enchant_Old!E765</f>
        <v>0</v>
      </c>
      <c r="F761" s="29">
        <f>Item_Enchant_Old!F765</f>
        <v>0</v>
      </c>
      <c r="G761" s="29">
        <f>Item_Enchant_Old!G765</f>
        <v>2</v>
      </c>
      <c r="H761" s="29" t="str">
        <f>Item_Enchant_Old!H765</f>
        <v>@</v>
      </c>
      <c r="I761" s="29">
        <f>Item_Enchant_Old!I765</f>
        <v>1</v>
      </c>
      <c r="J761" s="29" t="str">
        <f>Item_Enchant_Old!J765</f>
        <v>절대값/상대값(%) 가능</v>
      </c>
      <c r="K761" s="29">
        <f>Item_Enchant_Old!K765</f>
        <v>15</v>
      </c>
      <c r="L761" s="29">
        <f>Item_Enchant_Old!L765</f>
        <v>0</v>
      </c>
      <c r="M761" s="29">
        <f>Item_Enchant_Old!M765</f>
        <v>3</v>
      </c>
      <c r="N761" s="29">
        <f>Item_Enchant_Old!N765</f>
        <v>53</v>
      </c>
      <c r="O761" s="29">
        <f>Item_Enchant_Old!O765</f>
        <v>1</v>
      </c>
      <c r="P761" s="29">
        <f>Item_Enchant_Old!P765</f>
        <v>1</v>
      </c>
      <c r="Q761" s="29">
        <f>Item_Enchant_Old!Q765</f>
        <v>1</v>
      </c>
      <c r="R761" s="29">
        <f>Item_Enchant_Old!R765</f>
        <v>1</v>
      </c>
    </row>
    <row r="762" spans="1:18" s="29" customFormat="1" hidden="1">
      <c r="A762" s="29">
        <f>Item_Enchant_Old!A766</f>
        <v>761</v>
      </c>
      <c r="B762" s="29" t="str">
        <f>Item_Enchant_Old!B766</f>
        <v>ACTIVE_SOL_UP</v>
      </c>
      <c r="C762" s="29">
        <f>Item_Enchant_Old!C766</f>
        <v>614</v>
      </c>
      <c r="D762" s="29">
        <f>Item_Enchant_Old!D766</f>
        <v>0</v>
      </c>
      <c r="E762" s="29">
        <f>Item_Enchant_Old!E766</f>
        <v>0</v>
      </c>
      <c r="F762" s="29">
        <f>Item_Enchant_Old!F766</f>
        <v>0</v>
      </c>
      <c r="G762" s="29">
        <f>Item_Enchant_Old!G766</f>
        <v>2</v>
      </c>
      <c r="H762" s="29" t="str">
        <f>Item_Enchant_Old!H766</f>
        <v>@</v>
      </c>
      <c r="I762" s="29">
        <f>Item_Enchant_Old!I766</f>
        <v>1</v>
      </c>
      <c r="J762" s="29" t="str">
        <f>Item_Enchant_Old!J766</f>
        <v>절대값/상대값(%) 가능</v>
      </c>
      <c r="K762" s="29">
        <f>Item_Enchant_Old!K766</f>
        <v>15</v>
      </c>
      <c r="L762" s="29">
        <f>Item_Enchant_Old!L766</f>
        <v>0</v>
      </c>
      <c r="M762" s="29">
        <f>Item_Enchant_Old!M766</f>
        <v>3</v>
      </c>
      <c r="N762" s="29">
        <f>Item_Enchant_Old!N766</f>
        <v>53</v>
      </c>
      <c r="O762" s="29">
        <f>Item_Enchant_Old!O766</f>
        <v>1</v>
      </c>
      <c r="P762" s="29">
        <f>Item_Enchant_Old!P766</f>
        <v>1</v>
      </c>
      <c r="Q762" s="29">
        <f>Item_Enchant_Old!Q766</f>
        <v>1</v>
      </c>
      <c r="R762" s="29">
        <f>Item_Enchant_Old!R766</f>
        <v>1</v>
      </c>
    </row>
    <row r="763" spans="1:18" s="29" customFormat="1" hidden="1">
      <c r="A763" s="29">
        <f>Item_Enchant_Old!A767</f>
        <v>762</v>
      </c>
      <c r="B763" s="29" t="str">
        <f>Item_Enchant_Old!B767</f>
        <v>ACTIVE_ENERGY_CRITICAL_DAMAGE_UP</v>
      </c>
      <c r="C763" s="29">
        <f>Item_Enchant_Old!C767</f>
        <v>659</v>
      </c>
      <c r="D763" s="29">
        <f>Item_Enchant_Old!D767</f>
        <v>0</v>
      </c>
      <c r="E763" s="29">
        <f>Item_Enchant_Old!E767</f>
        <v>0</v>
      </c>
      <c r="F763" s="29">
        <f>Item_Enchant_Old!F767</f>
        <v>0</v>
      </c>
      <c r="G763" s="29">
        <f>Item_Enchant_Old!G767</f>
        <v>4</v>
      </c>
      <c r="H763" s="29" t="str">
        <f>Item_Enchant_Old!H767</f>
        <v>@</v>
      </c>
      <c r="I763" s="29">
        <f>Item_Enchant_Old!I767</f>
        <v>1</v>
      </c>
      <c r="J763" s="29" t="str">
        <f>Item_Enchant_Old!J767</f>
        <v>절대값만 가능</v>
      </c>
      <c r="K763" s="29">
        <f>Item_Enchant_Old!K767</f>
        <v>15</v>
      </c>
      <c r="L763" s="29">
        <f>Item_Enchant_Old!L767</f>
        <v>0</v>
      </c>
      <c r="M763" s="29">
        <f>Item_Enchant_Old!M767</f>
        <v>3</v>
      </c>
      <c r="N763" s="29">
        <f>Item_Enchant_Old!N767</f>
        <v>32</v>
      </c>
      <c r="O763" s="29">
        <f>Item_Enchant_Old!O767</f>
        <v>1</v>
      </c>
      <c r="P763" s="29">
        <f>Item_Enchant_Old!P767</f>
        <v>1</v>
      </c>
      <c r="Q763" s="29">
        <f>Item_Enchant_Old!Q767</f>
        <v>1</v>
      </c>
      <c r="R763" s="29">
        <f>Item_Enchant_Old!R767</f>
        <v>1</v>
      </c>
    </row>
    <row r="764" spans="1:18" s="29" customFormat="1" hidden="1">
      <c r="A764" s="29">
        <f>Item_Enchant_Old!A768</f>
        <v>763</v>
      </c>
      <c r="B764" s="29" t="str">
        <f>Item_Enchant_Old!B768</f>
        <v>ACTIVE_ENERGY_CRITICAL</v>
      </c>
      <c r="C764" s="29">
        <f>Item_Enchant_Old!C768</f>
        <v>633</v>
      </c>
      <c r="D764" s="29">
        <f>Item_Enchant_Old!D768</f>
        <v>0</v>
      </c>
      <c r="E764" s="29">
        <f>Item_Enchant_Old!E768</f>
        <v>0</v>
      </c>
      <c r="F764" s="29">
        <f>Item_Enchant_Old!F768</f>
        <v>0</v>
      </c>
      <c r="G764" s="29">
        <f>Item_Enchant_Old!G768</f>
        <v>5</v>
      </c>
      <c r="H764" s="29" t="str">
        <f>Item_Enchant_Old!H768</f>
        <v>@</v>
      </c>
      <c r="I764" s="29">
        <f>Item_Enchant_Old!I768</f>
        <v>1</v>
      </c>
      <c r="J764" s="29" t="str">
        <f>Item_Enchant_Old!J768</f>
        <v>절대값/상대값(%) 가능</v>
      </c>
      <c r="K764" s="29">
        <f>Item_Enchant_Old!K768</f>
        <v>15</v>
      </c>
      <c r="L764" s="29">
        <f>Item_Enchant_Old!L768</f>
        <v>0</v>
      </c>
      <c r="M764" s="29">
        <f>Item_Enchant_Old!M768</f>
        <v>4</v>
      </c>
      <c r="N764" s="29">
        <f>Item_Enchant_Old!N768</f>
        <v>24</v>
      </c>
      <c r="O764" s="29">
        <f>Item_Enchant_Old!O768</f>
        <v>1</v>
      </c>
      <c r="P764" s="29">
        <f>Item_Enchant_Old!P768</f>
        <v>1</v>
      </c>
      <c r="Q764" s="29">
        <f>Item_Enchant_Old!Q768</f>
        <v>1</v>
      </c>
      <c r="R764" s="29">
        <f>Item_Enchant_Old!R768</f>
        <v>1</v>
      </c>
    </row>
    <row r="765" spans="1:18" s="29" customFormat="1" hidden="1">
      <c r="A765" s="29">
        <f>Item_Enchant_Old!A769</f>
        <v>764</v>
      </c>
      <c r="B765" s="29" t="str">
        <f>Item_Enchant_Old!B769</f>
        <v>ACTIVE_ENERGY_CRITICAL_DAMAGE_UP</v>
      </c>
      <c r="C765" s="29">
        <f>Item_Enchant_Old!C769</f>
        <v>659</v>
      </c>
      <c r="D765" s="29">
        <f>Item_Enchant_Old!D769</f>
        <v>0</v>
      </c>
      <c r="E765" s="29">
        <f>Item_Enchant_Old!E769</f>
        <v>0</v>
      </c>
      <c r="F765" s="29">
        <f>Item_Enchant_Old!F769</f>
        <v>0</v>
      </c>
      <c r="G765" s="29">
        <f>Item_Enchant_Old!G769</f>
        <v>4</v>
      </c>
      <c r="H765" s="29" t="str">
        <f>Item_Enchant_Old!H769</f>
        <v>@</v>
      </c>
      <c r="I765" s="29">
        <f>Item_Enchant_Old!I769</f>
        <v>1</v>
      </c>
      <c r="J765" s="29" t="str">
        <f>Item_Enchant_Old!J769</f>
        <v>절대값만 가능</v>
      </c>
      <c r="K765" s="29">
        <f>Item_Enchant_Old!K769</f>
        <v>15</v>
      </c>
      <c r="L765" s="29">
        <f>Item_Enchant_Old!L769</f>
        <v>0</v>
      </c>
      <c r="M765" s="29">
        <f>Item_Enchant_Old!M769</f>
        <v>4</v>
      </c>
      <c r="N765" s="29">
        <f>Item_Enchant_Old!N769</f>
        <v>32</v>
      </c>
      <c r="O765" s="29">
        <f>Item_Enchant_Old!O769</f>
        <v>1</v>
      </c>
      <c r="P765" s="29">
        <f>Item_Enchant_Old!P769</f>
        <v>1</v>
      </c>
      <c r="Q765" s="29">
        <f>Item_Enchant_Old!Q769</f>
        <v>1</v>
      </c>
      <c r="R765" s="29">
        <f>Item_Enchant_Old!R769</f>
        <v>1</v>
      </c>
    </row>
    <row r="766" spans="1:18" s="29" customFormat="1" hidden="1">
      <c r="A766" s="29">
        <f>Item_Enchant_Old!A770</f>
        <v>765</v>
      </c>
      <c r="B766" s="29" t="str">
        <f>Item_Enchant_Old!B770</f>
        <v>ACTIVE_FOC_UP</v>
      </c>
      <c r="C766" s="29">
        <f>Item_Enchant_Old!C770</f>
        <v>612</v>
      </c>
      <c r="D766" s="29">
        <f>Item_Enchant_Old!D770</f>
        <v>0</v>
      </c>
      <c r="E766" s="29">
        <f>Item_Enchant_Old!E770</f>
        <v>0</v>
      </c>
      <c r="F766" s="29">
        <f>Item_Enchant_Old!F770</f>
        <v>0</v>
      </c>
      <c r="G766" s="29">
        <f>Item_Enchant_Old!G770</f>
        <v>2</v>
      </c>
      <c r="H766" s="29" t="str">
        <f>Item_Enchant_Old!H770</f>
        <v>@</v>
      </c>
      <c r="I766" s="29">
        <f>Item_Enchant_Old!I770</f>
        <v>1</v>
      </c>
      <c r="J766" s="29" t="str">
        <f>Item_Enchant_Old!J770</f>
        <v>절대값/상대값(%) 가능</v>
      </c>
      <c r="K766" s="29">
        <f>Item_Enchant_Old!K770</f>
        <v>15</v>
      </c>
      <c r="L766" s="29">
        <f>Item_Enchant_Old!L770</f>
        <v>0</v>
      </c>
      <c r="M766" s="29">
        <f>Item_Enchant_Old!M770</f>
        <v>4</v>
      </c>
      <c r="N766" s="29">
        <f>Item_Enchant_Old!N770</f>
        <v>53</v>
      </c>
      <c r="O766" s="29">
        <f>Item_Enchant_Old!O770</f>
        <v>1</v>
      </c>
      <c r="P766" s="29">
        <f>Item_Enchant_Old!P770</f>
        <v>1</v>
      </c>
      <c r="Q766" s="29">
        <f>Item_Enchant_Old!Q770</f>
        <v>1</v>
      </c>
      <c r="R766" s="29">
        <f>Item_Enchant_Old!R770</f>
        <v>1</v>
      </c>
    </row>
    <row r="767" spans="1:18" s="29" customFormat="1" hidden="1">
      <c r="A767" s="29">
        <f>Item_Enchant_Old!A771</f>
        <v>766</v>
      </c>
      <c r="B767" s="29" t="str">
        <f>Item_Enchant_Old!B771</f>
        <v>ACTIVE_DEX_UP</v>
      </c>
      <c r="C767" s="29">
        <f>Item_Enchant_Old!C771</f>
        <v>613</v>
      </c>
      <c r="D767" s="29">
        <f>Item_Enchant_Old!D771</f>
        <v>0</v>
      </c>
      <c r="E767" s="29">
        <f>Item_Enchant_Old!E771</f>
        <v>0</v>
      </c>
      <c r="F767" s="29">
        <f>Item_Enchant_Old!F771</f>
        <v>0</v>
      </c>
      <c r="G767" s="29">
        <f>Item_Enchant_Old!G771</f>
        <v>3</v>
      </c>
      <c r="H767" s="29" t="str">
        <f>Item_Enchant_Old!H771</f>
        <v>@</v>
      </c>
      <c r="I767" s="29">
        <f>Item_Enchant_Old!I771</f>
        <v>1</v>
      </c>
      <c r="J767" s="29" t="str">
        <f>Item_Enchant_Old!J771</f>
        <v>절대값/상대값(%) 가능</v>
      </c>
      <c r="K767" s="29">
        <f>Item_Enchant_Old!K771</f>
        <v>15</v>
      </c>
      <c r="L767" s="29">
        <f>Item_Enchant_Old!L771</f>
        <v>0</v>
      </c>
      <c r="M767" s="29">
        <f>Item_Enchant_Old!M771</f>
        <v>4</v>
      </c>
      <c r="N767" s="29">
        <f>Item_Enchant_Old!N771</f>
        <v>44</v>
      </c>
      <c r="O767" s="29">
        <f>Item_Enchant_Old!O771</f>
        <v>1</v>
      </c>
      <c r="P767" s="29">
        <f>Item_Enchant_Old!P771</f>
        <v>1</v>
      </c>
      <c r="Q767" s="29">
        <f>Item_Enchant_Old!Q771</f>
        <v>1</v>
      </c>
      <c r="R767" s="29">
        <f>Item_Enchant_Old!R771</f>
        <v>1</v>
      </c>
    </row>
    <row r="768" spans="1:18" s="29" customFormat="1" hidden="1">
      <c r="A768" s="29">
        <f>Item_Enchant_Old!A772</f>
        <v>767</v>
      </c>
      <c r="B768" s="29" t="str">
        <f>Item_Enchant_Old!B772</f>
        <v>ACTIVE_ATTACK_SPEED_UP</v>
      </c>
      <c r="C768" s="29">
        <f>Item_Enchant_Old!C772</f>
        <v>617</v>
      </c>
      <c r="D768" s="29">
        <f>Item_Enchant_Old!D772</f>
        <v>1</v>
      </c>
      <c r="E768" s="29">
        <f>Item_Enchant_Old!E772</f>
        <v>0</v>
      </c>
      <c r="F768" s="29">
        <f>Item_Enchant_Old!F772</f>
        <v>0</v>
      </c>
      <c r="G768" s="29">
        <f>Item_Enchant_Old!G772</f>
        <v>10</v>
      </c>
      <c r="H768" s="29" t="str">
        <f>Item_Enchant_Old!H772</f>
        <v>@</v>
      </c>
      <c r="I768" s="29">
        <f>Item_Enchant_Old!I772</f>
        <v>1</v>
      </c>
      <c r="J768" s="29" t="str">
        <f>Item_Enchant_Old!J772</f>
        <v>절대값/상대값(%) 가능</v>
      </c>
      <c r="K768" s="29">
        <f>Item_Enchant_Old!K772</f>
        <v>15</v>
      </c>
      <c r="L768" s="29">
        <f>Item_Enchant_Old!L772</f>
        <v>0</v>
      </c>
      <c r="M768" s="29">
        <f>Item_Enchant_Old!M772</f>
        <v>5</v>
      </c>
      <c r="N768" s="29">
        <f>Item_Enchant_Old!N772</f>
        <v>10</v>
      </c>
      <c r="O768" s="29">
        <f>Item_Enchant_Old!O772</f>
        <v>1</v>
      </c>
      <c r="P768" s="29">
        <f>Item_Enchant_Old!P772</f>
        <v>1</v>
      </c>
      <c r="Q768" s="29">
        <f>Item_Enchant_Old!Q772</f>
        <v>1</v>
      </c>
      <c r="R768" s="29">
        <f>Item_Enchant_Old!R772</f>
        <v>1</v>
      </c>
    </row>
    <row r="769" spans="1:18" s="29" customFormat="1" hidden="1">
      <c r="A769" s="29">
        <f>Item_Enchant_Old!A773</f>
        <v>768</v>
      </c>
      <c r="B769" s="29" t="str">
        <f>Item_Enchant_Old!B773</f>
        <v>ACTIVE_DEX_UP</v>
      </c>
      <c r="C769" s="29">
        <f>Item_Enchant_Old!C773</f>
        <v>613</v>
      </c>
      <c r="D769" s="29">
        <f>Item_Enchant_Old!D773</f>
        <v>0</v>
      </c>
      <c r="E769" s="29">
        <f>Item_Enchant_Old!E773</f>
        <v>0</v>
      </c>
      <c r="F769" s="29">
        <f>Item_Enchant_Old!F773</f>
        <v>0</v>
      </c>
      <c r="G769" s="29">
        <f>Item_Enchant_Old!G773</f>
        <v>3</v>
      </c>
      <c r="H769" s="29" t="str">
        <f>Item_Enchant_Old!H773</f>
        <v>@</v>
      </c>
      <c r="I769" s="29">
        <f>Item_Enchant_Old!I773</f>
        <v>1</v>
      </c>
      <c r="J769" s="29" t="str">
        <f>Item_Enchant_Old!J773</f>
        <v>절대값/상대값(%) 가능</v>
      </c>
      <c r="K769" s="29">
        <f>Item_Enchant_Old!K773</f>
        <v>15</v>
      </c>
      <c r="L769" s="29">
        <f>Item_Enchant_Old!L773</f>
        <v>0</v>
      </c>
      <c r="M769" s="29">
        <f>Item_Enchant_Old!M773</f>
        <v>5</v>
      </c>
      <c r="N769" s="29">
        <f>Item_Enchant_Old!N773</f>
        <v>44</v>
      </c>
      <c r="O769" s="29">
        <f>Item_Enchant_Old!O773</f>
        <v>1</v>
      </c>
      <c r="P769" s="29">
        <f>Item_Enchant_Old!P773</f>
        <v>1</v>
      </c>
      <c r="Q769" s="29">
        <f>Item_Enchant_Old!Q773</f>
        <v>1</v>
      </c>
      <c r="R769" s="29">
        <f>Item_Enchant_Old!R773</f>
        <v>1</v>
      </c>
    </row>
    <row r="770" spans="1:18" s="29" customFormat="1" hidden="1">
      <c r="A770" s="29">
        <f>Item_Enchant_Old!A774</f>
        <v>769</v>
      </c>
      <c r="B770" s="29" t="str">
        <f>Item_Enchant_Old!B774</f>
        <v>ACTIVE_FOC_UP</v>
      </c>
      <c r="C770" s="29">
        <f>Item_Enchant_Old!C774</f>
        <v>612</v>
      </c>
      <c r="D770" s="29">
        <f>Item_Enchant_Old!D774</f>
        <v>0</v>
      </c>
      <c r="E770" s="29">
        <f>Item_Enchant_Old!E774</f>
        <v>0</v>
      </c>
      <c r="F770" s="29">
        <f>Item_Enchant_Old!F774</f>
        <v>0</v>
      </c>
      <c r="G770" s="29">
        <f>Item_Enchant_Old!G774</f>
        <v>2</v>
      </c>
      <c r="H770" s="29" t="str">
        <f>Item_Enchant_Old!H774</f>
        <v>@</v>
      </c>
      <c r="I770" s="29">
        <f>Item_Enchant_Old!I774</f>
        <v>1</v>
      </c>
      <c r="J770" s="29" t="str">
        <f>Item_Enchant_Old!J774</f>
        <v>절대값/상대값(%) 가능</v>
      </c>
      <c r="K770" s="29">
        <f>Item_Enchant_Old!K774</f>
        <v>15</v>
      </c>
      <c r="L770" s="29">
        <f>Item_Enchant_Old!L774</f>
        <v>0</v>
      </c>
      <c r="M770" s="29">
        <f>Item_Enchant_Old!M774</f>
        <v>5</v>
      </c>
      <c r="N770" s="29">
        <f>Item_Enchant_Old!N774</f>
        <v>53</v>
      </c>
      <c r="O770" s="29">
        <f>Item_Enchant_Old!O774</f>
        <v>1</v>
      </c>
      <c r="P770" s="29">
        <f>Item_Enchant_Old!P774</f>
        <v>1</v>
      </c>
      <c r="Q770" s="29">
        <f>Item_Enchant_Old!Q774</f>
        <v>1</v>
      </c>
      <c r="R770" s="29">
        <f>Item_Enchant_Old!R774</f>
        <v>1</v>
      </c>
    </row>
    <row r="771" spans="1:18" s="29" customFormat="1" hidden="1">
      <c r="A771" s="29">
        <f>Item_Enchant_Old!A775</f>
        <v>770</v>
      </c>
      <c r="B771" s="29" t="str">
        <f>Item_Enchant_Old!B775</f>
        <v>ACTIVE_PHYSICAL_OFFENCE_UP</v>
      </c>
      <c r="C771" s="29">
        <f>Item_Enchant_Old!C775</f>
        <v>606</v>
      </c>
      <c r="D771" s="29">
        <f>Item_Enchant_Old!D775</f>
        <v>0</v>
      </c>
      <c r="E771" s="29">
        <f>Item_Enchant_Old!E775</f>
        <v>0</v>
      </c>
      <c r="F771" s="29">
        <f>Item_Enchant_Old!F775</f>
        <v>0</v>
      </c>
      <c r="G771" s="29">
        <f>Item_Enchant_Old!G775</f>
        <v>1</v>
      </c>
      <c r="H771" s="29" t="str">
        <f>Item_Enchant_Old!H775</f>
        <v>@</v>
      </c>
      <c r="I771" s="29">
        <f>Item_Enchant_Old!I775</f>
        <v>1</v>
      </c>
      <c r="J771" s="29" t="str">
        <f>Item_Enchant_Old!J775</f>
        <v>절대값/상대값(%) 가능</v>
      </c>
      <c r="K771" s="29">
        <f>Item_Enchant_Old!K775</f>
        <v>15</v>
      </c>
      <c r="L771" s="29">
        <f>Item_Enchant_Old!L775</f>
        <v>0</v>
      </c>
      <c r="M771" s="29">
        <f>Item_Enchant_Old!M775</f>
        <v>5</v>
      </c>
      <c r="N771" s="29">
        <f>Item_Enchant_Old!N775</f>
        <v>125</v>
      </c>
      <c r="O771" s="29">
        <f>Item_Enchant_Old!O775</f>
        <v>1</v>
      </c>
      <c r="P771" s="29">
        <f>Item_Enchant_Old!P775</f>
        <v>1</v>
      </c>
      <c r="Q771" s="29">
        <f>Item_Enchant_Old!Q775</f>
        <v>1</v>
      </c>
      <c r="R771" s="29">
        <f>Item_Enchant_Old!R775</f>
        <v>1</v>
      </c>
    </row>
    <row r="772" spans="1:18" s="29" customFormat="1" hidden="1">
      <c r="A772" s="29">
        <f>Item_Enchant_Old!A776</f>
        <v>771</v>
      </c>
      <c r="B772" s="29" t="str">
        <f>Item_Enchant_Old!B776</f>
        <v>ACTIVE_ENERGY_OFFENCE_UP</v>
      </c>
      <c r="C772" s="29">
        <f>Item_Enchant_Old!C776</f>
        <v>607</v>
      </c>
      <c r="D772" s="29">
        <f>Item_Enchant_Old!D776</f>
        <v>0</v>
      </c>
      <c r="E772" s="29">
        <f>Item_Enchant_Old!E776</f>
        <v>0</v>
      </c>
      <c r="F772" s="29">
        <f>Item_Enchant_Old!F776</f>
        <v>0</v>
      </c>
      <c r="G772" s="29">
        <f>Item_Enchant_Old!G776</f>
        <v>1</v>
      </c>
      <c r="H772" s="29" t="str">
        <f>Item_Enchant_Old!H776</f>
        <v>@</v>
      </c>
      <c r="I772" s="29">
        <f>Item_Enchant_Old!I776</f>
        <v>1</v>
      </c>
      <c r="J772" s="29" t="str">
        <f>Item_Enchant_Old!J776</f>
        <v>절대값/상대값(%) 가능</v>
      </c>
      <c r="K772" s="29">
        <f>Item_Enchant_Old!K776</f>
        <v>15</v>
      </c>
      <c r="L772" s="29">
        <f>Item_Enchant_Old!L776</f>
        <v>0</v>
      </c>
      <c r="M772" s="29">
        <f>Item_Enchant_Old!M776</f>
        <v>5</v>
      </c>
      <c r="N772" s="29">
        <f>Item_Enchant_Old!N776</f>
        <v>104</v>
      </c>
      <c r="O772" s="29">
        <f>Item_Enchant_Old!O776</f>
        <v>1</v>
      </c>
      <c r="P772" s="29">
        <f>Item_Enchant_Old!P776</f>
        <v>1</v>
      </c>
      <c r="Q772" s="29">
        <f>Item_Enchant_Old!Q776</f>
        <v>1</v>
      </c>
      <c r="R772" s="29">
        <f>Item_Enchant_Old!R776</f>
        <v>1</v>
      </c>
    </row>
    <row r="773" spans="1:18" s="29" customFormat="1" hidden="1">
      <c r="A773" s="29">
        <f>Item_Enchant_Old!A777</f>
        <v>772</v>
      </c>
      <c r="B773" s="29" t="str">
        <f>Item_Enchant_Old!B777</f>
        <v>ACTIVE_PHYSICAL_OFFENCE_UP</v>
      </c>
      <c r="C773" s="29">
        <f>Item_Enchant_Old!C777</f>
        <v>606</v>
      </c>
      <c r="D773" s="29">
        <f>Item_Enchant_Old!D777</f>
        <v>0</v>
      </c>
      <c r="E773" s="29">
        <f>Item_Enchant_Old!E777</f>
        <v>0</v>
      </c>
      <c r="F773" s="29">
        <f>Item_Enchant_Old!F777</f>
        <v>0</v>
      </c>
      <c r="G773" s="29">
        <f>Item_Enchant_Old!G777</f>
        <v>1</v>
      </c>
      <c r="H773" s="29" t="str">
        <f>Item_Enchant_Old!H777</f>
        <v>@</v>
      </c>
      <c r="I773" s="29">
        <f>Item_Enchant_Old!I777</f>
        <v>1</v>
      </c>
      <c r="J773" s="29" t="str">
        <f>Item_Enchant_Old!J777</f>
        <v>절대값/상대값(%) 가능</v>
      </c>
      <c r="K773" s="29">
        <f>Item_Enchant_Old!K777</f>
        <v>15</v>
      </c>
      <c r="L773" s="29">
        <f>Item_Enchant_Old!L777</f>
        <v>0</v>
      </c>
      <c r="M773" s="29">
        <f>Item_Enchant_Old!M777</f>
        <v>6</v>
      </c>
      <c r="N773" s="29">
        <f>Item_Enchant_Old!N777</f>
        <v>125</v>
      </c>
      <c r="O773" s="29">
        <f>Item_Enchant_Old!O777</f>
        <v>1</v>
      </c>
      <c r="P773" s="29">
        <f>Item_Enchant_Old!P777</f>
        <v>1</v>
      </c>
      <c r="Q773" s="29">
        <f>Item_Enchant_Old!Q777</f>
        <v>1</v>
      </c>
      <c r="R773" s="29">
        <f>Item_Enchant_Old!R777</f>
        <v>1</v>
      </c>
    </row>
    <row r="774" spans="1:18" s="29" customFormat="1" hidden="1">
      <c r="A774" s="29">
        <f>Item_Enchant_Old!A778</f>
        <v>773</v>
      </c>
      <c r="B774" s="29" t="str">
        <f>Item_Enchant_Old!B778</f>
        <v>ACTIVE_ENERGY_OFFENCE_UP</v>
      </c>
      <c r="C774" s="29">
        <f>Item_Enchant_Old!C778</f>
        <v>607</v>
      </c>
      <c r="D774" s="29">
        <f>Item_Enchant_Old!D778</f>
        <v>0</v>
      </c>
      <c r="E774" s="29">
        <f>Item_Enchant_Old!E778</f>
        <v>0</v>
      </c>
      <c r="F774" s="29">
        <f>Item_Enchant_Old!F778</f>
        <v>0</v>
      </c>
      <c r="G774" s="29">
        <f>Item_Enchant_Old!G778</f>
        <v>1</v>
      </c>
      <c r="H774" s="29" t="str">
        <f>Item_Enchant_Old!H778</f>
        <v>@</v>
      </c>
      <c r="I774" s="29">
        <f>Item_Enchant_Old!I778</f>
        <v>1</v>
      </c>
      <c r="J774" s="29" t="str">
        <f>Item_Enchant_Old!J778</f>
        <v>절대값/상대값(%) 가능</v>
      </c>
      <c r="K774" s="29">
        <f>Item_Enchant_Old!K778</f>
        <v>15</v>
      </c>
      <c r="L774" s="29">
        <f>Item_Enchant_Old!L778</f>
        <v>0</v>
      </c>
      <c r="M774" s="29">
        <f>Item_Enchant_Old!M778</f>
        <v>6</v>
      </c>
      <c r="N774" s="29">
        <f>Item_Enchant_Old!N778</f>
        <v>104</v>
      </c>
      <c r="O774" s="29">
        <f>Item_Enchant_Old!O778</f>
        <v>1</v>
      </c>
      <c r="P774" s="29">
        <f>Item_Enchant_Old!P778</f>
        <v>1</v>
      </c>
      <c r="Q774" s="29">
        <f>Item_Enchant_Old!Q778</f>
        <v>1</v>
      </c>
      <c r="R774" s="29">
        <f>Item_Enchant_Old!R778</f>
        <v>1</v>
      </c>
    </row>
    <row r="775" spans="1:18" s="29" customFormat="1" hidden="1">
      <c r="A775" s="29">
        <f>Item_Enchant_Old!A779</f>
        <v>774</v>
      </c>
      <c r="B775" s="29" t="str">
        <f>Item_Enchant_Old!B779</f>
        <v>ACTIVE_STR_UP</v>
      </c>
      <c r="C775" s="29">
        <f>Item_Enchant_Old!C779</f>
        <v>610</v>
      </c>
      <c r="D775" s="29">
        <f>Item_Enchant_Old!D779</f>
        <v>0</v>
      </c>
      <c r="E775" s="29">
        <f>Item_Enchant_Old!E779</f>
        <v>0</v>
      </c>
      <c r="F775" s="29">
        <f>Item_Enchant_Old!F779</f>
        <v>0</v>
      </c>
      <c r="G775" s="29">
        <f>Item_Enchant_Old!G779</f>
        <v>2</v>
      </c>
      <c r="H775" s="29" t="str">
        <f>Item_Enchant_Old!H779</f>
        <v>@</v>
      </c>
      <c r="I775" s="29">
        <f>Item_Enchant_Old!I779</f>
        <v>1</v>
      </c>
      <c r="J775" s="29" t="str">
        <f>Item_Enchant_Old!J779</f>
        <v>절대값/상대값(%) 가능</v>
      </c>
      <c r="K775" s="29">
        <f>Item_Enchant_Old!K779</f>
        <v>15</v>
      </c>
      <c r="L775" s="29">
        <f>Item_Enchant_Old!L779</f>
        <v>0</v>
      </c>
      <c r="M775" s="29">
        <f>Item_Enchant_Old!M779</f>
        <v>6</v>
      </c>
      <c r="N775" s="29">
        <f>Item_Enchant_Old!N779</f>
        <v>57</v>
      </c>
      <c r="O775" s="29">
        <f>Item_Enchant_Old!O779</f>
        <v>1</v>
      </c>
      <c r="P775" s="29">
        <f>Item_Enchant_Old!P779</f>
        <v>1</v>
      </c>
      <c r="Q775" s="29">
        <f>Item_Enchant_Old!Q779</f>
        <v>1</v>
      </c>
      <c r="R775" s="29">
        <f>Item_Enchant_Old!R779</f>
        <v>1</v>
      </c>
    </row>
    <row r="776" spans="1:18" s="29" customFormat="1" hidden="1">
      <c r="A776" s="29">
        <f>Item_Enchant_Old!A780</f>
        <v>775</v>
      </c>
      <c r="B776" s="29" t="str">
        <f>Item_Enchant_Old!B780</f>
        <v>ACTIVE_SOL_UP</v>
      </c>
      <c r="C776" s="29">
        <f>Item_Enchant_Old!C780</f>
        <v>614</v>
      </c>
      <c r="D776" s="29">
        <f>Item_Enchant_Old!D780</f>
        <v>0</v>
      </c>
      <c r="E776" s="29">
        <f>Item_Enchant_Old!E780</f>
        <v>0</v>
      </c>
      <c r="F776" s="29">
        <f>Item_Enchant_Old!F780</f>
        <v>0</v>
      </c>
      <c r="G776" s="29">
        <f>Item_Enchant_Old!G780</f>
        <v>2</v>
      </c>
      <c r="H776" s="29" t="str">
        <f>Item_Enchant_Old!H780</f>
        <v>@</v>
      </c>
      <c r="I776" s="29">
        <f>Item_Enchant_Old!I780</f>
        <v>1</v>
      </c>
      <c r="J776" s="29" t="str">
        <f>Item_Enchant_Old!J780</f>
        <v>절대값/상대값(%) 가능</v>
      </c>
      <c r="K776" s="29">
        <f>Item_Enchant_Old!K780</f>
        <v>15</v>
      </c>
      <c r="L776" s="29">
        <f>Item_Enchant_Old!L780</f>
        <v>0</v>
      </c>
      <c r="M776" s="29">
        <f>Item_Enchant_Old!M780</f>
        <v>6</v>
      </c>
      <c r="N776" s="29">
        <f>Item_Enchant_Old!N780</f>
        <v>53</v>
      </c>
      <c r="O776" s="29">
        <f>Item_Enchant_Old!O780</f>
        <v>1</v>
      </c>
      <c r="P776" s="29">
        <f>Item_Enchant_Old!P780</f>
        <v>1</v>
      </c>
      <c r="Q776" s="29">
        <f>Item_Enchant_Old!Q780</f>
        <v>1</v>
      </c>
      <c r="R776" s="29">
        <f>Item_Enchant_Old!R780</f>
        <v>1</v>
      </c>
    </row>
    <row r="777" spans="1:18" s="29" customFormat="1" hidden="1">
      <c r="A777" s="29">
        <f>Item_Enchant_Old!A781</f>
        <v>776</v>
      </c>
      <c r="B777" s="29" t="str">
        <f>Item_Enchant_Old!B781</f>
        <v>ACTIVE_PHYSICAL_CRITICAL_DAMAGE_UP</v>
      </c>
      <c r="C777" s="29">
        <f>Item_Enchant_Old!C781</f>
        <v>658</v>
      </c>
      <c r="D777" s="29">
        <f>Item_Enchant_Old!D781</f>
        <v>0</v>
      </c>
      <c r="E777" s="29">
        <f>Item_Enchant_Old!E781</f>
        <v>0</v>
      </c>
      <c r="F777" s="29">
        <f>Item_Enchant_Old!F781</f>
        <v>0</v>
      </c>
      <c r="G777" s="29">
        <f>Item_Enchant_Old!G781</f>
        <v>4</v>
      </c>
      <c r="H777" s="29" t="str">
        <f>Item_Enchant_Old!H781</f>
        <v>@</v>
      </c>
      <c r="I777" s="29">
        <f>Item_Enchant_Old!I781</f>
        <v>1</v>
      </c>
      <c r="J777" s="29" t="str">
        <f>Item_Enchant_Old!J781</f>
        <v>절대값만 가능</v>
      </c>
      <c r="K777" s="29">
        <f>Item_Enchant_Old!K781</f>
        <v>15</v>
      </c>
      <c r="L777" s="29">
        <f>Item_Enchant_Old!L781</f>
        <v>0</v>
      </c>
      <c r="M777" s="29">
        <f>Item_Enchant_Old!M781</f>
        <v>6</v>
      </c>
      <c r="N777" s="29">
        <f>Item_Enchant_Old!N781</f>
        <v>28</v>
      </c>
      <c r="O777" s="29">
        <f>Item_Enchant_Old!O781</f>
        <v>1</v>
      </c>
      <c r="P777" s="29">
        <f>Item_Enchant_Old!P781</f>
        <v>1</v>
      </c>
      <c r="Q777" s="29">
        <f>Item_Enchant_Old!Q781</f>
        <v>1</v>
      </c>
      <c r="R777" s="29">
        <f>Item_Enchant_Old!R781</f>
        <v>1</v>
      </c>
    </row>
    <row r="778" spans="1:18" s="29" customFormat="1" hidden="1">
      <c r="A778" s="29">
        <f>Item_Enchant_Old!A782</f>
        <v>777</v>
      </c>
      <c r="B778" s="29" t="str">
        <f>Item_Enchant_Old!B782</f>
        <v>ACTIVE_ENERGY_CRITICAL_DAMAGE_UP</v>
      </c>
      <c r="C778" s="29">
        <f>Item_Enchant_Old!C782</f>
        <v>659</v>
      </c>
      <c r="D778" s="29">
        <f>Item_Enchant_Old!D782</f>
        <v>0</v>
      </c>
      <c r="E778" s="29">
        <f>Item_Enchant_Old!E782</f>
        <v>0</v>
      </c>
      <c r="F778" s="29">
        <f>Item_Enchant_Old!F782</f>
        <v>0</v>
      </c>
      <c r="G778" s="29">
        <f>Item_Enchant_Old!G782</f>
        <v>4</v>
      </c>
      <c r="H778" s="29" t="str">
        <f>Item_Enchant_Old!H782</f>
        <v>@</v>
      </c>
      <c r="I778" s="29">
        <f>Item_Enchant_Old!I782</f>
        <v>1</v>
      </c>
      <c r="J778" s="29" t="str">
        <f>Item_Enchant_Old!J782</f>
        <v>절대값만 가능</v>
      </c>
      <c r="K778" s="29">
        <f>Item_Enchant_Old!K782</f>
        <v>15</v>
      </c>
      <c r="L778" s="29">
        <f>Item_Enchant_Old!L782</f>
        <v>0</v>
      </c>
      <c r="M778" s="29">
        <f>Item_Enchant_Old!M782</f>
        <v>6</v>
      </c>
      <c r="N778" s="29">
        <f>Item_Enchant_Old!N782</f>
        <v>32</v>
      </c>
      <c r="O778" s="29">
        <f>Item_Enchant_Old!O782</f>
        <v>1</v>
      </c>
      <c r="P778" s="29">
        <f>Item_Enchant_Old!P782</f>
        <v>1</v>
      </c>
      <c r="Q778" s="29">
        <f>Item_Enchant_Old!Q782</f>
        <v>1</v>
      </c>
      <c r="R778" s="29">
        <f>Item_Enchant_Old!R782</f>
        <v>1</v>
      </c>
    </row>
    <row r="779" spans="1:18" s="29" customFormat="1" hidden="1">
      <c r="A779" s="29">
        <f>Item_Enchant_Old!A783</f>
        <v>778</v>
      </c>
      <c r="B779" s="29" t="str">
        <f>Item_Enchant_Old!B783</f>
        <v>ACTIVE_FOC_UP</v>
      </c>
      <c r="C779" s="29">
        <f>Item_Enchant_Old!C783</f>
        <v>612</v>
      </c>
      <c r="D779" s="29">
        <f>Item_Enchant_Old!D783</f>
        <v>0</v>
      </c>
      <c r="E779" s="29">
        <f>Item_Enchant_Old!E783</f>
        <v>0</v>
      </c>
      <c r="F779" s="29">
        <f>Item_Enchant_Old!F783</f>
        <v>0</v>
      </c>
      <c r="G779" s="29">
        <f>Item_Enchant_Old!G783</f>
        <v>2</v>
      </c>
      <c r="H779" s="29" t="str">
        <f>Item_Enchant_Old!H783</f>
        <v>@</v>
      </c>
      <c r="I779" s="29">
        <f>Item_Enchant_Old!I783</f>
        <v>1</v>
      </c>
      <c r="J779" s="29" t="str">
        <f>Item_Enchant_Old!J783</f>
        <v>절대값/상대값(%) 가능</v>
      </c>
      <c r="K779" s="29">
        <f>Item_Enchant_Old!K783</f>
        <v>15</v>
      </c>
      <c r="L779" s="29">
        <f>Item_Enchant_Old!L783</f>
        <v>0</v>
      </c>
      <c r="M779" s="29">
        <f>Item_Enchant_Old!M783</f>
        <v>7</v>
      </c>
      <c r="N779" s="29">
        <f>Item_Enchant_Old!N783</f>
        <v>53</v>
      </c>
      <c r="O779" s="29">
        <f>Item_Enchant_Old!O783</f>
        <v>1</v>
      </c>
      <c r="P779" s="29">
        <f>Item_Enchant_Old!P783</f>
        <v>1</v>
      </c>
      <c r="Q779" s="29">
        <f>Item_Enchant_Old!Q783</f>
        <v>1</v>
      </c>
      <c r="R779" s="29">
        <f>Item_Enchant_Old!R783</f>
        <v>1</v>
      </c>
    </row>
    <row r="780" spans="1:18" s="29" customFormat="1" hidden="1">
      <c r="A780" s="29">
        <f>Item_Enchant_Old!A784</f>
        <v>779</v>
      </c>
      <c r="B780" s="29" t="str">
        <f>Item_Enchant_Old!B784</f>
        <v>ACTIVE_ATTACK_RATE_UP</v>
      </c>
      <c r="C780" s="29">
        <f>Item_Enchant_Old!C784</f>
        <v>618</v>
      </c>
      <c r="D780" s="29">
        <f>Item_Enchant_Old!D784</f>
        <v>0</v>
      </c>
      <c r="E780" s="29">
        <f>Item_Enchant_Old!E784</f>
        <v>0</v>
      </c>
      <c r="F780" s="29">
        <f>Item_Enchant_Old!F784</f>
        <v>0</v>
      </c>
      <c r="G780" s="29">
        <f>Item_Enchant_Old!G784</f>
        <v>1</v>
      </c>
      <c r="H780" s="29" t="str">
        <f>Item_Enchant_Old!H784</f>
        <v>@</v>
      </c>
      <c r="I780" s="29">
        <f>Item_Enchant_Old!I784</f>
        <v>1</v>
      </c>
      <c r="J780" s="29" t="str">
        <f>Item_Enchant_Old!J784</f>
        <v>절대값/상대값(%) 가능</v>
      </c>
      <c r="K780" s="29">
        <f>Item_Enchant_Old!K784</f>
        <v>15</v>
      </c>
      <c r="L780" s="29">
        <f>Item_Enchant_Old!L784</f>
        <v>0</v>
      </c>
      <c r="M780" s="29">
        <f>Item_Enchant_Old!M784</f>
        <v>7</v>
      </c>
      <c r="N780" s="29">
        <f>Item_Enchant_Old!N784</f>
        <v>528</v>
      </c>
      <c r="O780" s="29">
        <f>Item_Enchant_Old!O784</f>
        <v>1</v>
      </c>
      <c r="P780" s="29">
        <f>Item_Enchant_Old!P784</f>
        <v>1</v>
      </c>
      <c r="Q780" s="29">
        <f>Item_Enchant_Old!Q784</f>
        <v>1</v>
      </c>
      <c r="R780" s="29">
        <f>Item_Enchant_Old!R784</f>
        <v>1</v>
      </c>
    </row>
    <row r="781" spans="1:18" s="29" customFormat="1" hidden="1">
      <c r="A781" s="29">
        <f>Item_Enchant_Old!A785</f>
        <v>780</v>
      </c>
      <c r="B781" s="29" t="str">
        <f>Item_Enchant_Old!B785</f>
        <v>ACTIVE_ENG_UP</v>
      </c>
      <c r="C781" s="29">
        <f>Item_Enchant_Old!C785</f>
        <v>615</v>
      </c>
      <c r="D781" s="29">
        <f>Item_Enchant_Old!D785</f>
        <v>0</v>
      </c>
      <c r="E781" s="29">
        <f>Item_Enchant_Old!E785</f>
        <v>0</v>
      </c>
      <c r="F781" s="29">
        <f>Item_Enchant_Old!F785</f>
        <v>0</v>
      </c>
      <c r="G781" s="29">
        <f>Item_Enchant_Old!G785</f>
        <v>2</v>
      </c>
      <c r="H781" s="29" t="str">
        <f>Item_Enchant_Old!H785</f>
        <v>@</v>
      </c>
      <c r="I781" s="29">
        <f>Item_Enchant_Old!I785</f>
        <v>1</v>
      </c>
      <c r="J781" s="29" t="str">
        <f>Item_Enchant_Old!J785</f>
        <v>절대값/상대값(%) 가능</v>
      </c>
      <c r="K781" s="29">
        <f>Item_Enchant_Old!K785</f>
        <v>15</v>
      </c>
      <c r="L781" s="29">
        <f>Item_Enchant_Old!L785</f>
        <v>0</v>
      </c>
      <c r="M781" s="29">
        <f>Item_Enchant_Old!M785</f>
        <v>7</v>
      </c>
      <c r="N781" s="29">
        <f>Item_Enchant_Old!N785</f>
        <v>62</v>
      </c>
      <c r="O781" s="29">
        <f>Item_Enchant_Old!O785</f>
        <v>1</v>
      </c>
      <c r="P781" s="29">
        <f>Item_Enchant_Old!P785</f>
        <v>1</v>
      </c>
      <c r="Q781" s="29">
        <f>Item_Enchant_Old!Q785</f>
        <v>1</v>
      </c>
      <c r="R781" s="29">
        <f>Item_Enchant_Old!R785</f>
        <v>1</v>
      </c>
    </row>
    <row r="782" spans="1:18" s="29" customFormat="1" hidden="1">
      <c r="A782" s="29">
        <f>Item_Enchant_Old!A786</f>
        <v>781</v>
      </c>
      <c r="B782" s="29" t="str">
        <f>Item_Enchant_Old!B786</f>
        <v>ACTIVE_PHYSICAL_CRITICAL</v>
      </c>
      <c r="C782" s="29">
        <f>Item_Enchant_Old!C786</f>
        <v>632</v>
      </c>
      <c r="D782" s="29">
        <f>Item_Enchant_Old!D786</f>
        <v>0</v>
      </c>
      <c r="E782" s="29">
        <f>Item_Enchant_Old!E786</f>
        <v>0</v>
      </c>
      <c r="F782" s="29">
        <f>Item_Enchant_Old!F786</f>
        <v>0</v>
      </c>
      <c r="G782" s="29">
        <f>Item_Enchant_Old!G786</f>
        <v>5</v>
      </c>
      <c r="H782" s="29" t="str">
        <f>Item_Enchant_Old!H786</f>
        <v>@</v>
      </c>
      <c r="I782" s="29">
        <f>Item_Enchant_Old!I786</f>
        <v>1</v>
      </c>
      <c r="J782" s="29" t="str">
        <f>Item_Enchant_Old!J786</f>
        <v>절대값/상대값(%) 가능</v>
      </c>
      <c r="K782" s="29">
        <f>Item_Enchant_Old!K786</f>
        <v>15</v>
      </c>
      <c r="L782" s="29">
        <f>Item_Enchant_Old!L786</f>
        <v>0</v>
      </c>
      <c r="M782" s="29">
        <f>Item_Enchant_Old!M786</f>
        <v>7</v>
      </c>
      <c r="N782" s="29">
        <f>Item_Enchant_Old!N786</f>
        <v>21</v>
      </c>
      <c r="O782" s="29">
        <f>Item_Enchant_Old!O786</f>
        <v>1</v>
      </c>
      <c r="P782" s="29">
        <f>Item_Enchant_Old!P786</f>
        <v>1</v>
      </c>
      <c r="Q782" s="29">
        <f>Item_Enchant_Old!Q786</f>
        <v>1</v>
      </c>
      <c r="R782" s="29">
        <f>Item_Enchant_Old!R786</f>
        <v>1</v>
      </c>
    </row>
    <row r="783" spans="1:18" s="29" customFormat="1" hidden="1">
      <c r="A783" s="29">
        <f>Item_Enchant_Old!A787</f>
        <v>782</v>
      </c>
      <c r="B783" s="29" t="str">
        <f>Item_Enchant_Old!B787</f>
        <v>ACTIVE_ENERGY_CRITICAL</v>
      </c>
      <c r="C783" s="29">
        <f>Item_Enchant_Old!C787</f>
        <v>633</v>
      </c>
      <c r="D783" s="29">
        <f>Item_Enchant_Old!D787</f>
        <v>0</v>
      </c>
      <c r="E783" s="29">
        <f>Item_Enchant_Old!E787</f>
        <v>0</v>
      </c>
      <c r="F783" s="29">
        <f>Item_Enchant_Old!F787</f>
        <v>0</v>
      </c>
      <c r="G783" s="29">
        <f>Item_Enchant_Old!G787</f>
        <v>5</v>
      </c>
      <c r="H783" s="29" t="str">
        <f>Item_Enchant_Old!H787</f>
        <v>@</v>
      </c>
      <c r="I783" s="29">
        <f>Item_Enchant_Old!I787</f>
        <v>1</v>
      </c>
      <c r="J783" s="29" t="str">
        <f>Item_Enchant_Old!J787</f>
        <v>절대값/상대값(%) 가능</v>
      </c>
      <c r="K783" s="29">
        <f>Item_Enchant_Old!K787</f>
        <v>15</v>
      </c>
      <c r="L783" s="29">
        <f>Item_Enchant_Old!L787</f>
        <v>0</v>
      </c>
      <c r="M783" s="29">
        <f>Item_Enchant_Old!M787</f>
        <v>7</v>
      </c>
      <c r="N783" s="29">
        <f>Item_Enchant_Old!N787</f>
        <v>24</v>
      </c>
      <c r="O783" s="29">
        <f>Item_Enchant_Old!O787</f>
        <v>1</v>
      </c>
      <c r="P783" s="29">
        <f>Item_Enchant_Old!P787</f>
        <v>1</v>
      </c>
      <c r="Q783" s="29">
        <f>Item_Enchant_Old!Q787</f>
        <v>1</v>
      </c>
      <c r="R783" s="29">
        <f>Item_Enchant_Old!R787</f>
        <v>1</v>
      </c>
    </row>
    <row r="784" spans="1:18" s="29" customFormat="1" hidden="1">
      <c r="A784" s="29">
        <f>Item_Enchant_Old!A788</f>
        <v>783</v>
      </c>
      <c r="B784" s="29" t="str">
        <f>Item_Enchant_Old!B788</f>
        <v>ACTIVE_FOC_UP</v>
      </c>
      <c r="C784" s="29">
        <f>Item_Enchant_Old!C788</f>
        <v>612</v>
      </c>
      <c r="D784" s="29">
        <f>Item_Enchant_Old!D788</f>
        <v>0</v>
      </c>
      <c r="E784" s="29">
        <f>Item_Enchant_Old!E788</f>
        <v>0</v>
      </c>
      <c r="F784" s="29">
        <f>Item_Enchant_Old!F788</f>
        <v>0</v>
      </c>
      <c r="G784" s="29">
        <f>Item_Enchant_Old!G788</f>
        <v>2</v>
      </c>
      <c r="H784" s="29" t="str">
        <f>Item_Enchant_Old!H788</f>
        <v>@</v>
      </c>
      <c r="I784" s="29">
        <f>Item_Enchant_Old!I788</f>
        <v>1</v>
      </c>
      <c r="J784" s="29" t="str">
        <f>Item_Enchant_Old!J788</f>
        <v>절대값/상대값(%) 가능</v>
      </c>
      <c r="K784" s="29">
        <f>Item_Enchant_Old!K788</f>
        <v>15</v>
      </c>
      <c r="L784" s="29">
        <f>Item_Enchant_Old!L788</f>
        <v>0</v>
      </c>
      <c r="M784" s="29">
        <f>Item_Enchant_Old!M788</f>
        <v>8</v>
      </c>
      <c r="N784" s="29">
        <f>Item_Enchant_Old!N788</f>
        <v>53</v>
      </c>
      <c r="O784" s="29">
        <f>Item_Enchant_Old!O788</f>
        <v>1</v>
      </c>
      <c r="P784" s="29">
        <f>Item_Enchant_Old!P788</f>
        <v>1</v>
      </c>
      <c r="Q784" s="29">
        <f>Item_Enchant_Old!Q788</f>
        <v>1</v>
      </c>
      <c r="R784" s="29">
        <f>Item_Enchant_Old!R788</f>
        <v>1</v>
      </c>
    </row>
    <row r="785" spans="1:18" s="29" customFormat="1" hidden="1">
      <c r="A785" s="29">
        <f>Item_Enchant_Old!A789</f>
        <v>784</v>
      </c>
      <c r="B785" s="29" t="str">
        <f>Item_Enchant_Old!B789</f>
        <v>ACTIVE_CON_UP</v>
      </c>
      <c r="C785" s="29">
        <f>Item_Enchant_Old!C789</f>
        <v>611</v>
      </c>
      <c r="D785" s="29">
        <f>Item_Enchant_Old!D789</f>
        <v>0</v>
      </c>
      <c r="E785" s="29">
        <f>Item_Enchant_Old!E789</f>
        <v>0</v>
      </c>
      <c r="F785" s="29">
        <f>Item_Enchant_Old!F789</f>
        <v>0</v>
      </c>
      <c r="G785" s="29">
        <f>Item_Enchant_Old!G789</f>
        <v>3</v>
      </c>
      <c r="H785" s="29" t="str">
        <f>Item_Enchant_Old!H789</f>
        <v>@</v>
      </c>
      <c r="I785" s="29">
        <f>Item_Enchant_Old!I789</f>
        <v>1</v>
      </c>
      <c r="J785" s="29" t="str">
        <f>Item_Enchant_Old!J789</f>
        <v>절대값/상대값(%) 가능</v>
      </c>
      <c r="K785" s="29">
        <f>Item_Enchant_Old!K789</f>
        <v>15</v>
      </c>
      <c r="L785" s="29">
        <f>Item_Enchant_Old!L789</f>
        <v>0</v>
      </c>
      <c r="M785" s="29">
        <f>Item_Enchant_Old!M789</f>
        <v>8</v>
      </c>
      <c r="N785" s="29">
        <f>Item_Enchant_Old!N789</f>
        <v>48</v>
      </c>
      <c r="O785" s="29">
        <f>Item_Enchant_Old!O789</f>
        <v>1</v>
      </c>
      <c r="P785" s="29">
        <f>Item_Enchant_Old!P789</f>
        <v>1</v>
      </c>
      <c r="Q785" s="29">
        <f>Item_Enchant_Old!Q789</f>
        <v>1</v>
      </c>
      <c r="R785" s="29">
        <f>Item_Enchant_Old!R789</f>
        <v>1</v>
      </c>
    </row>
    <row r="786" spans="1:18" s="29" customFormat="1" hidden="1">
      <c r="A786" s="29">
        <f>Item_Enchant_Old!A790</f>
        <v>785</v>
      </c>
      <c r="B786" s="29" t="str">
        <f>Item_Enchant_Old!B790</f>
        <v>ACTIVE_BLOCK_RATE_UP</v>
      </c>
      <c r="C786" s="29">
        <f>Item_Enchant_Old!C790</f>
        <v>620</v>
      </c>
      <c r="D786" s="29">
        <f>Item_Enchant_Old!D790</f>
        <v>0</v>
      </c>
      <c r="E786" s="29">
        <f>Item_Enchant_Old!E790</f>
        <v>0</v>
      </c>
      <c r="F786" s="29">
        <f>Item_Enchant_Old!F790</f>
        <v>0</v>
      </c>
      <c r="G786" s="29">
        <f>Item_Enchant_Old!G790</f>
        <v>1</v>
      </c>
      <c r="H786" s="29" t="str">
        <f>Item_Enchant_Old!H790</f>
        <v>@</v>
      </c>
      <c r="I786" s="29">
        <f>Item_Enchant_Old!I790</f>
        <v>1</v>
      </c>
      <c r="J786" s="29" t="str">
        <f>Item_Enchant_Old!J790</f>
        <v>절대값/상대값(%) 가능</v>
      </c>
      <c r="K786" s="29">
        <f>Item_Enchant_Old!K790</f>
        <v>15</v>
      </c>
      <c r="L786" s="29">
        <f>Item_Enchant_Old!L790</f>
        <v>0</v>
      </c>
      <c r="M786" s="29">
        <f>Item_Enchant_Old!M790</f>
        <v>8</v>
      </c>
      <c r="N786" s="29">
        <f>Item_Enchant_Old!N790</f>
        <v>352</v>
      </c>
      <c r="O786" s="29">
        <f>Item_Enchant_Old!O790</f>
        <v>1</v>
      </c>
      <c r="P786" s="29">
        <f>Item_Enchant_Old!P790</f>
        <v>1</v>
      </c>
      <c r="Q786" s="29">
        <f>Item_Enchant_Old!Q790</f>
        <v>1</v>
      </c>
      <c r="R786" s="29">
        <f>Item_Enchant_Old!R790</f>
        <v>1</v>
      </c>
    </row>
    <row r="787" spans="1:18" s="29" customFormat="1" hidden="1">
      <c r="A787" s="29">
        <f>Item_Enchant_Old!A791</f>
        <v>786</v>
      </c>
      <c r="B787" s="29" t="str">
        <f>Item_Enchant_Old!B791</f>
        <v>ACTIVE_ENG_UP</v>
      </c>
      <c r="C787" s="29">
        <f>Item_Enchant_Old!C791</f>
        <v>615</v>
      </c>
      <c r="D787" s="29">
        <f>Item_Enchant_Old!D791</f>
        <v>0</v>
      </c>
      <c r="E787" s="29">
        <f>Item_Enchant_Old!E791</f>
        <v>0</v>
      </c>
      <c r="F787" s="29">
        <f>Item_Enchant_Old!F791</f>
        <v>0</v>
      </c>
      <c r="G787" s="29">
        <f>Item_Enchant_Old!G791</f>
        <v>2</v>
      </c>
      <c r="H787" s="29" t="str">
        <f>Item_Enchant_Old!H791</f>
        <v>@</v>
      </c>
      <c r="I787" s="29">
        <f>Item_Enchant_Old!I791</f>
        <v>1</v>
      </c>
      <c r="J787" s="29" t="str">
        <f>Item_Enchant_Old!J791</f>
        <v>절대값/상대값(%) 가능</v>
      </c>
      <c r="K787" s="29">
        <f>Item_Enchant_Old!K791</f>
        <v>15</v>
      </c>
      <c r="L787" s="29">
        <f>Item_Enchant_Old!L791</f>
        <v>0</v>
      </c>
      <c r="M787" s="29">
        <f>Item_Enchant_Old!M791</f>
        <v>8</v>
      </c>
      <c r="N787" s="29">
        <f>Item_Enchant_Old!N791</f>
        <v>62</v>
      </c>
      <c r="O787" s="29">
        <f>Item_Enchant_Old!O791</f>
        <v>1</v>
      </c>
      <c r="P787" s="29">
        <f>Item_Enchant_Old!P791</f>
        <v>1</v>
      </c>
      <c r="Q787" s="29">
        <f>Item_Enchant_Old!Q791</f>
        <v>1</v>
      </c>
      <c r="R787" s="29">
        <f>Item_Enchant_Old!R791</f>
        <v>1</v>
      </c>
    </row>
    <row r="788" spans="1:18" s="29" customFormat="1" hidden="1">
      <c r="A788" s="29">
        <f>Item_Enchant_Old!A792</f>
        <v>787</v>
      </c>
      <c r="B788" s="29" t="str">
        <f>Item_Enchant_Old!B792</f>
        <v>ACTIVE_PHYSICAL_CRITICAL</v>
      </c>
      <c r="C788" s="29">
        <f>Item_Enchant_Old!C792</f>
        <v>632</v>
      </c>
      <c r="D788" s="29">
        <f>Item_Enchant_Old!D792</f>
        <v>0</v>
      </c>
      <c r="E788" s="29">
        <f>Item_Enchant_Old!E792</f>
        <v>0</v>
      </c>
      <c r="F788" s="29">
        <f>Item_Enchant_Old!F792</f>
        <v>0</v>
      </c>
      <c r="G788" s="29">
        <f>Item_Enchant_Old!G792</f>
        <v>5</v>
      </c>
      <c r="H788" s="29" t="str">
        <f>Item_Enchant_Old!H792</f>
        <v>@</v>
      </c>
      <c r="I788" s="29">
        <f>Item_Enchant_Old!I792</f>
        <v>1</v>
      </c>
      <c r="J788" s="29" t="str">
        <f>Item_Enchant_Old!J792</f>
        <v>절대값/상대값(%) 가능</v>
      </c>
      <c r="K788" s="29">
        <f>Item_Enchant_Old!K792</f>
        <v>15</v>
      </c>
      <c r="L788" s="29">
        <f>Item_Enchant_Old!L792</f>
        <v>0</v>
      </c>
      <c r="M788" s="29">
        <f>Item_Enchant_Old!M792</f>
        <v>9</v>
      </c>
      <c r="N788" s="29">
        <f>Item_Enchant_Old!N792</f>
        <v>21</v>
      </c>
      <c r="O788" s="29">
        <f>Item_Enchant_Old!O792</f>
        <v>1</v>
      </c>
      <c r="P788" s="29">
        <f>Item_Enchant_Old!P792</f>
        <v>1</v>
      </c>
      <c r="Q788" s="29">
        <f>Item_Enchant_Old!Q792</f>
        <v>1</v>
      </c>
      <c r="R788" s="29">
        <f>Item_Enchant_Old!R792</f>
        <v>1</v>
      </c>
    </row>
    <row r="789" spans="1:18" s="29" customFormat="1" hidden="1">
      <c r="A789" s="29">
        <f>Item_Enchant_Old!A793</f>
        <v>788</v>
      </c>
      <c r="B789" s="29" t="str">
        <f>Item_Enchant_Old!B793</f>
        <v>ACTIVE_ENERGY_CRITICAL</v>
      </c>
      <c r="C789" s="29">
        <f>Item_Enchant_Old!C793</f>
        <v>633</v>
      </c>
      <c r="D789" s="29">
        <f>Item_Enchant_Old!D793</f>
        <v>0</v>
      </c>
      <c r="E789" s="29">
        <f>Item_Enchant_Old!E793</f>
        <v>0</v>
      </c>
      <c r="F789" s="29">
        <f>Item_Enchant_Old!F793</f>
        <v>0</v>
      </c>
      <c r="G789" s="29">
        <f>Item_Enchant_Old!G793</f>
        <v>5</v>
      </c>
      <c r="H789" s="29" t="str">
        <f>Item_Enchant_Old!H793</f>
        <v>@</v>
      </c>
      <c r="I789" s="29">
        <f>Item_Enchant_Old!I793</f>
        <v>1</v>
      </c>
      <c r="J789" s="29" t="str">
        <f>Item_Enchant_Old!J793</f>
        <v>절대값/상대값(%) 가능</v>
      </c>
      <c r="K789" s="29">
        <f>Item_Enchant_Old!K793</f>
        <v>15</v>
      </c>
      <c r="L789" s="29">
        <f>Item_Enchant_Old!L793</f>
        <v>0</v>
      </c>
      <c r="M789" s="29">
        <f>Item_Enchant_Old!M793</f>
        <v>9</v>
      </c>
      <c r="N789" s="29">
        <f>Item_Enchant_Old!N793</f>
        <v>24</v>
      </c>
      <c r="O789" s="29">
        <f>Item_Enchant_Old!O793</f>
        <v>1</v>
      </c>
      <c r="P789" s="29">
        <f>Item_Enchant_Old!P793</f>
        <v>1</v>
      </c>
      <c r="Q789" s="29">
        <f>Item_Enchant_Old!Q793</f>
        <v>1</v>
      </c>
      <c r="R789" s="29">
        <f>Item_Enchant_Old!R793</f>
        <v>1</v>
      </c>
    </row>
    <row r="790" spans="1:18" s="29" customFormat="1" hidden="1">
      <c r="A790" s="29">
        <f>Item_Enchant_Old!A794</f>
        <v>789</v>
      </c>
      <c r="B790" s="29" t="str">
        <f>Item_Enchant_Old!B794</f>
        <v>ACTIVE_DEX_UP</v>
      </c>
      <c r="C790" s="29">
        <f>Item_Enchant_Old!C794</f>
        <v>613</v>
      </c>
      <c r="D790" s="29">
        <f>Item_Enchant_Old!D794</f>
        <v>0</v>
      </c>
      <c r="E790" s="29">
        <f>Item_Enchant_Old!E794</f>
        <v>0</v>
      </c>
      <c r="F790" s="29">
        <f>Item_Enchant_Old!F794</f>
        <v>0</v>
      </c>
      <c r="G790" s="29">
        <f>Item_Enchant_Old!G794</f>
        <v>3</v>
      </c>
      <c r="H790" s="29" t="str">
        <f>Item_Enchant_Old!H794</f>
        <v>@</v>
      </c>
      <c r="I790" s="29">
        <f>Item_Enchant_Old!I794</f>
        <v>1</v>
      </c>
      <c r="J790" s="29" t="str">
        <f>Item_Enchant_Old!J794</f>
        <v>절대값/상대값(%) 가능</v>
      </c>
      <c r="K790" s="29">
        <f>Item_Enchant_Old!K794</f>
        <v>15</v>
      </c>
      <c r="L790" s="29">
        <f>Item_Enchant_Old!L794</f>
        <v>0</v>
      </c>
      <c r="M790" s="29">
        <f>Item_Enchant_Old!M794</f>
        <v>9</v>
      </c>
      <c r="N790" s="29">
        <f>Item_Enchant_Old!N794</f>
        <v>44</v>
      </c>
      <c r="O790" s="29">
        <f>Item_Enchant_Old!O794</f>
        <v>1</v>
      </c>
      <c r="P790" s="29">
        <f>Item_Enchant_Old!P794</f>
        <v>1</v>
      </c>
      <c r="Q790" s="29">
        <f>Item_Enchant_Old!Q794</f>
        <v>1</v>
      </c>
      <c r="R790" s="29">
        <f>Item_Enchant_Old!R794</f>
        <v>1</v>
      </c>
    </row>
    <row r="791" spans="1:18" s="29" customFormat="1" hidden="1">
      <c r="A791" s="29">
        <f>Item_Enchant_Old!A795</f>
        <v>790</v>
      </c>
      <c r="B791" s="29" t="str">
        <f>Item_Enchant_Old!B795</f>
        <v>ACTIVE_FOC_UP</v>
      </c>
      <c r="C791" s="29">
        <f>Item_Enchant_Old!C795</f>
        <v>612</v>
      </c>
      <c r="D791" s="29">
        <f>Item_Enchant_Old!D795</f>
        <v>0</v>
      </c>
      <c r="E791" s="29">
        <f>Item_Enchant_Old!E795</f>
        <v>0</v>
      </c>
      <c r="F791" s="29">
        <f>Item_Enchant_Old!F795</f>
        <v>0</v>
      </c>
      <c r="G791" s="29">
        <f>Item_Enchant_Old!G795</f>
        <v>2</v>
      </c>
      <c r="H791" s="29" t="str">
        <f>Item_Enchant_Old!H795</f>
        <v>@</v>
      </c>
      <c r="I791" s="29">
        <f>Item_Enchant_Old!I795</f>
        <v>1</v>
      </c>
      <c r="J791" s="29" t="str">
        <f>Item_Enchant_Old!J795</f>
        <v>절대값/상대값(%) 가능</v>
      </c>
      <c r="K791" s="29">
        <f>Item_Enchant_Old!K795</f>
        <v>15</v>
      </c>
      <c r="L791" s="29">
        <f>Item_Enchant_Old!L795</f>
        <v>0</v>
      </c>
      <c r="M791" s="29">
        <f>Item_Enchant_Old!M795</f>
        <v>9</v>
      </c>
      <c r="N791" s="29">
        <f>Item_Enchant_Old!N795</f>
        <v>53</v>
      </c>
      <c r="O791" s="29">
        <f>Item_Enchant_Old!O795</f>
        <v>1</v>
      </c>
      <c r="P791" s="29">
        <f>Item_Enchant_Old!P795</f>
        <v>1</v>
      </c>
      <c r="Q791" s="29">
        <f>Item_Enchant_Old!Q795</f>
        <v>1</v>
      </c>
      <c r="R791" s="29">
        <f>Item_Enchant_Old!R795</f>
        <v>1</v>
      </c>
    </row>
    <row r="792" spans="1:18" s="29" customFormat="1" hidden="1">
      <c r="A792" s="29">
        <f>Item_Enchant_Old!A796</f>
        <v>791</v>
      </c>
      <c r="B792" s="29" t="str">
        <f>Item_Enchant_Old!B796</f>
        <v>ACTIVE_PHYSICAL_CRITICAL_DAMAGE_UP</v>
      </c>
      <c r="C792" s="29">
        <f>Item_Enchant_Old!C796</f>
        <v>658</v>
      </c>
      <c r="D792" s="29">
        <f>Item_Enchant_Old!D796</f>
        <v>0</v>
      </c>
      <c r="E792" s="29">
        <f>Item_Enchant_Old!E796</f>
        <v>0</v>
      </c>
      <c r="F792" s="29">
        <f>Item_Enchant_Old!F796</f>
        <v>0</v>
      </c>
      <c r="G792" s="29">
        <f>Item_Enchant_Old!G796</f>
        <v>4</v>
      </c>
      <c r="H792" s="29" t="str">
        <f>Item_Enchant_Old!H796</f>
        <v>@</v>
      </c>
      <c r="I792" s="29">
        <f>Item_Enchant_Old!I796</f>
        <v>1</v>
      </c>
      <c r="J792" s="29" t="str">
        <f>Item_Enchant_Old!J796</f>
        <v>절대값만 가능</v>
      </c>
      <c r="K792" s="29">
        <f>Item_Enchant_Old!K796</f>
        <v>15</v>
      </c>
      <c r="L792" s="29">
        <f>Item_Enchant_Old!L796</f>
        <v>0</v>
      </c>
      <c r="M792" s="29">
        <f>Item_Enchant_Old!M796</f>
        <v>10</v>
      </c>
      <c r="N792" s="29">
        <f>Item_Enchant_Old!N796</f>
        <v>28</v>
      </c>
      <c r="O792" s="29">
        <f>Item_Enchant_Old!O796</f>
        <v>1</v>
      </c>
      <c r="P792" s="29">
        <f>Item_Enchant_Old!P796</f>
        <v>1</v>
      </c>
      <c r="Q792" s="29">
        <f>Item_Enchant_Old!Q796</f>
        <v>1</v>
      </c>
      <c r="R792" s="29">
        <f>Item_Enchant_Old!R796</f>
        <v>1</v>
      </c>
    </row>
    <row r="793" spans="1:18" s="29" customFormat="1" hidden="1">
      <c r="A793" s="29">
        <f>Item_Enchant_Old!A797</f>
        <v>792</v>
      </c>
      <c r="B793" s="29" t="str">
        <f>Item_Enchant_Old!B797</f>
        <v>ACTIVE_ENERGY_CRITICAL_DAMAGE_UP</v>
      </c>
      <c r="C793" s="29">
        <f>Item_Enchant_Old!C797</f>
        <v>659</v>
      </c>
      <c r="D793" s="29">
        <f>Item_Enchant_Old!D797</f>
        <v>0</v>
      </c>
      <c r="E793" s="29">
        <f>Item_Enchant_Old!E797</f>
        <v>0</v>
      </c>
      <c r="F793" s="29">
        <f>Item_Enchant_Old!F797</f>
        <v>0</v>
      </c>
      <c r="G793" s="29">
        <f>Item_Enchant_Old!G797</f>
        <v>4</v>
      </c>
      <c r="H793" s="29" t="str">
        <f>Item_Enchant_Old!H797</f>
        <v>@</v>
      </c>
      <c r="I793" s="29">
        <f>Item_Enchant_Old!I797</f>
        <v>1</v>
      </c>
      <c r="J793" s="29" t="str">
        <f>Item_Enchant_Old!J797</f>
        <v>절대값만 가능</v>
      </c>
      <c r="K793" s="29">
        <f>Item_Enchant_Old!K797</f>
        <v>15</v>
      </c>
      <c r="L793" s="29">
        <f>Item_Enchant_Old!L797</f>
        <v>0</v>
      </c>
      <c r="M793" s="29">
        <f>Item_Enchant_Old!M797</f>
        <v>10</v>
      </c>
      <c r="N793" s="29">
        <f>Item_Enchant_Old!N797</f>
        <v>32</v>
      </c>
      <c r="O793" s="29">
        <f>Item_Enchant_Old!O797</f>
        <v>1</v>
      </c>
      <c r="P793" s="29">
        <f>Item_Enchant_Old!P797</f>
        <v>1</v>
      </c>
      <c r="Q793" s="29">
        <f>Item_Enchant_Old!Q797</f>
        <v>1</v>
      </c>
      <c r="R793" s="29">
        <f>Item_Enchant_Old!R797</f>
        <v>1</v>
      </c>
    </row>
    <row r="794" spans="1:18" s="29" customFormat="1" hidden="1">
      <c r="A794" s="29">
        <f>Item_Enchant_Old!A798</f>
        <v>793</v>
      </c>
      <c r="B794" s="29" t="str">
        <f>Item_Enchant_Old!B798</f>
        <v>ACTIVE_DEX_UP</v>
      </c>
      <c r="C794" s="29">
        <f>Item_Enchant_Old!C798</f>
        <v>613</v>
      </c>
      <c r="D794" s="29">
        <f>Item_Enchant_Old!D798</f>
        <v>0</v>
      </c>
      <c r="E794" s="29">
        <f>Item_Enchant_Old!E798</f>
        <v>0</v>
      </c>
      <c r="F794" s="29">
        <f>Item_Enchant_Old!F798</f>
        <v>0</v>
      </c>
      <c r="G794" s="29">
        <f>Item_Enchant_Old!G798</f>
        <v>3</v>
      </c>
      <c r="H794" s="29" t="str">
        <f>Item_Enchant_Old!H798</f>
        <v>@</v>
      </c>
      <c r="I794" s="29">
        <f>Item_Enchant_Old!I798</f>
        <v>1</v>
      </c>
      <c r="J794" s="29" t="str">
        <f>Item_Enchant_Old!J798</f>
        <v>절대값/상대값(%) 가능</v>
      </c>
      <c r="K794" s="29">
        <f>Item_Enchant_Old!K798</f>
        <v>15</v>
      </c>
      <c r="L794" s="29">
        <f>Item_Enchant_Old!L798</f>
        <v>0</v>
      </c>
      <c r="M794" s="29">
        <f>Item_Enchant_Old!M798</f>
        <v>10</v>
      </c>
      <c r="N794" s="29">
        <f>Item_Enchant_Old!N798</f>
        <v>44</v>
      </c>
      <c r="O794" s="29">
        <f>Item_Enchant_Old!O798</f>
        <v>1</v>
      </c>
      <c r="P794" s="29">
        <f>Item_Enchant_Old!P798</f>
        <v>1</v>
      </c>
      <c r="Q794" s="29">
        <f>Item_Enchant_Old!Q798</f>
        <v>1</v>
      </c>
      <c r="R794" s="29">
        <f>Item_Enchant_Old!R798</f>
        <v>1</v>
      </c>
    </row>
    <row r="795" spans="1:18" s="29" customFormat="1" hidden="1">
      <c r="A795" s="29">
        <f>Item_Enchant_Old!A799</f>
        <v>794</v>
      </c>
      <c r="B795" s="29" t="str">
        <f>Item_Enchant_Old!B799</f>
        <v>ACTIVE_ATTACK_SPEED_UP</v>
      </c>
      <c r="C795" s="29">
        <f>Item_Enchant_Old!C799</f>
        <v>617</v>
      </c>
      <c r="D795" s="29">
        <f>Item_Enchant_Old!D799</f>
        <v>1</v>
      </c>
      <c r="E795" s="29">
        <f>Item_Enchant_Old!E799</f>
        <v>0</v>
      </c>
      <c r="F795" s="29">
        <f>Item_Enchant_Old!F799</f>
        <v>0</v>
      </c>
      <c r="G795" s="29">
        <f>Item_Enchant_Old!G799</f>
        <v>10</v>
      </c>
      <c r="H795" s="29" t="str">
        <f>Item_Enchant_Old!H799</f>
        <v>@</v>
      </c>
      <c r="I795" s="29">
        <f>Item_Enchant_Old!I799</f>
        <v>1</v>
      </c>
      <c r="J795" s="29" t="str">
        <f>Item_Enchant_Old!J799</f>
        <v>절대값/상대값(%) 가능</v>
      </c>
      <c r="K795" s="29">
        <f>Item_Enchant_Old!K799</f>
        <v>15</v>
      </c>
      <c r="L795" s="29">
        <f>Item_Enchant_Old!L799</f>
        <v>0</v>
      </c>
      <c r="M795" s="29">
        <f>Item_Enchant_Old!M799</f>
        <v>10</v>
      </c>
      <c r="N795" s="29">
        <f>Item_Enchant_Old!N799</f>
        <v>10</v>
      </c>
      <c r="O795" s="29">
        <f>Item_Enchant_Old!O799</f>
        <v>1</v>
      </c>
      <c r="P795" s="29">
        <f>Item_Enchant_Old!P799</f>
        <v>1</v>
      </c>
      <c r="Q795" s="29">
        <f>Item_Enchant_Old!Q799</f>
        <v>1</v>
      </c>
      <c r="R795" s="29">
        <f>Item_Enchant_Old!R799</f>
        <v>1</v>
      </c>
    </row>
    <row r="796" spans="1:18" s="29" customFormat="1" hidden="1">
      <c r="A796" s="29">
        <f>Item_Enchant_Old!A800</f>
        <v>795</v>
      </c>
      <c r="B796" s="29" t="str">
        <f>Item_Enchant_Old!B800</f>
        <v>ACTIVE_STR_UP</v>
      </c>
      <c r="C796" s="29">
        <f>Item_Enchant_Old!C800</f>
        <v>610</v>
      </c>
      <c r="D796" s="29">
        <f>Item_Enchant_Old!D800</f>
        <v>0</v>
      </c>
      <c r="E796" s="29">
        <f>Item_Enchant_Old!E800</f>
        <v>0</v>
      </c>
      <c r="F796" s="29">
        <f>Item_Enchant_Old!F800</f>
        <v>0</v>
      </c>
      <c r="G796" s="29">
        <f>Item_Enchant_Old!G800</f>
        <v>2</v>
      </c>
      <c r="H796" s="29" t="str">
        <f>Item_Enchant_Old!H800</f>
        <v>@</v>
      </c>
      <c r="I796" s="29">
        <f>Item_Enchant_Old!I800</f>
        <v>1</v>
      </c>
      <c r="J796" s="29" t="str">
        <f>Item_Enchant_Old!J800</f>
        <v>절대값/상대값(%) 가능</v>
      </c>
      <c r="K796" s="29">
        <f>Item_Enchant_Old!K800</f>
        <v>15</v>
      </c>
      <c r="L796" s="29">
        <f>Item_Enchant_Old!L800</f>
        <v>0</v>
      </c>
      <c r="M796" s="29">
        <f>Item_Enchant_Old!M800</f>
        <v>11</v>
      </c>
      <c r="N796" s="29">
        <f>Item_Enchant_Old!N800</f>
        <v>57</v>
      </c>
      <c r="O796" s="29">
        <f>Item_Enchant_Old!O800</f>
        <v>1</v>
      </c>
      <c r="P796" s="29">
        <f>Item_Enchant_Old!P800</f>
        <v>1</v>
      </c>
      <c r="Q796" s="29">
        <f>Item_Enchant_Old!Q800</f>
        <v>1</v>
      </c>
      <c r="R796" s="29">
        <f>Item_Enchant_Old!R800</f>
        <v>1</v>
      </c>
    </row>
    <row r="797" spans="1:18" s="29" customFormat="1" hidden="1">
      <c r="A797" s="29">
        <f>Item_Enchant_Old!A801</f>
        <v>796</v>
      </c>
      <c r="B797" s="29" t="str">
        <f>Item_Enchant_Old!B801</f>
        <v>ACTIVE_CON_UP</v>
      </c>
      <c r="C797" s="29">
        <f>Item_Enchant_Old!C801</f>
        <v>611</v>
      </c>
      <c r="D797" s="29">
        <f>Item_Enchant_Old!D801</f>
        <v>0</v>
      </c>
      <c r="E797" s="29">
        <f>Item_Enchant_Old!E801</f>
        <v>0</v>
      </c>
      <c r="F797" s="29">
        <f>Item_Enchant_Old!F801</f>
        <v>0</v>
      </c>
      <c r="G797" s="29">
        <f>Item_Enchant_Old!G801</f>
        <v>3</v>
      </c>
      <c r="H797" s="29" t="str">
        <f>Item_Enchant_Old!H801</f>
        <v>@</v>
      </c>
      <c r="I797" s="29">
        <f>Item_Enchant_Old!I801</f>
        <v>1</v>
      </c>
      <c r="J797" s="29" t="str">
        <f>Item_Enchant_Old!J801</f>
        <v>절대값/상대값(%) 가능</v>
      </c>
      <c r="K797" s="29">
        <f>Item_Enchant_Old!K801</f>
        <v>15</v>
      </c>
      <c r="L797" s="29">
        <f>Item_Enchant_Old!L801</f>
        <v>0</v>
      </c>
      <c r="M797" s="29">
        <f>Item_Enchant_Old!M801</f>
        <v>11</v>
      </c>
      <c r="N797" s="29">
        <f>Item_Enchant_Old!N801</f>
        <v>48</v>
      </c>
      <c r="O797" s="29">
        <f>Item_Enchant_Old!O801</f>
        <v>1</v>
      </c>
      <c r="P797" s="29">
        <f>Item_Enchant_Old!P801</f>
        <v>1</v>
      </c>
      <c r="Q797" s="29">
        <f>Item_Enchant_Old!Q801</f>
        <v>1</v>
      </c>
      <c r="R797" s="29">
        <f>Item_Enchant_Old!R801</f>
        <v>1</v>
      </c>
    </row>
    <row r="798" spans="1:18" s="29" customFormat="1" hidden="1">
      <c r="A798" s="29">
        <f>Item_Enchant_Old!A802</f>
        <v>797</v>
      </c>
      <c r="B798" s="29" t="str">
        <f>Item_Enchant_Old!B802</f>
        <v>ACTIVE_FOC_UP</v>
      </c>
      <c r="C798" s="29">
        <f>Item_Enchant_Old!C802</f>
        <v>612</v>
      </c>
      <c r="D798" s="29">
        <f>Item_Enchant_Old!D802</f>
        <v>0</v>
      </c>
      <c r="E798" s="29">
        <f>Item_Enchant_Old!E802</f>
        <v>0</v>
      </c>
      <c r="F798" s="29">
        <f>Item_Enchant_Old!F802</f>
        <v>0</v>
      </c>
      <c r="G798" s="29">
        <f>Item_Enchant_Old!G802</f>
        <v>2</v>
      </c>
      <c r="H798" s="29" t="str">
        <f>Item_Enchant_Old!H802</f>
        <v>@</v>
      </c>
      <c r="I798" s="29">
        <f>Item_Enchant_Old!I802</f>
        <v>1</v>
      </c>
      <c r="J798" s="29" t="str">
        <f>Item_Enchant_Old!J802</f>
        <v>절대값/상대값(%) 가능</v>
      </c>
      <c r="K798" s="29">
        <f>Item_Enchant_Old!K802</f>
        <v>15</v>
      </c>
      <c r="L798" s="29">
        <f>Item_Enchant_Old!L802</f>
        <v>0</v>
      </c>
      <c r="M798" s="29">
        <f>Item_Enchant_Old!M802</f>
        <v>11</v>
      </c>
      <c r="N798" s="29">
        <f>Item_Enchant_Old!N802</f>
        <v>53</v>
      </c>
      <c r="O798" s="29">
        <f>Item_Enchant_Old!O802</f>
        <v>1</v>
      </c>
      <c r="P798" s="29">
        <f>Item_Enchant_Old!P802</f>
        <v>1</v>
      </c>
      <c r="Q798" s="29">
        <f>Item_Enchant_Old!Q802</f>
        <v>1</v>
      </c>
      <c r="R798" s="29">
        <f>Item_Enchant_Old!R802</f>
        <v>1</v>
      </c>
    </row>
    <row r="799" spans="1:18" s="29" customFormat="1" hidden="1">
      <c r="A799" s="29">
        <f>Item_Enchant_Old!A803</f>
        <v>798</v>
      </c>
      <c r="B799" s="29" t="str">
        <f>Item_Enchant_Old!B803</f>
        <v>ACTIVE_DEX_UP</v>
      </c>
      <c r="C799" s="29">
        <f>Item_Enchant_Old!C803</f>
        <v>613</v>
      </c>
      <c r="D799" s="29">
        <f>Item_Enchant_Old!D803</f>
        <v>0</v>
      </c>
      <c r="E799" s="29">
        <f>Item_Enchant_Old!E803</f>
        <v>0</v>
      </c>
      <c r="F799" s="29">
        <f>Item_Enchant_Old!F803</f>
        <v>0</v>
      </c>
      <c r="G799" s="29">
        <f>Item_Enchant_Old!G803</f>
        <v>3</v>
      </c>
      <c r="H799" s="29" t="str">
        <f>Item_Enchant_Old!H803</f>
        <v>@</v>
      </c>
      <c r="I799" s="29">
        <f>Item_Enchant_Old!I803</f>
        <v>1</v>
      </c>
      <c r="J799" s="29" t="str">
        <f>Item_Enchant_Old!J803</f>
        <v>절대값/상대값(%) 가능</v>
      </c>
      <c r="K799" s="29">
        <f>Item_Enchant_Old!K803</f>
        <v>15</v>
      </c>
      <c r="L799" s="29">
        <f>Item_Enchant_Old!L803</f>
        <v>0</v>
      </c>
      <c r="M799" s="29">
        <f>Item_Enchant_Old!M803</f>
        <v>11</v>
      </c>
      <c r="N799" s="29">
        <f>Item_Enchant_Old!N803</f>
        <v>44</v>
      </c>
      <c r="O799" s="29">
        <f>Item_Enchant_Old!O803</f>
        <v>1</v>
      </c>
      <c r="P799" s="29">
        <f>Item_Enchant_Old!P803</f>
        <v>1</v>
      </c>
      <c r="Q799" s="29">
        <f>Item_Enchant_Old!Q803</f>
        <v>1</v>
      </c>
      <c r="R799" s="29">
        <f>Item_Enchant_Old!R803</f>
        <v>1</v>
      </c>
    </row>
    <row r="800" spans="1:18" s="29" customFormat="1" hidden="1">
      <c r="A800" s="29">
        <f>Item_Enchant_Old!A804</f>
        <v>799</v>
      </c>
      <c r="B800" s="29" t="str">
        <f>Item_Enchant_Old!B804</f>
        <v>ACTIVE_SOL_UP</v>
      </c>
      <c r="C800" s="29">
        <f>Item_Enchant_Old!C804</f>
        <v>614</v>
      </c>
      <c r="D800" s="29">
        <f>Item_Enchant_Old!D804</f>
        <v>0</v>
      </c>
      <c r="E800" s="29">
        <f>Item_Enchant_Old!E804</f>
        <v>0</v>
      </c>
      <c r="F800" s="29">
        <f>Item_Enchant_Old!F804</f>
        <v>0</v>
      </c>
      <c r="G800" s="29">
        <f>Item_Enchant_Old!G804</f>
        <v>2</v>
      </c>
      <c r="H800" s="29" t="str">
        <f>Item_Enchant_Old!H804</f>
        <v>@</v>
      </c>
      <c r="I800" s="29">
        <f>Item_Enchant_Old!I804</f>
        <v>1</v>
      </c>
      <c r="J800" s="29" t="str">
        <f>Item_Enchant_Old!J804</f>
        <v>절대값/상대값(%) 가능</v>
      </c>
      <c r="K800" s="29">
        <f>Item_Enchant_Old!K804</f>
        <v>15</v>
      </c>
      <c r="L800" s="29">
        <f>Item_Enchant_Old!L804</f>
        <v>0</v>
      </c>
      <c r="M800" s="29">
        <f>Item_Enchant_Old!M804</f>
        <v>11</v>
      </c>
      <c r="N800" s="29">
        <f>Item_Enchant_Old!N804</f>
        <v>53</v>
      </c>
      <c r="O800" s="29">
        <f>Item_Enchant_Old!O804</f>
        <v>1</v>
      </c>
      <c r="P800" s="29">
        <f>Item_Enchant_Old!P804</f>
        <v>1</v>
      </c>
      <c r="Q800" s="29">
        <f>Item_Enchant_Old!Q804</f>
        <v>1</v>
      </c>
      <c r="R800" s="29">
        <f>Item_Enchant_Old!R804</f>
        <v>1</v>
      </c>
    </row>
    <row r="801" spans="1:18" s="29" customFormat="1" hidden="1">
      <c r="A801" s="29">
        <f>Item_Enchant_Old!A805</f>
        <v>800</v>
      </c>
      <c r="B801" s="29" t="str">
        <f>Item_Enchant_Old!B805</f>
        <v>ACTIVE_ENG_UP</v>
      </c>
      <c r="C801" s="29">
        <f>Item_Enchant_Old!C805</f>
        <v>615</v>
      </c>
      <c r="D801" s="29">
        <f>Item_Enchant_Old!D805</f>
        <v>0</v>
      </c>
      <c r="E801" s="29">
        <f>Item_Enchant_Old!E805</f>
        <v>0</v>
      </c>
      <c r="F801" s="29">
        <f>Item_Enchant_Old!F805</f>
        <v>0</v>
      </c>
      <c r="G801" s="29">
        <f>Item_Enchant_Old!G805</f>
        <v>2</v>
      </c>
      <c r="H801" s="29" t="str">
        <f>Item_Enchant_Old!H805</f>
        <v>@</v>
      </c>
      <c r="I801" s="29">
        <f>Item_Enchant_Old!I805</f>
        <v>1</v>
      </c>
      <c r="J801" s="29" t="str">
        <f>Item_Enchant_Old!J805</f>
        <v>절대값/상대값(%) 가능</v>
      </c>
      <c r="K801" s="29">
        <f>Item_Enchant_Old!K805</f>
        <v>15</v>
      </c>
      <c r="L801" s="29">
        <f>Item_Enchant_Old!L805</f>
        <v>0</v>
      </c>
      <c r="M801" s="29">
        <f>Item_Enchant_Old!M805</f>
        <v>11</v>
      </c>
      <c r="N801" s="29">
        <f>Item_Enchant_Old!N805</f>
        <v>62</v>
      </c>
      <c r="O801" s="29">
        <f>Item_Enchant_Old!O805</f>
        <v>1</v>
      </c>
      <c r="P801" s="29">
        <f>Item_Enchant_Old!P805</f>
        <v>1</v>
      </c>
      <c r="Q801" s="29">
        <f>Item_Enchant_Old!Q805</f>
        <v>1</v>
      </c>
      <c r="R801" s="29">
        <f>Item_Enchant_Old!R805</f>
        <v>1</v>
      </c>
    </row>
    <row r="802" spans="1:18" s="29" customFormat="1" hidden="1">
      <c r="A802" s="29">
        <f>Item_Enchant_Old!A806</f>
        <v>801</v>
      </c>
      <c r="B802" s="29" t="str">
        <f>Item_Enchant_Old!B806</f>
        <v>ACTIVE_PHYSICAL_DEFENCE_UP</v>
      </c>
      <c r="C802" s="29">
        <f>Item_Enchant_Old!C806</f>
        <v>608</v>
      </c>
      <c r="D802" s="29">
        <f>Item_Enchant_Old!D806</f>
        <v>0</v>
      </c>
      <c r="E802" s="29">
        <f>Item_Enchant_Old!E806</f>
        <v>0</v>
      </c>
      <c r="F802" s="29">
        <f>Item_Enchant_Old!F806</f>
        <v>0</v>
      </c>
      <c r="G802" s="29">
        <f>Item_Enchant_Old!G806</f>
        <v>1</v>
      </c>
      <c r="H802" s="29" t="str">
        <f>Item_Enchant_Old!H806</f>
        <v>@</v>
      </c>
      <c r="I802" s="29">
        <f>Item_Enchant_Old!I806</f>
        <v>1</v>
      </c>
      <c r="J802" s="29" t="str">
        <f>Item_Enchant_Old!J806</f>
        <v>절대값/상대값(%) 가능</v>
      </c>
      <c r="K802" s="29">
        <f>Item_Enchant_Old!K806</f>
        <v>15</v>
      </c>
      <c r="L802" s="29">
        <f>Item_Enchant_Old!L806</f>
        <v>0</v>
      </c>
      <c r="M802" s="29">
        <f>Item_Enchant_Old!M806</f>
        <v>12</v>
      </c>
      <c r="N802" s="29">
        <f>Item_Enchant_Old!N806</f>
        <v>1350</v>
      </c>
      <c r="O802" s="29">
        <f>Item_Enchant_Old!O806</f>
        <v>1</v>
      </c>
      <c r="P802" s="29">
        <f>Item_Enchant_Old!P806</f>
        <v>1</v>
      </c>
      <c r="Q802" s="29">
        <f>Item_Enchant_Old!Q806</f>
        <v>1</v>
      </c>
      <c r="R802" s="29">
        <f>Item_Enchant_Old!R806</f>
        <v>1</v>
      </c>
    </row>
    <row r="803" spans="1:18" s="29" customFormat="1" hidden="1">
      <c r="A803" s="29">
        <f>Item_Enchant_Old!A807</f>
        <v>802</v>
      </c>
      <c r="B803" s="29" t="str">
        <f>Item_Enchant_Old!B807</f>
        <v>ACTIVE_BLOCK_RATE_UP</v>
      </c>
      <c r="C803" s="29">
        <f>Item_Enchant_Old!C807</f>
        <v>620</v>
      </c>
      <c r="D803" s="29">
        <f>Item_Enchant_Old!D807</f>
        <v>0</v>
      </c>
      <c r="E803" s="29">
        <f>Item_Enchant_Old!E807</f>
        <v>0</v>
      </c>
      <c r="F803" s="29">
        <f>Item_Enchant_Old!F807</f>
        <v>0</v>
      </c>
      <c r="G803" s="29">
        <f>Item_Enchant_Old!G807</f>
        <v>1</v>
      </c>
      <c r="H803" s="29" t="str">
        <f>Item_Enchant_Old!H807</f>
        <v>@</v>
      </c>
      <c r="I803" s="29">
        <f>Item_Enchant_Old!I807</f>
        <v>1</v>
      </c>
      <c r="J803" s="29" t="str">
        <f>Item_Enchant_Old!J807</f>
        <v>절대값/상대값(%) 가능</v>
      </c>
      <c r="K803" s="29">
        <f>Item_Enchant_Old!K807</f>
        <v>15</v>
      </c>
      <c r="L803" s="29">
        <f>Item_Enchant_Old!L807</f>
        <v>0</v>
      </c>
      <c r="M803" s="29">
        <f>Item_Enchant_Old!M807</f>
        <v>12</v>
      </c>
      <c r="N803" s="29">
        <f>Item_Enchant_Old!N807</f>
        <v>352</v>
      </c>
      <c r="O803" s="29">
        <f>Item_Enchant_Old!O807</f>
        <v>1</v>
      </c>
      <c r="P803" s="29">
        <f>Item_Enchant_Old!P807</f>
        <v>1</v>
      </c>
      <c r="Q803" s="29">
        <f>Item_Enchant_Old!Q807</f>
        <v>1</v>
      </c>
      <c r="R803" s="29">
        <f>Item_Enchant_Old!R807</f>
        <v>1</v>
      </c>
    </row>
    <row r="804" spans="1:18" s="29" customFormat="1" hidden="1">
      <c r="A804" s="29">
        <f>Item_Enchant_Old!A808</f>
        <v>803</v>
      </c>
      <c r="B804" s="29" t="str">
        <f>Item_Enchant_Old!B808</f>
        <v>ACTIVE_CON_UP</v>
      </c>
      <c r="C804" s="29">
        <f>Item_Enchant_Old!C808</f>
        <v>611</v>
      </c>
      <c r="D804" s="29">
        <f>Item_Enchant_Old!D808</f>
        <v>0</v>
      </c>
      <c r="E804" s="29">
        <f>Item_Enchant_Old!E808</f>
        <v>0</v>
      </c>
      <c r="F804" s="29">
        <f>Item_Enchant_Old!F808</f>
        <v>0</v>
      </c>
      <c r="G804" s="29">
        <f>Item_Enchant_Old!G808</f>
        <v>3</v>
      </c>
      <c r="H804" s="29" t="str">
        <f>Item_Enchant_Old!H808</f>
        <v>@</v>
      </c>
      <c r="I804" s="29">
        <f>Item_Enchant_Old!I808</f>
        <v>1</v>
      </c>
      <c r="J804" s="29" t="str">
        <f>Item_Enchant_Old!J808</f>
        <v>절대값/상대값(%) 가능</v>
      </c>
      <c r="K804" s="29">
        <f>Item_Enchant_Old!K808</f>
        <v>15</v>
      </c>
      <c r="L804" s="29">
        <f>Item_Enchant_Old!L808</f>
        <v>0</v>
      </c>
      <c r="M804" s="29">
        <f>Item_Enchant_Old!M808</f>
        <v>12</v>
      </c>
      <c r="N804" s="29">
        <f>Item_Enchant_Old!N808</f>
        <v>48</v>
      </c>
      <c r="O804" s="29">
        <f>Item_Enchant_Old!O808</f>
        <v>1</v>
      </c>
      <c r="P804" s="29">
        <f>Item_Enchant_Old!P808</f>
        <v>1</v>
      </c>
      <c r="Q804" s="29">
        <f>Item_Enchant_Old!Q808</f>
        <v>1</v>
      </c>
      <c r="R804" s="29">
        <f>Item_Enchant_Old!R808</f>
        <v>1</v>
      </c>
    </row>
    <row r="805" spans="1:18" s="29" customFormat="1" hidden="1">
      <c r="A805" s="29">
        <f>Item_Enchant_Old!A809</f>
        <v>804</v>
      </c>
      <c r="B805" s="29" t="str">
        <f>Item_Enchant_Old!B809</f>
        <v>ACTIVE_FOC_UP</v>
      </c>
      <c r="C805" s="29">
        <f>Item_Enchant_Old!C809</f>
        <v>612</v>
      </c>
      <c r="D805" s="29">
        <f>Item_Enchant_Old!D809</f>
        <v>0</v>
      </c>
      <c r="E805" s="29">
        <f>Item_Enchant_Old!E809</f>
        <v>0</v>
      </c>
      <c r="F805" s="29">
        <f>Item_Enchant_Old!F809</f>
        <v>0</v>
      </c>
      <c r="G805" s="29">
        <f>Item_Enchant_Old!G809</f>
        <v>2</v>
      </c>
      <c r="H805" s="29" t="str">
        <f>Item_Enchant_Old!H809</f>
        <v>@</v>
      </c>
      <c r="I805" s="29">
        <f>Item_Enchant_Old!I809</f>
        <v>1</v>
      </c>
      <c r="J805" s="29" t="str">
        <f>Item_Enchant_Old!J809</f>
        <v>절대값/상대값(%) 가능</v>
      </c>
      <c r="K805" s="29">
        <f>Item_Enchant_Old!K809</f>
        <v>15</v>
      </c>
      <c r="L805" s="29">
        <f>Item_Enchant_Old!L809</f>
        <v>0</v>
      </c>
      <c r="M805" s="29">
        <f>Item_Enchant_Old!M809</f>
        <v>12</v>
      </c>
      <c r="N805" s="29">
        <f>Item_Enchant_Old!N809</f>
        <v>53</v>
      </c>
      <c r="O805" s="29">
        <f>Item_Enchant_Old!O809</f>
        <v>1</v>
      </c>
      <c r="P805" s="29">
        <f>Item_Enchant_Old!P809</f>
        <v>1</v>
      </c>
      <c r="Q805" s="29">
        <f>Item_Enchant_Old!Q809</f>
        <v>1</v>
      </c>
      <c r="R805" s="29">
        <f>Item_Enchant_Old!R809</f>
        <v>1</v>
      </c>
    </row>
    <row r="806" spans="1:18" s="29" customFormat="1" hidden="1">
      <c r="A806" s="29">
        <f>Item_Enchant_Old!A810</f>
        <v>805</v>
      </c>
      <c r="B806" s="29" t="str">
        <f>Item_Enchant_Old!B810</f>
        <v>ACTIVE_ENERGY_OFFENCE_UP</v>
      </c>
      <c r="C806" s="29">
        <f>Item_Enchant_Old!C810</f>
        <v>607</v>
      </c>
      <c r="D806" s="29">
        <f>Item_Enchant_Old!D810</f>
        <v>0</v>
      </c>
      <c r="E806" s="29">
        <f>Item_Enchant_Old!E810</f>
        <v>0</v>
      </c>
      <c r="F806" s="29">
        <f>Item_Enchant_Old!F810</f>
        <v>0</v>
      </c>
      <c r="G806" s="29">
        <f>Item_Enchant_Old!G810</f>
        <v>1</v>
      </c>
      <c r="H806" s="29" t="str">
        <f>Item_Enchant_Old!H810</f>
        <v>@</v>
      </c>
      <c r="I806" s="29">
        <f>Item_Enchant_Old!I810</f>
        <v>1</v>
      </c>
      <c r="J806" s="29" t="str">
        <f>Item_Enchant_Old!J810</f>
        <v>절대값/상대값(%) 가능</v>
      </c>
      <c r="K806" s="29">
        <f>Item_Enchant_Old!K810</f>
        <v>16</v>
      </c>
      <c r="L806" s="29">
        <f>Item_Enchant_Old!L810</f>
        <v>0</v>
      </c>
      <c r="M806" s="29">
        <f>Item_Enchant_Old!M810</f>
        <v>3</v>
      </c>
      <c r="N806" s="29">
        <f>Item_Enchant_Old!N810</f>
        <v>104</v>
      </c>
      <c r="O806" s="29">
        <f>Item_Enchant_Old!O810</f>
        <v>1</v>
      </c>
      <c r="P806" s="29">
        <f>Item_Enchant_Old!P810</f>
        <v>1</v>
      </c>
      <c r="Q806" s="29">
        <f>Item_Enchant_Old!Q810</f>
        <v>1</v>
      </c>
      <c r="R806" s="29">
        <f>Item_Enchant_Old!R810</f>
        <v>1</v>
      </c>
    </row>
    <row r="807" spans="1:18" s="29" customFormat="1" hidden="1">
      <c r="A807" s="29">
        <f>Item_Enchant_Old!A811</f>
        <v>806</v>
      </c>
      <c r="B807" s="29" t="str">
        <f>Item_Enchant_Old!B811</f>
        <v>ACTIVE_FOC_UP</v>
      </c>
      <c r="C807" s="29">
        <f>Item_Enchant_Old!C811</f>
        <v>612</v>
      </c>
      <c r="D807" s="29">
        <f>Item_Enchant_Old!D811</f>
        <v>0</v>
      </c>
      <c r="E807" s="29">
        <f>Item_Enchant_Old!E811</f>
        <v>0</v>
      </c>
      <c r="F807" s="29">
        <f>Item_Enchant_Old!F811</f>
        <v>0</v>
      </c>
      <c r="G807" s="29">
        <f>Item_Enchant_Old!G811</f>
        <v>2</v>
      </c>
      <c r="H807" s="29" t="str">
        <f>Item_Enchant_Old!H811</f>
        <v>@</v>
      </c>
      <c r="I807" s="29">
        <f>Item_Enchant_Old!I811</f>
        <v>1</v>
      </c>
      <c r="J807" s="29" t="str">
        <f>Item_Enchant_Old!J811</f>
        <v>절대값/상대값(%) 가능</v>
      </c>
      <c r="K807" s="29">
        <f>Item_Enchant_Old!K811</f>
        <v>16</v>
      </c>
      <c r="L807" s="29">
        <f>Item_Enchant_Old!L811</f>
        <v>0</v>
      </c>
      <c r="M807" s="29">
        <f>Item_Enchant_Old!M811</f>
        <v>3</v>
      </c>
      <c r="N807" s="29">
        <f>Item_Enchant_Old!N811</f>
        <v>53</v>
      </c>
      <c r="O807" s="29">
        <f>Item_Enchant_Old!O811</f>
        <v>1</v>
      </c>
      <c r="P807" s="29">
        <f>Item_Enchant_Old!P811</f>
        <v>1</v>
      </c>
      <c r="Q807" s="29">
        <f>Item_Enchant_Old!Q811</f>
        <v>1</v>
      </c>
      <c r="R807" s="29">
        <f>Item_Enchant_Old!R811</f>
        <v>1</v>
      </c>
    </row>
    <row r="808" spans="1:18" s="29" customFormat="1" hidden="1">
      <c r="A808" s="29">
        <f>Item_Enchant_Old!A812</f>
        <v>807</v>
      </c>
      <c r="B808" s="29" t="str">
        <f>Item_Enchant_Old!B812</f>
        <v>ACTIVE_SOL_UP</v>
      </c>
      <c r="C808" s="29">
        <f>Item_Enchant_Old!C812</f>
        <v>614</v>
      </c>
      <c r="D808" s="29">
        <f>Item_Enchant_Old!D812</f>
        <v>0</v>
      </c>
      <c r="E808" s="29">
        <f>Item_Enchant_Old!E812</f>
        <v>0</v>
      </c>
      <c r="F808" s="29">
        <f>Item_Enchant_Old!F812</f>
        <v>0</v>
      </c>
      <c r="G808" s="29">
        <f>Item_Enchant_Old!G812</f>
        <v>2</v>
      </c>
      <c r="H808" s="29" t="str">
        <f>Item_Enchant_Old!H812</f>
        <v>@</v>
      </c>
      <c r="I808" s="29">
        <f>Item_Enchant_Old!I812</f>
        <v>1</v>
      </c>
      <c r="J808" s="29" t="str">
        <f>Item_Enchant_Old!J812</f>
        <v>절대값/상대값(%) 가능</v>
      </c>
      <c r="K808" s="29">
        <f>Item_Enchant_Old!K812</f>
        <v>16</v>
      </c>
      <c r="L808" s="29">
        <f>Item_Enchant_Old!L812</f>
        <v>0</v>
      </c>
      <c r="M808" s="29">
        <f>Item_Enchant_Old!M812</f>
        <v>3</v>
      </c>
      <c r="N808" s="29">
        <f>Item_Enchant_Old!N812</f>
        <v>53</v>
      </c>
      <c r="O808" s="29">
        <f>Item_Enchant_Old!O812</f>
        <v>1</v>
      </c>
      <c r="P808" s="29">
        <f>Item_Enchant_Old!P812</f>
        <v>1</v>
      </c>
      <c r="Q808" s="29">
        <f>Item_Enchant_Old!Q812</f>
        <v>1</v>
      </c>
      <c r="R808" s="29">
        <f>Item_Enchant_Old!R812</f>
        <v>1</v>
      </c>
    </row>
    <row r="809" spans="1:18" s="29" customFormat="1" hidden="1">
      <c r="A809" s="29">
        <f>Item_Enchant_Old!A813</f>
        <v>808</v>
      </c>
      <c r="B809" s="29" t="str">
        <f>Item_Enchant_Old!B813</f>
        <v>ACTIVE_ENERGY_CRITICAL_DAMAGE_UP</v>
      </c>
      <c r="C809" s="29">
        <f>Item_Enchant_Old!C813</f>
        <v>659</v>
      </c>
      <c r="D809" s="29">
        <f>Item_Enchant_Old!D813</f>
        <v>0</v>
      </c>
      <c r="E809" s="29">
        <f>Item_Enchant_Old!E813</f>
        <v>0</v>
      </c>
      <c r="F809" s="29">
        <f>Item_Enchant_Old!F813</f>
        <v>0</v>
      </c>
      <c r="G809" s="29">
        <f>Item_Enchant_Old!G813</f>
        <v>4</v>
      </c>
      <c r="H809" s="29" t="str">
        <f>Item_Enchant_Old!H813</f>
        <v>@</v>
      </c>
      <c r="I809" s="29">
        <f>Item_Enchant_Old!I813</f>
        <v>1</v>
      </c>
      <c r="J809" s="29" t="str">
        <f>Item_Enchant_Old!J813</f>
        <v>절대값만 가능</v>
      </c>
      <c r="K809" s="29">
        <f>Item_Enchant_Old!K813</f>
        <v>16</v>
      </c>
      <c r="L809" s="29">
        <f>Item_Enchant_Old!L813</f>
        <v>0</v>
      </c>
      <c r="M809" s="29">
        <f>Item_Enchant_Old!M813</f>
        <v>3</v>
      </c>
      <c r="N809" s="29">
        <f>Item_Enchant_Old!N813</f>
        <v>32</v>
      </c>
      <c r="O809" s="29">
        <f>Item_Enchant_Old!O813</f>
        <v>1</v>
      </c>
      <c r="P809" s="29">
        <f>Item_Enchant_Old!P813</f>
        <v>1</v>
      </c>
      <c r="Q809" s="29">
        <f>Item_Enchant_Old!Q813</f>
        <v>1</v>
      </c>
      <c r="R809" s="29">
        <f>Item_Enchant_Old!R813</f>
        <v>1</v>
      </c>
    </row>
    <row r="810" spans="1:18" s="29" customFormat="1" hidden="1">
      <c r="A810" s="29">
        <f>Item_Enchant_Old!A814</f>
        <v>809</v>
      </c>
      <c r="B810" s="29" t="str">
        <f>Item_Enchant_Old!B814</f>
        <v>ACTIVE_ENERGY_CRITICAL</v>
      </c>
      <c r="C810" s="29">
        <f>Item_Enchant_Old!C814</f>
        <v>633</v>
      </c>
      <c r="D810" s="29">
        <f>Item_Enchant_Old!D814</f>
        <v>0</v>
      </c>
      <c r="E810" s="29">
        <f>Item_Enchant_Old!E814</f>
        <v>0</v>
      </c>
      <c r="F810" s="29">
        <f>Item_Enchant_Old!F814</f>
        <v>0</v>
      </c>
      <c r="G810" s="29">
        <f>Item_Enchant_Old!G814</f>
        <v>5</v>
      </c>
      <c r="H810" s="29" t="str">
        <f>Item_Enchant_Old!H814</f>
        <v>@</v>
      </c>
      <c r="I810" s="29">
        <f>Item_Enchant_Old!I814</f>
        <v>1</v>
      </c>
      <c r="J810" s="29" t="str">
        <f>Item_Enchant_Old!J814</f>
        <v>절대값/상대값(%) 가능</v>
      </c>
      <c r="K810" s="29">
        <f>Item_Enchant_Old!K814</f>
        <v>16</v>
      </c>
      <c r="L810" s="29">
        <f>Item_Enchant_Old!L814</f>
        <v>0</v>
      </c>
      <c r="M810" s="29">
        <f>Item_Enchant_Old!M814</f>
        <v>4</v>
      </c>
      <c r="N810" s="29">
        <f>Item_Enchant_Old!N814</f>
        <v>24</v>
      </c>
      <c r="O810" s="29">
        <f>Item_Enchant_Old!O814</f>
        <v>1</v>
      </c>
      <c r="P810" s="29">
        <f>Item_Enchant_Old!P814</f>
        <v>1</v>
      </c>
      <c r="Q810" s="29">
        <f>Item_Enchant_Old!Q814</f>
        <v>1</v>
      </c>
      <c r="R810" s="29">
        <f>Item_Enchant_Old!R814</f>
        <v>1</v>
      </c>
    </row>
    <row r="811" spans="1:18" s="29" customFormat="1" hidden="1">
      <c r="A811" s="29">
        <f>Item_Enchant_Old!A815</f>
        <v>810</v>
      </c>
      <c r="B811" s="29" t="str">
        <f>Item_Enchant_Old!B815</f>
        <v>ACTIVE_ENERGY_CRITICAL_DAMAGE_UP</v>
      </c>
      <c r="C811" s="29">
        <f>Item_Enchant_Old!C815</f>
        <v>659</v>
      </c>
      <c r="D811" s="29">
        <f>Item_Enchant_Old!D815</f>
        <v>0</v>
      </c>
      <c r="E811" s="29">
        <f>Item_Enchant_Old!E815</f>
        <v>0</v>
      </c>
      <c r="F811" s="29">
        <f>Item_Enchant_Old!F815</f>
        <v>0</v>
      </c>
      <c r="G811" s="29">
        <f>Item_Enchant_Old!G815</f>
        <v>4</v>
      </c>
      <c r="H811" s="29" t="str">
        <f>Item_Enchant_Old!H815</f>
        <v>@</v>
      </c>
      <c r="I811" s="29">
        <f>Item_Enchant_Old!I815</f>
        <v>1</v>
      </c>
      <c r="J811" s="29" t="str">
        <f>Item_Enchant_Old!J815</f>
        <v>절대값만 가능</v>
      </c>
      <c r="K811" s="29">
        <f>Item_Enchant_Old!K815</f>
        <v>16</v>
      </c>
      <c r="L811" s="29">
        <f>Item_Enchant_Old!L815</f>
        <v>0</v>
      </c>
      <c r="M811" s="29">
        <f>Item_Enchant_Old!M815</f>
        <v>4</v>
      </c>
      <c r="N811" s="29">
        <f>Item_Enchant_Old!N815</f>
        <v>32</v>
      </c>
      <c r="O811" s="29">
        <f>Item_Enchant_Old!O815</f>
        <v>1</v>
      </c>
      <c r="P811" s="29">
        <f>Item_Enchant_Old!P815</f>
        <v>1</v>
      </c>
      <c r="Q811" s="29">
        <f>Item_Enchant_Old!Q815</f>
        <v>1</v>
      </c>
      <c r="R811" s="29">
        <f>Item_Enchant_Old!R815</f>
        <v>1</v>
      </c>
    </row>
    <row r="812" spans="1:18" s="29" customFormat="1" hidden="1">
      <c r="A812" s="29">
        <f>Item_Enchant_Old!A816</f>
        <v>811</v>
      </c>
      <c r="B812" s="29" t="str">
        <f>Item_Enchant_Old!B816</f>
        <v>ACTIVE_FOC_UP</v>
      </c>
      <c r="C812" s="29">
        <f>Item_Enchant_Old!C816</f>
        <v>612</v>
      </c>
      <c r="D812" s="29">
        <f>Item_Enchant_Old!D816</f>
        <v>0</v>
      </c>
      <c r="E812" s="29">
        <f>Item_Enchant_Old!E816</f>
        <v>0</v>
      </c>
      <c r="F812" s="29">
        <f>Item_Enchant_Old!F816</f>
        <v>0</v>
      </c>
      <c r="G812" s="29">
        <f>Item_Enchant_Old!G816</f>
        <v>2</v>
      </c>
      <c r="H812" s="29" t="str">
        <f>Item_Enchant_Old!H816</f>
        <v>@</v>
      </c>
      <c r="I812" s="29">
        <f>Item_Enchant_Old!I816</f>
        <v>1</v>
      </c>
      <c r="J812" s="29" t="str">
        <f>Item_Enchant_Old!J816</f>
        <v>절대값/상대값(%) 가능</v>
      </c>
      <c r="K812" s="29">
        <f>Item_Enchant_Old!K816</f>
        <v>16</v>
      </c>
      <c r="L812" s="29">
        <f>Item_Enchant_Old!L816</f>
        <v>0</v>
      </c>
      <c r="M812" s="29">
        <f>Item_Enchant_Old!M816</f>
        <v>4</v>
      </c>
      <c r="N812" s="29">
        <f>Item_Enchant_Old!N816</f>
        <v>53</v>
      </c>
      <c r="O812" s="29">
        <f>Item_Enchant_Old!O816</f>
        <v>1</v>
      </c>
      <c r="P812" s="29">
        <f>Item_Enchant_Old!P816</f>
        <v>1</v>
      </c>
      <c r="Q812" s="29">
        <f>Item_Enchant_Old!Q816</f>
        <v>1</v>
      </c>
      <c r="R812" s="29">
        <f>Item_Enchant_Old!R816</f>
        <v>1</v>
      </c>
    </row>
    <row r="813" spans="1:18" s="29" customFormat="1" hidden="1">
      <c r="A813" s="29">
        <f>Item_Enchant_Old!A817</f>
        <v>812</v>
      </c>
      <c r="B813" s="29" t="str">
        <f>Item_Enchant_Old!B817</f>
        <v>ACTIVE_DEX_UP</v>
      </c>
      <c r="C813" s="29">
        <f>Item_Enchant_Old!C817</f>
        <v>613</v>
      </c>
      <c r="D813" s="29">
        <f>Item_Enchant_Old!D817</f>
        <v>0</v>
      </c>
      <c r="E813" s="29">
        <f>Item_Enchant_Old!E817</f>
        <v>0</v>
      </c>
      <c r="F813" s="29">
        <f>Item_Enchant_Old!F817</f>
        <v>0</v>
      </c>
      <c r="G813" s="29">
        <f>Item_Enchant_Old!G817</f>
        <v>3</v>
      </c>
      <c r="H813" s="29" t="str">
        <f>Item_Enchant_Old!H817</f>
        <v>@</v>
      </c>
      <c r="I813" s="29">
        <f>Item_Enchant_Old!I817</f>
        <v>1</v>
      </c>
      <c r="J813" s="29" t="str">
        <f>Item_Enchant_Old!J817</f>
        <v>절대값/상대값(%) 가능</v>
      </c>
      <c r="K813" s="29">
        <f>Item_Enchant_Old!K817</f>
        <v>16</v>
      </c>
      <c r="L813" s="29">
        <f>Item_Enchant_Old!L817</f>
        <v>0</v>
      </c>
      <c r="M813" s="29">
        <f>Item_Enchant_Old!M817</f>
        <v>4</v>
      </c>
      <c r="N813" s="29">
        <f>Item_Enchant_Old!N817</f>
        <v>44</v>
      </c>
      <c r="O813" s="29">
        <f>Item_Enchant_Old!O817</f>
        <v>1</v>
      </c>
      <c r="P813" s="29">
        <f>Item_Enchant_Old!P817</f>
        <v>1</v>
      </c>
      <c r="Q813" s="29">
        <f>Item_Enchant_Old!Q817</f>
        <v>1</v>
      </c>
      <c r="R813" s="29">
        <f>Item_Enchant_Old!R817</f>
        <v>1</v>
      </c>
    </row>
    <row r="814" spans="1:18" s="29" customFormat="1" hidden="1">
      <c r="A814" s="29">
        <f>Item_Enchant_Old!A818</f>
        <v>813</v>
      </c>
      <c r="B814" s="29" t="str">
        <f>Item_Enchant_Old!B818</f>
        <v>ACTIVE_ATTACK_SPEED_UP</v>
      </c>
      <c r="C814" s="29">
        <f>Item_Enchant_Old!C818</f>
        <v>617</v>
      </c>
      <c r="D814" s="29">
        <f>Item_Enchant_Old!D818</f>
        <v>1</v>
      </c>
      <c r="E814" s="29">
        <f>Item_Enchant_Old!E818</f>
        <v>0</v>
      </c>
      <c r="F814" s="29">
        <f>Item_Enchant_Old!F818</f>
        <v>0</v>
      </c>
      <c r="G814" s="29">
        <f>Item_Enchant_Old!G818</f>
        <v>10</v>
      </c>
      <c r="H814" s="29" t="str">
        <f>Item_Enchant_Old!H818</f>
        <v>@</v>
      </c>
      <c r="I814" s="29">
        <f>Item_Enchant_Old!I818</f>
        <v>1</v>
      </c>
      <c r="J814" s="29" t="str">
        <f>Item_Enchant_Old!J818</f>
        <v>절대값/상대값(%) 가능</v>
      </c>
      <c r="K814" s="29">
        <f>Item_Enchant_Old!K818</f>
        <v>16</v>
      </c>
      <c r="L814" s="29">
        <f>Item_Enchant_Old!L818</f>
        <v>0</v>
      </c>
      <c r="M814" s="29">
        <f>Item_Enchant_Old!M818</f>
        <v>5</v>
      </c>
      <c r="N814" s="29">
        <f>Item_Enchant_Old!N818</f>
        <v>10</v>
      </c>
      <c r="O814" s="29">
        <f>Item_Enchant_Old!O818</f>
        <v>1</v>
      </c>
      <c r="P814" s="29">
        <f>Item_Enchant_Old!P818</f>
        <v>1</v>
      </c>
      <c r="Q814" s="29">
        <f>Item_Enchant_Old!Q818</f>
        <v>1</v>
      </c>
      <c r="R814" s="29">
        <f>Item_Enchant_Old!R818</f>
        <v>1</v>
      </c>
    </row>
    <row r="815" spans="1:18" s="29" customFormat="1" hidden="1">
      <c r="A815" s="29">
        <f>Item_Enchant_Old!A819</f>
        <v>814</v>
      </c>
      <c r="B815" s="29" t="str">
        <f>Item_Enchant_Old!B819</f>
        <v>ACTIVE_DEX_UP</v>
      </c>
      <c r="C815" s="29">
        <f>Item_Enchant_Old!C819</f>
        <v>613</v>
      </c>
      <c r="D815" s="29">
        <f>Item_Enchant_Old!D819</f>
        <v>0</v>
      </c>
      <c r="E815" s="29">
        <f>Item_Enchant_Old!E819</f>
        <v>0</v>
      </c>
      <c r="F815" s="29">
        <f>Item_Enchant_Old!F819</f>
        <v>0</v>
      </c>
      <c r="G815" s="29">
        <f>Item_Enchant_Old!G819</f>
        <v>3</v>
      </c>
      <c r="H815" s="29" t="str">
        <f>Item_Enchant_Old!H819</f>
        <v>@</v>
      </c>
      <c r="I815" s="29">
        <f>Item_Enchant_Old!I819</f>
        <v>1</v>
      </c>
      <c r="J815" s="29" t="str">
        <f>Item_Enchant_Old!J819</f>
        <v>절대값/상대값(%) 가능</v>
      </c>
      <c r="K815" s="29">
        <f>Item_Enchant_Old!K819</f>
        <v>16</v>
      </c>
      <c r="L815" s="29">
        <f>Item_Enchant_Old!L819</f>
        <v>0</v>
      </c>
      <c r="M815" s="29">
        <f>Item_Enchant_Old!M819</f>
        <v>5</v>
      </c>
      <c r="N815" s="29">
        <f>Item_Enchant_Old!N819</f>
        <v>44</v>
      </c>
      <c r="O815" s="29">
        <f>Item_Enchant_Old!O819</f>
        <v>1</v>
      </c>
      <c r="P815" s="29">
        <f>Item_Enchant_Old!P819</f>
        <v>1</v>
      </c>
      <c r="Q815" s="29">
        <f>Item_Enchant_Old!Q819</f>
        <v>1</v>
      </c>
      <c r="R815" s="29">
        <f>Item_Enchant_Old!R819</f>
        <v>1</v>
      </c>
    </row>
    <row r="816" spans="1:18" s="29" customFormat="1" hidden="1">
      <c r="A816" s="29">
        <f>Item_Enchant_Old!A820</f>
        <v>815</v>
      </c>
      <c r="B816" s="29" t="str">
        <f>Item_Enchant_Old!B820</f>
        <v>ACTIVE_FOC_UP</v>
      </c>
      <c r="C816" s="29">
        <f>Item_Enchant_Old!C820</f>
        <v>612</v>
      </c>
      <c r="D816" s="29">
        <f>Item_Enchant_Old!D820</f>
        <v>0</v>
      </c>
      <c r="E816" s="29">
        <f>Item_Enchant_Old!E820</f>
        <v>0</v>
      </c>
      <c r="F816" s="29">
        <f>Item_Enchant_Old!F820</f>
        <v>0</v>
      </c>
      <c r="G816" s="29">
        <f>Item_Enchant_Old!G820</f>
        <v>2</v>
      </c>
      <c r="H816" s="29" t="str">
        <f>Item_Enchant_Old!H820</f>
        <v>@</v>
      </c>
      <c r="I816" s="29">
        <f>Item_Enchant_Old!I820</f>
        <v>1</v>
      </c>
      <c r="J816" s="29" t="str">
        <f>Item_Enchant_Old!J820</f>
        <v>절대값/상대값(%) 가능</v>
      </c>
      <c r="K816" s="29">
        <f>Item_Enchant_Old!K820</f>
        <v>16</v>
      </c>
      <c r="L816" s="29">
        <f>Item_Enchant_Old!L820</f>
        <v>0</v>
      </c>
      <c r="M816" s="29">
        <f>Item_Enchant_Old!M820</f>
        <v>5</v>
      </c>
      <c r="N816" s="29">
        <f>Item_Enchant_Old!N820</f>
        <v>53</v>
      </c>
      <c r="O816" s="29">
        <f>Item_Enchant_Old!O820</f>
        <v>1</v>
      </c>
      <c r="P816" s="29">
        <f>Item_Enchant_Old!P820</f>
        <v>1</v>
      </c>
      <c r="Q816" s="29">
        <f>Item_Enchant_Old!Q820</f>
        <v>1</v>
      </c>
      <c r="R816" s="29">
        <f>Item_Enchant_Old!R820</f>
        <v>1</v>
      </c>
    </row>
    <row r="817" spans="1:18" s="29" customFormat="1" hidden="1">
      <c r="A817" s="29">
        <f>Item_Enchant_Old!A821</f>
        <v>816</v>
      </c>
      <c r="B817" s="29" t="str">
        <f>Item_Enchant_Old!B821</f>
        <v>ACTIVE_PHYSICAL_OFFENCE_UP</v>
      </c>
      <c r="C817" s="29">
        <f>Item_Enchant_Old!C821</f>
        <v>606</v>
      </c>
      <c r="D817" s="29">
        <f>Item_Enchant_Old!D821</f>
        <v>0</v>
      </c>
      <c r="E817" s="29">
        <f>Item_Enchant_Old!E821</f>
        <v>0</v>
      </c>
      <c r="F817" s="29">
        <f>Item_Enchant_Old!F821</f>
        <v>0</v>
      </c>
      <c r="G817" s="29">
        <f>Item_Enchant_Old!G821</f>
        <v>1</v>
      </c>
      <c r="H817" s="29" t="str">
        <f>Item_Enchant_Old!H821</f>
        <v>@</v>
      </c>
      <c r="I817" s="29">
        <f>Item_Enchant_Old!I821</f>
        <v>1</v>
      </c>
      <c r="J817" s="29" t="str">
        <f>Item_Enchant_Old!J821</f>
        <v>절대값/상대값(%) 가능</v>
      </c>
      <c r="K817" s="29">
        <f>Item_Enchant_Old!K821</f>
        <v>16</v>
      </c>
      <c r="L817" s="29">
        <f>Item_Enchant_Old!L821</f>
        <v>0</v>
      </c>
      <c r="M817" s="29">
        <f>Item_Enchant_Old!M821</f>
        <v>5</v>
      </c>
      <c r="N817" s="29">
        <f>Item_Enchant_Old!N821</f>
        <v>125</v>
      </c>
      <c r="O817" s="29">
        <f>Item_Enchant_Old!O821</f>
        <v>1</v>
      </c>
      <c r="P817" s="29">
        <f>Item_Enchant_Old!P821</f>
        <v>1</v>
      </c>
      <c r="Q817" s="29">
        <f>Item_Enchant_Old!Q821</f>
        <v>1</v>
      </c>
      <c r="R817" s="29">
        <f>Item_Enchant_Old!R821</f>
        <v>1</v>
      </c>
    </row>
    <row r="818" spans="1:18" s="29" customFormat="1" hidden="1">
      <c r="A818" s="29">
        <f>Item_Enchant_Old!A822</f>
        <v>817</v>
      </c>
      <c r="B818" s="29" t="str">
        <f>Item_Enchant_Old!B822</f>
        <v>ACTIVE_ENERGY_OFFENCE_UP</v>
      </c>
      <c r="C818" s="29">
        <f>Item_Enchant_Old!C822</f>
        <v>607</v>
      </c>
      <c r="D818" s="29">
        <f>Item_Enchant_Old!D822</f>
        <v>0</v>
      </c>
      <c r="E818" s="29">
        <f>Item_Enchant_Old!E822</f>
        <v>0</v>
      </c>
      <c r="F818" s="29">
        <f>Item_Enchant_Old!F822</f>
        <v>0</v>
      </c>
      <c r="G818" s="29">
        <f>Item_Enchant_Old!G822</f>
        <v>1</v>
      </c>
      <c r="H818" s="29" t="str">
        <f>Item_Enchant_Old!H822</f>
        <v>@</v>
      </c>
      <c r="I818" s="29">
        <f>Item_Enchant_Old!I822</f>
        <v>1</v>
      </c>
      <c r="J818" s="29" t="str">
        <f>Item_Enchant_Old!J822</f>
        <v>절대값/상대값(%) 가능</v>
      </c>
      <c r="K818" s="29">
        <f>Item_Enchant_Old!K822</f>
        <v>16</v>
      </c>
      <c r="L818" s="29">
        <f>Item_Enchant_Old!L822</f>
        <v>0</v>
      </c>
      <c r="M818" s="29">
        <f>Item_Enchant_Old!M822</f>
        <v>5</v>
      </c>
      <c r="N818" s="29">
        <f>Item_Enchant_Old!N822</f>
        <v>104</v>
      </c>
      <c r="O818" s="29">
        <f>Item_Enchant_Old!O822</f>
        <v>1</v>
      </c>
      <c r="P818" s="29">
        <f>Item_Enchant_Old!P822</f>
        <v>1</v>
      </c>
      <c r="Q818" s="29">
        <f>Item_Enchant_Old!Q822</f>
        <v>1</v>
      </c>
      <c r="R818" s="29">
        <f>Item_Enchant_Old!R822</f>
        <v>1</v>
      </c>
    </row>
    <row r="819" spans="1:18" s="29" customFormat="1" hidden="1">
      <c r="A819" s="29">
        <f>Item_Enchant_Old!A823</f>
        <v>818</v>
      </c>
      <c r="B819" s="29" t="str">
        <f>Item_Enchant_Old!B823</f>
        <v>ACTIVE_PHYSICAL_OFFENCE_UP</v>
      </c>
      <c r="C819" s="29">
        <f>Item_Enchant_Old!C823</f>
        <v>606</v>
      </c>
      <c r="D819" s="29">
        <f>Item_Enchant_Old!D823</f>
        <v>0</v>
      </c>
      <c r="E819" s="29">
        <f>Item_Enchant_Old!E823</f>
        <v>0</v>
      </c>
      <c r="F819" s="29">
        <f>Item_Enchant_Old!F823</f>
        <v>0</v>
      </c>
      <c r="G819" s="29">
        <f>Item_Enchant_Old!G823</f>
        <v>1</v>
      </c>
      <c r="H819" s="29" t="str">
        <f>Item_Enchant_Old!H823</f>
        <v>@</v>
      </c>
      <c r="I819" s="29">
        <f>Item_Enchant_Old!I823</f>
        <v>1</v>
      </c>
      <c r="J819" s="29" t="str">
        <f>Item_Enchant_Old!J823</f>
        <v>절대값/상대값(%) 가능</v>
      </c>
      <c r="K819" s="29">
        <f>Item_Enchant_Old!K823</f>
        <v>16</v>
      </c>
      <c r="L819" s="29">
        <f>Item_Enchant_Old!L823</f>
        <v>0</v>
      </c>
      <c r="M819" s="29">
        <f>Item_Enchant_Old!M823</f>
        <v>6</v>
      </c>
      <c r="N819" s="29">
        <f>Item_Enchant_Old!N823</f>
        <v>125</v>
      </c>
      <c r="O819" s="29">
        <f>Item_Enchant_Old!O823</f>
        <v>1</v>
      </c>
      <c r="P819" s="29">
        <f>Item_Enchant_Old!P823</f>
        <v>1</v>
      </c>
      <c r="Q819" s="29">
        <f>Item_Enchant_Old!Q823</f>
        <v>1</v>
      </c>
      <c r="R819" s="29">
        <f>Item_Enchant_Old!R823</f>
        <v>1</v>
      </c>
    </row>
    <row r="820" spans="1:18" s="29" customFormat="1" hidden="1">
      <c r="A820" s="29">
        <f>Item_Enchant_Old!A824</f>
        <v>819</v>
      </c>
      <c r="B820" s="29" t="str">
        <f>Item_Enchant_Old!B824</f>
        <v>ACTIVE_ENERGY_OFFENCE_UP</v>
      </c>
      <c r="C820" s="29">
        <f>Item_Enchant_Old!C824</f>
        <v>607</v>
      </c>
      <c r="D820" s="29">
        <f>Item_Enchant_Old!D824</f>
        <v>0</v>
      </c>
      <c r="E820" s="29">
        <f>Item_Enchant_Old!E824</f>
        <v>0</v>
      </c>
      <c r="F820" s="29">
        <f>Item_Enchant_Old!F824</f>
        <v>0</v>
      </c>
      <c r="G820" s="29">
        <f>Item_Enchant_Old!G824</f>
        <v>1</v>
      </c>
      <c r="H820" s="29" t="str">
        <f>Item_Enchant_Old!H824</f>
        <v>@</v>
      </c>
      <c r="I820" s="29">
        <f>Item_Enchant_Old!I824</f>
        <v>1</v>
      </c>
      <c r="J820" s="29" t="str">
        <f>Item_Enchant_Old!J824</f>
        <v>절대값/상대값(%) 가능</v>
      </c>
      <c r="K820" s="29">
        <f>Item_Enchant_Old!K824</f>
        <v>16</v>
      </c>
      <c r="L820" s="29">
        <f>Item_Enchant_Old!L824</f>
        <v>0</v>
      </c>
      <c r="M820" s="29">
        <f>Item_Enchant_Old!M824</f>
        <v>6</v>
      </c>
      <c r="N820" s="29">
        <f>Item_Enchant_Old!N824</f>
        <v>104</v>
      </c>
      <c r="O820" s="29">
        <f>Item_Enchant_Old!O824</f>
        <v>1</v>
      </c>
      <c r="P820" s="29">
        <f>Item_Enchant_Old!P824</f>
        <v>1</v>
      </c>
      <c r="Q820" s="29">
        <f>Item_Enchant_Old!Q824</f>
        <v>1</v>
      </c>
      <c r="R820" s="29">
        <f>Item_Enchant_Old!R824</f>
        <v>1</v>
      </c>
    </row>
    <row r="821" spans="1:18" s="29" customFormat="1" hidden="1">
      <c r="A821" s="29">
        <f>Item_Enchant_Old!A825</f>
        <v>820</v>
      </c>
      <c r="B821" s="29" t="str">
        <f>Item_Enchant_Old!B825</f>
        <v>ACTIVE_STR_UP</v>
      </c>
      <c r="C821" s="29">
        <f>Item_Enchant_Old!C825</f>
        <v>610</v>
      </c>
      <c r="D821" s="29">
        <f>Item_Enchant_Old!D825</f>
        <v>0</v>
      </c>
      <c r="E821" s="29">
        <f>Item_Enchant_Old!E825</f>
        <v>0</v>
      </c>
      <c r="F821" s="29">
        <f>Item_Enchant_Old!F825</f>
        <v>0</v>
      </c>
      <c r="G821" s="29">
        <f>Item_Enchant_Old!G825</f>
        <v>2</v>
      </c>
      <c r="H821" s="29" t="str">
        <f>Item_Enchant_Old!H825</f>
        <v>@</v>
      </c>
      <c r="I821" s="29">
        <f>Item_Enchant_Old!I825</f>
        <v>1</v>
      </c>
      <c r="J821" s="29" t="str">
        <f>Item_Enchant_Old!J825</f>
        <v>절대값/상대값(%) 가능</v>
      </c>
      <c r="K821" s="29">
        <f>Item_Enchant_Old!K825</f>
        <v>16</v>
      </c>
      <c r="L821" s="29">
        <f>Item_Enchant_Old!L825</f>
        <v>0</v>
      </c>
      <c r="M821" s="29">
        <f>Item_Enchant_Old!M825</f>
        <v>6</v>
      </c>
      <c r="N821" s="29">
        <f>Item_Enchant_Old!N825</f>
        <v>57</v>
      </c>
      <c r="O821" s="29">
        <f>Item_Enchant_Old!O825</f>
        <v>1</v>
      </c>
      <c r="P821" s="29">
        <f>Item_Enchant_Old!P825</f>
        <v>1</v>
      </c>
      <c r="Q821" s="29">
        <f>Item_Enchant_Old!Q825</f>
        <v>1</v>
      </c>
      <c r="R821" s="29">
        <f>Item_Enchant_Old!R825</f>
        <v>1</v>
      </c>
    </row>
    <row r="822" spans="1:18" s="29" customFormat="1" hidden="1">
      <c r="A822" s="29">
        <f>Item_Enchant_Old!A826</f>
        <v>821</v>
      </c>
      <c r="B822" s="29" t="str">
        <f>Item_Enchant_Old!B826</f>
        <v>ACTIVE_SOL_UP</v>
      </c>
      <c r="C822" s="29">
        <f>Item_Enchant_Old!C826</f>
        <v>614</v>
      </c>
      <c r="D822" s="29">
        <f>Item_Enchant_Old!D826</f>
        <v>0</v>
      </c>
      <c r="E822" s="29">
        <f>Item_Enchant_Old!E826</f>
        <v>0</v>
      </c>
      <c r="F822" s="29">
        <f>Item_Enchant_Old!F826</f>
        <v>0</v>
      </c>
      <c r="G822" s="29">
        <f>Item_Enchant_Old!G826</f>
        <v>2</v>
      </c>
      <c r="H822" s="29" t="str">
        <f>Item_Enchant_Old!H826</f>
        <v>@</v>
      </c>
      <c r="I822" s="29">
        <f>Item_Enchant_Old!I826</f>
        <v>1</v>
      </c>
      <c r="J822" s="29" t="str">
        <f>Item_Enchant_Old!J826</f>
        <v>절대값/상대값(%) 가능</v>
      </c>
      <c r="K822" s="29">
        <f>Item_Enchant_Old!K826</f>
        <v>16</v>
      </c>
      <c r="L822" s="29">
        <f>Item_Enchant_Old!L826</f>
        <v>0</v>
      </c>
      <c r="M822" s="29">
        <f>Item_Enchant_Old!M826</f>
        <v>6</v>
      </c>
      <c r="N822" s="29">
        <f>Item_Enchant_Old!N826</f>
        <v>53</v>
      </c>
      <c r="O822" s="29">
        <f>Item_Enchant_Old!O826</f>
        <v>1</v>
      </c>
      <c r="P822" s="29">
        <f>Item_Enchant_Old!P826</f>
        <v>1</v>
      </c>
      <c r="Q822" s="29">
        <f>Item_Enchant_Old!Q826</f>
        <v>1</v>
      </c>
      <c r="R822" s="29">
        <f>Item_Enchant_Old!R826</f>
        <v>1</v>
      </c>
    </row>
    <row r="823" spans="1:18" s="29" customFormat="1" hidden="1">
      <c r="A823" s="29">
        <f>Item_Enchant_Old!A827</f>
        <v>822</v>
      </c>
      <c r="B823" s="29" t="str">
        <f>Item_Enchant_Old!B827</f>
        <v>ACTIVE_PHYSICAL_CRITICAL_DAMAGE_UP</v>
      </c>
      <c r="C823" s="29">
        <f>Item_Enchant_Old!C827</f>
        <v>658</v>
      </c>
      <c r="D823" s="29">
        <f>Item_Enchant_Old!D827</f>
        <v>0</v>
      </c>
      <c r="E823" s="29">
        <f>Item_Enchant_Old!E827</f>
        <v>0</v>
      </c>
      <c r="F823" s="29">
        <f>Item_Enchant_Old!F827</f>
        <v>0</v>
      </c>
      <c r="G823" s="29">
        <f>Item_Enchant_Old!G827</f>
        <v>4</v>
      </c>
      <c r="H823" s="29" t="str">
        <f>Item_Enchant_Old!H827</f>
        <v>@</v>
      </c>
      <c r="I823" s="29">
        <f>Item_Enchant_Old!I827</f>
        <v>1</v>
      </c>
      <c r="J823" s="29" t="str">
        <f>Item_Enchant_Old!J827</f>
        <v>절대값만 가능</v>
      </c>
      <c r="K823" s="29">
        <f>Item_Enchant_Old!K827</f>
        <v>16</v>
      </c>
      <c r="L823" s="29">
        <f>Item_Enchant_Old!L827</f>
        <v>0</v>
      </c>
      <c r="M823" s="29">
        <f>Item_Enchant_Old!M827</f>
        <v>6</v>
      </c>
      <c r="N823" s="29">
        <f>Item_Enchant_Old!N827</f>
        <v>28</v>
      </c>
      <c r="O823" s="29">
        <f>Item_Enchant_Old!O827</f>
        <v>1</v>
      </c>
      <c r="P823" s="29">
        <f>Item_Enchant_Old!P827</f>
        <v>1</v>
      </c>
      <c r="Q823" s="29">
        <f>Item_Enchant_Old!Q827</f>
        <v>1</v>
      </c>
      <c r="R823" s="29">
        <f>Item_Enchant_Old!R827</f>
        <v>1</v>
      </c>
    </row>
    <row r="824" spans="1:18" s="29" customFormat="1" hidden="1">
      <c r="A824" s="29">
        <f>Item_Enchant_Old!A828</f>
        <v>823</v>
      </c>
      <c r="B824" s="29" t="str">
        <f>Item_Enchant_Old!B828</f>
        <v>ACTIVE_ENERGY_CRITICAL_DAMAGE_UP</v>
      </c>
      <c r="C824" s="29">
        <f>Item_Enchant_Old!C828</f>
        <v>659</v>
      </c>
      <c r="D824" s="29">
        <f>Item_Enchant_Old!D828</f>
        <v>0</v>
      </c>
      <c r="E824" s="29">
        <f>Item_Enchant_Old!E828</f>
        <v>0</v>
      </c>
      <c r="F824" s="29">
        <f>Item_Enchant_Old!F828</f>
        <v>0</v>
      </c>
      <c r="G824" s="29">
        <f>Item_Enchant_Old!G828</f>
        <v>4</v>
      </c>
      <c r="H824" s="29" t="str">
        <f>Item_Enchant_Old!H828</f>
        <v>@</v>
      </c>
      <c r="I824" s="29">
        <f>Item_Enchant_Old!I828</f>
        <v>1</v>
      </c>
      <c r="J824" s="29" t="str">
        <f>Item_Enchant_Old!J828</f>
        <v>절대값만 가능</v>
      </c>
      <c r="K824" s="29">
        <f>Item_Enchant_Old!K828</f>
        <v>16</v>
      </c>
      <c r="L824" s="29">
        <f>Item_Enchant_Old!L828</f>
        <v>0</v>
      </c>
      <c r="M824" s="29">
        <f>Item_Enchant_Old!M828</f>
        <v>6</v>
      </c>
      <c r="N824" s="29">
        <f>Item_Enchant_Old!N828</f>
        <v>32</v>
      </c>
      <c r="O824" s="29">
        <f>Item_Enchant_Old!O828</f>
        <v>1</v>
      </c>
      <c r="P824" s="29">
        <f>Item_Enchant_Old!P828</f>
        <v>1</v>
      </c>
      <c r="Q824" s="29">
        <f>Item_Enchant_Old!Q828</f>
        <v>1</v>
      </c>
      <c r="R824" s="29">
        <f>Item_Enchant_Old!R828</f>
        <v>1</v>
      </c>
    </row>
    <row r="825" spans="1:18" s="29" customFormat="1" hidden="1">
      <c r="A825" s="29">
        <f>Item_Enchant_Old!A829</f>
        <v>824</v>
      </c>
      <c r="B825" s="29" t="str">
        <f>Item_Enchant_Old!B829</f>
        <v>ACTIVE_FOC_UP</v>
      </c>
      <c r="C825" s="29">
        <f>Item_Enchant_Old!C829</f>
        <v>612</v>
      </c>
      <c r="D825" s="29">
        <f>Item_Enchant_Old!D829</f>
        <v>0</v>
      </c>
      <c r="E825" s="29">
        <f>Item_Enchant_Old!E829</f>
        <v>0</v>
      </c>
      <c r="F825" s="29">
        <f>Item_Enchant_Old!F829</f>
        <v>0</v>
      </c>
      <c r="G825" s="29">
        <f>Item_Enchant_Old!G829</f>
        <v>2</v>
      </c>
      <c r="H825" s="29" t="str">
        <f>Item_Enchant_Old!H829</f>
        <v>@</v>
      </c>
      <c r="I825" s="29">
        <f>Item_Enchant_Old!I829</f>
        <v>1</v>
      </c>
      <c r="J825" s="29" t="str">
        <f>Item_Enchant_Old!J829</f>
        <v>절대값/상대값(%) 가능</v>
      </c>
      <c r="K825" s="29">
        <f>Item_Enchant_Old!K829</f>
        <v>16</v>
      </c>
      <c r="L825" s="29">
        <f>Item_Enchant_Old!L829</f>
        <v>0</v>
      </c>
      <c r="M825" s="29">
        <f>Item_Enchant_Old!M829</f>
        <v>7</v>
      </c>
      <c r="N825" s="29">
        <f>Item_Enchant_Old!N829</f>
        <v>53</v>
      </c>
      <c r="O825" s="29">
        <f>Item_Enchant_Old!O829</f>
        <v>1</v>
      </c>
      <c r="P825" s="29">
        <f>Item_Enchant_Old!P829</f>
        <v>1</v>
      </c>
      <c r="Q825" s="29">
        <f>Item_Enchant_Old!Q829</f>
        <v>1</v>
      </c>
      <c r="R825" s="29">
        <f>Item_Enchant_Old!R829</f>
        <v>1</v>
      </c>
    </row>
    <row r="826" spans="1:18" s="29" customFormat="1" hidden="1">
      <c r="A826" s="29">
        <f>Item_Enchant_Old!A830</f>
        <v>825</v>
      </c>
      <c r="B826" s="29" t="str">
        <f>Item_Enchant_Old!B830</f>
        <v>ACTIVE_ATTACK_RATE_UP</v>
      </c>
      <c r="C826" s="29">
        <f>Item_Enchant_Old!C830</f>
        <v>618</v>
      </c>
      <c r="D826" s="29">
        <f>Item_Enchant_Old!D830</f>
        <v>0</v>
      </c>
      <c r="E826" s="29">
        <f>Item_Enchant_Old!E830</f>
        <v>0</v>
      </c>
      <c r="F826" s="29">
        <f>Item_Enchant_Old!F830</f>
        <v>0</v>
      </c>
      <c r="G826" s="29">
        <f>Item_Enchant_Old!G830</f>
        <v>1</v>
      </c>
      <c r="H826" s="29" t="str">
        <f>Item_Enchant_Old!H830</f>
        <v>@</v>
      </c>
      <c r="I826" s="29">
        <f>Item_Enchant_Old!I830</f>
        <v>1</v>
      </c>
      <c r="J826" s="29" t="str">
        <f>Item_Enchant_Old!J830</f>
        <v>절대값/상대값(%) 가능</v>
      </c>
      <c r="K826" s="29">
        <f>Item_Enchant_Old!K830</f>
        <v>16</v>
      </c>
      <c r="L826" s="29">
        <f>Item_Enchant_Old!L830</f>
        <v>0</v>
      </c>
      <c r="M826" s="29">
        <f>Item_Enchant_Old!M830</f>
        <v>7</v>
      </c>
      <c r="N826" s="29">
        <f>Item_Enchant_Old!N830</f>
        <v>528</v>
      </c>
      <c r="O826" s="29">
        <f>Item_Enchant_Old!O830</f>
        <v>1</v>
      </c>
      <c r="P826" s="29">
        <f>Item_Enchant_Old!P830</f>
        <v>1</v>
      </c>
      <c r="Q826" s="29">
        <f>Item_Enchant_Old!Q830</f>
        <v>1</v>
      </c>
      <c r="R826" s="29">
        <f>Item_Enchant_Old!R830</f>
        <v>1</v>
      </c>
    </row>
    <row r="827" spans="1:18" s="29" customFormat="1" hidden="1">
      <c r="A827" s="29">
        <f>Item_Enchant_Old!A831</f>
        <v>826</v>
      </c>
      <c r="B827" s="29" t="str">
        <f>Item_Enchant_Old!B831</f>
        <v>ACTIVE_ENG_UP</v>
      </c>
      <c r="C827" s="29">
        <f>Item_Enchant_Old!C831</f>
        <v>615</v>
      </c>
      <c r="D827" s="29">
        <f>Item_Enchant_Old!D831</f>
        <v>0</v>
      </c>
      <c r="E827" s="29">
        <f>Item_Enchant_Old!E831</f>
        <v>0</v>
      </c>
      <c r="F827" s="29">
        <f>Item_Enchant_Old!F831</f>
        <v>0</v>
      </c>
      <c r="G827" s="29">
        <f>Item_Enchant_Old!G831</f>
        <v>2</v>
      </c>
      <c r="H827" s="29" t="str">
        <f>Item_Enchant_Old!H831</f>
        <v>@</v>
      </c>
      <c r="I827" s="29">
        <f>Item_Enchant_Old!I831</f>
        <v>1</v>
      </c>
      <c r="J827" s="29" t="str">
        <f>Item_Enchant_Old!J831</f>
        <v>절대값/상대값(%) 가능</v>
      </c>
      <c r="K827" s="29">
        <f>Item_Enchant_Old!K831</f>
        <v>16</v>
      </c>
      <c r="L827" s="29">
        <f>Item_Enchant_Old!L831</f>
        <v>0</v>
      </c>
      <c r="M827" s="29">
        <f>Item_Enchant_Old!M831</f>
        <v>7</v>
      </c>
      <c r="N827" s="29">
        <f>Item_Enchant_Old!N831</f>
        <v>62</v>
      </c>
      <c r="O827" s="29">
        <f>Item_Enchant_Old!O831</f>
        <v>1</v>
      </c>
      <c r="P827" s="29">
        <f>Item_Enchant_Old!P831</f>
        <v>1</v>
      </c>
      <c r="Q827" s="29">
        <f>Item_Enchant_Old!Q831</f>
        <v>1</v>
      </c>
      <c r="R827" s="29">
        <f>Item_Enchant_Old!R831</f>
        <v>1</v>
      </c>
    </row>
    <row r="828" spans="1:18" s="29" customFormat="1" hidden="1">
      <c r="A828" s="29">
        <f>Item_Enchant_Old!A832</f>
        <v>827</v>
      </c>
      <c r="B828" s="29" t="str">
        <f>Item_Enchant_Old!B832</f>
        <v>ACTIVE_PHYSICAL_CRITICAL</v>
      </c>
      <c r="C828" s="29">
        <f>Item_Enchant_Old!C832</f>
        <v>632</v>
      </c>
      <c r="D828" s="29">
        <f>Item_Enchant_Old!D832</f>
        <v>0</v>
      </c>
      <c r="E828" s="29">
        <f>Item_Enchant_Old!E832</f>
        <v>0</v>
      </c>
      <c r="F828" s="29">
        <f>Item_Enchant_Old!F832</f>
        <v>0</v>
      </c>
      <c r="G828" s="29">
        <f>Item_Enchant_Old!G832</f>
        <v>5</v>
      </c>
      <c r="H828" s="29" t="str">
        <f>Item_Enchant_Old!H832</f>
        <v>@</v>
      </c>
      <c r="I828" s="29">
        <f>Item_Enchant_Old!I832</f>
        <v>1</v>
      </c>
      <c r="J828" s="29" t="str">
        <f>Item_Enchant_Old!J832</f>
        <v>절대값/상대값(%) 가능</v>
      </c>
      <c r="K828" s="29">
        <f>Item_Enchant_Old!K832</f>
        <v>16</v>
      </c>
      <c r="L828" s="29">
        <f>Item_Enchant_Old!L832</f>
        <v>0</v>
      </c>
      <c r="M828" s="29">
        <f>Item_Enchant_Old!M832</f>
        <v>7</v>
      </c>
      <c r="N828" s="29">
        <f>Item_Enchant_Old!N832</f>
        <v>21</v>
      </c>
      <c r="O828" s="29">
        <f>Item_Enchant_Old!O832</f>
        <v>1</v>
      </c>
      <c r="P828" s="29">
        <f>Item_Enchant_Old!P832</f>
        <v>1</v>
      </c>
      <c r="Q828" s="29">
        <f>Item_Enchant_Old!Q832</f>
        <v>1</v>
      </c>
      <c r="R828" s="29">
        <f>Item_Enchant_Old!R832</f>
        <v>1</v>
      </c>
    </row>
    <row r="829" spans="1:18" s="29" customFormat="1" hidden="1">
      <c r="A829" s="29">
        <f>Item_Enchant_Old!A833</f>
        <v>828</v>
      </c>
      <c r="B829" s="29" t="str">
        <f>Item_Enchant_Old!B833</f>
        <v>ACTIVE_ENERGY_CRITICAL</v>
      </c>
      <c r="C829" s="29">
        <f>Item_Enchant_Old!C833</f>
        <v>633</v>
      </c>
      <c r="D829" s="29">
        <f>Item_Enchant_Old!D833</f>
        <v>0</v>
      </c>
      <c r="E829" s="29">
        <f>Item_Enchant_Old!E833</f>
        <v>0</v>
      </c>
      <c r="F829" s="29">
        <f>Item_Enchant_Old!F833</f>
        <v>0</v>
      </c>
      <c r="G829" s="29">
        <f>Item_Enchant_Old!G833</f>
        <v>5</v>
      </c>
      <c r="H829" s="29" t="str">
        <f>Item_Enchant_Old!H833</f>
        <v>@</v>
      </c>
      <c r="I829" s="29">
        <f>Item_Enchant_Old!I833</f>
        <v>1</v>
      </c>
      <c r="J829" s="29" t="str">
        <f>Item_Enchant_Old!J833</f>
        <v>절대값/상대값(%) 가능</v>
      </c>
      <c r="K829" s="29">
        <f>Item_Enchant_Old!K833</f>
        <v>16</v>
      </c>
      <c r="L829" s="29">
        <f>Item_Enchant_Old!L833</f>
        <v>0</v>
      </c>
      <c r="M829" s="29">
        <f>Item_Enchant_Old!M833</f>
        <v>7</v>
      </c>
      <c r="N829" s="29">
        <f>Item_Enchant_Old!N833</f>
        <v>24</v>
      </c>
      <c r="O829" s="29">
        <f>Item_Enchant_Old!O833</f>
        <v>1</v>
      </c>
      <c r="P829" s="29">
        <f>Item_Enchant_Old!P833</f>
        <v>1</v>
      </c>
      <c r="Q829" s="29">
        <f>Item_Enchant_Old!Q833</f>
        <v>1</v>
      </c>
      <c r="R829" s="29">
        <f>Item_Enchant_Old!R833</f>
        <v>1</v>
      </c>
    </row>
    <row r="830" spans="1:18" s="29" customFormat="1" hidden="1">
      <c r="A830" s="29">
        <f>Item_Enchant_Old!A834</f>
        <v>829</v>
      </c>
      <c r="B830" s="29" t="str">
        <f>Item_Enchant_Old!B834</f>
        <v>ACTIVE_FOC_UP</v>
      </c>
      <c r="C830" s="29">
        <f>Item_Enchant_Old!C834</f>
        <v>612</v>
      </c>
      <c r="D830" s="29">
        <f>Item_Enchant_Old!D834</f>
        <v>0</v>
      </c>
      <c r="E830" s="29">
        <f>Item_Enchant_Old!E834</f>
        <v>0</v>
      </c>
      <c r="F830" s="29">
        <f>Item_Enchant_Old!F834</f>
        <v>0</v>
      </c>
      <c r="G830" s="29">
        <f>Item_Enchant_Old!G834</f>
        <v>2</v>
      </c>
      <c r="H830" s="29" t="str">
        <f>Item_Enchant_Old!H834</f>
        <v>@</v>
      </c>
      <c r="I830" s="29">
        <f>Item_Enchant_Old!I834</f>
        <v>1</v>
      </c>
      <c r="J830" s="29" t="str">
        <f>Item_Enchant_Old!J834</f>
        <v>절대값/상대값(%) 가능</v>
      </c>
      <c r="K830" s="29">
        <f>Item_Enchant_Old!K834</f>
        <v>16</v>
      </c>
      <c r="L830" s="29">
        <f>Item_Enchant_Old!L834</f>
        <v>0</v>
      </c>
      <c r="M830" s="29">
        <f>Item_Enchant_Old!M834</f>
        <v>8</v>
      </c>
      <c r="N830" s="29">
        <f>Item_Enchant_Old!N834</f>
        <v>53</v>
      </c>
      <c r="O830" s="29">
        <f>Item_Enchant_Old!O834</f>
        <v>1</v>
      </c>
      <c r="P830" s="29">
        <f>Item_Enchant_Old!P834</f>
        <v>1</v>
      </c>
      <c r="Q830" s="29">
        <f>Item_Enchant_Old!Q834</f>
        <v>1</v>
      </c>
      <c r="R830" s="29">
        <f>Item_Enchant_Old!R834</f>
        <v>1</v>
      </c>
    </row>
    <row r="831" spans="1:18" s="29" customFormat="1" hidden="1">
      <c r="A831" s="29">
        <f>Item_Enchant_Old!A835</f>
        <v>830</v>
      </c>
      <c r="B831" s="29" t="str">
        <f>Item_Enchant_Old!B835</f>
        <v>ACTIVE_CON_UP</v>
      </c>
      <c r="C831" s="29">
        <f>Item_Enchant_Old!C835</f>
        <v>611</v>
      </c>
      <c r="D831" s="29">
        <f>Item_Enchant_Old!D835</f>
        <v>0</v>
      </c>
      <c r="E831" s="29">
        <f>Item_Enchant_Old!E835</f>
        <v>0</v>
      </c>
      <c r="F831" s="29">
        <f>Item_Enchant_Old!F835</f>
        <v>0</v>
      </c>
      <c r="G831" s="29">
        <f>Item_Enchant_Old!G835</f>
        <v>3</v>
      </c>
      <c r="H831" s="29" t="str">
        <f>Item_Enchant_Old!H835</f>
        <v>@</v>
      </c>
      <c r="I831" s="29">
        <f>Item_Enchant_Old!I835</f>
        <v>1</v>
      </c>
      <c r="J831" s="29" t="str">
        <f>Item_Enchant_Old!J835</f>
        <v>절대값/상대값(%) 가능</v>
      </c>
      <c r="K831" s="29">
        <f>Item_Enchant_Old!K835</f>
        <v>16</v>
      </c>
      <c r="L831" s="29">
        <f>Item_Enchant_Old!L835</f>
        <v>0</v>
      </c>
      <c r="M831" s="29">
        <f>Item_Enchant_Old!M835</f>
        <v>8</v>
      </c>
      <c r="N831" s="29">
        <f>Item_Enchant_Old!N835</f>
        <v>48</v>
      </c>
      <c r="O831" s="29">
        <f>Item_Enchant_Old!O835</f>
        <v>1</v>
      </c>
      <c r="P831" s="29">
        <f>Item_Enchant_Old!P835</f>
        <v>1</v>
      </c>
      <c r="Q831" s="29">
        <f>Item_Enchant_Old!Q835</f>
        <v>1</v>
      </c>
      <c r="R831" s="29">
        <f>Item_Enchant_Old!R835</f>
        <v>1</v>
      </c>
    </row>
    <row r="832" spans="1:18" s="29" customFormat="1" hidden="1">
      <c r="A832" s="29">
        <f>Item_Enchant_Old!A836</f>
        <v>831</v>
      </c>
      <c r="B832" s="29" t="str">
        <f>Item_Enchant_Old!B836</f>
        <v>ACTIVE_BLOCK_RATE_UP</v>
      </c>
      <c r="C832" s="29">
        <f>Item_Enchant_Old!C836</f>
        <v>620</v>
      </c>
      <c r="D832" s="29">
        <f>Item_Enchant_Old!D836</f>
        <v>0</v>
      </c>
      <c r="E832" s="29">
        <f>Item_Enchant_Old!E836</f>
        <v>0</v>
      </c>
      <c r="F832" s="29">
        <f>Item_Enchant_Old!F836</f>
        <v>0</v>
      </c>
      <c r="G832" s="29">
        <f>Item_Enchant_Old!G836</f>
        <v>1</v>
      </c>
      <c r="H832" s="29" t="str">
        <f>Item_Enchant_Old!H836</f>
        <v>@</v>
      </c>
      <c r="I832" s="29">
        <f>Item_Enchant_Old!I836</f>
        <v>1</v>
      </c>
      <c r="J832" s="29" t="str">
        <f>Item_Enchant_Old!J836</f>
        <v>절대값/상대값(%) 가능</v>
      </c>
      <c r="K832" s="29">
        <f>Item_Enchant_Old!K836</f>
        <v>16</v>
      </c>
      <c r="L832" s="29">
        <f>Item_Enchant_Old!L836</f>
        <v>0</v>
      </c>
      <c r="M832" s="29">
        <f>Item_Enchant_Old!M836</f>
        <v>8</v>
      </c>
      <c r="N832" s="29">
        <f>Item_Enchant_Old!N836</f>
        <v>352</v>
      </c>
      <c r="O832" s="29">
        <f>Item_Enchant_Old!O836</f>
        <v>1</v>
      </c>
      <c r="P832" s="29">
        <f>Item_Enchant_Old!P836</f>
        <v>1</v>
      </c>
      <c r="Q832" s="29">
        <f>Item_Enchant_Old!Q836</f>
        <v>1</v>
      </c>
      <c r="R832" s="29">
        <f>Item_Enchant_Old!R836</f>
        <v>1</v>
      </c>
    </row>
    <row r="833" spans="1:18" s="29" customFormat="1" hidden="1">
      <c r="A833" s="29">
        <f>Item_Enchant_Old!A837</f>
        <v>832</v>
      </c>
      <c r="B833" s="29" t="str">
        <f>Item_Enchant_Old!B837</f>
        <v>ACTIVE_ENG_UP</v>
      </c>
      <c r="C833" s="29">
        <f>Item_Enchant_Old!C837</f>
        <v>615</v>
      </c>
      <c r="D833" s="29">
        <f>Item_Enchant_Old!D837</f>
        <v>0</v>
      </c>
      <c r="E833" s="29">
        <f>Item_Enchant_Old!E837</f>
        <v>0</v>
      </c>
      <c r="F833" s="29">
        <f>Item_Enchant_Old!F837</f>
        <v>0</v>
      </c>
      <c r="G833" s="29">
        <f>Item_Enchant_Old!G837</f>
        <v>2</v>
      </c>
      <c r="H833" s="29" t="str">
        <f>Item_Enchant_Old!H837</f>
        <v>@</v>
      </c>
      <c r="I833" s="29">
        <f>Item_Enchant_Old!I837</f>
        <v>1</v>
      </c>
      <c r="J833" s="29" t="str">
        <f>Item_Enchant_Old!J837</f>
        <v>절대값/상대값(%) 가능</v>
      </c>
      <c r="K833" s="29">
        <f>Item_Enchant_Old!K837</f>
        <v>16</v>
      </c>
      <c r="L833" s="29">
        <f>Item_Enchant_Old!L837</f>
        <v>0</v>
      </c>
      <c r="M833" s="29">
        <f>Item_Enchant_Old!M837</f>
        <v>8</v>
      </c>
      <c r="N833" s="29">
        <f>Item_Enchant_Old!N837</f>
        <v>62</v>
      </c>
      <c r="O833" s="29">
        <f>Item_Enchant_Old!O837</f>
        <v>1</v>
      </c>
      <c r="P833" s="29">
        <f>Item_Enchant_Old!P837</f>
        <v>1</v>
      </c>
      <c r="Q833" s="29">
        <f>Item_Enchant_Old!Q837</f>
        <v>1</v>
      </c>
      <c r="R833" s="29">
        <f>Item_Enchant_Old!R837</f>
        <v>1</v>
      </c>
    </row>
    <row r="834" spans="1:18" s="29" customFormat="1" hidden="1">
      <c r="A834" s="29">
        <f>Item_Enchant_Old!A838</f>
        <v>833</v>
      </c>
      <c r="B834" s="29" t="str">
        <f>Item_Enchant_Old!B838</f>
        <v>ACTIVE_PHYSICAL_CRITICAL</v>
      </c>
      <c r="C834" s="29">
        <f>Item_Enchant_Old!C838</f>
        <v>632</v>
      </c>
      <c r="D834" s="29">
        <f>Item_Enchant_Old!D838</f>
        <v>0</v>
      </c>
      <c r="E834" s="29">
        <f>Item_Enchant_Old!E838</f>
        <v>0</v>
      </c>
      <c r="F834" s="29">
        <f>Item_Enchant_Old!F838</f>
        <v>0</v>
      </c>
      <c r="G834" s="29">
        <f>Item_Enchant_Old!G838</f>
        <v>5</v>
      </c>
      <c r="H834" s="29" t="str">
        <f>Item_Enchant_Old!H838</f>
        <v>@</v>
      </c>
      <c r="I834" s="29">
        <f>Item_Enchant_Old!I838</f>
        <v>1</v>
      </c>
      <c r="J834" s="29" t="str">
        <f>Item_Enchant_Old!J838</f>
        <v>절대값/상대값(%) 가능</v>
      </c>
      <c r="K834" s="29">
        <f>Item_Enchant_Old!K838</f>
        <v>16</v>
      </c>
      <c r="L834" s="29">
        <f>Item_Enchant_Old!L838</f>
        <v>0</v>
      </c>
      <c r="M834" s="29">
        <f>Item_Enchant_Old!M838</f>
        <v>9</v>
      </c>
      <c r="N834" s="29">
        <f>Item_Enchant_Old!N838</f>
        <v>21</v>
      </c>
      <c r="O834" s="29">
        <f>Item_Enchant_Old!O838</f>
        <v>1</v>
      </c>
      <c r="P834" s="29">
        <f>Item_Enchant_Old!P838</f>
        <v>1</v>
      </c>
      <c r="Q834" s="29">
        <f>Item_Enchant_Old!Q838</f>
        <v>1</v>
      </c>
      <c r="R834" s="29">
        <f>Item_Enchant_Old!R838</f>
        <v>1</v>
      </c>
    </row>
    <row r="835" spans="1:18" s="29" customFormat="1" hidden="1">
      <c r="A835" s="29">
        <f>Item_Enchant_Old!A839</f>
        <v>834</v>
      </c>
      <c r="B835" s="29" t="str">
        <f>Item_Enchant_Old!B839</f>
        <v>ACTIVE_ENERGY_CRITICAL</v>
      </c>
      <c r="C835" s="29">
        <f>Item_Enchant_Old!C839</f>
        <v>633</v>
      </c>
      <c r="D835" s="29">
        <f>Item_Enchant_Old!D839</f>
        <v>0</v>
      </c>
      <c r="E835" s="29">
        <f>Item_Enchant_Old!E839</f>
        <v>0</v>
      </c>
      <c r="F835" s="29">
        <f>Item_Enchant_Old!F839</f>
        <v>0</v>
      </c>
      <c r="G835" s="29">
        <f>Item_Enchant_Old!G839</f>
        <v>5</v>
      </c>
      <c r="H835" s="29" t="str">
        <f>Item_Enchant_Old!H839</f>
        <v>@</v>
      </c>
      <c r="I835" s="29">
        <f>Item_Enchant_Old!I839</f>
        <v>1</v>
      </c>
      <c r="J835" s="29" t="str">
        <f>Item_Enchant_Old!J839</f>
        <v>절대값/상대값(%) 가능</v>
      </c>
      <c r="K835" s="29">
        <f>Item_Enchant_Old!K839</f>
        <v>16</v>
      </c>
      <c r="L835" s="29">
        <f>Item_Enchant_Old!L839</f>
        <v>0</v>
      </c>
      <c r="M835" s="29">
        <f>Item_Enchant_Old!M839</f>
        <v>9</v>
      </c>
      <c r="N835" s="29">
        <f>Item_Enchant_Old!N839</f>
        <v>24</v>
      </c>
      <c r="O835" s="29">
        <f>Item_Enchant_Old!O839</f>
        <v>1</v>
      </c>
      <c r="P835" s="29">
        <f>Item_Enchant_Old!P839</f>
        <v>1</v>
      </c>
      <c r="Q835" s="29">
        <f>Item_Enchant_Old!Q839</f>
        <v>1</v>
      </c>
      <c r="R835" s="29">
        <f>Item_Enchant_Old!R839</f>
        <v>1</v>
      </c>
    </row>
    <row r="836" spans="1:18" s="29" customFormat="1" hidden="1">
      <c r="A836" s="29">
        <f>Item_Enchant_Old!A840</f>
        <v>835</v>
      </c>
      <c r="B836" s="29" t="str">
        <f>Item_Enchant_Old!B840</f>
        <v>ACTIVE_DEX_UP</v>
      </c>
      <c r="C836" s="29">
        <f>Item_Enchant_Old!C840</f>
        <v>613</v>
      </c>
      <c r="D836" s="29">
        <f>Item_Enchant_Old!D840</f>
        <v>0</v>
      </c>
      <c r="E836" s="29">
        <f>Item_Enchant_Old!E840</f>
        <v>0</v>
      </c>
      <c r="F836" s="29">
        <f>Item_Enchant_Old!F840</f>
        <v>0</v>
      </c>
      <c r="G836" s="29">
        <f>Item_Enchant_Old!G840</f>
        <v>3</v>
      </c>
      <c r="H836" s="29" t="str">
        <f>Item_Enchant_Old!H840</f>
        <v>@</v>
      </c>
      <c r="I836" s="29">
        <f>Item_Enchant_Old!I840</f>
        <v>1</v>
      </c>
      <c r="J836" s="29" t="str">
        <f>Item_Enchant_Old!J840</f>
        <v>절대값/상대값(%) 가능</v>
      </c>
      <c r="K836" s="29">
        <f>Item_Enchant_Old!K840</f>
        <v>16</v>
      </c>
      <c r="L836" s="29">
        <f>Item_Enchant_Old!L840</f>
        <v>0</v>
      </c>
      <c r="M836" s="29">
        <f>Item_Enchant_Old!M840</f>
        <v>9</v>
      </c>
      <c r="N836" s="29">
        <f>Item_Enchant_Old!N840</f>
        <v>44</v>
      </c>
      <c r="O836" s="29">
        <f>Item_Enchant_Old!O840</f>
        <v>1</v>
      </c>
      <c r="P836" s="29">
        <f>Item_Enchant_Old!P840</f>
        <v>1</v>
      </c>
      <c r="Q836" s="29">
        <f>Item_Enchant_Old!Q840</f>
        <v>1</v>
      </c>
      <c r="R836" s="29">
        <f>Item_Enchant_Old!R840</f>
        <v>1</v>
      </c>
    </row>
    <row r="837" spans="1:18" s="29" customFormat="1" hidden="1">
      <c r="A837" s="29">
        <f>Item_Enchant_Old!A841</f>
        <v>836</v>
      </c>
      <c r="B837" s="29" t="str">
        <f>Item_Enchant_Old!B841</f>
        <v>ACTIVE_FOC_UP</v>
      </c>
      <c r="C837" s="29">
        <f>Item_Enchant_Old!C841</f>
        <v>612</v>
      </c>
      <c r="D837" s="29">
        <f>Item_Enchant_Old!D841</f>
        <v>0</v>
      </c>
      <c r="E837" s="29">
        <f>Item_Enchant_Old!E841</f>
        <v>0</v>
      </c>
      <c r="F837" s="29">
        <f>Item_Enchant_Old!F841</f>
        <v>0</v>
      </c>
      <c r="G837" s="29">
        <f>Item_Enchant_Old!G841</f>
        <v>2</v>
      </c>
      <c r="H837" s="29" t="str">
        <f>Item_Enchant_Old!H841</f>
        <v>@</v>
      </c>
      <c r="I837" s="29">
        <f>Item_Enchant_Old!I841</f>
        <v>1</v>
      </c>
      <c r="J837" s="29" t="str">
        <f>Item_Enchant_Old!J841</f>
        <v>절대값/상대값(%) 가능</v>
      </c>
      <c r="K837" s="29">
        <f>Item_Enchant_Old!K841</f>
        <v>16</v>
      </c>
      <c r="L837" s="29">
        <f>Item_Enchant_Old!L841</f>
        <v>0</v>
      </c>
      <c r="M837" s="29">
        <f>Item_Enchant_Old!M841</f>
        <v>9</v>
      </c>
      <c r="N837" s="29">
        <f>Item_Enchant_Old!N841</f>
        <v>53</v>
      </c>
      <c r="O837" s="29">
        <f>Item_Enchant_Old!O841</f>
        <v>1</v>
      </c>
      <c r="P837" s="29">
        <f>Item_Enchant_Old!P841</f>
        <v>1</v>
      </c>
      <c r="Q837" s="29">
        <f>Item_Enchant_Old!Q841</f>
        <v>1</v>
      </c>
      <c r="R837" s="29">
        <f>Item_Enchant_Old!R841</f>
        <v>1</v>
      </c>
    </row>
    <row r="838" spans="1:18" s="29" customFormat="1" hidden="1">
      <c r="A838" s="29">
        <f>Item_Enchant_Old!A842</f>
        <v>837</v>
      </c>
      <c r="B838" s="29" t="str">
        <f>Item_Enchant_Old!B842</f>
        <v>ACTIVE_PHYSICAL_CRITICAL_DAMAGE_UP</v>
      </c>
      <c r="C838" s="29">
        <f>Item_Enchant_Old!C842</f>
        <v>658</v>
      </c>
      <c r="D838" s="29">
        <f>Item_Enchant_Old!D842</f>
        <v>0</v>
      </c>
      <c r="E838" s="29">
        <f>Item_Enchant_Old!E842</f>
        <v>0</v>
      </c>
      <c r="F838" s="29">
        <f>Item_Enchant_Old!F842</f>
        <v>0</v>
      </c>
      <c r="G838" s="29">
        <f>Item_Enchant_Old!G842</f>
        <v>4</v>
      </c>
      <c r="H838" s="29" t="str">
        <f>Item_Enchant_Old!H842</f>
        <v>@</v>
      </c>
      <c r="I838" s="29">
        <f>Item_Enchant_Old!I842</f>
        <v>1</v>
      </c>
      <c r="J838" s="29" t="str">
        <f>Item_Enchant_Old!J842</f>
        <v>절대값만 가능</v>
      </c>
      <c r="K838" s="29">
        <f>Item_Enchant_Old!K842</f>
        <v>16</v>
      </c>
      <c r="L838" s="29">
        <f>Item_Enchant_Old!L842</f>
        <v>0</v>
      </c>
      <c r="M838" s="29">
        <f>Item_Enchant_Old!M842</f>
        <v>10</v>
      </c>
      <c r="N838" s="29">
        <f>Item_Enchant_Old!N842</f>
        <v>28</v>
      </c>
      <c r="O838" s="29">
        <f>Item_Enchant_Old!O842</f>
        <v>1</v>
      </c>
      <c r="P838" s="29">
        <f>Item_Enchant_Old!P842</f>
        <v>1</v>
      </c>
      <c r="Q838" s="29">
        <f>Item_Enchant_Old!Q842</f>
        <v>1</v>
      </c>
      <c r="R838" s="29">
        <f>Item_Enchant_Old!R842</f>
        <v>1</v>
      </c>
    </row>
    <row r="839" spans="1:18" s="29" customFormat="1" hidden="1">
      <c r="A839" s="29">
        <f>Item_Enchant_Old!A843</f>
        <v>838</v>
      </c>
      <c r="B839" s="29" t="str">
        <f>Item_Enchant_Old!B843</f>
        <v>ACTIVE_ENERGY_CRITICAL_DAMAGE_UP</v>
      </c>
      <c r="C839" s="29">
        <f>Item_Enchant_Old!C843</f>
        <v>659</v>
      </c>
      <c r="D839" s="29">
        <f>Item_Enchant_Old!D843</f>
        <v>0</v>
      </c>
      <c r="E839" s="29">
        <f>Item_Enchant_Old!E843</f>
        <v>0</v>
      </c>
      <c r="F839" s="29">
        <f>Item_Enchant_Old!F843</f>
        <v>0</v>
      </c>
      <c r="G839" s="29">
        <f>Item_Enchant_Old!G843</f>
        <v>4</v>
      </c>
      <c r="H839" s="29" t="str">
        <f>Item_Enchant_Old!H843</f>
        <v>@</v>
      </c>
      <c r="I839" s="29">
        <f>Item_Enchant_Old!I843</f>
        <v>1</v>
      </c>
      <c r="J839" s="29" t="str">
        <f>Item_Enchant_Old!J843</f>
        <v>절대값만 가능</v>
      </c>
      <c r="K839" s="29">
        <f>Item_Enchant_Old!K843</f>
        <v>16</v>
      </c>
      <c r="L839" s="29">
        <f>Item_Enchant_Old!L843</f>
        <v>0</v>
      </c>
      <c r="M839" s="29">
        <f>Item_Enchant_Old!M843</f>
        <v>10</v>
      </c>
      <c r="N839" s="29">
        <f>Item_Enchant_Old!N843</f>
        <v>32</v>
      </c>
      <c r="O839" s="29">
        <f>Item_Enchant_Old!O843</f>
        <v>1</v>
      </c>
      <c r="P839" s="29">
        <f>Item_Enchant_Old!P843</f>
        <v>1</v>
      </c>
      <c r="Q839" s="29">
        <f>Item_Enchant_Old!Q843</f>
        <v>1</v>
      </c>
      <c r="R839" s="29">
        <f>Item_Enchant_Old!R843</f>
        <v>1</v>
      </c>
    </row>
    <row r="840" spans="1:18" s="29" customFormat="1" hidden="1">
      <c r="A840" s="29">
        <f>Item_Enchant_Old!A844</f>
        <v>839</v>
      </c>
      <c r="B840" s="29" t="str">
        <f>Item_Enchant_Old!B844</f>
        <v>ACTIVE_DEX_UP</v>
      </c>
      <c r="C840" s="29">
        <f>Item_Enchant_Old!C844</f>
        <v>613</v>
      </c>
      <c r="D840" s="29">
        <f>Item_Enchant_Old!D844</f>
        <v>0</v>
      </c>
      <c r="E840" s="29">
        <f>Item_Enchant_Old!E844</f>
        <v>0</v>
      </c>
      <c r="F840" s="29">
        <f>Item_Enchant_Old!F844</f>
        <v>0</v>
      </c>
      <c r="G840" s="29">
        <f>Item_Enchant_Old!G844</f>
        <v>3</v>
      </c>
      <c r="H840" s="29" t="str">
        <f>Item_Enchant_Old!H844</f>
        <v>@</v>
      </c>
      <c r="I840" s="29">
        <f>Item_Enchant_Old!I844</f>
        <v>1</v>
      </c>
      <c r="J840" s="29" t="str">
        <f>Item_Enchant_Old!J844</f>
        <v>절대값/상대값(%) 가능</v>
      </c>
      <c r="K840" s="29">
        <f>Item_Enchant_Old!K844</f>
        <v>16</v>
      </c>
      <c r="L840" s="29">
        <f>Item_Enchant_Old!L844</f>
        <v>0</v>
      </c>
      <c r="M840" s="29">
        <f>Item_Enchant_Old!M844</f>
        <v>10</v>
      </c>
      <c r="N840" s="29">
        <f>Item_Enchant_Old!N844</f>
        <v>44</v>
      </c>
      <c r="O840" s="29">
        <f>Item_Enchant_Old!O844</f>
        <v>1</v>
      </c>
      <c r="P840" s="29">
        <f>Item_Enchant_Old!P844</f>
        <v>1</v>
      </c>
      <c r="Q840" s="29">
        <f>Item_Enchant_Old!Q844</f>
        <v>1</v>
      </c>
      <c r="R840" s="29">
        <f>Item_Enchant_Old!R844</f>
        <v>1</v>
      </c>
    </row>
    <row r="841" spans="1:18" s="29" customFormat="1" hidden="1">
      <c r="A841" s="29">
        <f>Item_Enchant_Old!A845</f>
        <v>840</v>
      </c>
      <c r="B841" s="29" t="str">
        <f>Item_Enchant_Old!B845</f>
        <v>ACTIVE_ATTACK_SPEED_UP</v>
      </c>
      <c r="C841" s="29">
        <f>Item_Enchant_Old!C845</f>
        <v>617</v>
      </c>
      <c r="D841" s="29">
        <f>Item_Enchant_Old!D845</f>
        <v>1</v>
      </c>
      <c r="E841" s="29">
        <f>Item_Enchant_Old!E845</f>
        <v>0</v>
      </c>
      <c r="F841" s="29">
        <f>Item_Enchant_Old!F845</f>
        <v>0</v>
      </c>
      <c r="G841" s="29">
        <f>Item_Enchant_Old!G845</f>
        <v>10</v>
      </c>
      <c r="H841" s="29" t="str">
        <f>Item_Enchant_Old!H845</f>
        <v>@</v>
      </c>
      <c r="I841" s="29">
        <f>Item_Enchant_Old!I845</f>
        <v>1</v>
      </c>
      <c r="J841" s="29" t="str">
        <f>Item_Enchant_Old!J845</f>
        <v>절대값/상대값(%) 가능</v>
      </c>
      <c r="K841" s="29">
        <f>Item_Enchant_Old!K845</f>
        <v>16</v>
      </c>
      <c r="L841" s="29">
        <f>Item_Enchant_Old!L845</f>
        <v>0</v>
      </c>
      <c r="M841" s="29">
        <f>Item_Enchant_Old!M845</f>
        <v>10</v>
      </c>
      <c r="N841" s="29">
        <f>Item_Enchant_Old!N845</f>
        <v>10</v>
      </c>
      <c r="O841" s="29">
        <f>Item_Enchant_Old!O845</f>
        <v>1</v>
      </c>
      <c r="P841" s="29">
        <f>Item_Enchant_Old!P845</f>
        <v>1</v>
      </c>
      <c r="Q841" s="29">
        <f>Item_Enchant_Old!Q845</f>
        <v>1</v>
      </c>
      <c r="R841" s="29">
        <f>Item_Enchant_Old!R845</f>
        <v>1</v>
      </c>
    </row>
    <row r="842" spans="1:18" s="29" customFormat="1" hidden="1">
      <c r="A842" s="29">
        <f>Item_Enchant_Old!A846</f>
        <v>841</v>
      </c>
      <c r="B842" s="29" t="str">
        <f>Item_Enchant_Old!B846</f>
        <v>ACTIVE_STR_UP</v>
      </c>
      <c r="C842" s="29">
        <f>Item_Enchant_Old!C846</f>
        <v>610</v>
      </c>
      <c r="D842" s="29">
        <f>Item_Enchant_Old!D846</f>
        <v>0</v>
      </c>
      <c r="E842" s="29">
        <f>Item_Enchant_Old!E846</f>
        <v>0</v>
      </c>
      <c r="F842" s="29">
        <f>Item_Enchant_Old!F846</f>
        <v>0</v>
      </c>
      <c r="G842" s="29">
        <f>Item_Enchant_Old!G846</f>
        <v>2</v>
      </c>
      <c r="H842" s="29" t="str">
        <f>Item_Enchant_Old!H846</f>
        <v>@</v>
      </c>
      <c r="I842" s="29">
        <f>Item_Enchant_Old!I846</f>
        <v>1</v>
      </c>
      <c r="J842" s="29" t="str">
        <f>Item_Enchant_Old!J846</f>
        <v>절대값/상대값(%) 가능</v>
      </c>
      <c r="K842" s="29">
        <f>Item_Enchant_Old!K846</f>
        <v>16</v>
      </c>
      <c r="L842" s="29">
        <f>Item_Enchant_Old!L846</f>
        <v>0</v>
      </c>
      <c r="M842" s="29">
        <f>Item_Enchant_Old!M846</f>
        <v>11</v>
      </c>
      <c r="N842" s="29">
        <f>Item_Enchant_Old!N846</f>
        <v>57</v>
      </c>
      <c r="O842" s="29">
        <f>Item_Enchant_Old!O846</f>
        <v>1</v>
      </c>
      <c r="P842" s="29">
        <f>Item_Enchant_Old!P846</f>
        <v>1</v>
      </c>
      <c r="Q842" s="29">
        <f>Item_Enchant_Old!Q846</f>
        <v>1</v>
      </c>
      <c r="R842" s="29">
        <f>Item_Enchant_Old!R846</f>
        <v>1</v>
      </c>
    </row>
    <row r="843" spans="1:18" s="29" customFormat="1" hidden="1">
      <c r="A843" s="29">
        <f>Item_Enchant_Old!A847</f>
        <v>842</v>
      </c>
      <c r="B843" s="29" t="str">
        <f>Item_Enchant_Old!B847</f>
        <v>ACTIVE_CON_UP</v>
      </c>
      <c r="C843" s="29">
        <f>Item_Enchant_Old!C847</f>
        <v>611</v>
      </c>
      <c r="D843" s="29">
        <f>Item_Enchant_Old!D847</f>
        <v>0</v>
      </c>
      <c r="E843" s="29">
        <f>Item_Enchant_Old!E847</f>
        <v>0</v>
      </c>
      <c r="F843" s="29">
        <f>Item_Enchant_Old!F847</f>
        <v>0</v>
      </c>
      <c r="G843" s="29">
        <f>Item_Enchant_Old!G847</f>
        <v>3</v>
      </c>
      <c r="H843" s="29" t="str">
        <f>Item_Enchant_Old!H847</f>
        <v>@</v>
      </c>
      <c r="I843" s="29">
        <f>Item_Enchant_Old!I847</f>
        <v>1</v>
      </c>
      <c r="J843" s="29" t="str">
        <f>Item_Enchant_Old!J847</f>
        <v>절대값/상대값(%) 가능</v>
      </c>
      <c r="K843" s="29">
        <f>Item_Enchant_Old!K847</f>
        <v>16</v>
      </c>
      <c r="L843" s="29">
        <f>Item_Enchant_Old!L847</f>
        <v>0</v>
      </c>
      <c r="M843" s="29">
        <f>Item_Enchant_Old!M847</f>
        <v>11</v>
      </c>
      <c r="N843" s="29">
        <f>Item_Enchant_Old!N847</f>
        <v>48</v>
      </c>
      <c r="O843" s="29">
        <f>Item_Enchant_Old!O847</f>
        <v>1</v>
      </c>
      <c r="P843" s="29">
        <f>Item_Enchant_Old!P847</f>
        <v>1</v>
      </c>
      <c r="Q843" s="29">
        <f>Item_Enchant_Old!Q847</f>
        <v>1</v>
      </c>
      <c r="R843" s="29">
        <f>Item_Enchant_Old!R847</f>
        <v>1</v>
      </c>
    </row>
    <row r="844" spans="1:18" s="29" customFormat="1" hidden="1">
      <c r="A844" s="29">
        <f>Item_Enchant_Old!A848</f>
        <v>843</v>
      </c>
      <c r="B844" s="29" t="str">
        <f>Item_Enchant_Old!B848</f>
        <v>ACTIVE_FOC_UP</v>
      </c>
      <c r="C844" s="29">
        <f>Item_Enchant_Old!C848</f>
        <v>612</v>
      </c>
      <c r="D844" s="29">
        <f>Item_Enchant_Old!D848</f>
        <v>0</v>
      </c>
      <c r="E844" s="29">
        <f>Item_Enchant_Old!E848</f>
        <v>0</v>
      </c>
      <c r="F844" s="29">
        <f>Item_Enchant_Old!F848</f>
        <v>0</v>
      </c>
      <c r="G844" s="29">
        <f>Item_Enchant_Old!G848</f>
        <v>2</v>
      </c>
      <c r="H844" s="29" t="str">
        <f>Item_Enchant_Old!H848</f>
        <v>@</v>
      </c>
      <c r="I844" s="29">
        <f>Item_Enchant_Old!I848</f>
        <v>1</v>
      </c>
      <c r="J844" s="29" t="str">
        <f>Item_Enchant_Old!J848</f>
        <v>절대값/상대값(%) 가능</v>
      </c>
      <c r="K844" s="29">
        <f>Item_Enchant_Old!K848</f>
        <v>16</v>
      </c>
      <c r="L844" s="29">
        <f>Item_Enchant_Old!L848</f>
        <v>0</v>
      </c>
      <c r="M844" s="29">
        <f>Item_Enchant_Old!M848</f>
        <v>11</v>
      </c>
      <c r="N844" s="29">
        <f>Item_Enchant_Old!N848</f>
        <v>53</v>
      </c>
      <c r="O844" s="29">
        <f>Item_Enchant_Old!O848</f>
        <v>1</v>
      </c>
      <c r="P844" s="29">
        <f>Item_Enchant_Old!P848</f>
        <v>1</v>
      </c>
      <c r="Q844" s="29">
        <f>Item_Enchant_Old!Q848</f>
        <v>1</v>
      </c>
      <c r="R844" s="29">
        <f>Item_Enchant_Old!R848</f>
        <v>1</v>
      </c>
    </row>
    <row r="845" spans="1:18" s="29" customFormat="1" hidden="1">
      <c r="A845" s="29">
        <f>Item_Enchant_Old!A849</f>
        <v>844</v>
      </c>
      <c r="B845" s="29" t="str">
        <f>Item_Enchant_Old!B849</f>
        <v>ACTIVE_DEX_UP</v>
      </c>
      <c r="C845" s="29">
        <f>Item_Enchant_Old!C849</f>
        <v>613</v>
      </c>
      <c r="D845" s="29">
        <f>Item_Enchant_Old!D849</f>
        <v>0</v>
      </c>
      <c r="E845" s="29">
        <f>Item_Enchant_Old!E849</f>
        <v>0</v>
      </c>
      <c r="F845" s="29">
        <f>Item_Enchant_Old!F849</f>
        <v>0</v>
      </c>
      <c r="G845" s="29">
        <f>Item_Enchant_Old!G849</f>
        <v>3</v>
      </c>
      <c r="H845" s="29" t="str">
        <f>Item_Enchant_Old!H849</f>
        <v>@</v>
      </c>
      <c r="I845" s="29">
        <f>Item_Enchant_Old!I849</f>
        <v>1</v>
      </c>
      <c r="J845" s="29" t="str">
        <f>Item_Enchant_Old!J849</f>
        <v>절대값/상대값(%) 가능</v>
      </c>
      <c r="K845" s="29">
        <f>Item_Enchant_Old!K849</f>
        <v>16</v>
      </c>
      <c r="L845" s="29">
        <f>Item_Enchant_Old!L849</f>
        <v>0</v>
      </c>
      <c r="M845" s="29">
        <f>Item_Enchant_Old!M849</f>
        <v>11</v>
      </c>
      <c r="N845" s="29">
        <f>Item_Enchant_Old!N849</f>
        <v>44</v>
      </c>
      <c r="O845" s="29">
        <f>Item_Enchant_Old!O849</f>
        <v>1</v>
      </c>
      <c r="P845" s="29">
        <f>Item_Enchant_Old!P849</f>
        <v>1</v>
      </c>
      <c r="Q845" s="29">
        <f>Item_Enchant_Old!Q849</f>
        <v>1</v>
      </c>
      <c r="R845" s="29">
        <f>Item_Enchant_Old!R849</f>
        <v>1</v>
      </c>
    </row>
    <row r="846" spans="1:18" s="29" customFormat="1" hidden="1">
      <c r="A846" s="29">
        <f>Item_Enchant_Old!A850</f>
        <v>845</v>
      </c>
      <c r="B846" s="29" t="str">
        <f>Item_Enchant_Old!B850</f>
        <v>ACTIVE_SOL_UP</v>
      </c>
      <c r="C846" s="29">
        <f>Item_Enchant_Old!C850</f>
        <v>614</v>
      </c>
      <c r="D846" s="29">
        <f>Item_Enchant_Old!D850</f>
        <v>0</v>
      </c>
      <c r="E846" s="29">
        <f>Item_Enchant_Old!E850</f>
        <v>0</v>
      </c>
      <c r="F846" s="29">
        <f>Item_Enchant_Old!F850</f>
        <v>0</v>
      </c>
      <c r="G846" s="29">
        <f>Item_Enchant_Old!G850</f>
        <v>2</v>
      </c>
      <c r="H846" s="29" t="str">
        <f>Item_Enchant_Old!H850</f>
        <v>@</v>
      </c>
      <c r="I846" s="29">
        <f>Item_Enchant_Old!I850</f>
        <v>1</v>
      </c>
      <c r="J846" s="29" t="str">
        <f>Item_Enchant_Old!J850</f>
        <v>절대값/상대값(%) 가능</v>
      </c>
      <c r="K846" s="29">
        <f>Item_Enchant_Old!K850</f>
        <v>16</v>
      </c>
      <c r="L846" s="29">
        <f>Item_Enchant_Old!L850</f>
        <v>0</v>
      </c>
      <c r="M846" s="29">
        <f>Item_Enchant_Old!M850</f>
        <v>11</v>
      </c>
      <c r="N846" s="29">
        <f>Item_Enchant_Old!N850</f>
        <v>53</v>
      </c>
      <c r="O846" s="29">
        <f>Item_Enchant_Old!O850</f>
        <v>1</v>
      </c>
      <c r="P846" s="29">
        <f>Item_Enchant_Old!P850</f>
        <v>1</v>
      </c>
      <c r="Q846" s="29">
        <f>Item_Enchant_Old!Q850</f>
        <v>1</v>
      </c>
      <c r="R846" s="29">
        <f>Item_Enchant_Old!R850</f>
        <v>1</v>
      </c>
    </row>
    <row r="847" spans="1:18" s="29" customFormat="1" hidden="1">
      <c r="A847" s="29">
        <f>Item_Enchant_Old!A851</f>
        <v>846</v>
      </c>
      <c r="B847" s="29" t="str">
        <f>Item_Enchant_Old!B851</f>
        <v>ACTIVE_ENG_UP</v>
      </c>
      <c r="C847" s="29">
        <f>Item_Enchant_Old!C851</f>
        <v>615</v>
      </c>
      <c r="D847" s="29">
        <f>Item_Enchant_Old!D851</f>
        <v>0</v>
      </c>
      <c r="E847" s="29">
        <f>Item_Enchant_Old!E851</f>
        <v>0</v>
      </c>
      <c r="F847" s="29">
        <f>Item_Enchant_Old!F851</f>
        <v>0</v>
      </c>
      <c r="G847" s="29">
        <f>Item_Enchant_Old!G851</f>
        <v>2</v>
      </c>
      <c r="H847" s="29" t="str">
        <f>Item_Enchant_Old!H851</f>
        <v>@</v>
      </c>
      <c r="I847" s="29">
        <f>Item_Enchant_Old!I851</f>
        <v>1</v>
      </c>
      <c r="J847" s="29" t="str">
        <f>Item_Enchant_Old!J851</f>
        <v>절대값/상대값(%) 가능</v>
      </c>
      <c r="K847" s="29">
        <f>Item_Enchant_Old!K851</f>
        <v>16</v>
      </c>
      <c r="L847" s="29">
        <f>Item_Enchant_Old!L851</f>
        <v>0</v>
      </c>
      <c r="M847" s="29">
        <f>Item_Enchant_Old!M851</f>
        <v>11</v>
      </c>
      <c r="N847" s="29">
        <f>Item_Enchant_Old!N851</f>
        <v>62</v>
      </c>
      <c r="O847" s="29">
        <f>Item_Enchant_Old!O851</f>
        <v>1</v>
      </c>
      <c r="P847" s="29">
        <f>Item_Enchant_Old!P851</f>
        <v>1</v>
      </c>
      <c r="Q847" s="29">
        <f>Item_Enchant_Old!Q851</f>
        <v>1</v>
      </c>
      <c r="R847" s="29">
        <f>Item_Enchant_Old!R851</f>
        <v>1</v>
      </c>
    </row>
    <row r="848" spans="1:18" s="29" customFormat="1" hidden="1">
      <c r="A848" s="29">
        <f>Item_Enchant_Old!A852</f>
        <v>847</v>
      </c>
      <c r="B848" s="29" t="str">
        <f>Item_Enchant_Old!B852</f>
        <v>ACTIVE_PHYSICAL_DEFENCE_UP</v>
      </c>
      <c r="C848" s="29">
        <f>Item_Enchant_Old!C852</f>
        <v>608</v>
      </c>
      <c r="D848" s="29">
        <f>Item_Enchant_Old!D852</f>
        <v>0</v>
      </c>
      <c r="E848" s="29">
        <f>Item_Enchant_Old!E852</f>
        <v>0</v>
      </c>
      <c r="F848" s="29">
        <f>Item_Enchant_Old!F852</f>
        <v>0</v>
      </c>
      <c r="G848" s="29">
        <f>Item_Enchant_Old!G852</f>
        <v>1</v>
      </c>
      <c r="H848" s="29" t="str">
        <f>Item_Enchant_Old!H852</f>
        <v>@</v>
      </c>
      <c r="I848" s="29">
        <f>Item_Enchant_Old!I852</f>
        <v>1</v>
      </c>
      <c r="J848" s="29" t="str">
        <f>Item_Enchant_Old!J852</f>
        <v>절대값/상대값(%) 가능</v>
      </c>
      <c r="K848" s="29">
        <f>Item_Enchant_Old!K852</f>
        <v>16</v>
      </c>
      <c r="L848" s="29">
        <f>Item_Enchant_Old!L852</f>
        <v>0</v>
      </c>
      <c r="M848" s="29">
        <f>Item_Enchant_Old!M852</f>
        <v>12</v>
      </c>
      <c r="N848" s="29">
        <f>Item_Enchant_Old!N852</f>
        <v>1350</v>
      </c>
      <c r="O848" s="29">
        <f>Item_Enchant_Old!O852</f>
        <v>1</v>
      </c>
      <c r="P848" s="29">
        <f>Item_Enchant_Old!P852</f>
        <v>1</v>
      </c>
      <c r="Q848" s="29">
        <f>Item_Enchant_Old!Q852</f>
        <v>1</v>
      </c>
      <c r="R848" s="29">
        <f>Item_Enchant_Old!R852</f>
        <v>1</v>
      </c>
    </row>
    <row r="849" spans="1:18" s="29" customFormat="1" hidden="1">
      <c r="A849" s="29">
        <f>Item_Enchant_Old!A853</f>
        <v>848</v>
      </c>
      <c r="B849" s="29" t="str">
        <f>Item_Enchant_Old!B853</f>
        <v>ACTIVE_BLOCK_RATE_UP</v>
      </c>
      <c r="C849" s="29">
        <f>Item_Enchant_Old!C853</f>
        <v>620</v>
      </c>
      <c r="D849" s="29">
        <f>Item_Enchant_Old!D853</f>
        <v>0</v>
      </c>
      <c r="E849" s="29">
        <f>Item_Enchant_Old!E853</f>
        <v>0</v>
      </c>
      <c r="F849" s="29">
        <f>Item_Enchant_Old!F853</f>
        <v>0</v>
      </c>
      <c r="G849" s="29">
        <f>Item_Enchant_Old!G853</f>
        <v>1</v>
      </c>
      <c r="H849" s="29" t="str">
        <f>Item_Enchant_Old!H853</f>
        <v>@</v>
      </c>
      <c r="I849" s="29">
        <f>Item_Enchant_Old!I853</f>
        <v>1</v>
      </c>
      <c r="J849" s="29" t="str">
        <f>Item_Enchant_Old!J853</f>
        <v>절대값/상대값(%) 가능</v>
      </c>
      <c r="K849" s="29">
        <f>Item_Enchant_Old!K853</f>
        <v>16</v>
      </c>
      <c r="L849" s="29">
        <f>Item_Enchant_Old!L853</f>
        <v>0</v>
      </c>
      <c r="M849" s="29">
        <f>Item_Enchant_Old!M853</f>
        <v>12</v>
      </c>
      <c r="N849" s="29">
        <f>Item_Enchant_Old!N853</f>
        <v>352</v>
      </c>
      <c r="O849" s="29">
        <f>Item_Enchant_Old!O853</f>
        <v>1</v>
      </c>
      <c r="P849" s="29">
        <f>Item_Enchant_Old!P853</f>
        <v>1</v>
      </c>
      <c r="Q849" s="29">
        <f>Item_Enchant_Old!Q853</f>
        <v>1</v>
      </c>
      <c r="R849" s="29">
        <f>Item_Enchant_Old!R853</f>
        <v>1</v>
      </c>
    </row>
    <row r="850" spans="1:18" s="29" customFormat="1" hidden="1">
      <c r="A850" s="29">
        <f>Item_Enchant_Old!A854</f>
        <v>849</v>
      </c>
      <c r="B850" s="29" t="str">
        <f>Item_Enchant_Old!B854</f>
        <v>ACTIVE_CON_UP</v>
      </c>
      <c r="C850" s="29">
        <f>Item_Enchant_Old!C854</f>
        <v>611</v>
      </c>
      <c r="D850" s="29">
        <f>Item_Enchant_Old!D854</f>
        <v>0</v>
      </c>
      <c r="E850" s="29">
        <f>Item_Enchant_Old!E854</f>
        <v>0</v>
      </c>
      <c r="F850" s="29">
        <f>Item_Enchant_Old!F854</f>
        <v>0</v>
      </c>
      <c r="G850" s="29">
        <f>Item_Enchant_Old!G854</f>
        <v>3</v>
      </c>
      <c r="H850" s="29" t="str">
        <f>Item_Enchant_Old!H854</f>
        <v>@</v>
      </c>
      <c r="I850" s="29">
        <f>Item_Enchant_Old!I854</f>
        <v>1</v>
      </c>
      <c r="J850" s="29" t="str">
        <f>Item_Enchant_Old!J854</f>
        <v>절대값/상대값(%) 가능</v>
      </c>
      <c r="K850" s="29">
        <f>Item_Enchant_Old!K854</f>
        <v>16</v>
      </c>
      <c r="L850" s="29">
        <f>Item_Enchant_Old!L854</f>
        <v>0</v>
      </c>
      <c r="M850" s="29">
        <f>Item_Enchant_Old!M854</f>
        <v>12</v>
      </c>
      <c r="N850" s="29">
        <f>Item_Enchant_Old!N854</f>
        <v>48</v>
      </c>
      <c r="O850" s="29">
        <f>Item_Enchant_Old!O854</f>
        <v>1</v>
      </c>
      <c r="P850" s="29">
        <f>Item_Enchant_Old!P854</f>
        <v>1</v>
      </c>
      <c r="Q850" s="29">
        <f>Item_Enchant_Old!Q854</f>
        <v>1</v>
      </c>
      <c r="R850" s="29">
        <f>Item_Enchant_Old!R854</f>
        <v>1</v>
      </c>
    </row>
    <row r="851" spans="1:18" s="29" customFormat="1" hidden="1">
      <c r="A851" s="29">
        <f>Item_Enchant_Old!A855</f>
        <v>850</v>
      </c>
      <c r="B851" s="29" t="str">
        <f>Item_Enchant_Old!B855</f>
        <v>ACTIVE_FOC_UP</v>
      </c>
      <c r="C851" s="29">
        <f>Item_Enchant_Old!C855</f>
        <v>612</v>
      </c>
      <c r="D851" s="29">
        <f>Item_Enchant_Old!D855</f>
        <v>0</v>
      </c>
      <c r="E851" s="29">
        <f>Item_Enchant_Old!E855</f>
        <v>0</v>
      </c>
      <c r="F851" s="29">
        <f>Item_Enchant_Old!F855</f>
        <v>0</v>
      </c>
      <c r="G851" s="29">
        <f>Item_Enchant_Old!G855</f>
        <v>2</v>
      </c>
      <c r="H851" s="29" t="str">
        <f>Item_Enchant_Old!H855</f>
        <v>@</v>
      </c>
      <c r="I851" s="29">
        <f>Item_Enchant_Old!I855</f>
        <v>1</v>
      </c>
      <c r="J851" s="29" t="str">
        <f>Item_Enchant_Old!J855</f>
        <v>절대값/상대값(%) 가능</v>
      </c>
      <c r="K851" s="29">
        <f>Item_Enchant_Old!K855</f>
        <v>16</v>
      </c>
      <c r="L851" s="29">
        <f>Item_Enchant_Old!L855</f>
        <v>0</v>
      </c>
      <c r="M851" s="29">
        <f>Item_Enchant_Old!M855</f>
        <v>12</v>
      </c>
      <c r="N851" s="29">
        <f>Item_Enchant_Old!N855</f>
        <v>53</v>
      </c>
      <c r="O851" s="29">
        <f>Item_Enchant_Old!O855</f>
        <v>1</v>
      </c>
      <c r="P851" s="29">
        <f>Item_Enchant_Old!P855</f>
        <v>1</v>
      </c>
      <c r="Q851" s="29">
        <f>Item_Enchant_Old!Q855</f>
        <v>1</v>
      </c>
      <c r="R851" s="29">
        <f>Item_Enchant_Old!R855</f>
        <v>1</v>
      </c>
    </row>
    <row r="852" spans="1:18" s="29" customFormat="1" hidden="1">
      <c r="A852" s="29">
        <f>Item_Enchant_Old!A856</f>
        <v>851</v>
      </c>
      <c r="B852" s="29" t="str">
        <f>Item_Enchant_Old!B856</f>
        <v>ACTIVE_ENERGY_OFFENCE_UP</v>
      </c>
      <c r="C852" s="29">
        <f>Item_Enchant_Old!C856</f>
        <v>607</v>
      </c>
      <c r="D852" s="29">
        <f>Item_Enchant_Old!D856</f>
        <v>0</v>
      </c>
      <c r="E852" s="29">
        <f>Item_Enchant_Old!E856</f>
        <v>0</v>
      </c>
      <c r="F852" s="29">
        <f>Item_Enchant_Old!F856</f>
        <v>0</v>
      </c>
      <c r="G852" s="29">
        <f>Item_Enchant_Old!G856</f>
        <v>1</v>
      </c>
      <c r="H852" s="29" t="str">
        <f>Item_Enchant_Old!H856</f>
        <v>@</v>
      </c>
      <c r="I852" s="29">
        <f>Item_Enchant_Old!I856</f>
        <v>1</v>
      </c>
      <c r="J852" s="29" t="str">
        <f>Item_Enchant_Old!J856</f>
        <v>절대값/상대값(%) 가능</v>
      </c>
      <c r="K852" s="29">
        <f>Item_Enchant_Old!K856</f>
        <v>17</v>
      </c>
      <c r="L852" s="29">
        <f>Item_Enchant_Old!L856</f>
        <v>0</v>
      </c>
      <c r="M852" s="29">
        <f>Item_Enchant_Old!M856</f>
        <v>3</v>
      </c>
      <c r="N852" s="29">
        <f>Item_Enchant_Old!N856</f>
        <v>104</v>
      </c>
      <c r="O852" s="29">
        <f>Item_Enchant_Old!O856</f>
        <v>1</v>
      </c>
      <c r="P852" s="29">
        <f>Item_Enchant_Old!P856</f>
        <v>1</v>
      </c>
      <c r="Q852" s="29">
        <f>Item_Enchant_Old!Q856</f>
        <v>1</v>
      </c>
      <c r="R852" s="29">
        <f>Item_Enchant_Old!R856</f>
        <v>1</v>
      </c>
    </row>
    <row r="853" spans="1:18" s="29" customFormat="1" hidden="1">
      <c r="A853" s="29">
        <f>Item_Enchant_Old!A857</f>
        <v>852</v>
      </c>
      <c r="B853" s="29" t="str">
        <f>Item_Enchant_Old!B857</f>
        <v>ACTIVE_FOC_UP</v>
      </c>
      <c r="C853" s="29">
        <f>Item_Enchant_Old!C857</f>
        <v>612</v>
      </c>
      <c r="D853" s="29">
        <f>Item_Enchant_Old!D857</f>
        <v>0</v>
      </c>
      <c r="E853" s="29">
        <f>Item_Enchant_Old!E857</f>
        <v>0</v>
      </c>
      <c r="F853" s="29">
        <f>Item_Enchant_Old!F857</f>
        <v>0</v>
      </c>
      <c r="G853" s="29">
        <f>Item_Enchant_Old!G857</f>
        <v>2</v>
      </c>
      <c r="H853" s="29" t="str">
        <f>Item_Enchant_Old!H857</f>
        <v>@</v>
      </c>
      <c r="I853" s="29">
        <f>Item_Enchant_Old!I857</f>
        <v>1</v>
      </c>
      <c r="J853" s="29" t="str">
        <f>Item_Enchant_Old!J857</f>
        <v>절대값/상대값(%) 가능</v>
      </c>
      <c r="K853" s="29">
        <f>Item_Enchant_Old!K857</f>
        <v>17</v>
      </c>
      <c r="L853" s="29">
        <f>Item_Enchant_Old!L857</f>
        <v>0</v>
      </c>
      <c r="M853" s="29">
        <f>Item_Enchant_Old!M857</f>
        <v>3</v>
      </c>
      <c r="N853" s="29">
        <f>Item_Enchant_Old!N857</f>
        <v>53</v>
      </c>
      <c r="O853" s="29">
        <f>Item_Enchant_Old!O857</f>
        <v>1</v>
      </c>
      <c r="P853" s="29">
        <f>Item_Enchant_Old!P857</f>
        <v>1</v>
      </c>
      <c r="Q853" s="29">
        <f>Item_Enchant_Old!Q857</f>
        <v>1</v>
      </c>
      <c r="R853" s="29">
        <f>Item_Enchant_Old!R857</f>
        <v>1</v>
      </c>
    </row>
    <row r="854" spans="1:18" s="29" customFormat="1" hidden="1">
      <c r="A854" s="29">
        <f>Item_Enchant_Old!A858</f>
        <v>853</v>
      </c>
      <c r="B854" s="29" t="str">
        <f>Item_Enchant_Old!B858</f>
        <v>ACTIVE_SOL_UP</v>
      </c>
      <c r="C854" s="29">
        <f>Item_Enchant_Old!C858</f>
        <v>614</v>
      </c>
      <c r="D854" s="29">
        <f>Item_Enchant_Old!D858</f>
        <v>0</v>
      </c>
      <c r="E854" s="29">
        <f>Item_Enchant_Old!E858</f>
        <v>0</v>
      </c>
      <c r="F854" s="29">
        <f>Item_Enchant_Old!F858</f>
        <v>0</v>
      </c>
      <c r="G854" s="29">
        <f>Item_Enchant_Old!G858</f>
        <v>2</v>
      </c>
      <c r="H854" s="29" t="str">
        <f>Item_Enchant_Old!H858</f>
        <v>@</v>
      </c>
      <c r="I854" s="29">
        <f>Item_Enchant_Old!I858</f>
        <v>1</v>
      </c>
      <c r="J854" s="29" t="str">
        <f>Item_Enchant_Old!J858</f>
        <v>절대값/상대값(%) 가능</v>
      </c>
      <c r="K854" s="29">
        <f>Item_Enchant_Old!K858</f>
        <v>17</v>
      </c>
      <c r="L854" s="29">
        <f>Item_Enchant_Old!L858</f>
        <v>0</v>
      </c>
      <c r="M854" s="29">
        <f>Item_Enchant_Old!M858</f>
        <v>3</v>
      </c>
      <c r="N854" s="29">
        <f>Item_Enchant_Old!N858</f>
        <v>53</v>
      </c>
      <c r="O854" s="29">
        <f>Item_Enchant_Old!O858</f>
        <v>1</v>
      </c>
      <c r="P854" s="29">
        <f>Item_Enchant_Old!P858</f>
        <v>1</v>
      </c>
      <c r="Q854" s="29">
        <f>Item_Enchant_Old!Q858</f>
        <v>1</v>
      </c>
      <c r="R854" s="29">
        <f>Item_Enchant_Old!R858</f>
        <v>1</v>
      </c>
    </row>
    <row r="855" spans="1:18" s="29" customFormat="1" hidden="1">
      <c r="A855" s="29">
        <f>Item_Enchant_Old!A859</f>
        <v>854</v>
      </c>
      <c r="B855" s="29" t="str">
        <f>Item_Enchant_Old!B859</f>
        <v>ACTIVE_ENERGY_CRITICAL_DAMAGE_UP</v>
      </c>
      <c r="C855" s="29">
        <f>Item_Enchant_Old!C859</f>
        <v>659</v>
      </c>
      <c r="D855" s="29">
        <f>Item_Enchant_Old!D859</f>
        <v>0</v>
      </c>
      <c r="E855" s="29">
        <f>Item_Enchant_Old!E859</f>
        <v>0</v>
      </c>
      <c r="F855" s="29">
        <f>Item_Enchant_Old!F859</f>
        <v>0</v>
      </c>
      <c r="G855" s="29">
        <f>Item_Enchant_Old!G859</f>
        <v>4</v>
      </c>
      <c r="H855" s="29" t="str">
        <f>Item_Enchant_Old!H859</f>
        <v>@</v>
      </c>
      <c r="I855" s="29">
        <f>Item_Enchant_Old!I859</f>
        <v>1</v>
      </c>
      <c r="J855" s="29" t="str">
        <f>Item_Enchant_Old!J859</f>
        <v>절대값만 가능</v>
      </c>
      <c r="K855" s="29">
        <f>Item_Enchant_Old!K859</f>
        <v>17</v>
      </c>
      <c r="L855" s="29">
        <f>Item_Enchant_Old!L859</f>
        <v>0</v>
      </c>
      <c r="M855" s="29">
        <f>Item_Enchant_Old!M859</f>
        <v>3</v>
      </c>
      <c r="N855" s="29">
        <f>Item_Enchant_Old!N859</f>
        <v>32</v>
      </c>
      <c r="O855" s="29">
        <f>Item_Enchant_Old!O859</f>
        <v>1</v>
      </c>
      <c r="P855" s="29">
        <f>Item_Enchant_Old!P859</f>
        <v>1</v>
      </c>
      <c r="Q855" s="29">
        <f>Item_Enchant_Old!Q859</f>
        <v>1</v>
      </c>
      <c r="R855" s="29">
        <f>Item_Enchant_Old!R859</f>
        <v>1</v>
      </c>
    </row>
    <row r="856" spans="1:18" s="29" customFormat="1" hidden="1">
      <c r="A856" s="29">
        <f>Item_Enchant_Old!A860</f>
        <v>855</v>
      </c>
      <c r="B856" s="29" t="str">
        <f>Item_Enchant_Old!B860</f>
        <v>ACTIVE_ENERGY_CRITICAL</v>
      </c>
      <c r="C856" s="29">
        <f>Item_Enchant_Old!C860</f>
        <v>633</v>
      </c>
      <c r="D856" s="29">
        <f>Item_Enchant_Old!D860</f>
        <v>0</v>
      </c>
      <c r="E856" s="29">
        <f>Item_Enchant_Old!E860</f>
        <v>0</v>
      </c>
      <c r="F856" s="29">
        <f>Item_Enchant_Old!F860</f>
        <v>0</v>
      </c>
      <c r="G856" s="29">
        <f>Item_Enchant_Old!G860</f>
        <v>5</v>
      </c>
      <c r="H856" s="29" t="str">
        <f>Item_Enchant_Old!H860</f>
        <v>@</v>
      </c>
      <c r="I856" s="29">
        <f>Item_Enchant_Old!I860</f>
        <v>1</v>
      </c>
      <c r="J856" s="29" t="str">
        <f>Item_Enchant_Old!J860</f>
        <v>절대값/상대값(%) 가능</v>
      </c>
      <c r="K856" s="29">
        <f>Item_Enchant_Old!K860</f>
        <v>17</v>
      </c>
      <c r="L856" s="29">
        <f>Item_Enchant_Old!L860</f>
        <v>0</v>
      </c>
      <c r="M856" s="29">
        <f>Item_Enchant_Old!M860</f>
        <v>4</v>
      </c>
      <c r="N856" s="29">
        <f>Item_Enchant_Old!N860</f>
        <v>24</v>
      </c>
      <c r="O856" s="29">
        <f>Item_Enchant_Old!O860</f>
        <v>1</v>
      </c>
      <c r="P856" s="29">
        <f>Item_Enchant_Old!P860</f>
        <v>1</v>
      </c>
      <c r="Q856" s="29">
        <f>Item_Enchant_Old!Q860</f>
        <v>1</v>
      </c>
      <c r="R856" s="29">
        <f>Item_Enchant_Old!R860</f>
        <v>1</v>
      </c>
    </row>
    <row r="857" spans="1:18" s="29" customFormat="1" hidden="1">
      <c r="A857" s="29">
        <f>Item_Enchant_Old!A861</f>
        <v>856</v>
      </c>
      <c r="B857" s="29" t="str">
        <f>Item_Enchant_Old!B861</f>
        <v>ACTIVE_ENERGY_CRITICAL_DAMAGE_UP</v>
      </c>
      <c r="C857" s="29">
        <f>Item_Enchant_Old!C861</f>
        <v>659</v>
      </c>
      <c r="D857" s="29">
        <f>Item_Enchant_Old!D861</f>
        <v>0</v>
      </c>
      <c r="E857" s="29">
        <f>Item_Enchant_Old!E861</f>
        <v>0</v>
      </c>
      <c r="F857" s="29">
        <f>Item_Enchant_Old!F861</f>
        <v>0</v>
      </c>
      <c r="G857" s="29">
        <f>Item_Enchant_Old!G861</f>
        <v>4</v>
      </c>
      <c r="H857" s="29" t="str">
        <f>Item_Enchant_Old!H861</f>
        <v>@</v>
      </c>
      <c r="I857" s="29">
        <f>Item_Enchant_Old!I861</f>
        <v>1</v>
      </c>
      <c r="J857" s="29" t="str">
        <f>Item_Enchant_Old!J861</f>
        <v>절대값만 가능</v>
      </c>
      <c r="K857" s="29">
        <f>Item_Enchant_Old!K861</f>
        <v>17</v>
      </c>
      <c r="L857" s="29">
        <f>Item_Enchant_Old!L861</f>
        <v>0</v>
      </c>
      <c r="M857" s="29">
        <f>Item_Enchant_Old!M861</f>
        <v>4</v>
      </c>
      <c r="N857" s="29">
        <f>Item_Enchant_Old!N861</f>
        <v>32</v>
      </c>
      <c r="O857" s="29">
        <f>Item_Enchant_Old!O861</f>
        <v>1</v>
      </c>
      <c r="P857" s="29">
        <f>Item_Enchant_Old!P861</f>
        <v>1</v>
      </c>
      <c r="Q857" s="29">
        <f>Item_Enchant_Old!Q861</f>
        <v>1</v>
      </c>
      <c r="R857" s="29">
        <f>Item_Enchant_Old!R861</f>
        <v>1</v>
      </c>
    </row>
    <row r="858" spans="1:18" s="29" customFormat="1" hidden="1">
      <c r="A858" s="29">
        <f>Item_Enchant_Old!A862</f>
        <v>857</v>
      </c>
      <c r="B858" s="29" t="str">
        <f>Item_Enchant_Old!B862</f>
        <v>ACTIVE_FOC_UP</v>
      </c>
      <c r="C858" s="29">
        <f>Item_Enchant_Old!C862</f>
        <v>612</v>
      </c>
      <c r="D858" s="29">
        <f>Item_Enchant_Old!D862</f>
        <v>0</v>
      </c>
      <c r="E858" s="29">
        <f>Item_Enchant_Old!E862</f>
        <v>0</v>
      </c>
      <c r="F858" s="29">
        <f>Item_Enchant_Old!F862</f>
        <v>0</v>
      </c>
      <c r="G858" s="29">
        <f>Item_Enchant_Old!G862</f>
        <v>2</v>
      </c>
      <c r="H858" s="29" t="str">
        <f>Item_Enchant_Old!H862</f>
        <v>@</v>
      </c>
      <c r="I858" s="29">
        <f>Item_Enchant_Old!I862</f>
        <v>1</v>
      </c>
      <c r="J858" s="29" t="str">
        <f>Item_Enchant_Old!J862</f>
        <v>절대값/상대값(%) 가능</v>
      </c>
      <c r="K858" s="29">
        <f>Item_Enchant_Old!K862</f>
        <v>17</v>
      </c>
      <c r="L858" s="29">
        <f>Item_Enchant_Old!L862</f>
        <v>0</v>
      </c>
      <c r="M858" s="29">
        <f>Item_Enchant_Old!M862</f>
        <v>4</v>
      </c>
      <c r="N858" s="29">
        <f>Item_Enchant_Old!N862</f>
        <v>53</v>
      </c>
      <c r="O858" s="29">
        <f>Item_Enchant_Old!O862</f>
        <v>1</v>
      </c>
      <c r="P858" s="29">
        <f>Item_Enchant_Old!P862</f>
        <v>1</v>
      </c>
      <c r="Q858" s="29">
        <f>Item_Enchant_Old!Q862</f>
        <v>1</v>
      </c>
      <c r="R858" s="29">
        <f>Item_Enchant_Old!R862</f>
        <v>1</v>
      </c>
    </row>
    <row r="859" spans="1:18" s="29" customFormat="1" hidden="1">
      <c r="A859" s="29">
        <f>Item_Enchant_Old!A863</f>
        <v>858</v>
      </c>
      <c r="B859" s="29" t="str">
        <f>Item_Enchant_Old!B863</f>
        <v>ACTIVE_DEX_UP</v>
      </c>
      <c r="C859" s="29">
        <f>Item_Enchant_Old!C863</f>
        <v>613</v>
      </c>
      <c r="D859" s="29">
        <f>Item_Enchant_Old!D863</f>
        <v>0</v>
      </c>
      <c r="E859" s="29">
        <f>Item_Enchant_Old!E863</f>
        <v>0</v>
      </c>
      <c r="F859" s="29">
        <f>Item_Enchant_Old!F863</f>
        <v>0</v>
      </c>
      <c r="G859" s="29">
        <f>Item_Enchant_Old!G863</f>
        <v>3</v>
      </c>
      <c r="H859" s="29" t="str">
        <f>Item_Enchant_Old!H863</f>
        <v>@</v>
      </c>
      <c r="I859" s="29">
        <f>Item_Enchant_Old!I863</f>
        <v>1</v>
      </c>
      <c r="J859" s="29" t="str">
        <f>Item_Enchant_Old!J863</f>
        <v>절대값/상대값(%) 가능</v>
      </c>
      <c r="K859" s="29">
        <f>Item_Enchant_Old!K863</f>
        <v>17</v>
      </c>
      <c r="L859" s="29">
        <f>Item_Enchant_Old!L863</f>
        <v>0</v>
      </c>
      <c r="M859" s="29">
        <f>Item_Enchant_Old!M863</f>
        <v>4</v>
      </c>
      <c r="N859" s="29">
        <f>Item_Enchant_Old!N863</f>
        <v>44</v>
      </c>
      <c r="O859" s="29">
        <f>Item_Enchant_Old!O863</f>
        <v>1</v>
      </c>
      <c r="P859" s="29">
        <f>Item_Enchant_Old!P863</f>
        <v>1</v>
      </c>
      <c r="Q859" s="29">
        <f>Item_Enchant_Old!Q863</f>
        <v>1</v>
      </c>
      <c r="R859" s="29">
        <f>Item_Enchant_Old!R863</f>
        <v>1</v>
      </c>
    </row>
    <row r="860" spans="1:18" s="29" customFormat="1" hidden="1">
      <c r="A860" s="29">
        <f>Item_Enchant_Old!A864</f>
        <v>859</v>
      </c>
      <c r="B860" s="29" t="str">
        <f>Item_Enchant_Old!B864</f>
        <v>ACTIVE_ATTACK_SPEED_UP</v>
      </c>
      <c r="C860" s="29">
        <f>Item_Enchant_Old!C864</f>
        <v>617</v>
      </c>
      <c r="D860" s="29">
        <f>Item_Enchant_Old!D864</f>
        <v>1</v>
      </c>
      <c r="E860" s="29">
        <f>Item_Enchant_Old!E864</f>
        <v>0</v>
      </c>
      <c r="F860" s="29">
        <f>Item_Enchant_Old!F864</f>
        <v>0</v>
      </c>
      <c r="G860" s="29">
        <f>Item_Enchant_Old!G864</f>
        <v>10</v>
      </c>
      <c r="H860" s="29" t="str">
        <f>Item_Enchant_Old!H864</f>
        <v>@</v>
      </c>
      <c r="I860" s="29">
        <f>Item_Enchant_Old!I864</f>
        <v>1</v>
      </c>
      <c r="J860" s="29" t="str">
        <f>Item_Enchant_Old!J864</f>
        <v>절대값/상대값(%) 가능</v>
      </c>
      <c r="K860" s="29">
        <f>Item_Enchant_Old!K864</f>
        <v>17</v>
      </c>
      <c r="L860" s="29">
        <f>Item_Enchant_Old!L864</f>
        <v>0</v>
      </c>
      <c r="M860" s="29">
        <f>Item_Enchant_Old!M864</f>
        <v>5</v>
      </c>
      <c r="N860" s="29">
        <f>Item_Enchant_Old!N864</f>
        <v>10</v>
      </c>
      <c r="O860" s="29">
        <f>Item_Enchant_Old!O864</f>
        <v>1</v>
      </c>
      <c r="P860" s="29">
        <f>Item_Enchant_Old!P864</f>
        <v>1</v>
      </c>
      <c r="Q860" s="29">
        <f>Item_Enchant_Old!Q864</f>
        <v>1</v>
      </c>
      <c r="R860" s="29">
        <f>Item_Enchant_Old!R864</f>
        <v>1</v>
      </c>
    </row>
    <row r="861" spans="1:18" s="29" customFormat="1" hidden="1">
      <c r="A861" s="29">
        <f>Item_Enchant_Old!A865</f>
        <v>860</v>
      </c>
      <c r="B861" s="29" t="str">
        <f>Item_Enchant_Old!B865</f>
        <v>ACTIVE_DEX_UP</v>
      </c>
      <c r="C861" s="29">
        <f>Item_Enchant_Old!C865</f>
        <v>613</v>
      </c>
      <c r="D861" s="29">
        <f>Item_Enchant_Old!D865</f>
        <v>0</v>
      </c>
      <c r="E861" s="29">
        <f>Item_Enchant_Old!E865</f>
        <v>0</v>
      </c>
      <c r="F861" s="29">
        <f>Item_Enchant_Old!F865</f>
        <v>0</v>
      </c>
      <c r="G861" s="29">
        <f>Item_Enchant_Old!G865</f>
        <v>3</v>
      </c>
      <c r="H861" s="29" t="str">
        <f>Item_Enchant_Old!H865</f>
        <v>@</v>
      </c>
      <c r="I861" s="29">
        <f>Item_Enchant_Old!I865</f>
        <v>1</v>
      </c>
      <c r="J861" s="29" t="str">
        <f>Item_Enchant_Old!J865</f>
        <v>절대값/상대값(%) 가능</v>
      </c>
      <c r="K861" s="29">
        <f>Item_Enchant_Old!K865</f>
        <v>17</v>
      </c>
      <c r="L861" s="29">
        <f>Item_Enchant_Old!L865</f>
        <v>0</v>
      </c>
      <c r="M861" s="29">
        <f>Item_Enchant_Old!M865</f>
        <v>5</v>
      </c>
      <c r="N861" s="29">
        <f>Item_Enchant_Old!N865</f>
        <v>44</v>
      </c>
      <c r="O861" s="29">
        <f>Item_Enchant_Old!O865</f>
        <v>1</v>
      </c>
      <c r="P861" s="29">
        <f>Item_Enchant_Old!P865</f>
        <v>1</v>
      </c>
      <c r="Q861" s="29">
        <f>Item_Enchant_Old!Q865</f>
        <v>1</v>
      </c>
      <c r="R861" s="29">
        <f>Item_Enchant_Old!R865</f>
        <v>1</v>
      </c>
    </row>
    <row r="862" spans="1:18" s="29" customFormat="1" hidden="1">
      <c r="A862" s="29">
        <f>Item_Enchant_Old!A866</f>
        <v>861</v>
      </c>
      <c r="B862" s="29" t="str">
        <f>Item_Enchant_Old!B866</f>
        <v>ACTIVE_FOC_UP</v>
      </c>
      <c r="C862" s="29">
        <f>Item_Enchant_Old!C866</f>
        <v>612</v>
      </c>
      <c r="D862" s="29">
        <f>Item_Enchant_Old!D866</f>
        <v>0</v>
      </c>
      <c r="E862" s="29">
        <f>Item_Enchant_Old!E866</f>
        <v>0</v>
      </c>
      <c r="F862" s="29">
        <f>Item_Enchant_Old!F866</f>
        <v>0</v>
      </c>
      <c r="G862" s="29">
        <f>Item_Enchant_Old!G866</f>
        <v>2</v>
      </c>
      <c r="H862" s="29" t="str">
        <f>Item_Enchant_Old!H866</f>
        <v>@</v>
      </c>
      <c r="I862" s="29">
        <f>Item_Enchant_Old!I866</f>
        <v>1</v>
      </c>
      <c r="J862" s="29" t="str">
        <f>Item_Enchant_Old!J866</f>
        <v>절대값/상대값(%) 가능</v>
      </c>
      <c r="K862" s="29">
        <f>Item_Enchant_Old!K866</f>
        <v>17</v>
      </c>
      <c r="L862" s="29">
        <f>Item_Enchant_Old!L866</f>
        <v>0</v>
      </c>
      <c r="M862" s="29">
        <f>Item_Enchant_Old!M866</f>
        <v>5</v>
      </c>
      <c r="N862" s="29">
        <f>Item_Enchant_Old!N866</f>
        <v>53</v>
      </c>
      <c r="O862" s="29">
        <f>Item_Enchant_Old!O866</f>
        <v>1</v>
      </c>
      <c r="P862" s="29">
        <f>Item_Enchant_Old!P866</f>
        <v>1</v>
      </c>
      <c r="Q862" s="29">
        <f>Item_Enchant_Old!Q866</f>
        <v>1</v>
      </c>
      <c r="R862" s="29">
        <f>Item_Enchant_Old!R866</f>
        <v>1</v>
      </c>
    </row>
    <row r="863" spans="1:18" s="29" customFormat="1" hidden="1">
      <c r="A863" s="29">
        <f>Item_Enchant_Old!A867</f>
        <v>862</v>
      </c>
      <c r="B863" s="29" t="str">
        <f>Item_Enchant_Old!B867</f>
        <v>ACTIVE_PHYSICAL_OFFENCE_UP</v>
      </c>
      <c r="C863" s="29">
        <f>Item_Enchant_Old!C867</f>
        <v>606</v>
      </c>
      <c r="D863" s="29">
        <f>Item_Enchant_Old!D867</f>
        <v>0</v>
      </c>
      <c r="E863" s="29">
        <f>Item_Enchant_Old!E867</f>
        <v>0</v>
      </c>
      <c r="F863" s="29">
        <f>Item_Enchant_Old!F867</f>
        <v>0</v>
      </c>
      <c r="G863" s="29">
        <f>Item_Enchant_Old!G867</f>
        <v>1</v>
      </c>
      <c r="H863" s="29" t="str">
        <f>Item_Enchant_Old!H867</f>
        <v>@</v>
      </c>
      <c r="I863" s="29">
        <f>Item_Enchant_Old!I867</f>
        <v>1</v>
      </c>
      <c r="J863" s="29" t="str">
        <f>Item_Enchant_Old!J867</f>
        <v>절대값/상대값(%) 가능</v>
      </c>
      <c r="K863" s="29">
        <f>Item_Enchant_Old!K867</f>
        <v>17</v>
      </c>
      <c r="L863" s="29">
        <f>Item_Enchant_Old!L867</f>
        <v>0</v>
      </c>
      <c r="M863" s="29">
        <f>Item_Enchant_Old!M867</f>
        <v>5</v>
      </c>
      <c r="N863" s="29">
        <f>Item_Enchant_Old!N867</f>
        <v>125</v>
      </c>
      <c r="O863" s="29">
        <f>Item_Enchant_Old!O867</f>
        <v>1</v>
      </c>
      <c r="P863" s="29">
        <f>Item_Enchant_Old!P867</f>
        <v>1</v>
      </c>
      <c r="Q863" s="29">
        <f>Item_Enchant_Old!Q867</f>
        <v>1</v>
      </c>
      <c r="R863" s="29">
        <f>Item_Enchant_Old!R867</f>
        <v>1</v>
      </c>
    </row>
    <row r="864" spans="1:18" s="29" customFormat="1" hidden="1">
      <c r="A864" s="29">
        <f>Item_Enchant_Old!A868</f>
        <v>863</v>
      </c>
      <c r="B864" s="29" t="str">
        <f>Item_Enchant_Old!B868</f>
        <v>ACTIVE_ENERGY_OFFENCE_UP</v>
      </c>
      <c r="C864" s="29">
        <f>Item_Enchant_Old!C868</f>
        <v>607</v>
      </c>
      <c r="D864" s="29">
        <f>Item_Enchant_Old!D868</f>
        <v>0</v>
      </c>
      <c r="E864" s="29">
        <f>Item_Enchant_Old!E868</f>
        <v>0</v>
      </c>
      <c r="F864" s="29">
        <f>Item_Enchant_Old!F868</f>
        <v>0</v>
      </c>
      <c r="G864" s="29">
        <f>Item_Enchant_Old!G868</f>
        <v>1</v>
      </c>
      <c r="H864" s="29" t="str">
        <f>Item_Enchant_Old!H868</f>
        <v>@</v>
      </c>
      <c r="I864" s="29">
        <f>Item_Enchant_Old!I868</f>
        <v>1</v>
      </c>
      <c r="J864" s="29" t="str">
        <f>Item_Enchant_Old!J868</f>
        <v>절대값/상대값(%) 가능</v>
      </c>
      <c r="K864" s="29">
        <f>Item_Enchant_Old!K868</f>
        <v>17</v>
      </c>
      <c r="L864" s="29">
        <f>Item_Enchant_Old!L868</f>
        <v>0</v>
      </c>
      <c r="M864" s="29">
        <f>Item_Enchant_Old!M868</f>
        <v>5</v>
      </c>
      <c r="N864" s="29">
        <f>Item_Enchant_Old!N868</f>
        <v>104</v>
      </c>
      <c r="O864" s="29">
        <f>Item_Enchant_Old!O868</f>
        <v>1</v>
      </c>
      <c r="P864" s="29">
        <f>Item_Enchant_Old!P868</f>
        <v>1</v>
      </c>
      <c r="Q864" s="29">
        <f>Item_Enchant_Old!Q868</f>
        <v>1</v>
      </c>
      <c r="R864" s="29">
        <f>Item_Enchant_Old!R868</f>
        <v>1</v>
      </c>
    </row>
    <row r="865" spans="1:18" s="29" customFormat="1" hidden="1">
      <c r="A865" s="29">
        <f>Item_Enchant_Old!A869</f>
        <v>864</v>
      </c>
      <c r="B865" s="29" t="str">
        <f>Item_Enchant_Old!B869</f>
        <v>ACTIVE_PHYSICAL_OFFENCE_UP</v>
      </c>
      <c r="C865" s="29">
        <f>Item_Enchant_Old!C869</f>
        <v>606</v>
      </c>
      <c r="D865" s="29">
        <f>Item_Enchant_Old!D869</f>
        <v>0</v>
      </c>
      <c r="E865" s="29">
        <f>Item_Enchant_Old!E869</f>
        <v>0</v>
      </c>
      <c r="F865" s="29">
        <f>Item_Enchant_Old!F869</f>
        <v>0</v>
      </c>
      <c r="G865" s="29">
        <f>Item_Enchant_Old!G869</f>
        <v>1</v>
      </c>
      <c r="H865" s="29" t="str">
        <f>Item_Enchant_Old!H869</f>
        <v>@</v>
      </c>
      <c r="I865" s="29">
        <f>Item_Enchant_Old!I869</f>
        <v>1</v>
      </c>
      <c r="J865" s="29" t="str">
        <f>Item_Enchant_Old!J869</f>
        <v>절대값/상대값(%) 가능</v>
      </c>
      <c r="K865" s="29">
        <f>Item_Enchant_Old!K869</f>
        <v>17</v>
      </c>
      <c r="L865" s="29">
        <f>Item_Enchant_Old!L869</f>
        <v>0</v>
      </c>
      <c r="M865" s="29">
        <f>Item_Enchant_Old!M869</f>
        <v>6</v>
      </c>
      <c r="N865" s="29">
        <f>Item_Enchant_Old!N869</f>
        <v>125</v>
      </c>
      <c r="O865" s="29">
        <f>Item_Enchant_Old!O869</f>
        <v>1</v>
      </c>
      <c r="P865" s="29">
        <f>Item_Enchant_Old!P869</f>
        <v>1</v>
      </c>
      <c r="Q865" s="29">
        <f>Item_Enchant_Old!Q869</f>
        <v>1</v>
      </c>
      <c r="R865" s="29">
        <f>Item_Enchant_Old!R869</f>
        <v>1</v>
      </c>
    </row>
    <row r="866" spans="1:18" s="29" customFormat="1" hidden="1">
      <c r="A866" s="29">
        <f>Item_Enchant_Old!A870</f>
        <v>865</v>
      </c>
      <c r="B866" s="29" t="str">
        <f>Item_Enchant_Old!B870</f>
        <v>ACTIVE_ENERGY_OFFENCE_UP</v>
      </c>
      <c r="C866" s="29">
        <f>Item_Enchant_Old!C870</f>
        <v>607</v>
      </c>
      <c r="D866" s="29">
        <f>Item_Enchant_Old!D870</f>
        <v>0</v>
      </c>
      <c r="E866" s="29">
        <f>Item_Enchant_Old!E870</f>
        <v>0</v>
      </c>
      <c r="F866" s="29">
        <f>Item_Enchant_Old!F870</f>
        <v>0</v>
      </c>
      <c r="G866" s="29">
        <f>Item_Enchant_Old!G870</f>
        <v>1</v>
      </c>
      <c r="H866" s="29" t="str">
        <f>Item_Enchant_Old!H870</f>
        <v>@</v>
      </c>
      <c r="I866" s="29">
        <f>Item_Enchant_Old!I870</f>
        <v>1</v>
      </c>
      <c r="J866" s="29" t="str">
        <f>Item_Enchant_Old!J870</f>
        <v>절대값/상대값(%) 가능</v>
      </c>
      <c r="K866" s="29">
        <f>Item_Enchant_Old!K870</f>
        <v>17</v>
      </c>
      <c r="L866" s="29">
        <f>Item_Enchant_Old!L870</f>
        <v>0</v>
      </c>
      <c r="M866" s="29">
        <f>Item_Enchant_Old!M870</f>
        <v>6</v>
      </c>
      <c r="N866" s="29">
        <f>Item_Enchant_Old!N870</f>
        <v>104</v>
      </c>
      <c r="O866" s="29">
        <f>Item_Enchant_Old!O870</f>
        <v>1</v>
      </c>
      <c r="P866" s="29">
        <f>Item_Enchant_Old!P870</f>
        <v>1</v>
      </c>
      <c r="Q866" s="29">
        <f>Item_Enchant_Old!Q870</f>
        <v>1</v>
      </c>
      <c r="R866" s="29">
        <f>Item_Enchant_Old!R870</f>
        <v>1</v>
      </c>
    </row>
    <row r="867" spans="1:18" s="29" customFormat="1" hidden="1">
      <c r="A867" s="29">
        <f>Item_Enchant_Old!A871</f>
        <v>866</v>
      </c>
      <c r="B867" s="29" t="str">
        <f>Item_Enchant_Old!B871</f>
        <v>ACTIVE_STR_UP</v>
      </c>
      <c r="C867" s="29">
        <f>Item_Enchant_Old!C871</f>
        <v>610</v>
      </c>
      <c r="D867" s="29">
        <f>Item_Enchant_Old!D871</f>
        <v>0</v>
      </c>
      <c r="E867" s="29">
        <f>Item_Enchant_Old!E871</f>
        <v>0</v>
      </c>
      <c r="F867" s="29">
        <f>Item_Enchant_Old!F871</f>
        <v>0</v>
      </c>
      <c r="G867" s="29">
        <f>Item_Enchant_Old!G871</f>
        <v>2</v>
      </c>
      <c r="H867" s="29" t="str">
        <f>Item_Enchant_Old!H871</f>
        <v>@</v>
      </c>
      <c r="I867" s="29">
        <f>Item_Enchant_Old!I871</f>
        <v>1</v>
      </c>
      <c r="J867" s="29" t="str">
        <f>Item_Enchant_Old!J871</f>
        <v>절대값/상대값(%) 가능</v>
      </c>
      <c r="K867" s="29">
        <f>Item_Enchant_Old!K871</f>
        <v>17</v>
      </c>
      <c r="L867" s="29">
        <f>Item_Enchant_Old!L871</f>
        <v>0</v>
      </c>
      <c r="M867" s="29">
        <f>Item_Enchant_Old!M871</f>
        <v>6</v>
      </c>
      <c r="N867" s="29">
        <f>Item_Enchant_Old!N871</f>
        <v>57</v>
      </c>
      <c r="O867" s="29">
        <f>Item_Enchant_Old!O871</f>
        <v>1</v>
      </c>
      <c r="P867" s="29">
        <f>Item_Enchant_Old!P871</f>
        <v>1</v>
      </c>
      <c r="Q867" s="29">
        <f>Item_Enchant_Old!Q871</f>
        <v>1</v>
      </c>
      <c r="R867" s="29">
        <f>Item_Enchant_Old!R871</f>
        <v>1</v>
      </c>
    </row>
    <row r="868" spans="1:18" s="29" customFormat="1" hidden="1">
      <c r="A868" s="29">
        <f>Item_Enchant_Old!A872</f>
        <v>867</v>
      </c>
      <c r="B868" s="29" t="str">
        <f>Item_Enchant_Old!B872</f>
        <v>ACTIVE_SOL_UP</v>
      </c>
      <c r="C868" s="29">
        <f>Item_Enchant_Old!C872</f>
        <v>614</v>
      </c>
      <c r="D868" s="29">
        <f>Item_Enchant_Old!D872</f>
        <v>0</v>
      </c>
      <c r="E868" s="29">
        <f>Item_Enchant_Old!E872</f>
        <v>0</v>
      </c>
      <c r="F868" s="29">
        <f>Item_Enchant_Old!F872</f>
        <v>0</v>
      </c>
      <c r="G868" s="29">
        <f>Item_Enchant_Old!G872</f>
        <v>2</v>
      </c>
      <c r="H868" s="29" t="str">
        <f>Item_Enchant_Old!H872</f>
        <v>@</v>
      </c>
      <c r="I868" s="29">
        <f>Item_Enchant_Old!I872</f>
        <v>1</v>
      </c>
      <c r="J868" s="29" t="str">
        <f>Item_Enchant_Old!J872</f>
        <v>절대값/상대값(%) 가능</v>
      </c>
      <c r="K868" s="29">
        <f>Item_Enchant_Old!K872</f>
        <v>17</v>
      </c>
      <c r="L868" s="29">
        <f>Item_Enchant_Old!L872</f>
        <v>0</v>
      </c>
      <c r="M868" s="29">
        <f>Item_Enchant_Old!M872</f>
        <v>6</v>
      </c>
      <c r="N868" s="29">
        <f>Item_Enchant_Old!N872</f>
        <v>53</v>
      </c>
      <c r="O868" s="29">
        <f>Item_Enchant_Old!O872</f>
        <v>1</v>
      </c>
      <c r="P868" s="29">
        <f>Item_Enchant_Old!P872</f>
        <v>1</v>
      </c>
      <c r="Q868" s="29">
        <f>Item_Enchant_Old!Q872</f>
        <v>1</v>
      </c>
      <c r="R868" s="29">
        <f>Item_Enchant_Old!R872</f>
        <v>1</v>
      </c>
    </row>
    <row r="869" spans="1:18" s="29" customFormat="1" hidden="1">
      <c r="A869" s="29">
        <f>Item_Enchant_Old!A873</f>
        <v>868</v>
      </c>
      <c r="B869" s="29" t="str">
        <f>Item_Enchant_Old!B873</f>
        <v>ACTIVE_PHYSICAL_CRITICAL_DAMAGE_UP</v>
      </c>
      <c r="C869" s="29">
        <f>Item_Enchant_Old!C873</f>
        <v>658</v>
      </c>
      <c r="D869" s="29">
        <f>Item_Enchant_Old!D873</f>
        <v>0</v>
      </c>
      <c r="E869" s="29">
        <f>Item_Enchant_Old!E873</f>
        <v>0</v>
      </c>
      <c r="F869" s="29">
        <f>Item_Enchant_Old!F873</f>
        <v>0</v>
      </c>
      <c r="G869" s="29">
        <f>Item_Enchant_Old!G873</f>
        <v>4</v>
      </c>
      <c r="H869" s="29" t="str">
        <f>Item_Enchant_Old!H873</f>
        <v>@</v>
      </c>
      <c r="I869" s="29">
        <f>Item_Enchant_Old!I873</f>
        <v>1</v>
      </c>
      <c r="J869" s="29" t="str">
        <f>Item_Enchant_Old!J873</f>
        <v>절대값만 가능</v>
      </c>
      <c r="K869" s="29">
        <f>Item_Enchant_Old!K873</f>
        <v>17</v>
      </c>
      <c r="L869" s="29">
        <f>Item_Enchant_Old!L873</f>
        <v>0</v>
      </c>
      <c r="M869" s="29">
        <f>Item_Enchant_Old!M873</f>
        <v>6</v>
      </c>
      <c r="N869" s="29">
        <f>Item_Enchant_Old!N873</f>
        <v>28</v>
      </c>
      <c r="O869" s="29">
        <f>Item_Enchant_Old!O873</f>
        <v>1</v>
      </c>
      <c r="P869" s="29">
        <f>Item_Enchant_Old!P873</f>
        <v>1</v>
      </c>
      <c r="Q869" s="29">
        <f>Item_Enchant_Old!Q873</f>
        <v>1</v>
      </c>
      <c r="R869" s="29">
        <f>Item_Enchant_Old!R873</f>
        <v>1</v>
      </c>
    </row>
    <row r="870" spans="1:18" s="29" customFormat="1" hidden="1">
      <c r="A870" s="29">
        <f>Item_Enchant_Old!A874</f>
        <v>869</v>
      </c>
      <c r="B870" s="29" t="str">
        <f>Item_Enchant_Old!B874</f>
        <v>ACTIVE_ENERGY_CRITICAL_DAMAGE_UP</v>
      </c>
      <c r="C870" s="29">
        <f>Item_Enchant_Old!C874</f>
        <v>659</v>
      </c>
      <c r="D870" s="29">
        <f>Item_Enchant_Old!D874</f>
        <v>0</v>
      </c>
      <c r="E870" s="29">
        <f>Item_Enchant_Old!E874</f>
        <v>0</v>
      </c>
      <c r="F870" s="29">
        <f>Item_Enchant_Old!F874</f>
        <v>0</v>
      </c>
      <c r="G870" s="29">
        <f>Item_Enchant_Old!G874</f>
        <v>4</v>
      </c>
      <c r="H870" s="29" t="str">
        <f>Item_Enchant_Old!H874</f>
        <v>@</v>
      </c>
      <c r="I870" s="29">
        <f>Item_Enchant_Old!I874</f>
        <v>1</v>
      </c>
      <c r="J870" s="29" t="str">
        <f>Item_Enchant_Old!J874</f>
        <v>절대값만 가능</v>
      </c>
      <c r="K870" s="29">
        <f>Item_Enchant_Old!K874</f>
        <v>17</v>
      </c>
      <c r="L870" s="29">
        <f>Item_Enchant_Old!L874</f>
        <v>0</v>
      </c>
      <c r="M870" s="29">
        <f>Item_Enchant_Old!M874</f>
        <v>6</v>
      </c>
      <c r="N870" s="29">
        <f>Item_Enchant_Old!N874</f>
        <v>32</v>
      </c>
      <c r="O870" s="29">
        <f>Item_Enchant_Old!O874</f>
        <v>1</v>
      </c>
      <c r="P870" s="29">
        <f>Item_Enchant_Old!P874</f>
        <v>1</v>
      </c>
      <c r="Q870" s="29">
        <f>Item_Enchant_Old!Q874</f>
        <v>1</v>
      </c>
      <c r="R870" s="29">
        <f>Item_Enchant_Old!R874</f>
        <v>1</v>
      </c>
    </row>
    <row r="871" spans="1:18" s="29" customFormat="1" hidden="1">
      <c r="A871" s="29">
        <f>Item_Enchant_Old!A875</f>
        <v>870</v>
      </c>
      <c r="B871" s="29" t="str">
        <f>Item_Enchant_Old!B875</f>
        <v>ACTIVE_FOC_UP</v>
      </c>
      <c r="C871" s="29">
        <f>Item_Enchant_Old!C875</f>
        <v>612</v>
      </c>
      <c r="D871" s="29">
        <f>Item_Enchant_Old!D875</f>
        <v>0</v>
      </c>
      <c r="E871" s="29">
        <f>Item_Enchant_Old!E875</f>
        <v>0</v>
      </c>
      <c r="F871" s="29">
        <f>Item_Enchant_Old!F875</f>
        <v>0</v>
      </c>
      <c r="G871" s="29">
        <f>Item_Enchant_Old!G875</f>
        <v>2</v>
      </c>
      <c r="H871" s="29" t="str">
        <f>Item_Enchant_Old!H875</f>
        <v>@</v>
      </c>
      <c r="I871" s="29">
        <f>Item_Enchant_Old!I875</f>
        <v>1</v>
      </c>
      <c r="J871" s="29" t="str">
        <f>Item_Enchant_Old!J875</f>
        <v>절대값/상대값(%) 가능</v>
      </c>
      <c r="K871" s="29">
        <f>Item_Enchant_Old!K875</f>
        <v>17</v>
      </c>
      <c r="L871" s="29">
        <f>Item_Enchant_Old!L875</f>
        <v>0</v>
      </c>
      <c r="M871" s="29">
        <f>Item_Enchant_Old!M875</f>
        <v>7</v>
      </c>
      <c r="N871" s="29">
        <f>Item_Enchant_Old!N875</f>
        <v>53</v>
      </c>
      <c r="O871" s="29">
        <f>Item_Enchant_Old!O875</f>
        <v>1</v>
      </c>
      <c r="P871" s="29">
        <f>Item_Enchant_Old!P875</f>
        <v>1</v>
      </c>
      <c r="Q871" s="29">
        <f>Item_Enchant_Old!Q875</f>
        <v>1</v>
      </c>
      <c r="R871" s="29">
        <f>Item_Enchant_Old!R875</f>
        <v>1</v>
      </c>
    </row>
    <row r="872" spans="1:18" s="29" customFormat="1" hidden="1">
      <c r="A872" s="29">
        <f>Item_Enchant_Old!A876</f>
        <v>871</v>
      </c>
      <c r="B872" s="29" t="str">
        <f>Item_Enchant_Old!B876</f>
        <v>ACTIVE_ATTACK_RATE_UP</v>
      </c>
      <c r="C872" s="29">
        <f>Item_Enchant_Old!C876</f>
        <v>618</v>
      </c>
      <c r="D872" s="29">
        <f>Item_Enchant_Old!D876</f>
        <v>0</v>
      </c>
      <c r="E872" s="29">
        <f>Item_Enchant_Old!E876</f>
        <v>0</v>
      </c>
      <c r="F872" s="29">
        <f>Item_Enchant_Old!F876</f>
        <v>0</v>
      </c>
      <c r="G872" s="29">
        <f>Item_Enchant_Old!G876</f>
        <v>1</v>
      </c>
      <c r="H872" s="29" t="str">
        <f>Item_Enchant_Old!H876</f>
        <v>@</v>
      </c>
      <c r="I872" s="29">
        <f>Item_Enchant_Old!I876</f>
        <v>1</v>
      </c>
      <c r="J872" s="29" t="str">
        <f>Item_Enchant_Old!J876</f>
        <v>절대값/상대값(%) 가능</v>
      </c>
      <c r="K872" s="29">
        <f>Item_Enchant_Old!K876</f>
        <v>17</v>
      </c>
      <c r="L872" s="29">
        <f>Item_Enchant_Old!L876</f>
        <v>0</v>
      </c>
      <c r="M872" s="29">
        <f>Item_Enchant_Old!M876</f>
        <v>7</v>
      </c>
      <c r="N872" s="29">
        <f>Item_Enchant_Old!N876</f>
        <v>528</v>
      </c>
      <c r="O872" s="29">
        <f>Item_Enchant_Old!O876</f>
        <v>1</v>
      </c>
      <c r="P872" s="29">
        <f>Item_Enchant_Old!P876</f>
        <v>1</v>
      </c>
      <c r="Q872" s="29">
        <f>Item_Enchant_Old!Q876</f>
        <v>1</v>
      </c>
      <c r="R872" s="29">
        <f>Item_Enchant_Old!R876</f>
        <v>1</v>
      </c>
    </row>
    <row r="873" spans="1:18" s="29" customFormat="1" hidden="1">
      <c r="A873" s="29">
        <f>Item_Enchant_Old!A877</f>
        <v>872</v>
      </c>
      <c r="B873" s="29" t="str">
        <f>Item_Enchant_Old!B877</f>
        <v>ACTIVE_ENG_UP</v>
      </c>
      <c r="C873" s="29">
        <f>Item_Enchant_Old!C877</f>
        <v>615</v>
      </c>
      <c r="D873" s="29">
        <f>Item_Enchant_Old!D877</f>
        <v>0</v>
      </c>
      <c r="E873" s="29">
        <f>Item_Enchant_Old!E877</f>
        <v>0</v>
      </c>
      <c r="F873" s="29">
        <f>Item_Enchant_Old!F877</f>
        <v>0</v>
      </c>
      <c r="G873" s="29">
        <f>Item_Enchant_Old!G877</f>
        <v>2</v>
      </c>
      <c r="H873" s="29" t="str">
        <f>Item_Enchant_Old!H877</f>
        <v>@</v>
      </c>
      <c r="I873" s="29">
        <f>Item_Enchant_Old!I877</f>
        <v>1</v>
      </c>
      <c r="J873" s="29" t="str">
        <f>Item_Enchant_Old!J877</f>
        <v>절대값/상대값(%) 가능</v>
      </c>
      <c r="K873" s="29">
        <f>Item_Enchant_Old!K877</f>
        <v>17</v>
      </c>
      <c r="L873" s="29">
        <f>Item_Enchant_Old!L877</f>
        <v>0</v>
      </c>
      <c r="M873" s="29">
        <f>Item_Enchant_Old!M877</f>
        <v>7</v>
      </c>
      <c r="N873" s="29">
        <f>Item_Enchant_Old!N877</f>
        <v>62</v>
      </c>
      <c r="O873" s="29">
        <f>Item_Enchant_Old!O877</f>
        <v>1</v>
      </c>
      <c r="P873" s="29">
        <f>Item_Enchant_Old!P877</f>
        <v>1</v>
      </c>
      <c r="Q873" s="29">
        <f>Item_Enchant_Old!Q877</f>
        <v>1</v>
      </c>
      <c r="R873" s="29">
        <f>Item_Enchant_Old!R877</f>
        <v>1</v>
      </c>
    </row>
    <row r="874" spans="1:18" s="29" customFormat="1" hidden="1">
      <c r="A874" s="29">
        <f>Item_Enchant_Old!A878</f>
        <v>873</v>
      </c>
      <c r="B874" s="29" t="str">
        <f>Item_Enchant_Old!B878</f>
        <v>ACTIVE_PHYSICAL_CRITICAL</v>
      </c>
      <c r="C874" s="29">
        <f>Item_Enchant_Old!C878</f>
        <v>632</v>
      </c>
      <c r="D874" s="29">
        <f>Item_Enchant_Old!D878</f>
        <v>0</v>
      </c>
      <c r="E874" s="29">
        <f>Item_Enchant_Old!E878</f>
        <v>0</v>
      </c>
      <c r="F874" s="29">
        <f>Item_Enchant_Old!F878</f>
        <v>0</v>
      </c>
      <c r="G874" s="29">
        <f>Item_Enchant_Old!G878</f>
        <v>5</v>
      </c>
      <c r="H874" s="29" t="str">
        <f>Item_Enchant_Old!H878</f>
        <v>@</v>
      </c>
      <c r="I874" s="29">
        <f>Item_Enchant_Old!I878</f>
        <v>1</v>
      </c>
      <c r="J874" s="29" t="str">
        <f>Item_Enchant_Old!J878</f>
        <v>절대값/상대값(%) 가능</v>
      </c>
      <c r="K874" s="29">
        <f>Item_Enchant_Old!K878</f>
        <v>17</v>
      </c>
      <c r="L874" s="29">
        <f>Item_Enchant_Old!L878</f>
        <v>0</v>
      </c>
      <c r="M874" s="29">
        <f>Item_Enchant_Old!M878</f>
        <v>7</v>
      </c>
      <c r="N874" s="29">
        <f>Item_Enchant_Old!N878</f>
        <v>21</v>
      </c>
      <c r="O874" s="29">
        <f>Item_Enchant_Old!O878</f>
        <v>1</v>
      </c>
      <c r="P874" s="29">
        <f>Item_Enchant_Old!P878</f>
        <v>1</v>
      </c>
      <c r="Q874" s="29">
        <f>Item_Enchant_Old!Q878</f>
        <v>1</v>
      </c>
      <c r="R874" s="29">
        <f>Item_Enchant_Old!R878</f>
        <v>1</v>
      </c>
    </row>
    <row r="875" spans="1:18" s="29" customFormat="1" hidden="1">
      <c r="A875" s="29">
        <f>Item_Enchant_Old!A879</f>
        <v>874</v>
      </c>
      <c r="B875" s="29" t="str">
        <f>Item_Enchant_Old!B879</f>
        <v>ACTIVE_ENERGY_CRITICAL</v>
      </c>
      <c r="C875" s="29">
        <f>Item_Enchant_Old!C879</f>
        <v>633</v>
      </c>
      <c r="D875" s="29">
        <f>Item_Enchant_Old!D879</f>
        <v>0</v>
      </c>
      <c r="E875" s="29">
        <f>Item_Enchant_Old!E879</f>
        <v>0</v>
      </c>
      <c r="F875" s="29">
        <f>Item_Enchant_Old!F879</f>
        <v>0</v>
      </c>
      <c r="G875" s="29">
        <f>Item_Enchant_Old!G879</f>
        <v>5</v>
      </c>
      <c r="H875" s="29" t="str">
        <f>Item_Enchant_Old!H879</f>
        <v>@</v>
      </c>
      <c r="I875" s="29">
        <f>Item_Enchant_Old!I879</f>
        <v>1</v>
      </c>
      <c r="J875" s="29" t="str">
        <f>Item_Enchant_Old!J879</f>
        <v>절대값/상대값(%) 가능</v>
      </c>
      <c r="K875" s="29">
        <f>Item_Enchant_Old!K879</f>
        <v>17</v>
      </c>
      <c r="L875" s="29">
        <f>Item_Enchant_Old!L879</f>
        <v>0</v>
      </c>
      <c r="M875" s="29">
        <f>Item_Enchant_Old!M879</f>
        <v>7</v>
      </c>
      <c r="N875" s="29">
        <f>Item_Enchant_Old!N879</f>
        <v>24</v>
      </c>
      <c r="O875" s="29">
        <f>Item_Enchant_Old!O879</f>
        <v>1</v>
      </c>
      <c r="P875" s="29">
        <f>Item_Enchant_Old!P879</f>
        <v>1</v>
      </c>
      <c r="Q875" s="29">
        <f>Item_Enchant_Old!Q879</f>
        <v>1</v>
      </c>
      <c r="R875" s="29">
        <f>Item_Enchant_Old!R879</f>
        <v>1</v>
      </c>
    </row>
    <row r="876" spans="1:18" s="29" customFormat="1" hidden="1">
      <c r="A876" s="29">
        <f>Item_Enchant_Old!A880</f>
        <v>875</v>
      </c>
      <c r="B876" s="29" t="str">
        <f>Item_Enchant_Old!B880</f>
        <v>ACTIVE_FOC_UP</v>
      </c>
      <c r="C876" s="29">
        <f>Item_Enchant_Old!C880</f>
        <v>612</v>
      </c>
      <c r="D876" s="29">
        <f>Item_Enchant_Old!D880</f>
        <v>0</v>
      </c>
      <c r="E876" s="29">
        <f>Item_Enchant_Old!E880</f>
        <v>0</v>
      </c>
      <c r="F876" s="29">
        <f>Item_Enchant_Old!F880</f>
        <v>0</v>
      </c>
      <c r="G876" s="29">
        <f>Item_Enchant_Old!G880</f>
        <v>2</v>
      </c>
      <c r="H876" s="29" t="str">
        <f>Item_Enchant_Old!H880</f>
        <v>@</v>
      </c>
      <c r="I876" s="29">
        <f>Item_Enchant_Old!I880</f>
        <v>1</v>
      </c>
      <c r="J876" s="29" t="str">
        <f>Item_Enchant_Old!J880</f>
        <v>절대값/상대값(%) 가능</v>
      </c>
      <c r="K876" s="29">
        <f>Item_Enchant_Old!K880</f>
        <v>17</v>
      </c>
      <c r="L876" s="29">
        <f>Item_Enchant_Old!L880</f>
        <v>0</v>
      </c>
      <c r="M876" s="29">
        <f>Item_Enchant_Old!M880</f>
        <v>8</v>
      </c>
      <c r="N876" s="29">
        <f>Item_Enchant_Old!N880</f>
        <v>53</v>
      </c>
      <c r="O876" s="29">
        <f>Item_Enchant_Old!O880</f>
        <v>1</v>
      </c>
      <c r="P876" s="29">
        <f>Item_Enchant_Old!P880</f>
        <v>1</v>
      </c>
      <c r="Q876" s="29">
        <f>Item_Enchant_Old!Q880</f>
        <v>1</v>
      </c>
      <c r="R876" s="29">
        <f>Item_Enchant_Old!R880</f>
        <v>1</v>
      </c>
    </row>
    <row r="877" spans="1:18" s="29" customFormat="1" hidden="1">
      <c r="A877" s="29">
        <f>Item_Enchant_Old!A881</f>
        <v>876</v>
      </c>
      <c r="B877" s="29" t="str">
        <f>Item_Enchant_Old!B881</f>
        <v>ACTIVE_CON_UP</v>
      </c>
      <c r="C877" s="29">
        <f>Item_Enchant_Old!C881</f>
        <v>611</v>
      </c>
      <c r="D877" s="29">
        <f>Item_Enchant_Old!D881</f>
        <v>0</v>
      </c>
      <c r="E877" s="29">
        <f>Item_Enchant_Old!E881</f>
        <v>0</v>
      </c>
      <c r="F877" s="29">
        <f>Item_Enchant_Old!F881</f>
        <v>0</v>
      </c>
      <c r="G877" s="29">
        <f>Item_Enchant_Old!G881</f>
        <v>3</v>
      </c>
      <c r="H877" s="29" t="str">
        <f>Item_Enchant_Old!H881</f>
        <v>@</v>
      </c>
      <c r="I877" s="29">
        <f>Item_Enchant_Old!I881</f>
        <v>1</v>
      </c>
      <c r="J877" s="29" t="str">
        <f>Item_Enchant_Old!J881</f>
        <v>절대값/상대값(%) 가능</v>
      </c>
      <c r="K877" s="29">
        <f>Item_Enchant_Old!K881</f>
        <v>17</v>
      </c>
      <c r="L877" s="29">
        <f>Item_Enchant_Old!L881</f>
        <v>0</v>
      </c>
      <c r="M877" s="29">
        <f>Item_Enchant_Old!M881</f>
        <v>8</v>
      </c>
      <c r="N877" s="29">
        <f>Item_Enchant_Old!N881</f>
        <v>48</v>
      </c>
      <c r="O877" s="29">
        <f>Item_Enchant_Old!O881</f>
        <v>1</v>
      </c>
      <c r="P877" s="29">
        <f>Item_Enchant_Old!P881</f>
        <v>1</v>
      </c>
      <c r="Q877" s="29">
        <f>Item_Enchant_Old!Q881</f>
        <v>1</v>
      </c>
      <c r="R877" s="29">
        <f>Item_Enchant_Old!R881</f>
        <v>1</v>
      </c>
    </row>
    <row r="878" spans="1:18" s="29" customFormat="1" hidden="1">
      <c r="A878" s="29">
        <f>Item_Enchant_Old!A882</f>
        <v>877</v>
      </c>
      <c r="B878" s="29" t="str">
        <f>Item_Enchant_Old!B882</f>
        <v>ACTIVE_BLOCK_RATE_UP</v>
      </c>
      <c r="C878" s="29">
        <f>Item_Enchant_Old!C882</f>
        <v>620</v>
      </c>
      <c r="D878" s="29">
        <f>Item_Enchant_Old!D882</f>
        <v>0</v>
      </c>
      <c r="E878" s="29">
        <f>Item_Enchant_Old!E882</f>
        <v>0</v>
      </c>
      <c r="F878" s="29">
        <f>Item_Enchant_Old!F882</f>
        <v>0</v>
      </c>
      <c r="G878" s="29">
        <f>Item_Enchant_Old!G882</f>
        <v>1</v>
      </c>
      <c r="H878" s="29" t="str">
        <f>Item_Enchant_Old!H882</f>
        <v>@</v>
      </c>
      <c r="I878" s="29">
        <f>Item_Enchant_Old!I882</f>
        <v>1</v>
      </c>
      <c r="J878" s="29" t="str">
        <f>Item_Enchant_Old!J882</f>
        <v>절대값/상대값(%) 가능</v>
      </c>
      <c r="K878" s="29">
        <f>Item_Enchant_Old!K882</f>
        <v>17</v>
      </c>
      <c r="L878" s="29">
        <f>Item_Enchant_Old!L882</f>
        <v>0</v>
      </c>
      <c r="M878" s="29">
        <f>Item_Enchant_Old!M882</f>
        <v>8</v>
      </c>
      <c r="N878" s="29">
        <f>Item_Enchant_Old!N882</f>
        <v>352</v>
      </c>
      <c r="O878" s="29">
        <f>Item_Enchant_Old!O882</f>
        <v>1</v>
      </c>
      <c r="P878" s="29">
        <f>Item_Enchant_Old!P882</f>
        <v>1</v>
      </c>
      <c r="Q878" s="29">
        <f>Item_Enchant_Old!Q882</f>
        <v>1</v>
      </c>
      <c r="R878" s="29">
        <f>Item_Enchant_Old!R882</f>
        <v>1</v>
      </c>
    </row>
    <row r="879" spans="1:18" s="29" customFormat="1" hidden="1">
      <c r="A879" s="29">
        <f>Item_Enchant_Old!A883</f>
        <v>878</v>
      </c>
      <c r="B879" s="29" t="str">
        <f>Item_Enchant_Old!B883</f>
        <v>ACTIVE_ENG_UP</v>
      </c>
      <c r="C879" s="29">
        <f>Item_Enchant_Old!C883</f>
        <v>615</v>
      </c>
      <c r="D879" s="29">
        <f>Item_Enchant_Old!D883</f>
        <v>0</v>
      </c>
      <c r="E879" s="29">
        <f>Item_Enchant_Old!E883</f>
        <v>0</v>
      </c>
      <c r="F879" s="29">
        <f>Item_Enchant_Old!F883</f>
        <v>0</v>
      </c>
      <c r="G879" s="29">
        <f>Item_Enchant_Old!G883</f>
        <v>2</v>
      </c>
      <c r="H879" s="29" t="str">
        <f>Item_Enchant_Old!H883</f>
        <v>@</v>
      </c>
      <c r="I879" s="29">
        <f>Item_Enchant_Old!I883</f>
        <v>1</v>
      </c>
      <c r="J879" s="29" t="str">
        <f>Item_Enchant_Old!J883</f>
        <v>절대값/상대값(%) 가능</v>
      </c>
      <c r="K879" s="29">
        <f>Item_Enchant_Old!K883</f>
        <v>17</v>
      </c>
      <c r="L879" s="29">
        <f>Item_Enchant_Old!L883</f>
        <v>0</v>
      </c>
      <c r="M879" s="29">
        <f>Item_Enchant_Old!M883</f>
        <v>8</v>
      </c>
      <c r="N879" s="29">
        <f>Item_Enchant_Old!N883</f>
        <v>62</v>
      </c>
      <c r="O879" s="29">
        <f>Item_Enchant_Old!O883</f>
        <v>1</v>
      </c>
      <c r="P879" s="29">
        <f>Item_Enchant_Old!P883</f>
        <v>1</v>
      </c>
      <c r="Q879" s="29">
        <f>Item_Enchant_Old!Q883</f>
        <v>1</v>
      </c>
      <c r="R879" s="29">
        <f>Item_Enchant_Old!R883</f>
        <v>1</v>
      </c>
    </row>
    <row r="880" spans="1:18" s="29" customFormat="1" hidden="1">
      <c r="A880" s="29">
        <f>Item_Enchant_Old!A884</f>
        <v>879</v>
      </c>
      <c r="B880" s="29" t="str">
        <f>Item_Enchant_Old!B884</f>
        <v>ACTIVE_PHYSICAL_CRITICAL</v>
      </c>
      <c r="C880" s="29">
        <f>Item_Enchant_Old!C884</f>
        <v>632</v>
      </c>
      <c r="D880" s="29">
        <f>Item_Enchant_Old!D884</f>
        <v>0</v>
      </c>
      <c r="E880" s="29">
        <f>Item_Enchant_Old!E884</f>
        <v>0</v>
      </c>
      <c r="F880" s="29">
        <f>Item_Enchant_Old!F884</f>
        <v>0</v>
      </c>
      <c r="G880" s="29">
        <f>Item_Enchant_Old!G884</f>
        <v>5</v>
      </c>
      <c r="H880" s="29" t="str">
        <f>Item_Enchant_Old!H884</f>
        <v>@</v>
      </c>
      <c r="I880" s="29">
        <f>Item_Enchant_Old!I884</f>
        <v>1</v>
      </c>
      <c r="J880" s="29" t="str">
        <f>Item_Enchant_Old!J884</f>
        <v>절대값/상대값(%) 가능</v>
      </c>
      <c r="K880" s="29">
        <f>Item_Enchant_Old!K884</f>
        <v>17</v>
      </c>
      <c r="L880" s="29">
        <f>Item_Enchant_Old!L884</f>
        <v>0</v>
      </c>
      <c r="M880" s="29">
        <f>Item_Enchant_Old!M884</f>
        <v>9</v>
      </c>
      <c r="N880" s="29">
        <f>Item_Enchant_Old!N884</f>
        <v>21</v>
      </c>
      <c r="O880" s="29">
        <f>Item_Enchant_Old!O884</f>
        <v>1</v>
      </c>
      <c r="P880" s="29">
        <f>Item_Enchant_Old!P884</f>
        <v>1</v>
      </c>
      <c r="Q880" s="29">
        <f>Item_Enchant_Old!Q884</f>
        <v>1</v>
      </c>
      <c r="R880" s="29">
        <f>Item_Enchant_Old!R884</f>
        <v>1</v>
      </c>
    </row>
    <row r="881" spans="1:18" s="29" customFormat="1" hidden="1">
      <c r="A881" s="29">
        <f>Item_Enchant_Old!A885</f>
        <v>880</v>
      </c>
      <c r="B881" s="29" t="str">
        <f>Item_Enchant_Old!B885</f>
        <v>ACTIVE_ENERGY_CRITICAL</v>
      </c>
      <c r="C881" s="29">
        <f>Item_Enchant_Old!C885</f>
        <v>633</v>
      </c>
      <c r="D881" s="29">
        <f>Item_Enchant_Old!D885</f>
        <v>0</v>
      </c>
      <c r="E881" s="29">
        <f>Item_Enchant_Old!E885</f>
        <v>0</v>
      </c>
      <c r="F881" s="29">
        <f>Item_Enchant_Old!F885</f>
        <v>0</v>
      </c>
      <c r="G881" s="29">
        <f>Item_Enchant_Old!G885</f>
        <v>5</v>
      </c>
      <c r="H881" s="29" t="str">
        <f>Item_Enchant_Old!H885</f>
        <v>@</v>
      </c>
      <c r="I881" s="29">
        <f>Item_Enchant_Old!I885</f>
        <v>1</v>
      </c>
      <c r="J881" s="29" t="str">
        <f>Item_Enchant_Old!J885</f>
        <v>절대값/상대값(%) 가능</v>
      </c>
      <c r="K881" s="29">
        <f>Item_Enchant_Old!K885</f>
        <v>17</v>
      </c>
      <c r="L881" s="29">
        <f>Item_Enchant_Old!L885</f>
        <v>0</v>
      </c>
      <c r="M881" s="29">
        <f>Item_Enchant_Old!M885</f>
        <v>9</v>
      </c>
      <c r="N881" s="29">
        <f>Item_Enchant_Old!N885</f>
        <v>24</v>
      </c>
      <c r="O881" s="29">
        <f>Item_Enchant_Old!O885</f>
        <v>1</v>
      </c>
      <c r="P881" s="29">
        <f>Item_Enchant_Old!P885</f>
        <v>1</v>
      </c>
      <c r="Q881" s="29">
        <f>Item_Enchant_Old!Q885</f>
        <v>1</v>
      </c>
      <c r="R881" s="29">
        <f>Item_Enchant_Old!R885</f>
        <v>1</v>
      </c>
    </row>
    <row r="882" spans="1:18" s="29" customFormat="1" hidden="1">
      <c r="A882" s="29">
        <f>Item_Enchant_Old!A886</f>
        <v>881</v>
      </c>
      <c r="B882" s="29" t="str">
        <f>Item_Enchant_Old!B886</f>
        <v>ACTIVE_DEX_UP</v>
      </c>
      <c r="C882" s="29">
        <f>Item_Enchant_Old!C886</f>
        <v>613</v>
      </c>
      <c r="D882" s="29">
        <f>Item_Enchant_Old!D886</f>
        <v>0</v>
      </c>
      <c r="E882" s="29">
        <f>Item_Enchant_Old!E886</f>
        <v>0</v>
      </c>
      <c r="F882" s="29">
        <f>Item_Enchant_Old!F886</f>
        <v>0</v>
      </c>
      <c r="G882" s="29">
        <f>Item_Enchant_Old!G886</f>
        <v>3</v>
      </c>
      <c r="H882" s="29" t="str">
        <f>Item_Enchant_Old!H886</f>
        <v>@</v>
      </c>
      <c r="I882" s="29">
        <f>Item_Enchant_Old!I886</f>
        <v>1</v>
      </c>
      <c r="J882" s="29" t="str">
        <f>Item_Enchant_Old!J886</f>
        <v>절대값/상대값(%) 가능</v>
      </c>
      <c r="K882" s="29">
        <f>Item_Enchant_Old!K886</f>
        <v>17</v>
      </c>
      <c r="L882" s="29">
        <f>Item_Enchant_Old!L886</f>
        <v>0</v>
      </c>
      <c r="M882" s="29">
        <f>Item_Enchant_Old!M886</f>
        <v>9</v>
      </c>
      <c r="N882" s="29">
        <f>Item_Enchant_Old!N886</f>
        <v>44</v>
      </c>
      <c r="O882" s="29">
        <f>Item_Enchant_Old!O886</f>
        <v>1</v>
      </c>
      <c r="P882" s="29">
        <f>Item_Enchant_Old!P886</f>
        <v>1</v>
      </c>
      <c r="Q882" s="29">
        <f>Item_Enchant_Old!Q886</f>
        <v>1</v>
      </c>
      <c r="R882" s="29">
        <f>Item_Enchant_Old!R886</f>
        <v>1</v>
      </c>
    </row>
    <row r="883" spans="1:18" s="29" customFormat="1" hidden="1">
      <c r="A883" s="29">
        <f>Item_Enchant_Old!A887</f>
        <v>882</v>
      </c>
      <c r="B883" s="29" t="str">
        <f>Item_Enchant_Old!B887</f>
        <v>ACTIVE_FOC_UP</v>
      </c>
      <c r="C883" s="29">
        <f>Item_Enchant_Old!C887</f>
        <v>612</v>
      </c>
      <c r="D883" s="29">
        <f>Item_Enchant_Old!D887</f>
        <v>0</v>
      </c>
      <c r="E883" s="29">
        <f>Item_Enchant_Old!E887</f>
        <v>0</v>
      </c>
      <c r="F883" s="29">
        <f>Item_Enchant_Old!F887</f>
        <v>0</v>
      </c>
      <c r="G883" s="29">
        <f>Item_Enchant_Old!G887</f>
        <v>2</v>
      </c>
      <c r="H883" s="29" t="str">
        <f>Item_Enchant_Old!H887</f>
        <v>@</v>
      </c>
      <c r="I883" s="29">
        <f>Item_Enchant_Old!I887</f>
        <v>1</v>
      </c>
      <c r="J883" s="29" t="str">
        <f>Item_Enchant_Old!J887</f>
        <v>절대값/상대값(%) 가능</v>
      </c>
      <c r="K883" s="29">
        <f>Item_Enchant_Old!K887</f>
        <v>17</v>
      </c>
      <c r="L883" s="29">
        <f>Item_Enchant_Old!L887</f>
        <v>0</v>
      </c>
      <c r="M883" s="29">
        <f>Item_Enchant_Old!M887</f>
        <v>9</v>
      </c>
      <c r="N883" s="29">
        <f>Item_Enchant_Old!N887</f>
        <v>53</v>
      </c>
      <c r="O883" s="29">
        <f>Item_Enchant_Old!O887</f>
        <v>1</v>
      </c>
      <c r="P883" s="29">
        <f>Item_Enchant_Old!P887</f>
        <v>1</v>
      </c>
      <c r="Q883" s="29">
        <f>Item_Enchant_Old!Q887</f>
        <v>1</v>
      </c>
      <c r="R883" s="29">
        <f>Item_Enchant_Old!R887</f>
        <v>1</v>
      </c>
    </row>
    <row r="884" spans="1:18" s="29" customFormat="1" hidden="1">
      <c r="A884" s="29">
        <f>Item_Enchant_Old!A888</f>
        <v>883</v>
      </c>
      <c r="B884" s="29" t="str">
        <f>Item_Enchant_Old!B888</f>
        <v>ACTIVE_PHYSICAL_CRITICAL_DAMAGE_UP</v>
      </c>
      <c r="C884" s="29">
        <f>Item_Enchant_Old!C888</f>
        <v>658</v>
      </c>
      <c r="D884" s="29">
        <f>Item_Enchant_Old!D888</f>
        <v>0</v>
      </c>
      <c r="E884" s="29">
        <f>Item_Enchant_Old!E888</f>
        <v>0</v>
      </c>
      <c r="F884" s="29">
        <f>Item_Enchant_Old!F888</f>
        <v>0</v>
      </c>
      <c r="G884" s="29">
        <f>Item_Enchant_Old!G888</f>
        <v>4</v>
      </c>
      <c r="H884" s="29" t="str">
        <f>Item_Enchant_Old!H888</f>
        <v>@</v>
      </c>
      <c r="I884" s="29">
        <f>Item_Enchant_Old!I888</f>
        <v>1</v>
      </c>
      <c r="J884" s="29" t="str">
        <f>Item_Enchant_Old!J888</f>
        <v>절대값만 가능</v>
      </c>
      <c r="K884" s="29">
        <f>Item_Enchant_Old!K888</f>
        <v>17</v>
      </c>
      <c r="L884" s="29">
        <f>Item_Enchant_Old!L888</f>
        <v>0</v>
      </c>
      <c r="M884" s="29">
        <f>Item_Enchant_Old!M888</f>
        <v>10</v>
      </c>
      <c r="N884" s="29">
        <f>Item_Enchant_Old!N888</f>
        <v>28</v>
      </c>
      <c r="O884" s="29">
        <f>Item_Enchant_Old!O888</f>
        <v>1</v>
      </c>
      <c r="P884" s="29">
        <f>Item_Enchant_Old!P888</f>
        <v>1</v>
      </c>
      <c r="Q884" s="29">
        <f>Item_Enchant_Old!Q888</f>
        <v>1</v>
      </c>
      <c r="R884" s="29">
        <f>Item_Enchant_Old!R888</f>
        <v>1</v>
      </c>
    </row>
    <row r="885" spans="1:18" s="29" customFormat="1" hidden="1">
      <c r="A885" s="29">
        <f>Item_Enchant_Old!A889</f>
        <v>884</v>
      </c>
      <c r="B885" s="29" t="str">
        <f>Item_Enchant_Old!B889</f>
        <v>ACTIVE_ENERGY_CRITICAL_DAMAGE_UP</v>
      </c>
      <c r="C885" s="29">
        <f>Item_Enchant_Old!C889</f>
        <v>659</v>
      </c>
      <c r="D885" s="29">
        <f>Item_Enchant_Old!D889</f>
        <v>0</v>
      </c>
      <c r="E885" s="29">
        <f>Item_Enchant_Old!E889</f>
        <v>0</v>
      </c>
      <c r="F885" s="29">
        <f>Item_Enchant_Old!F889</f>
        <v>0</v>
      </c>
      <c r="G885" s="29">
        <f>Item_Enchant_Old!G889</f>
        <v>4</v>
      </c>
      <c r="H885" s="29" t="str">
        <f>Item_Enchant_Old!H889</f>
        <v>@</v>
      </c>
      <c r="I885" s="29">
        <f>Item_Enchant_Old!I889</f>
        <v>1</v>
      </c>
      <c r="J885" s="29" t="str">
        <f>Item_Enchant_Old!J889</f>
        <v>절대값만 가능</v>
      </c>
      <c r="K885" s="29">
        <f>Item_Enchant_Old!K889</f>
        <v>17</v>
      </c>
      <c r="L885" s="29">
        <f>Item_Enchant_Old!L889</f>
        <v>0</v>
      </c>
      <c r="M885" s="29">
        <f>Item_Enchant_Old!M889</f>
        <v>10</v>
      </c>
      <c r="N885" s="29">
        <f>Item_Enchant_Old!N889</f>
        <v>32</v>
      </c>
      <c r="O885" s="29">
        <f>Item_Enchant_Old!O889</f>
        <v>1</v>
      </c>
      <c r="P885" s="29">
        <f>Item_Enchant_Old!P889</f>
        <v>1</v>
      </c>
      <c r="Q885" s="29">
        <f>Item_Enchant_Old!Q889</f>
        <v>1</v>
      </c>
      <c r="R885" s="29">
        <f>Item_Enchant_Old!R889</f>
        <v>1</v>
      </c>
    </row>
    <row r="886" spans="1:18" s="29" customFormat="1" hidden="1">
      <c r="A886" s="29">
        <f>Item_Enchant_Old!A890</f>
        <v>885</v>
      </c>
      <c r="B886" s="29" t="str">
        <f>Item_Enchant_Old!B890</f>
        <v>ACTIVE_DEX_UP</v>
      </c>
      <c r="C886" s="29">
        <f>Item_Enchant_Old!C890</f>
        <v>613</v>
      </c>
      <c r="D886" s="29">
        <f>Item_Enchant_Old!D890</f>
        <v>0</v>
      </c>
      <c r="E886" s="29">
        <f>Item_Enchant_Old!E890</f>
        <v>0</v>
      </c>
      <c r="F886" s="29">
        <f>Item_Enchant_Old!F890</f>
        <v>0</v>
      </c>
      <c r="G886" s="29">
        <f>Item_Enchant_Old!G890</f>
        <v>3</v>
      </c>
      <c r="H886" s="29" t="str">
        <f>Item_Enchant_Old!H890</f>
        <v>@</v>
      </c>
      <c r="I886" s="29">
        <f>Item_Enchant_Old!I890</f>
        <v>1</v>
      </c>
      <c r="J886" s="29" t="str">
        <f>Item_Enchant_Old!J890</f>
        <v>절대값/상대값(%) 가능</v>
      </c>
      <c r="K886" s="29">
        <f>Item_Enchant_Old!K890</f>
        <v>17</v>
      </c>
      <c r="L886" s="29">
        <f>Item_Enchant_Old!L890</f>
        <v>0</v>
      </c>
      <c r="M886" s="29">
        <f>Item_Enchant_Old!M890</f>
        <v>10</v>
      </c>
      <c r="N886" s="29">
        <f>Item_Enchant_Old!N890</f>
        <v>44</v>
      </c>
      <c r="O886" s="29">
        <f>Item_Enchant_Old!O890</f>
        <v>1</v>
      </c>
      <c r="P886" s="29">
        <f>Item_Enchant_Old!P890</f>
        <v>1</v>
      </c>
      <c r="Q886" s="29">
        <f>Item_Enchant_Old!Q890</f>
        <v>1</v>
      </c>
      <c r="R886" s="29">
        <f>Item_Enchant_Old!R890</f>
        <v>1</v>
      </c>
    </row>
    <row r="887" spans="1:18" s="29" customFormat="1" hidden="1">
      <c r="A887" s="29">
        <f>Item_Enchant_Old!A891</f>
        <v>886</v>
      </c>
      <c r="B887" s="29" t="str">
        <f>Item_Enchant_Old!B891</f>
        <v>ACTIVE_ATTACK_SPEED_UP</v>
      </c>
      <c r="C887" s="29">
        <f>Item_Enchant_Old!C891</f>
        <v>617</v>
      </c>
      <c r="D887" s="29">
        <f>Item_Enchant_Old!D891</f>
        <v>1</v>
      </c>
      <c r="E887" s="29">
        <f>Item_Enchant_Old!E891</f>
        <v>0</v>
      </c>
      <c r="F887" s="29">
        <f>Item_Enchant_Old!F891</f>
        <v>0</v>
      </c>
      <c r="G887" s="29">
        <f>Item_Enchant_Old!G891</f>
        <v>10</v>
      </c>
      <c r="H887" s="29" t="str">
        <f>Item_Enchant_Old!H891</f>
        <v>@</v>
      </c>
      <c r="I887" s="29">
        <f>Item_Enchant_Old!I891</f>
        <v>1</v>
      </c>
      <c r="J887" s="29" t="str">
        <f>Item_Enchant_Old!J891</f>
        <v>절대값/상대값(%) 가능</v>
      </c>
      <c r="K887" s="29">
        <f>Item_Enchant_Old!K891</f>
        <v>17</v>
      </c>
      <c r="L887" s="29">
        <f>Item_Enchant_Old!L891</f>
        <v>0</v>
      </c>
      <c r="M887" s="29">
        <f>Item_Enchant_Old!M891</f>
        <v>10</v>
      </c>
      <c r="N887" s="29">
        <f>Item_Enchant_Old!N891</f>
        <v>10</v>
      </c>
      <c r="O887" s="29">
        <f>Item_Enchant_Old!O891</f>
        <v>1</v>
      </c>
      <c r="P887" s="29">
        <f>Item_Enchant_Old!P891</f>
        <v>1</v>
      </c>
      <c r="Q887" s="29">
        <f>Item_Enchant_Old!Q891</f>
        <v>1</v>
      </c>
      <c r="R887" s="29">
        <f>Item_Enchant_Old!R891</f>
        <v>1</v>
      </c>
    </row>
    <row r="888" spans="1:18" s="29" customFormat="1" hidden="1">
      <c r="A888" s="29">
        <f>Item_Enchant_Old!A892</f>
        <v>887</v>
      </c>
      <c r="B888" s="29" t="str">
        <f>Item_Enchant_Old!B892</f>
        <v>ACTIVE_STR_UP</v>
      </c>
      <c r="C888" s="29">
        <f>Item_Enchant_Old!C892</f>
        <v>610</v>
      </c>
      <c r="D888" s="29">
        <f>Item_Enchant_Old!D892</f>
        <v>0</v>
      </c>
      <c r="E888" s="29">
        <f>Item_Enchant_Old!E892</f>
        <v>0</v>
      </c>
      <c r="F888" s="29">
        <f>Item_Enchant_Old!F892</f>
        <v>0</v>
      </c>
      <c r="G888" s="29">
        <f>Item_Enchant_Old!G892</f>
        <v>2</v>
      </c>
      <c r="H888" s="29" t="str">
        <f>Item_Enchant_Old!H892</f>
        <v>@</v>
      </c>
      <c r="I888" s="29">
        <f>Item_Enchant_Old!I892</f>
        <v>1</v>
      </c>
      <c r="J888" s="29" t="str">
        <f>Item_Enchant_Old!J892</f>
        <v>절대값/상대값(%) 가능</v>
      </c>
      <c r="K888" s="29">
        <f>Item_Enchant_Old!K892</f>
        <v>17</v>
      </c>
      <c r="L888" s="29">
        <f>Item_Enchant_Old!L892</f>
        <v>0</v>
      </c>
      <c r="M888" s="29">
        <f>Item_Enchant_Old!M892</f>
        <v>11</v>
      </c>
      <c r="N888" s="29">
        <f>Item_Enchant_Old!N892</f>
        <v>57</v>
      </c>
      <c r="O888" s="29">
        <f>Item_Enchant_Old!O892</f>
        <v>1</v>
      </c>
      <c r="P888" s="29">
        <f>Item_Enchant_Old!P892</f>
        <v>1</v>
      </c>
      <c r="Q888" s="29">
        <f>Item_Enchant_Old!Q892</f>
        <v>1</v>
      </c>
      <c r="R888" s="29">
        <f>Item_Enchant_Old!R892</f>
        <v>1</v>
      </c>
    </row>
    <row r="889" spans="1:18" s="29" customFormat="1" hidden="1">
      <c r="A889" s="29">
        <f>Item_Enchant_Old!A893</f>
        <v>888</v>
      </c>
      <c r="B889" s="29" t="str">
        <f>Item_Enchant_Old!B893</f>
        <v>ACTIVE_CON_UP</v>
      </c>
      <c r="C889" s="29">
        <f>Item_Enchant_Old!C893</f>
        <v>611</v>
      </c>
      <c r="D889" s="29">
        <f>Item_Enchant_Old!D893</f>
        <v>0</v>
      </c>
      <c r="E889" s="29">
        <f>Item_Enchant_Old!E893</f>
        <v>0</v>
      </c>
      <c r="F889" s="29">
        <f>Item_Enchant_Old!F893</f>
        <v>0</v>
      </c>
      <c r="G889" s="29">
        <f>Item_Enchant_Old!G893</f>
        <v>3</v>
      </c>
      <c r="H889" s="29" t="str">
        <f>Item_Enchant_Old!H893</f>
        <v>@</v>
      </c>
      <c r="I889" s="29">
        <f>Item_Enchant_Old!I893</f>
        <v>1</v>
      </c>
      <c r="J889" s="29" t="str">
        <f>Item_Enchant_Old!J893</f>
        <v>절대값/상대값(%) 가능</v>
      </c>
      <c r="K889" s="29">
        <f>Item_Enchant_Old!K893</f>
        <v>17</v>
      </c>
      <c r="L889" s="29">
        <f>Item_Enchant_Old!L893</f>
        <v>0</v>
      </c>
      <c r="M889" s="29">
        <f>Item_Enchant_Old!M893</f>
        <v>11</v>
      </c>
      <c r="N889" s="29">
        <f>Item_Enchant_Old!N893</f>
        <v>48</v>
      </c>
      <c r="O889" s="29">
        <f>Item_Enchant_Old!O893</f>
        <v>1</v>
      </c>
      <c r="P889" s="29">
        <f>Item_Enchant_Old!P893</f>
        <v>1</v>
      </c>
      <c r="Q889" s="29">
        <f>Item_Enchant_Old!Q893</f>
        <v>1</v>
      </c>
      <c r="R889" s="29">
        <f>Item_Enchant_Old!R893</f>
        <v>1</v>
      </c>
    </row>
    <row r="890" spans="1:18" s="29" customFormat="1" hidden="1">
      <c r="A890" s="29">
        <f>Item_Enchant_Old!A894</f>
        <v>889</v>
      </c>
      <c r="B890" s="29" t="str">
        <f>Item_Enchant_Old!B894</f>
        <v>ACTIVE_FOC_UP</v>
      </c>
      <c r="C890" s="29">
        <f>Item_Enchant_Old!C894</f>
        <v>612</v>
      </c>
      <c r="D890" s="29">
        <f>Item_Enchant_Old!D894</f>
        <v>0</v>
      </c>
      <c r="E890" s="29">
        <f>Item_Enchant_Old!E894</f>
        <v>0</v>
      </c>
      <c r="F890" s="29">
        <f>Item_Enchant_Old!F894</f>
        <v>0</v>
      </c>
      <c r="G890" s="29">
        <f>Item_Enchant_Old!G894</f>
        <v>2</v>
      </c>
      <c r="H890" s="29" t="str">
        <f>Item_Enchant_Old!H894</f>
        <v>@</v>
      </c>
      <c r="I890" s="29">
        <f>Item_Enchant_Old!I894</f>
        <v>1</v>
      </c>
      <c r="J890" s="29" t="str">
        <f>Item_Enchant_Old!J894</f>
        <v>절대값/상대값(%) 가능</v>
      </c>
      <c r="K890" s="29">
        <f>Item_Enchant_Old!K894</f>
        <v>17</v>
      </c>
      <c r="L890" s="29">
        <f>Item_Enchant_Old!L894</f>
        <v>0</v>
      </c>
      <c r="M890" s="29">
        <f>Item_Enchant_Old!M894</f>
        <v>11</v>
      </c>
      <c r="N890" s="29">
        <f>Item_Enchant_Old!N894</f>
        <v>53</v>
      </c>
      <c r="O890" s="29">
        <f>Item_Enchant_Old!O894</f>
        <v>1</v>
      </c>
      <c r="P890" s="29">
        <f>Item_Enchant_Old!P894</f>
        <v>1</v>
      </c>
      <c r="Q890" s="29">
        <f>Item_Enchant_Old!Q894</f>
        <v>1</v>
      </c>
      <c r="R890" s="29">
        <f>Item_Enchant_Old!R894</f>
        <v>1</v>
      </c>
    </row>
    <row r="891" spans="1:18" s="29" customFormat="1" hidden="1">
      <c r="A891" s="29">
        <f>Item_Enchant_Old!A895</f>
        <v>890</v>
      </c>
      <c r="B891" s="29" t="str">
        <f>Item_Enchant_Old!B895</f>
        <v>ACTIVE_DEX_UP</v>
      </c>
      <c r="C891" s="29">
        <f>Item_Enchant_Old!C895</f>
        <v>613</v>
      </c>
      <c r="D891" s="29">
        <f>Item_Enchant_Old!D895</f>
        <v>0</v>
      </c>
      <c r="E891" s="29">
        <f>Item_Enchant_Old!E895</f>
        <v>0</v>
      </c>
      <c r="F891" s="29">
        <f>Item_Enchant_Old!F895</f>
        <v>0</v>
      </c>
      <c r="G891" s="29">
        <f>Item_Enchant_Old!G895</f>
        <v>3</v>
      </c>
      <c r="H891" s="29" t="str">
        <f>Item_Enchant_Old!H895</f>
        <v>@</v>
      </c>
      <c r="I891" s="29">
        <f>Item_Enchant_Old!I895</f>
        <v>1</v>
      </c>
      <c r="J891" s="29" t="str">
        <f>Item_Enchant_Old!J895</f>
        <v>절대값/상대값(%) 가능</v>
      </c>
      <c r="K891" s="29">
        <f>Item_Enchant_Old!K895</f>
        <v>17</v>
      </c>
      <c r="L891" s="29">
        <f>Item_Enchant_Old!L895</f>
        <v>0</v>
      </c>
      <c r="M891" s="29">
        <f>Item_Enchant_Old!M895</f>
        <v>11</v>
      </c>
      <c r="N891" s="29">
        <f>Item_Enchant_Old!N895</f>
        <v>44</v>
      </c>
      <c r="O891" s="29">
        <f>Item_Enchant_Old!O895</f>
        <v>1</v>
      </c>
      <c r="P891" s="29">
        <f>Item_Enchant_Old!P895</f>
        <v>1</v>
      </c>
      <c r="Q891" s="29">
        <f>Item_Enchant_Old!Q895</f>
        <v>1</v>
      </c>
      <c r="R891" s="29">
        <f>Item_Enchant_Old!R895</f>
        <v>1</v>
      </c>
    </row>
    <row r="892" spans="1:18" s="29" customFormat="1" hidden="1">
      <c r="A892" s="29">
        <f>Item_Enchant_Old!A896</f>
        <v>891</v>
      </c>
      <c r="B892" s="29" t="str">
        <f>Item_Enchant_Old!B896</f>
        <v>ACTIVE_SOL_UP</v>
      </c>
      <c r="C892" s="29">
        <f>Item_Enchant_Old!C896</f>
        <v>614</v>
      </c>
      <c r="D892" s="29">
        <f>Item_Enchant_Old!D896</f>
        <v>0</v>
      </c>
      <c r="E892" s="29">
        <f>Item_Enchant_Old!E896</f>
        <v>0</v>
      </c>
      <c r="F892" s="29">
        <f>Item_Enchant_Old!F896</f>
        <v>0</v>
      </c>
      <c r="G892" s="29">
        <f>Item_Enchant_Old!G896</f>
        <v>2</v>
      </c>
      <c r="H892" s="29" t="str">
        <f>Item_Enchant_Old!H896</f>
        <v>@</v>
      </c>
      <c r="I892" s="29">
        <f>Item_Enchant_Old!I896</f>
        <v>1</v>
      </c>
      <c r="J892" s="29" t="str">
        <f>Item_Enchant_Old!J896</f>
        <v>절대값/상대값(%) 가능</v>
      </c>
      <c r="K892" s="29">
        <f>Item_Enchant_Old!K896</f>
        <v>17</v>
      </c>
      <c r="L892" s="29">
        <f>Item_Enchant_Old!L896</f>
        <v>0</v>
      </c>
      <c r="M892" s="29">
        <f>Item_Enchant_Old!M896</f>
        <v>11</v>
      </c>
      <c r="N892" s="29">
        <f>Item_Enchant_Old!N896</f>
        <v>53</v>
      </c>
      <c r="O892" s="29">
        <f>Item_Enchant_Old!O896</f>
        <v>1</v>
      </c>
      <c r="P892" s="29">
        <f>Item_Enchant_Old!P896</f>
        <v>1</v>
      </c>
      <c r="Q892" s="29">
        <f>Item_Enchant_Old!Q896</f>
        <v>1</v>
      </c>
      <c r="R892" s="29">
        <f>Item_Enchant_Old!R896</f>
        <v>1</v>
      </c>
    </row>
    <row r="893" spans="1:18" s="29" customFormat="1" hidden="1">
      <c r="A893" s="29">
        <f>Item_Enchant_Old!A897</f>
        <v>892</v>
      </c>
      <c r="B893" s="29" t="str">
        <f>Item_Enchant_Old!B897</f>
        <v>ACTIVE_ENG_UP</v>
      </c>
      <c r="C893" s="29">
        <f>Item_Enchant_Old!C897</f>
        <v>615</v>
      </c>
      <c r="D893" s="29">
        <f>Item_Enchant_Old!D897</f>
        <v>0</v>
      </c>
      <c r="E893" s="29">
        <f>Item_Enchant_Old!E897</f>
        <v>0</v>
      </c>
      <c r="F893" s="29">
        <f>Item_Enchant_Old!F897</f>
        <v>0</v>
      </c>
      <c r="G893" s="29">
        <f>Item_Enchant_Old!G897</f>
        <v>2</v>
      </c>
      <c r="H893" s="29" t="str">
        <f>Item_Enchant_Old!H897</f>
        <v>@</v>
      </c>
      <c r="I893" s="29">
        <f>Item_Enchant_Old!I897</f>
        <v>1</v>
      </c>
      <c r="J893" s="29" t="str">
        <f>Item_Enchant_Old!J897</f>
        <v>절대값/상대값(%) 가능</v>
      </c>
      <c r="K893" s="29">
        <f>Item_Enchant_Old!K897</f>
        <v>17</v>
      </c>
      <c r="L893" s="29">
        <f>Item_Enchant_Old!L897</f>
        <v>0</v>
      </c>
      <c r="M893" s="29">
        <f>Item_Enchant_Old!M897</f>
        <v>11</v>
      </c>
      <c r="N893" s="29">
        <f>Item_Enchant_Old!N897</f>
        <v>62</v>
      </c>
      <c r="O893" s="29">
        <f>Item_Enchant_Old!O897</f>
        <v>1</v>
      </c>
      <c r="P893" s="29">
        <f>Item_Enchant_Old!P897</f>
        <v>1</v>
      </c>
      <c r="Q893" s="29">
        <f>Item_Enchant_Old!Q897</f>
        <v>1</v>
      </c>
      <c r="R893" s="29">
        <f>Item_Enchant_Old!R897</f>
        <v>1</v>
      </c>
    </row>
    <row r="894" spans="1:18" s="29" customFormat="1" hidden="1">
      <c r="A894" s="29">
        <f>Item_Enchant_Old!A898</f>
        <v>893</v>
      </c>
      <c r="B894" s="29" t="str">
        <f>Item_Enchant_Old!B898</f>
        <v>ACTIVE_PHYSICAL_DEFENCE_UP</v>
      </c>
      <c r="C894" s="29">
        <f>Item_Enchant_Old!C898</f>
        <v>608</v>
      </c>
      <c r="D894" s="29">
        <f>Item_Enchant_Old!D898</f>
        <v>0</v>
      </c>
      <c r="E894" s="29">
        <f>Item_Enchant_Old!E898</f>
        <v>0</v>
      </c>
      <c r="F894" s="29">
        <f>Item_Enchant_Old!F898</f>
        <v>0</v>
      </c>
      <c r="G894" s="29">
        <f>Item_Enchant_Old!G898</f>
        <v>1</v>
      </c>
      <c r="H894" s="29" t="str">
        <f>Item_Enchant_Old!H898</f>
        <v>@</v>
      </c>
      <c r="I894" s="29">
        <f>Item_Enchant_Old!I898</f>
        <v>1</v>
      </c>
      <c r="J894" s="29" t="str">
        <f>Item_Enchant_Old!J898</f>
        <v>절대값/상대값(%) 가능</v>
      </c>
      <c r="K894" s="29">
        <f>Item_Enchant_Old!K898</f>
        <v>17</v>
      </c>
      <c r="L894" s="29">
        <f>Item_Enchant_Old!L898</f>
        <v>0</v>
      </c>
      <c r="M894" s="29">
        <f>Item_Enchant_Old!M898</f>
        <v>12</v>
      </c>
      <c r="N894" s="29">
        <f>Item_Enchant_Old!N898</f>
        <v>1350</v>
      </c>
      <c r="O894" s="29">
        <f>Item_Enchant_Old!O898</f>
        <v>1</v>
      </c>
      <c r="P894" s="29">
        <f>Item_Enchant_Old!P898</f>
        <v>1</v>
      </c>
      <c r="Q894" s="29">
        <f>Item_Enchant_Old!Q898</f>
        <v>1</v>
      </c>
      <c r="R894" s="29">
        <f>Item_Enchant_Old!R898</f>
        <v>1</v>
      </c>
    </row>
    <row r="895" spans="1:18" s="29" customFormat="1" hidden="1">
      <c r="A895" s="29">
        <f>Item_Enchant_Old!A899</f>
        <v>894</v>
      </c>
      <c r="B895" s="29" t="str">
        <f>Item_Enchant_Old!B899</f>
        <v>ACTIVE_BLOCK_RATE_UP</v>
      </c>
      <c r="C895" s="29">
        <f>Item_Enchant_Old!C899</f>
        <v>620</v>
      </c>
      <c r="D895" s="29">
        <f>Item_Enchant_Old!D899</f>
        <v>0</v>
      </c>
      <c r="E895" s="29">
        <f>Item_Enchant_Old!E899</f>
        <v>0</v>
      </c>
      <c r="F895" s="29">
        <f>Item_Enchant_Old!F899</f>
        <v>0</v>
      </c>
      <c r="G895" s="29">
        <f>Item_Enchant_Old!G899</f>
        <v>1</v>
      </c>
      <c r="H895" s="29" t="str">
        <f>Item_Enchant_Old!H899</f>
        <v>@</v>
      </c>
      <c r="I895" s="29">
        <f>Item_Enchant_Old!I899</f>
        <v>1</v>
      </c>
      <c r="J895" s="29" t="str">
        <f>Item_Enchant_Old!J899</f>
        <v>절대값/상대값(%) 가능</v>
      </c>
      <c r="K895" s="29">
        <f>Item_Enchant_Old!K899</f>
        <v>17</v>
      </c>
      <c r="L895" s="29">
        <f>Item_Enchant_Old!L899</f>
        <v>0</v>
      </c>
      <c r="M895" s="29">
        <f>Item_Enchant_Old!M899</f>
        <v>12</v>
      </c>
      <c r="N895" s="29">
        <f>Item_Enchant_Old!N899</f>
        <v>352</v>
      </c>
      <c r="O895" s="29">
        <f>Item_Enchant_Old!O899</f>
        <v>1</v>
      </c>
      <c r="P895" s="29">
        <f>Item_Enchant_Old!P899</f>
        <v>1</v>
      </c>
      <c r="Q895" s="29">
        <f>Item_Enchant_Old!Q899</f>
        <v>1</v>
      </c>
      <c r="R895" s="29">
        <f>Item_Enchant_Old!R899</f>
        <v>1</v>
      </c>
    </row>
    <row r="896" spans="1:18" s="29" customFormat="1" hidden="1">
      <c r="A896" s="29">
        <f>Item_Enchant_Old!A900</f>
        <v>895</v>
      </c>
      <c r="B896" s="29" t="str">
        <f>Item_Enchant_Old!B900</f>
        <v>ACTIVE_CON_UP</v>
      </c>
      <c r="C896" s="29">
        <f>Item_Enchant_Old!C900</f>
        <v>611</v>
      </c>
      <c r="D896" s="29">
        <f>Item_Enchant_Old!D900</f>
        <v>0</v>
      </c>
      <c r="E896" s="29">
        <f>Item_Enchant_Old!E900</f>
        <v>0</v>
      </c>
      <c r="F896" s="29">
        <f>Item_Enchant_Old!F900</f>
        <v>0</v>
      </c>
      <c r="G896" s="29">
        <f>Item_Enchant_Old!G900</f>
        <v>3</v>
      </c>
      <c r="H896" s="29" t="str">
        <f>Item_Enchant_Old!H900</f>
        <v>@</v>
      </c>
      <c r="I896" s="29">
        <f>Item_Enchant_Old!I900</f>
        <v>1</v>
      </c>
      <c r="J896" s="29" t="str">
        <f>Item_Enchant_Old!J900</f>
        <v>절대값/상대값(%) 가능</v>
      </c>
      <c r="K896" s="29">
        <f>Item_Enchant_Old!K900</f>
        <v>17</v>
      </c>
      <c r="L896" s="29">
        <f>Item_Enchant_Old!L900</f>
        <v>0</v>
      </c>
      <c r="M896" s="29">
        <f>Item_Enchant_Old!M900</f>
        <v>12</v>
      </c>
      <c r="N896" s="29">
        <f>Item_Enchant_Old!N900</f>
        <v>48</v>
      </c>
      <c r="O896" s="29">
        <f>Item_Enchant_Old!O900</f>
        <v>1</v>
      </c>
      <c r="P896" s="29">
        <f>Item_Enchant_Old!P900</f>
        <v>1</v>
      </c>
      <c r="Q896" s="29">
        <f>Item_Enchant_Old!Q900</f>
        <v>1</v>
      </c>
      <c r="R896" s="29">
        <f>Item_Enchant_Old!R900</f>
        <v>1</v>
      </c>
    </row>
    <row r="897" spans="1:18" s="29" customFormat="1" hidden="1">
      <c r="A897" s="29">
        <f>Item_Enchant_Old!A901</f>
        <v>896</v>
      </c>
      <c r="B897" s="29" t="str">
        <f>Item_Enchant_Old!B901</f>
        <v>ACTIVE_FOC_UP</v>
      </c>
      <c r="C897" s="29">
        <f>Item_Enchant_Old!C901</f>
        <v>612</v>
      </c>
      <c r="D897" s="29">
        <f>Item_Enchant_Old!D901</f>
        <v>0</v>
      </c>
      <c r="E897" s="29">
        <f>Item_Enchant_Old!E901</f>
        <v>0</v>
      </c>
      <c r="F897" s="29">
        <f>Item_Enchant_Old!F901</f>
        <v>0</v>
      </c>
      <c r="G897" s="29">
        <f>Item_Enchant_Old!G901</f>
        <v>2</v>
      </c>
      <c r="H897" s="29" t="str">
        <f>Item_Enchant_Old!H901</f>
        <v>@</v>
      </c>
      <c r="I897" s="29">
        <f>Item_Enchant_Old!I901</f>
        <v>1</v>
      </c>
      <c r="J897" s="29" t="str">
        <f>Item_Enchant_Old!J901</f>
        <v>절대값/상대값(%) 가능</v>
      </c>
      <c r="K897" s="29">
        <f>Item_Enchant_Old!K901</f>
        <v>17</v>
      </c>
      <c r="L897" s="29">
        <f>Item_Enchant_Old!L901</f>
        <v>0</v>
      </c>
      <c r="M897" s="29">
        <f>Item_Enchant_Old!M901</f>
        <v>12</v>
      </c>
      <c r="N897" s="29">
        <f>Item_Enchant_Old!N901</f>
        <v>53</v>
      </c>
      <c r="O897" s="29">
        <f>Item_Enchant_Old!O901</f>
        <v>1</v>
      </c>
      <c r="P897" s="29">
        <f>Item_Enchant_Old!P901</f>
        <v>1</v>
      </c>
      <c r="Q897" s="29">
        <f>Item_Enchant_Old!Q901</f>
        <v>1</v>
      </c>
      <c r="R897" s="29">
        <f>Item_Enchant_Old!R901</f>
        <v>1</v>
      </c>
    </row>
    <row r="898" spans="1:18" s="29" customFormat="1" hidden="1">
      <c r="A898" s="29">
        <f>Item_Enchant_Old!A902</f>
        <v>897</v>
      </c>
      <c r="B898" s="29" t="str">
        <f>Item_Enchant_Old!B902</f>
        <v>ACTIVE_PHYSICAL_DEFENCE_UP</v>
      </c>
      <c r="C898" s="29">
        <f>Item_Enchant_Old!C902</f>
        <v>608</v>
      </c>
      <c r="D898" s="29">
        <f>Item_Enchant_Old!D902</f>
        <v>0</v>
      </c>
      <c r="E898" s="29">
        <f>Item_Enchant_Old!E902</f>
        <v>0</v>
      </c>
      <c r="F898" s="29">
        <f>Item_Enchant_Old!F902</f>
        <v>0</v>
      </c>
      <c r="G898" s="29">
        <f>Item_Enchant_Old!G902</f>
        <v>1</v>
      </c>
      <c r="H898" s="29" t="str">
        <f>Item_Enchant_Old!H902</f>
        <v>@</v>
      </c>
      <c r="I898" s="29">
        <f>Item_Enchant_Old!I902</f>
        <v>1</v>
      </c>
      <c r="J898" s="29" t="str">
        <f>Item_Enchant_Old!J902</f>
        <v>절대값/상대값(%) 가능</v>
      </c>
      <c r="K898" s="29">
        <f>Item_Enchant_Old!K902</f>
        <v>18</v>
      </c>
      <c r="L898" s="29">
        <f>Item_Enchant_Old!L902</f>
        <v>0</v>
      </c>
      <c r="M898" s="29">
        <f>Item_Enchant_Old!M902</f>
        <v>1</v>
      </c>
      <c r="N898" s="29">
        <f>Item_Enchant_Old!N902</f>
        <v>1350</v>
      </c>
      <c r="O898" s="29">
        <f>Item_Enchant_Old!O902</f>
        <v>1</v>
      </c>
      <c r="P898" s="29">
        <f>Item_Enchant_Old!P902</f>
        <v>1</v>
      </c>
      <c r="Q898" s="29">
        <f>Item_Enchant_Old!Q902</f>
        <v>1</v>
      </c>
      <c r="R898" s="29">
        <f>Item_Enchant_Old!R902</f>
        <v>1</v>
      </c>
    </row>
    <row r="899" spans="1:18" s="29" customFormat="1" hidden="1">
      <c r="A899" s="29">
        <f>Item_Enchant_Old!A903</f>
        <v>898</v>
      </c>
      <c r="B899" s="29" t="str">
        <f>Item_Enchant_Old!B903</f>
        <v>ACTIVE_BLOCK_RATE_UP</v>
      </c>
      <c r="C899" s="29">
        <f>Item_Enchant_Old!C903</f>
        <v>620</v>
      </c>
      <c r="D899" s="29">
        <f>Item_Enchant_Old!D903</f>
        <v>0</v>
      </c>
      <c r="E899" s="29">
        <f>Item_Enchant_Old!E903</f>
        <v>0</v>
      </c>
      <c r="F899" s="29">
        <f>Item_Enchant_Old!F903</f>
        <v>0</v>
      </c>
      <c r="G899" s="29">
        <f>Item_Enchant_Old!G903</f>
        <v>1</v>
      </c>
      <c r="H899" s="29" t="str">
        <f>Item_Enchant_Old!H903</f>
        <v>@</v>
      </c>
      <c r="I899" s="29">
        <f>Item_Enchant_Old!I903</f>
        <v>1</v>
      </c>
      <c r="J899" s="29" t="str">
        <f>Item_Enchant_Old!J903</f>
        <v>절대값/상대값(%) 가능</v>
      </c>
      <c r="K899" s="29">
        <f>Item_Enchant_Old!K903</f>
        <v>18</v>
      </c>
      <c r="L899" s="29">
        <f>Item_Enchant_Old!L903</f>
        <v>0</v>
      </c>
      <c r="M899" s="29">
        <f>Item_Enchant_Old!M903</f>
        <v>1</v>
      </c>
      <c r="N899" s="29">
        <f>Item_Enchant_Old!N903</f>
        <v>352</v>
      </c>
      <c r="O899" s="29">
        <f>Item_Enchant_Old!O903</f>
        <v>1</v>
      </c>
      <c r="P899" s="29">
        <f>Item_Enchant_Old!P903</f>
        <v>1</v>
      </c>
      <c r="Q899" s="29">
        <f>Item_Enchant_Old!Q903</f>
        <v>1</v>
      </c>
      <c r="R899" s="29">
        <f>Item_Enchant_Old!R903</f>
        <v>1</v>
      </c>
    </row>
    <row r="900" spans="1:18" s="29" customFormat="1" hidden="1">
      <c r="A900" s="29">
        <f>Item_Enchant_Old!A904</f>
        <v>899</v>
      </c>
      <c r="B900" s="29" t="str">
        <f>Item_Enchant_Old!B904</f>
        <v>ACTIVE_CON_UP</v>
      </c>
      <c r="C900" s="29">
        <f>Item_Enchant_Old!C904</f>
        <v>611</v>
      </c>
      <c r="D900" s="29">
        <f>Item_Enchant_Old!D904</f>
        <v>0</v>
      </c>
      <c r="E900" s="29">
        <f>Item_Enchant_Old!E904</f>
        <v>0</v>
      </c>
      <c r="F900" s="29">
        <f>Item_Enchant_Old!F904</f>
        <v>0</v>
      </c>
      <c r="G900" s="29">
        <f>Item_Enchant_Old!G904</f>
        <v>3</v>
      </c>
      <c r="H900" s="29" t="str">
        <f>Item_Enchant_Old!H904</f>
        <v>@</v>
      </c>
      <c r="I900" s="29">
        <f>Item_Enchant_Old!I904</f>
        <v>1</v>
      </c>
      <c r="J900" s="29" t="str">
        <f>Item_Enchant_Old!J904</f>
        <v>절대값/상대값(%) 가능</v>
      </c>
      <c r="K900" s="29">
        <f>Item_Enchant_Old!K904</f>
        <v>18</v>
      </c>
      <c r="L900" s="29">
        <f>Item_Enchant_Old!L904</f>
        <v>0</v>
      </c>
      <c r="M900" s="29">
        <f>Item_Enchant_Old!M904</f>
        <v>1</v>
      </c>
      <c r="N900" s="29">
        <f>Item_Enchant_Old!N904</f>
        <v>48</v>
      </c>
      <c r="O900" s="29">
        <f>Item_Enchant_Old!O904</f>
        <v>1</v>
      </c>
      <c r="P900" s="29">
        <f>Item_Enchant_Old!P904</f>
        <v>1</v>
      </c>
      <c r="Q900" s="29">
        <f>Item_Enchant_Old!Q904</f>
        <v>1</v>
      </c>
      <c r="R900" s="29">
        <f>Item_Enchant_Old!R904</f>
        <v>1</v>
      </c>
    </row>
    <row r="901" spans="1:18" s="29" customFormat="1" hidden="1">
      <c r="A901" s="29">
        <f>Item_Enchant_Old!A905</f>
        <v>900</v>
      </c>
      <c r="B901" s="29" t="str">
        <f>Item_Enchant_Old!B905</f>
        <v>ACTIVE_BLEED_DEFENCE</v>
      </c>
      <c r="C901" s="29">
        <f>Item_Enchant_Old!C905</f>
        <v>681</v>
      </c>
      <c r="D901" s="29">
        <f>Item_Enchant_Old!D905</f>
        <v>0</v>
      </c>
      <c r="E901" s="29">
        <f>Item_Enchant_Old!E905</f>
        <v>0</v>
      </c>
      <c r="F901" s="29">
        <f>Item_Enchant_Old!F905</f>
        <v>0</v>
      </c>
      <c r="G901" s="29">
        <f>Item_Enchant_Old!G905</f>
        <v>1</v>
      </c>
      <c r="H901" s="29" t="str">
        <f>Item_Enchant_Old!H905</f>
        <v>@</v>
      </c>
      <c r="I901" s="29">
        <f>Item_Enchant_Old!I905</f>
        <v>1</v>
      </c>
      <c r="J901" s="29" t="str">
        <f>Item_Enchant_Old!J905</f>
        <v>절대값/상대값(%) 가능</v>
      </c>
      <c r="K901" s="29">
        <f>Item_Enchant_Old!K905</f>
        <v>18</v>
      </c>
      <c r="L901" s="29">
        <f>Item_Enchant_Old!L905</f>
        <v>0</v>
      </c>
      <c r="M901" s="29">
        <f>Item_Enchant_Old!M905</f>
        <v>1</v>
      </c>
      <c r="N901" s="29">
        <f>Item_Enchant_Old!N905</f>
        <v>1350</v>
      </c>
      <c r="O901" s="29">
        <f>Item_Enchant_Old!O905</f>
        <v>1</v>
      </c>
      <c r="P901" s="29">
        <f>Item_Enchant_Old!P905</f>
        <v>1</v>
      </c>
      <c r="Q901" s="29">
        <f>Item_Enchant_Old!Q905</f>
        <v>1</v>
      </c>
      <c r="R901" s="29">
        <f>Item_Enchant_Old!R905</f>
        <v>1</v>
      </c>
    </row>
    <row r="902" spans="1:18" s="29" customFormat="1" hidden="1">
      <c r="A902" s="29">
        <f>Item_Enchant_Old!A906</f>
        <v>901</v>
      </c>
      <c r="B902" s="29" t="str">
        <f>Item_Enchant_Old!B906</f>
        <v>ACTIVE_BURN_DEFENCE</v>
      </c>
      <c r="C902" s="29">
        <f>Item_Enchant_Old!C906</f>
        <v>682</v>
      </c>
      <c r="D902" s="29">
        <f>Item_Enchant_Old!D906</f>
        <v>0</v>
      </c>
      <c r="E902" s="29">
        <f>Item_Enchant_Old!E906</f>
        <v>0</v>
      </c>
      <c r="F902" s="29">
        <f>Item_Enchant_Old!F906</f>
        <v>0</v>
      </c>
      <c r="G902" s="29">
        <f>Item_Enchant_Old!G906</f>
        <v>1</v>
      </c>
      <c r="H902" s="29" t="str">
        <f>Item_Enchant_Old!H906</f>
        <v>@</v>
      </c>
      <c r="I902" s="29">
        <f>Item_Enchant_Old!I906</f>
        <v>1</v>
      </c>
      <c r="J902" s="29" t="str">
        <f>Item_Enchant_Old!J906</f>
        <v>절대값/상대값(%) 가능</v>
      </c>
      <c r="K902" s="29">
        <f>Item_Enchant_Old!K906</f>
        <v>18</v>
      </c>
      <c r="L902" s="29">
        <f>Item_Enchant_Old!L906</f>
        <v>0</v>
      </c>
      <c r="M902" s="29">
        <f>Item_Enchant_Old!M906</f>
        <v>1</v>
      </c>
      <c r="N902" s="29">
        <f>Item_Enchant_Old!N906</f>
        <v>1350</v>
      </c>
      <c r="O902" s="29">
        <f>Item_Enchant_Old!O906</f>
        <v>1</v>
      </c>
      <c r="P902" s="29">
        <f>Item_Enchant_Old!P906</f>
        <v>1</v>
      </c>
      <c r="Q902" s="29">
        <f>Item_Enchant_Old!Q906</f>
        <v>1</v>
      </c>
      <c r="R902" s="29">
        <f>Item_Enchant_Old!R906</f>
        <v>1</v>
      </c>
    </row>
    <row r="903" spans="1:18" s="29" customFormat="1" hidden="1">
      <c r="A903" s="29">
        <f>Item_Enchant_Old!A907</f>
        <v>902</v>
      </c>
      <c r="B903" s="29" t="str">
        <f>Item_Enchant_Old!B907</f>
        <v>ACTIVE_ENERGY_DEFENCE_UP</v>
      </c>
      <c r="C903" s="29">
        <f>Item_Enchant_Old!C907</f>
        <v>609</v>
      </c>
      <c r="D903" s="29">
        <f>Item_Enchant_Old!D907</f>
        <v>0</v>
      </c>
      <c r="E903" s="29">
        <f>Item_Enchant_Old!E907</f>
        <v>0</v>
      </c>
      <c r="F903" s="29">
        <f>Item_Enchant_Old!F907</f>
        <v>0</v>
      </c>
      <c r="G903" s="29">
        <f>Item_Enchant_Old!G907</f>
        <v>1</v>
      </c>
      <c r="H903" s="29" t="str">
        <f>Item_Enchant_Old!H907</f>
        <v>@</v>
      </c>
      <c r="I903" s="29">
        <f>Item_Enchant_Old!I907</f>
        <v>1</v>
      </c>
      <c r="J903" s="29" t="str">
        <f>Item_Enchant_Old!J907</f>
        <v>절대값/상대값(%) 가능</v>
      </c>
      <c r="K903" s="29">
        <f>Item_Enchant_Old!K907</f>
        <v>18</v>
      </c>
      <c r="L903" s="29">
        <f>Item_Enchant_Old!L907</f>
        <v>0</v>
      </c>
      <c r="M903" s="29">
        <f>Item_Enchant_Old!M907</f>
        <v>2</v>
      </c>
      <c r="N903" s="29">
        <f>Item_Enchant_Old!N907</f>
        <v>1350</v>
      </c>
      <c r="O903" s="29">
        <f>Item_Enchant_Old!O907</f>
        <v>1</v>
      </c>
      <c r="P903" s="29">
        <f>Item_Enchant_Old!P907</f>
        <v>1</v>
      </c>
      <c r="Q903" s="29">
        <f>Item_Enchant_Old!Q907</f>
        <v>1</v>
      </c>
      <c r="R903" s="29">
        <f>Item_Enchant_Old!R907</f>
        <v>1</v>
      </c>
    </row>
    <row r="904" spans="1:18" s="29" customFormat="1" hidden="1">
      <c r="A904" s="29">
        <f>Item_Enchant_Old!A908</f>
        <v>903</v>
      </c>
      <c r="B904" s="29" t="str">
        <f>Item_Enchant_Old!B908</f>
        <v>ACTIVE_BLOCK_RATE_UP</v>
      </c>
      <c r="C904" s="29">
        <f>Item_Enchant_Old!C908</f>
        <v>620</v>
      </c>
      <c r="D904" s="29">
        <f>Item_Enchant_Old!D908</f>
        <v>0</v>
      </c>
      <c r="E904" s="29">
        <f>Item_Enchant_Old!E908</f>
        <v>0</v>
      </c>
      <c r="F904" s="29">
        <f>Item_Enchant_Old!F908</f>
        <v>0</v>
      </c>
      <c r="G904" s="29">
        <f>Item_Enchant_Old!G908</f>
        <v>1</v>
      </c>
      <c r="H904" s="29" t="str">
        <f>Item_Enchant_Old!H908</f>
        <v>@</v>
      </c>
      <c r="I904" s="29">
        <f>Item_Enchant_Old!I908</f>
        <v>1</v>
      </c>
      <c r="J904" s="29" t="str">
        <f>Item_Enchant_Old!J908</f>
        <v>절대값/상대값(%) 가능</v>
      </c>
      <c r="K904" s="29">
        <f>Item_Enchant_Old!K908</f>
        <v>18</v>
      </c>
      <c r="L904" s="29">
        <f>Item_Enchant_Old!L908</f>
        <v>0</v>
      </c>
      <c r="M904" s="29">
        <f>Item_Enchant_Old!M908</f>
        <v>2</v>
      </c>
      <c r="N904" s="29">
        <f>Item_Enchant_Old!N908</f>
        <v>352</v>
      </c>
      <c r="O904" s="29">
        <f>Item_Enchant_Old!O908</f>
        <v>1</v>
      </c>
      <c r="P904" s="29">
        <f>Item_Enchant_Old!P908</f>
        <v>1</v>
      </c>
      <c r="Q904" s="29">
        <f>Item_Enchant_Old!Q908</f>
        <v>1</v>
      </c>
      <c r="R904" s="29">
        <f>Item_Enchant_Old!R908</f>
        <v>1</v>
      </c>
    </row>
    <row r="905" spans="1:18" s="29" customFormat="1" hidden="1">
      <c r="A905" s="29">
        <f>Item_Enchant_Old!A909</f>
        <v>904</v>
      </c>
      <c r="B905" s="29" t="str">
        <f>Item_Enchant_Old!B909</f>
        <v>ACTIVE_ENG_UP</v>
      </c>
      <c r="C905" s="29">
        <f>Item_Enchant_Old!C909</f>
        <v>615</v>
      </c>
      <c r="D905" s="29">
        <f>Item_Enchant_Old!D909</f>
        <v>0</v>
      </c>
      <c r="E905" s="29">
        <f>Item_Enchant_Old!E909</f>
        <v>0</v>
      </c>
      <c r="F905" s="29">
        <f>Item_Enchant_Old!F909</f>
        <v>0</v>
      </c>
      <c r="G905" s="29">
        <f>Item_Enchant_Old!G909</f>
        <v>2</v>
      </c>
      <c r="H905" s="29" t="str">
        <f>Item_Enchant_Old!H909</f>
        <v>@</v>
      </c>
      <c r="I905" s="29">
        <f>Item_Enchant_Old!I909</f>
        <v>1</v>
      </c>
      <c r="J905" s="29" t="str">
        <f>Item_Enchant_Old!J909</f>
        <v>절대값/상대값(%) 가능</v>
      </c>
      <c r="K905" s="29">
        <f>Item_Enchant_Old!K909</f>
        <v>18</v>
      </c>
      <c r="L905" s="29">
        <f>Item_Enchant_Old!L909</f>
        <v>0</v>
      </c>
      <c r="M905" s="29">
        <f>Item_Enchant_Old!M909</f>
        <v>2</v>
      </c>
      <c r="N905" s="29">
        <f>Item_Enchant_Old!N909</f>
        <v>62</v>
      </c>
      <c r="O905" s="29">
        <f>Item_Enchant_Old!O909</f>
        <v>1</v>
      </c>
      <c r="P905" s="29">
        <f>Item_Enchant_Old!P909</f>
        <v>1</v>
      </c>
      <c r="Q905" s="29">
        <f>Item_Enchant_Old!Q909</f>
        <v>1</v>
      </c>
      <c r="R905" s="29">
        <f>Item_Enchant_Old!R909</f>
        <v>1</v>
      </c>
    </row>
    <row r="906" spans="1:18" s="29" customFormat="1" hidden="1">
      <c r="A906" s="29">
        <f>Item_Enchant_Old!A910</f>
        <v>905</v>
      </c>
      <c r="B906" s="29" t="str">
        <f>Item_Enchant_Old!B910</f>
        <v>ACTIVE_STOMACHACHE_DEFENCE</v>
      </c>
      <c r="C906" s="29">
        <f>Item_Enchant_Old!C910</f>
        <v>679</v>
      </c>
      <c r="D906" s="29">
        <f>Item_Enchant_Old!D910</f>
        <v>0</v>
      </c>
      <c r="E906" s="29">
        <f>Item_Enchant_Old!E910</f>
        <v>0</v>
      </c>
      <c r="F906" s="29">
        <f>Item_Enchant_Old!F910</f>
        <v>0</v>
      </c>
      <c r="G906" s="29">
        <f>Item_Enchant_Old!G910</f>
        <v>1</v>
      </c>
      <c r="H906" s="29" t="str">
        <f>Item_Enchant_Old!H910</f>
        <v>@</v>
      </c>
      <c r="I906" s="29">
        <f>Item_Enchant_Old!I910</f>
        <v>1</v>
      </c>
      <c r="J906" s="29" t="str">
        <f>Item_Enchant_Old!J910</f>
        <v>절대값/상대값(%) 가능</v>
      </c>
      <c r="K906" s="29">
        <f>Item_Enchant_Old!K910</f>
        <v>18</v>
      </c>
      <c r="L906" s="29">
        <f>Item_Enchant_Old!L910</f>
        <v>0</v>
      </c>
      <c r="M906" s="29">
        <f>Item_Enchant_Old!M910</f>
        <v>2</v>
      </c>
      <c r="N906" s="29">
        <f>Item_Enchant_Old!N910</f>
        <v>1350</v>
      </c>
      <c r="O906" s="29">
        <f>Item_Enchant_Old!O910</f>
        <v>1</v>
      </c>
      <c r="P906" s="29">
        <f>Item_Enchant_Old!P910</f>
        <v>1</v>
      </c>
      <c r="Q906" s="29">
        <f>Item_Enchant_Old!Q910</f>
        <v>1</v>
      </c>
      <c r="R906" s="29">
        <f>Item_Enchant_Old!R910</f>
        <v>1</v>
      </c>
    </row>
    <row r="907" spans="1:18" s="29" customFormat="1" hidden="1">
      <c r="A907" s="29">
        <f>Item_Enchant_Old!A911</f>
        <v>906</v>
      </c>
      <c r="B907" s="29" t="str">
        <f>Item_Enchant_Old!B911</f>
        <v>ACTIVE_POISON_DEFENCE</v>
      </c>
      <c r="C907" s="29">
        <f>Item_Enchant_Old!C911</f>
        <v>680</v>
      </c>
      <c r="D907" s="29">
        <f>Item_Enchant_Old!D911</f>
        <v>0</v>
      </c>
      <c r="E907" s="29">
        <f>Item_Enchant_Old!E911</f>
        <v>0</v>
      </c>
      <c r="F907" s="29">
        <f>Item_Enchant_Old!F911</f>
        <v>0</v>
      </c>
      <c r="G907" s="29">
        <f>Item_Enchant_Old!G911</f>
        <v>1</v>
      </c>
      <c r="H907" s="29" t="str">
        <f>Item_Enchant_Old!H911</f>
        <v>@</v>
      </c>
      <c r="I907" s="29">
        <f>Item_Enchant_Old!I911</f>
        <v>1</v>
      </c>
      <c r="J907" s="29" t="str">
        <f>Item_Enchant_Old!J911</f>
        <v>절대값/상대값(%) 가능</v>
      </c>
      <c r="K907" s="29">
        <f>Item_Enchant_Old!K911</f>
        <v>18</v>
      </c>
      <c r="L907" s="29">
        <f>Item_Enchant_Old!L911</f>
        <v>0</v>
      </c>
      <c r="M907" s="29">
        <f>Item_Enchant_Old!M911</f>
        <v>2</v>
      </c>
      <c r="N907" s="29">
        <f>Item_Enchant_Old!N911</f>
        <v>1350</v>
      </c>
      <c r="O907" s="29">
        <f>Item_Enchant_Old!O911</f>
        <v>1</v>
      </c>
      <c r="P907" s="29">
        <f>Item_Enchant_Old!P911</f>
        <v>1</v>
      </c>
      <c r="Q907" s="29">
        <f>Item_Enchant_Old!Q911</f>
        <v>1</v>
      </c>
      <c r="R907" s="29">
        <f>Item_Enchant_Old!R911</f>
        <v>1</v>
      </c>
    </row>
    <row r="908" spans="1:18" s="29" customFormat="1" hidden="1">
      <c r="A908" s="29">
        <f>Item_Enchant_Old!A912</f>
        <v>907</v>
      </c>
      <c r="B908" s="29" t="str">
        <f>Item_Enchant_Old!B912</f>
        <v>ACTIVE_DODGE_RATE_UP</v>
      </c>
      <c r="C908" s="29">
        <f>Item_Enchant_Old!C912</f>
        <v>619</v>
      </c>
      <c r="D908" s="29">
        <f>Item_Enchant_Old!D912</f>
        <v>0</v>
      </c>
      <c r="E908" s="29">
        <f>Item_Enchant_Old!E912</f>
        <v>0</v>
      </c>
      <c r="F908" s="29">
        <f>Item_Enchant_Old!F912</f>
        <v>0</v>
      </c>
      <c r="G908" s="29">
        <f>Item_Enchant_Old!G912</f>
        <v>1</v>
      </c>
      <c r="H908" s="29" t="str">
        <f>Item_Enchant_Old!H912</f>
        <v>@</v>
      </c>
      <c r="I908" s="29">
        <f>Item_Enchant_Old!I912</f>
        <v>1</v>
      </c>
      <c r="J908" s="29" t="str">
        <f>Item_Enchant_Old!J912</f>
        <v>절대값/상대값(%) 가능</v>
      </c>
      <c r="K908" s="29">
        <f>Item_Enchant_Old!K912</f>
        <v>18</v>
      </c>
      <c r="L908" s="29">
        <f>Item_Enchant_Old!L912</f>
        <v>0</v>
      </c>
      <c r="M908" s="29">
        <f>Item_Enchant_Old!M912</f>
        <v>3</v>
      </c>
      <c r="N908" s="29">
        <f>Item_Enchant_Old!N912</f>
        <v>275</v>
      </c>
      <c r="O908" s="29">
        <f>Item_Enchant_Old!O912</f>
        <v>1</v>
      </c>
      <c r="P908" s="29">
        <f>Item_Enchant_Old!P912</f>
        <v>1</v>
      </c>
      <c r="Q908" s="29">
        <f>Item_Enchant_Old!Q912</f>
        <v>1</v>
      </c>
      <c r="R908" s="29">
        <f>Item_Enchant_Old!R912</f>
        <v>1</v>
      </c>
    </row>
    <row r="909" spans="1:18" s="29" customFormat="1" hidden="1">
      <c r="A909" s="29">
        <f>Item_Enchant_Old!A913</f>
        <v>908</v>
      </c>
      <c r="B909" s="29" t="str">
        <f>Item_Enchant_Old!B913</f>
        <v>ACTIVE_DEX_UP</v>
      </c>
      <c r="C909" s="29">
        <f>Item_Enchant_Old!C913</f>
        <v>613</v>
      </c>
      <c r="D909" s="29">
        <f>Item_Enchant_Old!D913</f>
        <v>0</v>
      </c>
      <c r="E909" s="29">
        <f>Item_Enchant_Old!E913</f>
        <v>0</v>
      </c>
      <c r="F909" s="29">
        <f>Item_Enchant_Old!F913</f>
        <v>0</v>
      </c>
      <c r="G909" s="29">
        <f>Item_Enchant_Old!G913</f>
        <v>3</v>
      </c>
      <c r="H909" s="29" t="str">
        <f>Item_Enchant_Old!H913</f>
        <v>@</v>
      </c>
      <c r="I909" s="29">
        <f>Item_Enchant_Old!I913</f>
        <v>1</v>
      </c>
      <c r="J909" s="29" t="str">
        <f>Item_Enchant_Old!J913</f>
        <v>절대값/상대값(%) 가능</v>
      </c>
      <c r="K909" s="29">
        <f>Item_Enchant_Old!K913</f>
        <v>18</v>
      </c>
      <c r="L909" s="29">
        <f>Item_Enchant_Old!L913</f>
        <v>0</v>
      </c>
      <c r="M909" s="29">
        <f>Item_Enchant_Old!M913</f>
        <v>3</v>
      </c>
      <c r="N909" s="29">
        <f>Item_Enchant_Old!N913</f>
        <v>44</v>
      </c>
      <c r="O909" s="29">
        <f>Item_Enchant_Old!O913</f>
        <v>1</v>
      </c>
      <c r="P909" s="29">
        <f>Item_Enchant_Old!P913</f>
        <v>1</v>
      </c>
      <c r="Q909" s="29">
        <f>Item_Enchant_Old!Q913</f>
        <v>1</v>
      </c>
      <c r="R909" s="29">
        <f>Item_Enchant_Old!R913</f>
        <v>1</v>
      </c>
    </row>
    <row r="910" spans="1:18" s="29" customFormat="1" hidden="1">
      <c r="A910" s="29">
        <f>Item_Enchant_Old!A914</f>
        <v>909</v>
      </c>
      <c r="B910" s="29" t="str">
        <f>Item_Enchant_Old!B914</f>
        <v>ACTIVE_FOC_UP</v>
      </c>
      <c r="C910" s="29">
        <f>Item_Enchant_Old!C914</f>
        <v>612</v>
      </c>
      <c r="D910" s="29">
        <f>Item_Enchant_Old!D914</f>
        <v>0</v>
      </c>
      <c r="E910" s="29">
        <f>Item_Enchant_Old!E914</f>
        <v>0</v>
      </c>
      <c r="F910" s="29">
        <f>Item_Enchant_Old!F914</f>
        <v>0</v>
      </c>
      <c r="G910" s="29">
        <f>Item_Enchant_Old!G914</f>
        <v>2</v>
      </c>
      <c r="H910" s="29" t="str">
        <f>Item_Enchant_Old!H914</f>
        <v>@</v>
      </c>
      <c r="I910" s="29">
        <f>Item_Enchant_Old!I914</f>
        <v>1</v>
      </c>
      <c r="J910" s="29" t="str">
        <f>Item_Enchant_Old!J914</f>
        <v>절대값/상대값(%) 가능</v>
      </c>
      <c r="K910" s="29">
        <f>Item_Enchant_Old!K914</f>
        <v>18</v>
      </c>
      <c r="L910" s="29">
        <f>Item_Enchant_Old!L914</f>
        <v>0</v>
      </c>
      <c r="M910" s="29">
        <f>Item_Enchant_Old!M914</f>
        <v>3</v>
      </c>
      <c r="N910" s="29">
        <f>Item_Enchant_Old!N914</f>
        <v>53</v>
      </c>
      <c r="O910" s="29">
        <f>Item_Enchant_Old!O914</f>
        <v>1</v>
      </c>
      <c r="P910" s="29">
        <f>Item_Enchant_Old!P914</f>
        <v>1</v>
      </c>
      <c r="Q910" s="29">
        <f>Item_Enchant_Old!Q914</f>
        <v>1</v>
      </c>
      <c r="R910" s="29">
        <f>Item_Enchant_Old!R914</f>
        <v>1</v>
      </c>
    </row>
    <row r="911" spans="1:18" s="29" customFormat="1" hidden="1">
      <c r="A911" s="29">
        <f>Item_Enchant_Old!A915</f>
        <v>910</v>
      </c>
      <c r="B911" s="29" t="str">
        <f>Item_Enchant_Old!B915</f>
        <v>ACTIVE_BLEEDING_KEEPTIME_DOWN</v>
      </c>
      <c r="C911" s="29">
        <f>Item_Enchant_Old!C915</f>
        <v>648</v>
      </c>
      <c r="D911" s="29">
        <f>Item_Enchant_Old!D915</f>
        <v>1</v>
      </c>
      <c r="E911" s="29">
        <f>Item_Enchant_Old!E915</f>
        <v>0</v>
      </c>
      <c r="F911" s="29">
        <f>Item_Enchant_Old!F915</f>
        <v>0</v>
      </c>
      <c r="G911" s="29">
        <f>Item_Enchant_Old!G915</f>
        <v>5</v>
      </c>
      <c r="H911" s="29" t="str">
        <f>Item_Enchant_Old!H915</f>
        <v>@</v>
      </c>
      <c r="I911" s="29">
        <f>Item_Enchant_Old!I915</f>
        <v>1</v>
      </c>
      <c r="J911" s="29" t="str">
        <f>Item_Enchant_Old!J915</f>
        <v>상대값(%)값만 가능</v>
      </c>
      <c r="K911" s="29">
        <f>Item_Enchant_Old!K915</f>
        <v>18</v>
      </c>
      <c r="L911" s="29">
        <f>Item_Enchant_Old!L915</f>
        <v>0</v>
      </c>
      <c r="M911" s="29">
        <f>Item_Enchant_Old!M915</f>
        <v>3</v>
      </c>
      <c r="N911" s="29">
        <f>Item_Enchant_Old!N915</f>
        <v>20</v>
      </c>
      <c r="O911" s="29">
        <f>Item_Enchant_Old!O915</f>
        <v>1</v>
      </c>
      <c r="P911" s="29">
        <f>Item_Enchant_Old!P915</f>
        <v>1</v>
      </c>
      <c r="Q911" s="29">
        <f>Item_Enchant_Old!Q915</f>
        <v>1</v>
      </c>
      <c r="R911" s="29">
        <f>Item_Enchant_Old!R915</f>
        <v>1</v>
      </c>
    </row>
    <row r="912" spans="1:18" s="29" customFormat="1" hidden="1">
      <c r="A912" s="29">
        <f>Item_Enchant_Old!A916</f>
        <v>911</v>
      </c>
      <c r="B912" s="29" t="str">
        <f>Item_Enchant_Old!B916</f>
        <v>ACTIVE_POISON_KEEPTIME_DOWN</v>
      </c>
      <c r="C912" s="29">
        <f>Item_Enchant_Old!C916</f>
        <v>649</v>
      </c>
      <c r="D912" s="29">
        <f>Item_Enchant_Old!D916</f>
        <v>1</v>
      </c>
      <c r="E912" s="29">
        <f>Item_Enchant_Old!E916</f>
        <v>0</v>
      </c>
      <c r="F912" s="29">
        <f>Item_Enchant_Old!F916</f>
        <v>0</v>
      </c>
      <c r="G912" s="29">
        <f>Item_Enchant_Old!G916</f>
        <v>5</v>
      </c>
      <c r="H912" s="29" t="str">
        <f>Item_Enchant_Old!H916</f>
        <v>@</v>
      </c>
      <c r="I912" s="29">
        <f>Item_Enchant_Old!I916</f>
        <v>1</v>
      </c>
      <c r="J912" s="29" t="str">
        <f>Item_Enchant_Old!J916</f>
        <v>상대값(%)값만 가능</v>
      </c>
      <c r="K912" s="29">
        <f>Item_Enchant_Old!K916</f>
        <v>18</v>
      </c>
      <c r="L912" s="29">
        <f>Item_Enchant_Old!L916</f>
        <v>0</v>
      </c>
      <c r="M912" s="29">
        <f>Item_Enchant_Old!M916</f>
        <v>3</v>
      </c>
      <c r="N912" s="29">
        <f>Item_Enchant_Old!N916</f>
        <v>20</v>
      </c>
      <c r="O912" s="29">
        <f>Item_Enchant_Old!O916</f>
        <v>1</v>
      </c>
      <c r="P912" s="29">
        <f>Item_Enchant_Old!P916</f>
        <v>1</v>
      </c>
      <c r="Q912" s="29">
        <f>Item_Enchant_Old!Q916</f>
        <v>1</v>
      </c>
      <c r="R912" s="29">
        <f>Item_Enchant_Old!R916</f>
        <v>1</v>
      </c>
    </row>
    <row r="913" spans="1:18" s="29" customFormat="1" hidden="1">
      <c r="A913" s="29">
        <f>Item_Enchant_Old!A917</f>
        <v>912</v>
      </c>
      <c r="B913" s="29" t="str">
        <f>Item_Enchant_Old!B917</f>
        <v>ACTIVE_STOMACHACHE_KEEPTIME_DOWN</v>
      </c>
      <c r="C913" s="29">
        <f>Item_Enchant_Old!C917</f>
        <v>650</v>
      </c>
      <c r="D913" s="29">
        <f>Item_Enchant_Old!D917</f>
        <v>1</v>
      </c>
      <c r="E913" s="29">
        <f>Item_Enchant_Old!E917</f>
        <v>0</v>
      </c>
      <c r="F913" s="29">
        <f>Item_Enchant_Old!F917</f>
        <v>0</v>
      </c>
      <c r="G913" s="29">
        <f>Item_Enchant_Old!G917</f>
        <v>5</v>
      </c>
      <c r="H913" s="29" t="str">
        <f>Item_Enchant_Old!H917</f>
        <v>@</v>
      </c>
      <c r="I913" s="29">
        <f>Item_Enchant_Old!I917</f>
        <v>1</v>
      </c>
      <c r="J913" s="29" t="str">
        <f>Item_Enchant_Old!J917</f>
        <v>상대값(%)값만 가능</v>
      </c>
      <c r="K913" s="29">
        <f>Item_Enchant_Old!K917</f>
        <v>18</v>
      </c>
      <c r="L913" s="29">
        <f>Item_Enchant_Old!L917</f>
        <v>0</v>
      </c>
      <c r="M913" s="29">
        <f>Item_Enchant_Old!M917</f>
        <v>3</v>
      </c>
      <c r="N913" s="29">
        <f>Item_Enchant_Old!N917</f>
        <v>20</v>
      </c>
      <c r="O913" s="29">
        <f>Item_Enchant_Old!O917</f>
        <v>1</v>
      </c>
      <c r="P913" s="29">
        <f>Item_Enchant_Old!P917</f>
        <v>1</v>
      </c>
      <c r="Q913" s="29">
        <f>Item_Enchant_Old!Q917</f>
        <v>1</v>
      </c>
      <c r="R913" s="29">
        <f>Item_Enchant_Old!R917</f>
        <v>1</v>
      </c>
    </row>
    <row r="914" spans="1:18" s="29" customFormat="1" hidden="1">
      <c r="A914" s="29">
        <f>Item_Enchant_Old!A918</f>
        <v>913</v>
      </c>
      <c r="B914" s="29" t="str">
        <f>Item_Enchant_Old!B918</f>
        <v>ACTIVE_CURSE_TOLERANCE</v>
      </c>
      <c r="C914" s="29">
        <f>Item_Enchant_Old!C918</f>
        <v>631</v>
      </c>
      <c r="D914" s="29">
        <f>Item_Enchant_Old!D918</f>
        <v>0</v>
      </c>
      <c r="E914" s="29">
        <f>Item_Enchant_Old!E918</f>
        <v>0</v>
      </c>
      <c r="F914" s="29">
        <f>Item_Enchant_Old!F918</f>
        <v>0</v>
      </c>
      <c r="G914" s="29">
        <f>Item_Enchant_Old!G918</f>
        <v>1</v>
      </c>
      <c r="H914" s="29" t="str">
        <f>Item_Enchant_Old!H918</f>
        <v>@</v>
      </c>
      <c r="I914" s="29">
        <f>Item_Enchant_Old!I918</f>
        <v>1</v>
      </c>
      <c r="J914" s="29" t="str">
        <f>Item_Enchant_Old!J918</f>
        <v>절대값/상대값(%) 가능</v>
      </c>
      <c r="K914" s="29">
        <f>Item_Enchant_Old!K918</f>
        <v>18</v>
      </c>
      <c r="L914" s="29">
        <f>Item_Enchant_Old!L918</f>
        <v>0</v>
      </c>
      <c r="M914" s="29">
        <f>Item_Enchant_Old!M918</f>
        <v>4</v>
      </c>
      <c r="N914" s="29">
        <f>Item_Enchant_Old!N918</f>
        <v>220</v>
      </c>
      <c r="O914" s="29">
        <f>Item_Enchant_Old!O918</f>
        <v>1</v>
      </c>
      <c r="P914" s="29">
        <f>Item_Enchant_Old!P918</f>
        <v>1</v>
      </c>
      <c r="Q914" s="29">
        <f>Item_Enchant_Old!Q918</f>
        <v>1</v>
      </c>
      <c r="R914" s="29">
        <f>Item_Enchant_Old!R918</f>
        <v>1</v>
      </c>
    </row>
    <row r="915" spans="1:18" s="29" customFormat="1" hidden="1">
      <c r="A915" s="29">
        <f>Item_Enchant_Old!A919</f>
        <v>914</v>
      </c>
      <c r="B915" s="29" t="str">
        <f>Item_Enchant_Old!B919</f>
        <v>ACTIVE_PARALYZE_KEEPTIME_DOWN</v>
      </c>
      <c r="C915" s="29">
        <f>Item_Enchant_Old!C919</f>
        <v>643</v>
      </c>
      <c r="D915" s="29">
        <f>Item_Enchant_Old!D919</f>
        <v>1</v>
      </c>
      <c r="E915" s="29">
        <f>Item_Enchant_Old!E919</f>
        <v>0</v>
      </c>
      <c r="F915" s="29">
        <f>Item_Enchant_Old!F919</f>
        <v>0</v>
      </c>
      <c r="G915" s="29">
        <f>Item_Enchant_Old!G919</f>
        <v>5</v>
      </c>
      <c r="H915" s="29" t="str">
        <f>Item_Enchant_Old!H919</f>
        <v>@</v>
      </c>
      <c r="I915" s="29">
        <f>Item_Enchant_Old!I919</f>
        <v>1</v>
      </c>
      <c r="J915" s="29" t="str">
        <f>Item_Enchant_Old!J919</f>
        <v>상대값(%)값만 가능</v>
      </c>
      <c r="K915" s="29">
        <f>Item_Enchant_Old!K919</f>
        <v>18</v>
      </c>
      <c r="L915" s="29">
        <f>Item_Enchant_Old!L919</f>
        <v>0</v>
      </c>
      <c r="M915" s="29">
        <f>Item_Enchant_Old!M919</f>
        <v>4</v>
      </c>
      <c r="N915" s="29">
        <f>Item_Enchant_Old!N919</f>
        <v>20</v>
      </c>
      <c r="O915" s="29">
        <f>Item_Enchant_Old!O919</f>
        <v>1</v>
      </c>
      <c r="P915" s="29">
        <f>Item_Enchant_Old!P919</f>
        <v>1</v>
      </c>
      <c r="Q915" s="29">
        <f>Item_Enchant_Old!Q919</f>
        <v>1</v>
      </c>
      <c r="R915" s="29">
        <f>Item_Enchant_Old!R919</f>
        <v>1</v>
      </c>
    </row>
    <row r="916" spans="1:18" s="29" customFormat="1" hidden="1">
      <c r="A916" s="29">
        <f>Item_Enchant_Old!A920</f>
        <v>915</v>
      </c>
      <c r="B916" s="29" t="str">
        <f>Item_Enchant_Old!B920</f>
        <v>ACTIVE_TERROR_KEEPTIME_DOWN</v>
      </c>
      <c r="C916" s="29">
        <f>Item_Enchant_Old!C920</f>
        <v>644</v>
      </c>
      <c r="D916" s="29">
        <f>Item_Enchant_Old!D920</f>
        <v>1</v>
      </c>
      <c r="E916" s="29">
        <f>Item_Enchant_Old!E920</f>
        <v>0</v>
      </c>
      <c r="F916" s="29">
        <f>Item_Enchant_Old!F920</f>
        <v>0</v>
      </c>
      <c r="G916" s="29">
        <f>Item_Enchant_Old!G920</f>
        <v>5</v>
      </c>
      <c r="H916" s="29" t="str">
        <f>Item_Enchant_Old!H920</f>
        <v>@</v>
      </c>
      <c r="I916" s="29">
        <f>Item_Enchant_Old!I920</f>
        <v>1</v>
      </c>
      <c r="J916" s="29" t="str">
        <f>Item_Enchant_Old!J920</f>
        <v>상대값(%)값만 가능</v>
      </c>
      <c r="K916" s="29">
        <f>Item_Enchant_Old!K920</f>
        <v>18</v>
      </c>
      <c r="L916" s="29">
        <f>Item_Enchant_Old!L920</f>
        <v>0</v>
      </c>
      <c r="M916" s="29">
        <f>Item_Enchant_Old!M920</f>
        <v>4</v>
      </c>
      <c r="N916" s="29">
        <f>Item_Enchant_Old!N920</f>
        <v>20</v>
      </c>
      <c r="O916" s="29">
        <f>Item_Enchant_Old!O920</f>
        <v>1</v>
      </c>
      <c r="P916" s="29">
        <f>Item_Enchant_Old!P920</f>
        <v>1</v>
      </c>
      <c r="Q916" s="29">
        <f>Item_Enchant_Old!Q920</f>
        <v>1</v>
      </c>
      <c r="R916" s="29">
        <f>Item_Enchant_Old!R920</f>
        <v>1</v>
      </c>
    </row>
    <row r="917" spans="1:18" s="29" customFormat="1" hidden="1">
      <c r="A917" s="29">
        <f>Item_Enchant_Old!A921</f>
        <v>916</v>
      </c>
      <c r="B917" s="29" t="str">
        <f>Item_Enchant_Old!B921</f>
        <v>ACTIVE_CONFUSE_KEEPTIME_DOWN</v>
      </c>
      <c r="C917" s="29">
        <f>Item_Enchant_Old!C921</f>
        <v>645</v>
      </c>
      <c r="D917" s="29">
        <f>Item_Enchant_Old!D921</f>
        <v>1</v>
      </c>
      <c r="E917" s="29">
        <f>Item_Enchant_Old!E921</f>
        <v>0</v>
      </c>
      <c r="F917" s="29">
        <f>Item_Enchant_Old!F921</f>
        <v>0</v>
      </c>
      <c r="G917" s="29">
        <f>Item_Enchant_Old!G921</f>
        <v>5</v>
      </c>
      <c r="H917" s="29" t="str">
        <f>Item_Enchant_Old!H921</f>
        <v>@</v>
      </c>
      <c r="I917" s="29">
        <f>Item_Enchant_Old!I921</f>
        <v>1</v>
      </c>
      <c r="J917" s="29" t="str">
        <f>Item_Enchant_Old!J921</f>
        <v>상대값(%)값만 가능</v>
      </c>
      <c r="K917" s="29">
        <f>Item_Enchant_Old!K921</f>
        <v>18</v>
      </c>
      <c r="L917" s="29">
        <f>Item_Enchant_Old!L921</f>
        <v>0</v>
      </c>
      <c r="M917" s="29">
        <f>Item_Enchant_Old!M921</f>
        <v>4</v>
      </c>
      <c r="N917" s="29">
        <f>Item_Enchant_Old!N921</f>
        <v>20</v>
      </c>
      <c r="O917" s="29">
        <f>Item_Enchant_Old!O921</f>
        <v>1</v>
      </c>
      <c r="P917" s="29">
        <f>Item_Enchant_Old!P921</f>
        <v>1</v>
      </c>
      <c r="Q917" s="29">
        <f>Item_Enchant_Old!Q921</f>
        <v>1</v>
      </c>
      <c r="R917" s="29">
        <f>Item_Enchant_Old!R921</f>
        <v>1</v>
      </c>
    </row>
    <row r="918" spans="1:18" s="29" customFormat="1" hidden="1">
      <c r="A918" s="29">
        <f>Item_Enchant_Old!A922</f>
        <v>917</v>
      </c>
      <c r="B918" s="29" t="str">
        <f>Item_Enchant_Old!B922</f>
        <v>ACTIVE_STONE_KEEPTIME_DOWN</v>
      </c>
      <c r="C918" s="29">
        <f>Item_Enchant_Old!C922</f>
        <v>646</v>
      </c>
      <c r="D918" s="29">
        <f>Item_Enchant_Old!D922</f>
        <v>1</v>
      </c>
      <c r="E918" s="29">
        <f>Item_Enchant_Old!E922</f>
        <v>0</v>
      </c>
      <c r="F918" s="29">
        <f>Item_Enchant_Old!F922</f>
        <v>0</v>
      </c>
      <c r="G918" s="29">
        <f>Item_Enchant_Old!G922</f>
        <v>5</v>
      </c>
      <c r="H918" s="29" t="str">
        <f>Item_Enchant_Old!H922</f>
        <v>@</v>
      </c>
      <c r="I918" s="29">
        <f>Item_Enchant_Old!I922</f>
        <v>1</v>
      </c>
      <c r="J918" s="29" t="str">
        <f>Item_Enchant_Old!J922</f>
        <v>상대값(%)값만 가능</v>
      </c>
      <c r="K918" s="29">
        <f>Item_Enchant_Old!K922</f>
        <v>18</v>
      </c>
      <c r="L918" s="29">
        <f>Item_Enchant_Old!L922</f>
        <v>0</v>
      </c>
      <c r="M918" s="29">
        <f>Item_Enchant_Old!M922</f>
        <v>4</v>
      </c>
      <c r="N918" s="29">
        <f>Item_Enchant_Old!N922</f>
        <v>20</v>
      </c>
      <c r="O918" s="29">
        <f>Item_Enchant_Old!O922</f>
        <v>1</v>
      </c>
      <c r="P918" s="29">
        <f>Item_Enchant_Old!P922</f>
        <v>1</v>
      </c>
      <c r="Q918" s="29">
        <f>Item_Enchant_Old!Q922</f>
        <v>1</v>
      </c>
      <c r="R918" s="29">
        <f>Item_Enchant_Old!R922</f>
        <v>1</v>
      </c>
    </row>
    <row r="919" spans="1:18" s="29" customFormat="1" hidden="1">
      <c r="A919" s="29">
        <f>Item_Enchant_Old!A923</f>
        <v>918</v>
      </c>
      <c r="B919" s="29" t="str">
        <f>Item_Enchant_Old!B923</f>
        <v>ACTIVE_CANDY_KEEPTIME_DOWN</v>
      </c>
      <c r="C919" s="29">
        <f>Item_Enchant_Old!C923</f>
        <v>647</v>
      </c>
      <c r="D919" s="29">
        <f>Item_Enchant_Old!D923</f>
        <v>1</v>
      </c>
      <c r="E919" s="29">
        <f>Item_Enchant_Old!E923</f>
        <v>0</v>
      </c>
      <c r="F919" s="29">
        <f>Item_Enchant_Old!F923</f>
        <v>0</v>
      </c>
      <c r="G919" s="29">
        <f>Item_Enchant_Old!G923</f>
        <v>5</v>
      </c>
      <c r="H919" s="29" t="str">
        <f>Item_Enchant_Old!H923</f>
        <v>@</v>
      </c>
      <c r="I919" s="29">
        <f>Item_Enchant_Old!I923</f>
        <v>1</v>
      </c>
      <c r="J919" s="29" t="str">
        <f>Item_Enchant_Old!J923</f>
        <v>상대값(%)값만 가능</v>
      </c>
      <c r="K919" s="29">
        <f>Item_Enchant_Old!K923</f>
        <v>18</v>
      </c>
      <c r="L919" s="29">
        <f>Item_Enchant_Old!L923</f>
        <v>0</v>
      </c>
      <c r="M919" s="29">
        <f>Item_Enchant_Old!M923</f>
        <v>4</v>
      </c>
      <c r="N919" s="29">
        <f>Item_Enchant_Old!N923</f>
        <v>20</v>
      </c>
      <c r="O919" s="29">
        <f>Item_Enchant_Old!O923</f>
        <v>1</v>
      </c>
      <c r="P919" s="29">
        <f>Item_Enchant_Old!P923</f>
        <v>1</v>
      </c>
      <c r="Q919" s="29">
        <f>Item_Enchant_Old!Q923</f>
        <v>1</v>
      </c>
      <c r="R919" s="29">
        <f>Item_Enchant_Old!R923</f>
        <v>1</v>
      </c>
    </row>
    <row r="920" spans="1:18" s="29" customFormat="1" hidden="1">
      <c r="A920" s="29">
        <f>Item_Enchant_Old!A924</f>
        <v>919</v>
      </c>
      <c r="B920" s="29" t="str">
        <f>Item_Enchant_Old!B924</f>
        <v>ACTIVE_BLEEDING_KEEPTIME_DOWN</v>
      </c>
      <c r="C920" s="29">
        <f>Item_Enchant_Old!C924</f>
        <v>648</v>
      </c>
      <c r="D920" s="29">
        <f>Item_Enchant_Old!D924</f>
        <v>1</v>
      </c>
      <c r="E920" s="29">
        <f>Item_Enchant_Old!E924</f>
        <v>0</v>
      </c>
      <c r="F920" s="29">
        <f>Item_Enchant_Old!F924</f>
        <v>0</v>
      </c>
      <c r="G920" s="29">
        <f>Item_Enchant_Old!G924</f>
        <v>5</v>
      </c>
      <c r="H920" s="29" t="str">
        <f>Item_Enchant_Old!H924</f>
        <v>@</v>
      </c>
      <c r="I920" s="29">
        <f>Item_Enchant_Old!I924</f>
        <v>1</v>
      </c>
      <c r="J920" s="29" t="str">
        <f>Item_Enchant_Old!J924</f>
        <v>상대값(%)값만 가능</v>
      </c>
      <c r="K920" s="29">
        <f>Item_Enchant_Old!K924</f>
        <v>18</v>
      </c>
      <c r="L920" s="29">
        <f>Item_Enchant_Old!L924</f>
        <v>0</v>
      </c>
      <c r="M920" s="29">
        <f>Item_Enchant_Old!M924</f>
        <v>4</v>
      </c>
      <c r="N920" s="29">
        <f>Item_Enchant_Old!N924</f>
        <v>20</v>
      </c>
      <c r="O920" s="29">
        <f>Item_Enchant_Old!O924</f>
        <v>1</v>
      </c>
      <c r="P920" s="29">
        <f>Item_Enchant_Old!P924</f>
        <v>1</v>
      </c>
      <c r="Q920" s="29">
        <f>Item_Enchant_Old!Q924</f>
        <v>1</v>
      </c>
      <c r="R920" s="29">
        <f>Item_Enchant_Old!R924</f>
        <v>1</v>
      </c>
    </row>
    <row r="921" spans="1:18" s="29" customFormat="1" hidden="1">
      <c r="A921" s="29">
        <f>Item_Enchant_Old!A925</f>
        <v>920</v>
      </c>
      <c r="B921" s="29" t="str">
        <f>Item_Enchant_Old!B925</f>
        <v>ACTIVE_POISON_KEEPTIME_DOWN</v>
      </c>
      <c r="C921" s="29">
        <f>Item_Enchant_Old!C925</f>
        <v>649</v>
      </c>
      <c r="D921" s="29">
        <f>Item_Enchant_Old!D925</f>
        <v>1</v>
      </c>
      <c r="E921" s="29">
        <f>Item_Enchant_Old!E925</f>
        <v>0</v>
      </c>
      <c r="F921" s="29">
        <f>Item_Enchant_Old!F925</f>
        <v>0</v>
      </c>
      <c r="G921" s="29">
        <f>Item_Enchant_Old!G925</f>
        <v>5</v>
      </c>
      <c r="H921" s="29" t="str">
        <f>Item_Enchant_Old!H925</f>
        <v>@</v>
      </c>
      <c r="I921" s="29">
        <f>Item_Enchant_Old!I925</f>
        <v>1</v>
      </c>
      <c r="J921" s="29" t="str">
        <f>Item_Enchant_Old!J925</f>
        <v>상대값(%)값만 가능</v>
      </c>
      <c r="K921" s="29">
        <f>Item_Enchant_Old!K925</f>
        <v>18</v>
      </c>
      <c r="L921" s="29">
        <f>Item_Enchant_Old!L925</f>
        <v>0</v>
      </c>
      <c r="M921" s="29">
        <f>Item_Enchant_Old!M925</f>
        <v>4</v>
      </c>
      <c r="N921" s="29">
        <f>Item_Enchant_Old!N925</f>
        <v>20</v>
      </c>
      <c r="O921" s="29">
        <f>Item_Enchant_Old!O925</f>
        <v>1</v>
      </c>
      <c r="P921" s="29">
        <f>Item_Enchant_Old!P925</f>
        <v>1</v>
      </c>
      <c r="Q921" s="29">
        <f>Item_Enchant_Old!Q925</f>
        <v>1</v>
      </c>
      <c r="R921" s="29">
        <f>Item_Enchant_Old!R925</f>
        <v>1</v>
      </c>
    </row>
    <row r="922" spans="1:18" s="29" customFormat="1" hidden="1">
      <c r="A922" s="29">
        <f>Item_Enchant_Old!A926</f>
        <v>921</v>
      </c>
      <c r="B922" s="29" t="str">
        <f>Item_Enchant_Old!B926</f>
        <v>ACTIVE_STOMACHACHE_KEEPTIME_DOWN</v>
      </c>
      <c r="C922" s="29">
        <f>Item_Enchant_Old!C926</f>
        <v>650</v>
      </c>
      <c r="D922" s="29">
        <f>Item_Enchant_Old!D926</f>
        <v>1</v>
      </c>
      <c r="E922" s="29">
        <f>Item_Enchant_Old!E926</f>
        <v>0</v>
      </c>
      <c r="F922" s="29">
        <f>Item_Enchant_Old!F926</f>
        <v>0</v>
      </c>
      <c r="G922" s="29">
        <f>Item_Enchant_Old!G926</f>
        <v>5</v>
      </c>
      <c r="H922" s="29" t="str">
        <f>Item_Enchant_Old!H926</f>
        <v>@</v>
      </c>
      <c r="I922" s="29">
        <f>Item_Enchant_Old!I926</f>
        <v>1</v>
      </c>
      <c r="J922" s="29" t="str">
        <f>Item_Enchant_Old!J926</f>
        <v>상대값(%)값만 가능</v>
      </c>
      <c r="K922" s="29">
        <f>Item_Enchant_Old!K926</f>
        <v>18</v>
      </c>
      <c r="L922" s="29">
        <f>Item_Enchant_Old!L926</f>
        <v>0</v>
      </c>
      <c r="M922" s="29">
        <f>Item_Enchant_Old!M926</f>
        <v>4</v>
      </c>
      <c r="N922" s="29">
        <f>Item_Enchant_Old!N926</f>
        <v>20</v>
      </c>
      <c r="O922" s="29">
        <f>Item_Enchant_Old!O926</f>
        <v>1</v>
      </c>
      <c r="P922" s="29">
        <f>Item_Enchant_Old!P926</f>
        <v>1</v>
      </c>
      <c r="Q922" s="29">
        <f>Item_Enchant_Old!Q926</f>
        <v>1</v>
      </c>
      <c r="R922" s="29">
        <f>Item_Enchant_Old!R926</f>
        <v>1</v>
      </c>
    </row>
    <row r="923" spans="1:18" s="29" customFormat="1" hidden="1">
      <c r="A923" s="29">
        <f>Item_Enchant_Old!A927</f>
        <v>922</v>
      </c>
      <c r="B923" s="29" t="str">
        <f>Item_Enchant_Old!B927</f>
        <v>ACTIVE_MAX_LP_UP</v>
      </c>
      <c r="C923" s="29">
        <f>Item_Enchant_Old!C927</f>
        <v>603</v>
      </c>
      <c r="D923" s="29">
        <f>Item_Enchant_Old!D927</f>
        <v>0</v>
      </c>
      <c r="E923" s="29">
        <f>Item_Enchant_Old!E927</f>
        <v>0</v>
      </c>
      <c r="F923" s="29">
        <f>Item_Enchant_Old!F927</f>
        <v>0</v>
      </c>
      <c r="G923" s="29">
        <f>Item_Enchant_Old!G927</f>
        <v>1</v>
      </c>
      <c r="H923" s="29" t="str">
        <f>Item_Enchant_Old!H927</f>
        <v>@</v>
      </c>
      <c r="I923" s="29">
        <f>Item_Enchant_Old!I927</f>
        <v>1</v>
      </c>
      <c r="J923" s="29" t="str">
        <f>Item_Enchant_Old!J927</f>
        <v>절대값/상대값(%) 가능</v>
      </c>
      <c r="K923" s="29">
        <f>Item_Enchant_Old!K927</f>
        <v>18</v>
      </c>
      <c r="L923" s="29">
        <f>Item_Enchant_Old!L927</f>
        <v>0</v>
      </c>
      <c r="M923" s="29">
        <f>Item_Enchant_Old!M927</f>
        <v>5</v>
      </c>
      <c r="N923" s="29">
        <f>Item_Enchant_Old!N927</f>
        <v>2762</v>
      </c>
      <c r="O923" s="29">
        <f>Item_Enchant_Old!O927</f>
        <v>1</v>
      </c>
      <c r="P923" s="29">
        <f>Item_Enchant_Old!P927</f>
        <v>1</v>
      </c>
      <c r="Q923" s="29">
        <f>Item_Enchant_Old!Q927</f>
        <v>1</v>
      </c>
      <c r="R923" s="29">
        <f>Item_Enchant_Old!R927</f>
        <v>1</v>
      </c>
    </row>
    <row r="924" spans="1:18" s="29" customFormat="1" hidden="1">
      <c r="A924" s="29">
        <f>Item_Enchant_Old!A928</f>
        <v>923</v>
      </c>
      <c r="B924" s="29" t="str">
        <f>Item_Enchant_Old!B928</f>
        <v>ACTIVE_CON_UP</v>
      </c>
      <c r="C924" s="29">
        <f>Item_Enchant_Old!C928</f>
        <v>611</v>
      </c>
      <c r="D924" s="29">
        <f>Item_Enchant_Old!D928</f>
        <v>0</v>
      </c>
      <c r="E924" s="29">
        <f>Item_Enchant_Old!E928</f>
        <v>0</v>
      </c>
      <c r="F924" s="29">
        <f>Item_Enchant_Old!F928</f>
        <v>0</v>
      </c>
      <c r="G924" s="29">
        <f>Item_Enchant_Old!G928</f>
        <v>3</v>
      </c>
      <c r="H924" s="29" t="str">
        <f>Item_Enchant_Old!H928</f>
        <v>@</v>
      </c>
      <c r="I924" s="29">
        <f>Item_Enchant_Old!I928</f>
        <v>1</v>
      </c>
      <c r="J924" s="29" t="str">
        <f>Item_Enchant_Old!J928</f>
        <v>절대값/상대값(%) 가능</v>
      </c>
      <c r="K924" s="29">
        <f>Item_Enchant_Old!K928</f>
        <v>18</v>
      </c>
      <c r="L924" s="29">
        <f>Item_Enchant_Old!L928</f>
        <v>0</v>
      </c>
      <c r="M924" s="29">
        <f>Item_Enchant_Old!M928</f>
        <v>5</v>
      </c>
      <c r="N924" s="29">
        <f>Item_Enchant_Old!N928</f>
        <v>48</v>
      </c>
      <c r="O924" s="29">
        <f>Item_Enchant_Old!O928</f>
        <v>1</v>
      </c>
      <c r="P924" s="29">
        <f>Item_Enchant_Old!P928</f>
        <v>1</v>
      </c>
      <c r="Q924" s="29">
        <f>Item_Enchant_Old!Q928</f>
        <v>1</v>
      </c>
      <c r="R924" s="29">
        <f>Item_Enchant_Old!R928</f>
        <v>1</v>
      </c>
    </row>
    <row r="925" spans="1:18" s="29" customFormat="1" hidden="1">
      <c r="A925" s="29">
        <f>Item_Enchant_Old!A929</f>
        <v>924</v>
      </c>
      <c r="B925" s="29" t="str">
        <f>Item_Enchant_Old!B929</f>
        <v>ACTIVE_LP_REGENERATION</v>
      </c>
      <c r="C925" s="29">
        <f>Item_Enchant_Old!C929</f>
        <v>627</v>
      </c>
      <c r="D925" s="29">
        <f>Item_Enchant_Old!D929</f>
        <v>0</v>
      </c>
      <c r="E925" s="29">
        <f>Item_Enchant_Old!E929</f>
        <v>0</v>
      </c>
      <c r="F925" s="29">
        <f>Item_Enchant_Old!F929</f>
        <v>0</v>
      </c>
      <c r="G925" s="29">
        <f>Item_Enchant_Old!G929</f>
        <v>1</v>
      </c>
      <c r="H925" s="29" t="str">
        <f>Item_Enchant_Old!H929</f>
        <v>@</v>
      </c>
      <c r="I925" s="29">
        <f>Item_Enchant_Old!I929</f>
        <v>1</v>
      </c>
      <c r="J925" s="29" t="str">
        <f>Item_Enchant_Old!J929</f>
        <v>절대값/상대값(%) 가능</v>
      </c>
      <c r="K925" s="29">
        <f>Item_Enchant_Old!K929</f>
        <v>18</v>
      </c>
      <c r="L925" s="29">
        <f>Item_Enchant_Old!L929</f>
        <v>0</v>
      </c>
      <c r="M925" s="29">
        <f>Item_Enchant_Old!M929</f>
        <v>5</v>
      </c>
      <c r="N925" s="29">
        <f>Item_Enchant_Old!N929</f>
        <v>126</v>
      </c>
      <c r="O925" s="29">
        <f>Item_Enchant_Old!O929</f>
        <v>1</v>
      </c>
      <c r="P925" s="29">
        <f>Item_Enchant_Old!P929</f>
        <v>1</v>
      </c>
      <c r="Q925" s="29">
        <f>Item_Enchant_Old!Q929</f>
        <v>1</v>
      </c>
      <c r="R925" s="29">
        <f>Item_Enchant_Old!R929</f>
        <v>1</v>
      </c>
    </row>
    <row r="926" spans="1:18" s="29" customFormat="1" hidden="1">
      <c r="A926" s="29">
        <f>Item_Enchant_Old!A930</f>
        <v>925</v>
      </c>
      <c r="B926" s="29" t="str">
        <f>Item_Enchant_Old!B930</f>
        <v>ACTIVE_STOMACHACHE_DEFENCE</v>
      </c>
      <c r="C926" s="29">
        <f>Item_Enchant_Old!C930</f>
        <v>679</v>
      </c>
      <c r="D926" s="29">
        <f>Item_Enchant_Old!D930</f>
        <v>0</v>
      </c>
      <c r="E926" s="29">
        <f>Item_Enchant_Old!E930</f>
        <v>0</v>
      </c>
      <c r="F926" s="29">
        <f>Item_Enchant_Old!F930</f>
        <v>0</v>
      </c>
      <c r="G926" s="29">
        <f>Item_Enchant_Old!G930</f>
        <v>1</v>
      </c>
      <c r="H926" s="29" t="str">
        <f>Item_Enchant_Old!H930</f>
        <v>@</v>
      </c>
      <c r="I926" s="29">
        <f>Item_Enchant_Old!I930</f>
        <v>1</v>
      </c>
      <c r="J926" s="29" t="str">
        <f>Item_Enchant_Old!J930</f>
        <v>절대값/상대값(%) 가능</v>
      </c>
      <c r="K926" s="29">
        <f>Item_Enchant_Old!K930</f>
        <v>18</v>
      </c>
      <c r="L926" s="29">
        <f>Item_Enchant_Old!L930</f>
        <v>0</v>
      </c>
      <c r="M926" s="29">
        <f>Item_Enchant_Old!M930</f>
        <v>5</v>
      </c>
      <c r="N926" s="29">
        <f>Item_Enchant_Old!N930</f>
        <v>1350</v>
      </c>
      <c r="O926" s="29">
        <f>Item_Enchant_Old!O930</f>
        <v>1</v>
      </c>
      <c r="P926" s="29">
        <f>Item_Enchant_Old!P930</f>
        <v>1</v>
      </c>
      <c r="Q926" s="29">
        <f>Item_Enchant_Old!Q930</f>
        <v>1</v>
      </c>
      <c r="R926" s="29">
        <f>Item_Enchant_Old!R930</f>
        <v>1</v>
      </c>
    </row>
    <row r="927" spans="1:18" s="29" customFormat="1" hidden="1">
      <c r="A927" s="29">
        <f>Item_Enchant_Old!A931</f>
        <v>926</v>
      </c>
      <c r="B927" s="29" t="str">
        <f>Item_Enchant_Old!B931</f>
        <v>ACTIVE_POISON_DEFENCE</v>
      </c>
      <c r="C927" s="29">
        <f>Item_Enchant_Old!C931</f>
        <v>680</v>
      </c>
      <c r="D927" s="29">
        <f>Item_Enchant_Old!D931</f>
        <v>0</v>
      </c>
      <c r="E927" s="29">
        <f>Item_Enchant_Old!E931</f>
        <v>0</v>
      </c>
      <c r="F927" s="29">
        <f>Item_Enchant_Old!F931</f>
        <v>0</v>
      </c>
      <c r="G927" s="29">
        <f>Item_Enchant_Old!G931</f>
        <v>1</v>
      </c>
      <c r="H927" s="29" t="str">
        <f>Item_Enchant_Old!H931</f>
        <v>@</v>
      </c>
      <c r="I927" s="29">
        <f>Item_Enchant_Old!I931</f>
        <v>1</v>
      </c>
      <c r="J927" s="29" t="str">
        <f>Item_Enchant_Old!J931</f>
        <v>절대값/상대값(%) 가능</v>
      </c>
      <c r="K927" s="29">
        <f>Item_Enchant_Old!K931</f>
        <v>18</v>
      </c>
      <c r="L927" s="29">
        <f>Item_Enchant_Old!L931</f>
        <v>0</v>
      </c>
      <c r="M927" s="29">
        <f>Item_Enchant_Old!M931</f>
        <v>5</v>
      </c>
      <c r="N927" s="29">
        <f>Item_Enchant_Old!N931</f>
        <v>1350</v>
      </c>
      <c r="O927" s="29">
        <f>Item_Enchant_Old!O931</f>
        <v>1</v>
      </c>
      <c r="P927" s="29">
        <f>Item_Enchant_Old!P931</f>
        <v>1</v>
      </c>
      <c r="Q927" s="29">
        <f>Item_Enchant_Old!Q931</f>
        <v>1</v>
      </c>
      <c r="R927" s="29">
        <f>Item_Enchant_Old!R931</f>
        <v>1</v>
      </c>
    </row>
    <row r="928" spans="1:18" s="29" customFormat="1" hidden="1">
      <c r="A928" s="29">
        <f>Item_Enchant_Old!A932</f>
        <v>927</v>
      </c>
      <c r="B928" s="29" t="str">
        <f>Item_Enchant_Old!B932</f>
        <v>ACTIVE_MAX_EP_UP</v>
      </c>
      <c r="C928" s="29">
        <f>Item_Enchant_Old!C932</f>
        <v>604</v>
      </c>
      <c r="D928" s="29">
        <f>Item_Enchant_Old!D932</f>
        <v>0</v>
      </c>
      <c r="E928" s="29">
        <f>Item_Enchant_Old!E932</f>
        <v>0</v>
      </c>
      <c r="F928" s="29">
        <f>Item_Enchant_Old!F932</f>
        <v>0</v>
      </c>
      <c r="G928" s="29">
        <f>Item_Enchant_Old!G932</f>
        <v>1</v>
      </c>
      <c r="H928" s="29" t="str">
        <f>Item_Enchant_Old!H932</f>
        <v>@</v>
      </c>
      <c r="I928" s="29">
        <f>Item_Enchant_Old!I932</f>
        <v>1</v>
      </c>
      <c r="J928" s="29" t="str">
        <f>Item_Enchant_Old!J932</f>
        <v>절대값/상대값(%) 가능</v>
      </c>
      <c r="K928" s="29">
        <f>Item_Enchant_Old!K932</f>
        <v>18</v>
      </c>
      <c r="L928" s="29">
        <f>Item_Enchant_Old!L932</f>
        <v>0</v>
      </c>
      <c r="M928" s="29">
        <f>Item_Enchant_Old!M932</f>
        <v>6</v>
      </c>
      <c r="N928" s="29">
        <f>Item_Enchant_Old!N932</f>
        <v>2812</v>
      </c>
      <c r="O928" s="29">
        <f>Item_Enchant_Old!O932</f>
        <v>1</v>
      </c>
      <c r="P928" s="29">
        <f>Item_Enchant_Old!P932</f>
        <v>1</v>
      </c>
      <c r="Q928" s="29">
        <f>Item_Enchant_Old!Q932</f>
        <v>1</v>
      </c>
      <c r="R928" s="29">
        <f>Item_Enchant_Old!R932</f>
        <v>1</v>
      </c>
    </row>
    <row r="929" spans="1:18" s="29" customFormat="1" hidden="1">
      <c r="A929" s="29">
        <f>Item_Enchant_Old!A933</f>
        <v>928</v>
      </c>
      <c r="B929" s="29" t="str">
        <f>Item_Enchant_Old!B933</f>
        <v>ACTIVE_EP_REGENERATION</v>
      </c>
      <c r="C929" s="29">
        <f>Item_Enchant_Old!C933</f>
        <v>628</v>
      </c>
      <c r="D929" s="29">
        <f>Item_Enchant_Old!D933</f>
        <v>0</v>
      </c>
      <c r="E929" s="29">
        <f>Item_Enchant_Old!E933</f>
        <v>0</v>
      </c>
      <c r="F929" s="29">
        <f>Item_Enchant_Old!F933</f>
        <v>0</v>
      </c>
      <c r="G929" s="29">
        <f>Item_Enchant_Old!G933</f>
        <v>1</v>
      </c>
      <c r="H929" s="29" t="str">
        <f>Item_Enchant_Old!H933</f>
        <v>@</v>
      </c>
      <c r="I929" s="29">
        <f>Item_Enchant_Old!I933</f>
        <v>1</v>
      </c>
      <c r="J929" s="29" t="str">
        <f>Item_Enchant_Old!J933</f>
        <v>절대값/상대값(%) 가능</v>
      </c>
      <c r="K929" s="29">
        <f>Item_Enchant_Old!K933</f>
        <v>18</v>
      </c>
      <c r="L929" s="29">
        <f>Item_Enchant_Old!L933</f>
        <v>0</v>
      </c>
      <c r="M929" s="29">
        <f>Item_Enchant_Old!M933</f>
        <v>6</v>
      </c>
      <c r="N929" s="29">
        <f>Item_Enchant_Old!N933</f>
        <v>156</v>
      </c>
      <c r="O929" s="29">
        <f>Item_Enchant_Old!O933</f>
        <v>1</v>
      </c>
      <c r="P929" s="29">
        <f>Item_Enchant_Old!P933</f>
        <v>1</v>
      </c>
      <c r="Q929" s="29">
        <f>Item_Enchant_Old!Q933</f>
        <v>1</v>
      </c>
      <c r="R929" s="29">
        <f>Item_Enchant_Old!R933</f>
        <v>1</v>
      </c>
    </row>
    <row r="930" spans="1:18" s="29" customFormat="1" hidden="1">
      <c r="A930" s="29">
        <f>Item_Enchant_Old!A934</f>
        <v>929</v>
      </c>
      <c r="B930" s="29" t="str">
        <f>Item_Enchant_Old!B934</f>
        <v>ACTIVE_ENG_UP</v>
      </c>
      <c r="C930" s="29">
        <f>Item_Enchant_Old!C934</f>
        <v>615</v>
      </c>
      <c r="D930" s="29">
        <f>Item_Enchant_Old!D934</f>
        <v>0</v>
      </c>
      <c r="E930" s="29">
        <f>Item_Enchant_Old!E934</f>
        <v>0</v>
      </c>
      <c r="F930" s="29">
        <f>Item_Enchant_Old!F934</f>
        <v>0</v>
      </c>
      <c r="G930" s="29">
        <f>Item_Enchant_Old!G934</f>
        <v>2</v>
      </c>
      <c r="H930" s="29" t="str">
        <f>Item_Enchant_Old!H934</f>
        <v>@</v>
      </c>
      <c r="I930" s="29">
        <f>Item_Enchant_Old!I934</f>
        <v>1</v>
      </c>
      <c r="J930" s="29" t="str">
        <f>Item_Enchant_Old!J934</f>
        <v>절대값/상대값(%) 가능</v>
      </c>
      <c r="K930" s="29">
        <f>Item_Enchant_Old!K934</f>
        <v>18</v>
      </c>
      <c r="L930" s="29">
        <f>Item_Enchant_Old!L934</f>
        <v>0</v>
      </c>
      <c r="M930" s="29">
        <f>Item_Enchant_Old!M934</f>
        <v>6</v>
      </c>
      <c r="N930" s="29">
        <f>Item_Enchant_Old!N934</f>
        <v>62</v>
      </c>
      <c r="O930" s="29">
        <f>Item_Enchant_Old!O934</f>
        <v>1</v>
      </c>
      <c r="P930" s="29">
        <f>Item_Enchant_Old!P934</f>
        <v>1</v>
      </c>
      <c r="Q930" s="29">
        <f>Item_Enchant_Old!Q934</f>
        <v>1</v>
      </c>
      <c r="R930" s="29">
        <f>Item_Enchant_Old!R934</f>
        <v>1</v>
      </c>
    </row>
    <row r="931" spans="1:18" s="29" customFormat="1" hidden="1">
      <c r="A931" s="29">
        <f>Item_Enchant_Old!A935</f>
        <v>930</v>
      </c>
      <c r="B931" s="29" t="str">
        <f>Item_Enchant_Old!B935</f>
        <v>ACTIVE_BLEED_DEFENCE</v>
      </c>
      <c r="C931" s="29">
        <f>Item_Enchant_Old!C935</f>
        <v>681</v>
      </c>
      <c r="D931" s="29">
        <f>Item_Enchant_Old!D935</f>
        <v>0</v>
      </c>
      <c r="E931" s="29">
        <f>Item_Enchant_Old!E935</f>
        <v>0</v>
      </c>
      <c r="F931" s="29">
        <f>Item_Enchant_Old!F935</f>
        <v>0</v>
      </c>
      <c r="G931" s="29">
        <f>Item_Enchant_Old!G935</f>
        <v>1</v>
      </c>
      <c r="H931" s="29" t="str">
        <f>Item_Enchant_Old!H935</f>
        <v>@</v>
      </c>
      <c r="I931" s="29">
        <f>Item_Enchant_Old!I935</f>
        <v>1</v>
      </c>
      <c r="J931" s="29" t="str">
        <f>Item_Enchant_Old!J935</f>
        <v>절대값/상대값(%) 가능</v>
      </c>
      <c r="K931" s="29">
        <f>Item_Enchant_Old!K935</f>
        <v>18</v>
      </c>
      <c r="L931" s="29">
        <f>Item_Enchant_Old!L935</f>
        <v>0</v>
      </c>
      <c r="M931" s="29">
        <f>Item_Enchant_Old!M935</f>
        <v>6</v>
      </c>
      <c r="N931" s="29">
        <f>Item_Enchant_Old!N935</f>
        <v>1350</v>
      </c>
      <c r="O931" s="29">
        <f>Item_Enchant_Old!O935</f>
        <v>1</v>
      </c>
      <c r="P931" s="29">
        <f>Item_Enchant_Old!P935</f>
        <v>1</v>
      </c>
      <c r="Q931" s="29">
        <f>Item_Enchant_Old!Q935</f>
        <v>1</v>
      </c>
      <c r="R931" s="29">
        <f>Item_Enchant_Old!R935</f>
        <v>1</v>
      </c>
    </row>
    <row r="932" spans="1:18" s="29" customFormat="1" hidden="1">
      <c r="A932" s="29">
        <f>Item_Enchant_Old!A936</f>
        <v>931</v>
      </c>
      <c r="B932" s="29" t="str">
        <f>Item_Enchant_Old!B936</f>
        <v>ACTIVE_BURN_DEFENCE</v>
      </c>
      <c r="C932" s="29">
        <f>Item_Enchant_Old!C936</f>
        <v>682</v>
      </c>
      <c r="D932" s="29">
        <f>Item_Enchant_Old!D936</f>
        <v>0</v>
      </c>
      <c r="E932" s="29">
        <f>Item_Enchant_Old!E936</f>
        <v>0</v>
      </c>
      <c r="F932" s="29">
        <f>Item_Enchant_Old!F936</f>
        <v>0</v>
      </c>
      <c r="G932" s="29">
        <f>Item_Enchant_Old!G936</f>
        <v>1</v>
      </c>
      <c r="H932" s="29" t="str">
        <f>Item_Enchant_Old!H936</f>
        <v>@</v>
      </c>
      <c r="I932" s="29">
        <f>Item_Enchant_Old!I936</f>
        <v>1</v>
      </c>
      <c r="J932" s="29" t="str">
        <f>Item_Enchant_Old!J936</f>
        <v>절대값/상대값(%) 가능</v>
      </c>
      <c r="K932" s="29">
        <f>Item_Enchant_Old!K936</f>
        <v>18</v>
      </c>
      <c r="L932" s="29">
        <f>Item_Enchant_Old!L936</f>
        <v>0</v>
      </c>
      <c r="M932" s="29">
        <f>Item_Enchant_Old!M936</f>
        <v>6</v>
      </c>
      <c r="N932" s="29">
        <f>Item_Enchant_Old!N936</f>
        <v>1350</v>
      </c>
      <c r="O932" s="29">
        <f>Item_Enchant_Old!O936</f>
        <v>1</v>
      </c>
      <c r="P932" s="29">
        <f>Item_Enchant_Old!P936</f>
        <v>1</v>
      </c>
      <c r="Q932" s="29">
        <f>Item_Enchant_Old!Q936</f>
        <v>1</v>
      </c>
      <c r="R932" s="29">
        <f>Item_Enchant_Old!R936</f>
        <v>1</v>
      </c>
    </row>
    <row r="933" spans="1:18" s="29" customFormat="1" hidden="1">
      <c r="A933" s="29">
        <f>Item_Enchant_Old!A937</f>
        <v>932</v>
      </c>
      <c r="B933" s="29" t="str">
        <f>Item_Enchant_Old!B937</f>
        <v>ACTIVE_CRITICAL_BLOCK_UP</v>
      </c>
      <c r="C933" s="29">
        <f>Item_Enchant_Old!C937</f>
        <v>651</v>
      </c>
      <c r="D933" s="29">
        <f>Item_Enchant_Old!D937</f>
        <v>0</v>
      </c>
      <c r="E933" s="29">
        <f>Item_Enchant_Old!E937</f>
        <v>0</v>
      </c>
      <c r="F933" s="29">
        <f>Item_Enchant_Old!F937</f>
        <v>0</v>
      </c>
      <c r="G933" s="29">
        <f>Item_Enchant_Old!G937</f>
        <v>5</v>
      </c>
      <c r="H933" s="29" t="str">
        <f>Item_Enchant_Old!H937</f>
        <v>@</v>
      </c>
      <c r="I933" s="29">
        <f>Item_Enchant_Old!I937</f>
        <v>1</v>
      </c>
      <c r="J933" s="29" t="str">
        <f>Item_Enchant_Old!J937</f>
        <v>절대값만 가능</v>
      </c>
      <c r="K933" s="29">
        <f>Item_Enchant_Old!K937</f>
        <v>18</v>
      </c>
      <c r="L933" s="29">
        <f>Item_Enchant_Old!L937</f>
        <v>0</v>
      </c>
      <c r="M933" s="29">
        <f>Item_Enchant_Old!M937</f>
        <v>7</v>
      </c>
      <c r="N933" s="29">
        <f>Item_Enchant_Old!N937</f>
        <v>20</v>
      </c>
      <c r="O933" s="29">
        <f>Item_Enchant_Old!O937</f>
        <v>1</v>
      </c>
      <c r="P933" s="29">
        <f>Item_Enchant_Old!P937</f>
        <v>1</v>
      </c>
      <c r="Q933" s="29">
        <f>Item_Enchant_Old!Q937</f>
        <v>1</v>
      </c>
      <c r="R933" s="29">
        <f>Item_Enchant_Old!R937</f>
        <v>1</v>
      </c>
    </row>
    <row r="934" spans="1:18" s="29" customFormat="1" hidden="1">
      <c r="A934" s="29">
        <f>Item_Enchant_Old!A938</f>
        <v>933</v>
      </c>
      <c r="B934" s="29" t="str">
        <f>Item_Enchant_Old!B938</f>
        <v>ACTIVE_BLOCK_RATE_UP</v>
      </c>
      <c r="C934" s="29">
        <f>Item_Enchant_Old!C938</f>
        <v>620</v>
      </c>
      <c r="D934" s="29">
        <f>Item_Enchant_Old!D938</f>
        <v>0</v>
      </c>
      <c r="E934" s="29">
        <f>Item_Enchant_Old!E938</f>
        <v>0</v>
      </c>
      <c r="F934" s="29">
        <f>Item_Enchant_Old!F938</f>
        <v>0</v>
      </c>
      <c r="G934" s="29">
        <f>Item_Enchant_Old!G938</f>
        <v>1</v>
      </c>
      <c r="H934" s="29" t="str">
        <f>Item_Enchant_Old!H938</f>
        <v>@</v>
      </c>
      <c r="I934" s="29">
        <f>Item_Enchant_Old!I938</f>
        <v>1</v>
      </c>
      <c r="J934" s="29" t="str">
        <f>Item_Enchant_Old!J938</f>
        <v>절대값/상대값(%) 가능</v>
      </c>
      <c r="K934" s="29">
        <f>Item_Enchant_Old!K938</f>
        <v>18</v>
      </c>
      <c r="L934" s="29">
        <f>Item_Enchant_Old!L938</f>
        <v>0</v>
      </c>
      <c r="M934" s="29">
        <f>Item_Enchant_Old!M938</f>
        <v>7</v>
      </c>
      <c r="N934" s="29">
        <f>Item_Enchant_Old!N938</f>
        <v>352</v>
      </c>
      <c r="O934" s="29">
        <f>Item_Enchant_Old!O938</f>
        <v>1</v>
      </c>
      <c r="P934" s="29">
        <f>Item_Enchant_Old!P938</f>
        <v>1</v>
      </c>
      <c r="Q934" s="29">
        <f>Item_Enchant_Old!Q938</f>
        <v>1</v>
      </c>
      <c r="R934" s="29">
        <f>Item_Enchant_Old!R938</f>
        <v>1</v>
      </c>
    </row>
    <row r="935" spans="1:18" s="29" customFormat="1" hidden="1">
      <c r="A935" s="29">
        <f>Item_Enchant_Old!A939</f>
        <v>934</v>
      </c>
      <c r="B935" s="29" t="str">
        <f>Item_Enchant_Old!B939</f>
        <v>ACTIVE_DODGE_RATE_UP</v>
      </c>
      <c r="C935" s="29">
        <f>Item_Enchant_Old!C939</f>
        <v>619</v>
      </c>
      <c r="D935" s="29">
        <f>Item_Enchant_Old!D939</f>
        <v>0</v>
      </c>
      <c r="E935" s="29">
        <f>Item_Enchant_Old!E939</f>
        <v>0</v>
      </c>
      <c r="F935" s="29">
        <f>Item_Enchant_Old!F939</f>
        <v>0</v>
      </c>
      <c r="G935" s="29">
        <f>Item_Enchant_Old!G939</f>
        <v>1</v>
      </c>
      <c r="H935" s="29" t="str">
        <f>Item_Enchant_Old!H939</f>
        <v>@</v>
      </c>
      <c r="I935" s="29">
        <f>Item_Enchant_Old!I939</f>
        <v>1</v>
      </c>
      <c r="J935" s="29" t="str">
        <f>Item_Enchant_Old!J939</f>
        <v>절대값/상대값(%) 가능</v>
      </c>
      <c r="K935" s="29">
        <f>Item_Enchant_Old!K939</f>
        <v>18</v>
      </c>
      <c r="L935" s="29">
        <f>Item_Enchant_Old!L939</f>
        <v>0</v>
      </c>
      <c r="M935" s="29">
        <f>Item_Enchant_Old!M939</f>
        <v>7</v>
      </c>
      <c r="N935" s="29">
        <f>Item_Enchant_Old!N939</f>
        <v>275</v>
      </c>
      <c r="O935" s="29">
        <f>Item_Enchant_Old!O939</f>
        <v>1</v>
      </c>
      <c r="P935" s="29">
        <f>Item_Enchant_Old!P939</f>
        <v>1</v>
      </c>
      <c r="Q935" s="29">
        <f>Item_Enchant_Old!Q939</f>
        <v>1</v>
      </c>
      <c r="R935" s="29">
        <f>Item_Enchant_Old!R939</f>
        <v>1</v>
      </c>
    </row>
    <row r="936" spans="1:18" s="29" customFormat="1" hidden="1">
      <c r="A936" s="29">
        <f>Item_Enchant_Old!A940</f>
        <v>935</v>
      </c>
      <c r="B936" s="29" t="str">
        <f>Item_Enchant_Old!B940</f>
        <v>ACTIVE_STOMACHACHE_DEFENCE</v>
      </c>
      <c r="C936" s="29">
        <f>Item_Enchant_Old!C940</f>
        <v>679</v>
      </c>
      <c r="D936" s="29">
        <f>Item_Enchant_Old!D940</f>
        <v>0</v>
      </c>
      <c r="E936" s="29">
        <f>Item_Enchant_Old!E940</f>
        <v>0</v>
      </c>
      <c r="F936" s="29">
        <f>Item_Enchant_Old!F940</f>
        <v>0</v>
      </c>
      <c r="G936" s="29">
        <f>Item_Enchant_Old!G940</f>
        <v>1</v>
      </c>
      <c r="H936" s="29" t="str">
        <f>Item_Enchant_Old!H940</f>
        <v>@</v>
      </c>
      <c r="I936" s="29">
        <f>Item_Enchant_Old!I940</f>
        <v>1</v>
      </c>
      <c r="J936" s="29" t="str">
        <f>Item_Enchant_Old!J940</f>
        <v>절대값/상대값(%) 가능</v>
      </c>
      <c r="K936" s="29">
        <f>Item_Enchant_Old!K940</f>
        <v>18</v>
      </c>
      <c r="L936" s="29">
        <f>Item_Enchant_Old!L940</f>
        <v>0</v>
      </c>
      <c r="M936" s="29">
        <f>Item_Enchant_Old!M940</f>
        <v>7</v>
      </c>
      <c r="N936" s="29">
        <f>Item_Enchant_Old!N940</f>
        <v>1350</v>
      </c>
      <c r="O936" s="29">
        <f>Item_Enchant_Old!O940</f>
        <v>1</v>
      </c>
      <c r="P936" s="29">
        <f>Item_Enchant_Old!P940</f>
        <v>1</v>
      </c>
      <c r="Q936" s="29">
        <f>Item_Enchant_Old!Q940</f>
        <v>1</v>
      </c>
      <c r="R936" s="29">
        <f>Item_Enchant_Old!R940</f>
        <v>1</v>
      </c>
    </row>
    <row r="937" spans="1:18" s="29" customFormat="1" hidden="1">
      <c r="A937" s="29">
        <f>Item_Enchant_Old!A941</f>
        <v>936</v>
      </c>
      <c r="B937" s="29" t="str">
        <f>Item_Enchant_Old!B941</f>
        <v>ACTIVE_POISON_DEFENCE</v>
      </c>
      <c r="C937" s="29">
        <f>Item_Enchant_Old!C941</f>
        <v>680</v>
      </c>
      <c r="D937" s="29">
        <f>Item_Enchant_Old!D941</f>
        <v>0</v>
      </c>
      <c r="E937" s="29">
        <f>Item_Enchant_Old!E941</f>
        <v>0</v>
      </c>
      <c r="F937" s="29">
        <f>Item_Enchant_Old!F941</f>
        <v>0</v>
      </c>
      <c r="G937" s="29">
        <f>Item_Enchant_Old!G941</f>
        <v>1</v>
      </c>
      <c r="H937" s="29" t="str">
        <f>Item_Enchant_Old!H941</f>
        <v>@</v>
      </c>
      <c r="I937" s="29">
        <f>Item_Enchant_Old!I941</f>
        <v>1</v>
      </c>
      <c r="J937" s="29" t="str">
        <f>Item_Enchant_Old!J941</f>
        <v>절대값/상대값(%) 가능</v>
      </c>
      <c r="K937" s="29">
        <f>Item_Enchant_Old!K941</f>
        <v>18</v>
      </c>
      <c r="L937" s="29">
        <f>Item_Enchant_Old!L941</f>
        <v>0</v>
      </c>
      <c r="M937" s="29">
        <f>Item_Enchant_Old!M941</f>
        <v>7</v>
      </c>
      <c r="N937" s="29">
        <f>Item_Enchant_Old!N941</f>
        <v>1350</v>
      </c>
      <c r="O937" s="29">
        <f>Item_Enchant_Old!O941</f>
        <v>1</v>
      </c>
      <c r="P937" s="29">
        <f>Item_Enchant_Old!P941</f>
        <v>1</v>
      </c>
      <c r="Q937" s="29">
        <f>Item_Enchant_Old!Q941</f>
        <v>1</v>
      </c>
      <c r="R937" s="29">
        <f>Item_Enchant_Old!R941</f>
        <v>1</v>
      </c>
    </row>
    <row r="938" spans="1:18" s="29" customFormat="1" hidden="1">
      <c r="A938" s="29">
        <f>Item_Enchant_Old!A942</f>
        <v>937</v>
      </c>
      <c r="B938" s="29" t="str">
        <f>Item_Enchant_Old!B942</f>
        <v>ACTIVE_BLEED_DEFENCE</v>
      </c>
      <c r="C938" s="29">
        <f>Item_Enchant_Old!C942</f>
        <v>681</v>
      </c>
      <c r="D938" s="29">
        <f>Item_Enchant_Old!D942</f>
        <v>0</v>
      </c>
      <c r="E938" s="29">
        <f>Item_Enchant_Old!E942</f>
        <v>0</v>
      </c>
      <c r="F938" s="29">
        <f>Item_Enchant_Old!F942</f>
        <v>0</v>
      </c>
      <c r="G938" s="29">
        <f>Item_Enchant_Old!G942</f>
        <v>1</v>
      </c>
      <c r="H938" s="29" t="str">
        <f>Item_Enchant_Old!H942</f>
        <v>@</v>
      </c>
      <c r="I938" s="29">
        <f>Item_Enchant_Old!I942</f>
        <v>1</v>
      </c>
      <c r="J938" s="29" t="str">
        <f>Item_Enchant_Old!J942</f>
        <v>절대값/상대값(%) 가능</v>
      </c>
      <c r="K938" s="29">
        <f>Item_Enchant_Old!K942</f>
        <v>18</v>
      </c>
      <c r="L938" s="29">
        <f>Item_Enchant_Old!L942</f>
        <v>0</v>
      </c>
      <c r="M938" s="29">
        <f>Item_Enchant_Old!M942</f>
        <v>7</v>
      </c>
      <c r="N938" s="29">
        <f>Item_Enchant_Old!N942</f>
        <v>1350</v>
      </c>
      <c r="O938" s="29">
        <f>Item_Enchant_Old!O942</f>
        <v>1</v>
      </c>
      <c r="P938" s="29">
        <f>Item_Enchant_Old!P942</f>
        <v>1</v>
      </c>
      <c r="Q938" s="29">
        <f>Item_Enchant_Old!Q942</f>
        <v>1</v>
      </c>
      <c r="R938" s="29">
        <f>Item_Enchant_Old!R942</f>
        <v>1</v>
      </c>
    </row>
    <row r="939" spans="1:18" s="29" customFormat="1" hidden="1">
      <c r="A939" s="29">
        <f>Item_Enchant_Old!A943</f>
        <v>938</v>
      </c>
      <c r="B939" s="29" t="str">
        <f>Item_Enchant_Old!B943</f>
        <v>ACTIVE_BURN_DEFENCE</v>
      </c>
      <c r="C939" s="29">
        <f>Item_Enchant_Old!C943</f>
        <v>682</v>
      </c>
      <c r="D939" s="29">
        <f>Item_Enchant_Old!D943</f>
        <v>0</v>
      </c>
      <c r="E939" s="29">
        <f>Item_Enchant_Old!E943</f>
        <v>0</v>
      </c>
      <c r="F939" s="29">
        <f>Item_Enchant_Old!F943</f>
        <v>0</v>
      </c>
      <c r="G939" s="29">
        <f>Item_Enchant_Old!G943</f>
        <v>1</v>
      </c>
      <c r="H939" s="29" t="str">
        <f>Item_Enchant_Old!H943</f>
        <v>@</v>
      </c>
      <c r="I939" s="29">
        <f>Item_Enchant_Old!I943</f>
        <v>1</v>
      </c>
      <c r="J939" s="29" t="str">
        <f>Item_Enchant_Old!J943</f>
        <v>절대값/상대값(%) 가능</v>
      </c>
      <c r="K939" s="29">
        <f>Item_Enchant_Old!K943</f>
        <v>18</v>
      </c>
      <c r="L939" s="29">
        <f>Item_Enchant_Old!L943</f>
        <v>0</v>
      </c>
      <c r="M939" s="29">
        <f>Item_Enchant_Old!M943</f>
        <v>7</v>
      </c>
      <c r="N939" s="29">
        <f>Item_Enchant_Old!N943</f>
        <v>1350</v>
      </c>
      <c r="O939" s="29">
        <f>Item_Enchant_Old!O943</f>
        <v>1</v>
      </c>
      <c r="P939" s="29">
        <f>Item_Enchant_Old!P943</f>
        <v>1</v>
      </c>
      <c r="Q939" s="29">
        <f>Item_Enchant_Old!Q943</f>
        <v>1</v>
      </c>
      <c r="R939" s="29">
        <f>Item_Enchant_Old!R943</f>
        <v>1</v>
      </c>
    </row>
    <row r="940" spans="1:18" s="29" customFormat="1" hidden="1">
      <c r="A940" s="29">
        <f>Item_Enchant_Old!A944</f>
        <v>939</v>
      </c>
      <c r="B940" s="29" t="str">
        <f>Item_Enchant_Old!B944</f>
        <v>ACTIVE_PHYSICAL_DEFENCE_UP</v>
      </c>
      <c r="C940" s="29">
        <f>Item_Enchant_Old!C944</f>
        <v>608</v>
      </c>
      <c r="D940" s="29">
        <f>Item_Enchant_Old!D944</f>
        <v>0</v>
      </c>
      <c r="E940" s="29">
        <f>Item_Enchant_Old!E944</f>
        <v>0</v>
      </c>
      <c r="F940" s="29">
        <f>Item_Enchant_Old!F944</f>
        <v>0</v>
      </c>
      <c r="G940" s="29">
        <f>Item_Enchant_Old!G944</f>
        <v>1</v>
      </c>
      <c r="H940" s="29" t="str">
        <f>Item_Enchant_Old!H944</f>
        <v>@</v>
      </c>
      <c r="I940" s="29">
        <f>Item_Enchant_Old!I944</f>
        <v>1</v>
      </c>
      <c r="J940" s="29" t="str">
        <f>Item_Enchant_Old!J944</f>
        <v>절대값/상대값(%) 가능</v>
      </c>
      <c r="K940" s="29">
        <f>Item_Enchant_Old!K944</f>
        <v>18</v>
      </c>
      <c r="L940" s="29">
        <f>Item_Enchant_Old!L944</f>
        <v>0</v>
      </c>
      <c r="M940" s="29">
        <f>Item_Enchant_Old!M944</f>
        <v>8</v>
      </c>
      <c r="N940" s="29">
        <f>Item_Enchant_Old!N944</f>
        <v>1350</v>
      </c>
      <c r="O940" s="29">
        <f>Item_Enchant_Old!O944</f>
        <v>1</v>
      </c>
      <c r="P940" s="29">
        <f>Item_Enchant_Old!P944</f>
        <v>1</v>
      </c>
      <c r="Q940" s="29">
        <f>Item_Enchant_Old!Q944</f>
        <v>1</v>
      </c>
      <c r="R940" s="29">
        <f>Item_Enchant_Old!R944</f>
        <v>1</v>
      </c>
    </row>
    <row r="941" spans="1:18" s="29" customFormat="1" hidden="1">
      <c r="A941" s="29">
        <f>Item_Enchant_Old!A945</f>
        <v>940</v>
      </c>
      <c r="B941" s="29" t="str">
        <f>Item_Enchant_Old!B945</f>
        <v>ACTIVE_ENERGY_DEFENCE_UP</v>
      </c>
      <c r="C941" s="29">
        <f>Item_Enchant_Old!C945</f>
        <v>609</v>
      </c>
      <c r="D941" s="29">
        <f>Item_Enchant_Old!D945</f>
        <v>0</v>
      </c>
      <c r="E941" s="29">
        <f>Item_Enchant_Old!E945</f>
        <v>0</v>
      </c>
      <c r="F941" s="29">
        <f>Item_Enchant_Old!F945</f>
        <v>0</v>
      </c>
      <c r="G941" s="29">
        <f>Item_Enchant_Old!G945</f>
        <v>1</v>
      </c>
      <c r="H941" s="29" t="str">
        <f>Item_Enchant_Old!H945</f>
        <v>@</v>
      </c>
      <c r="I941" s="29">
        <f>Item_Enchant_Old!I945</f>
        <v>1</v>
      </c>
      <c r="J941" s="29" t="str">
        <f>Item_Enchant_Old!J945</f>
        <v>절대값/상대값(%) 가능</v>
      </c>
      <c r="K941" s="29">
        <f>Item_Enchant_Old!K945</f>
        <v>18</v>
      </c>
      <c r="L941" s="29">
        <f>Item_Enchant_Old!L945</f>
        <v>0</v>
      </c>
      <c r="M941" s="29">
        <f>Item_Enchant_Old!M945</f>
        <v>8</v>
      </c>
      <c r="N941" s="29">
        <f>Item_Enchant_Old!N945</f>
        <v>1350</v>
      </c>
      <c r="O941" s="29">
        <f>Item_Enchant_Old!O945</f>
        <v>1</v>
      </c>
      <c r="P941" s="29">
        <f>Item_Enchant_Old!P945</f>
        <v>1</v>
      </c>
      <c r="Q941" s="29">
        <f>Item_Enchant_Old!Q945</f>
        <v>1</v>
      </c>
      <c r="R941" s="29">
        <f>Item_Enchant_Old!R945</f>
        <v>1</v>
      </c>
    </row>
    <row r="942" spans="1:18" s="29" customFormat="1" hidden="1">
      <c r="A942" s="29">
        <f>Item_Enchant_Old!A946</f>
        <v>941</v>
      </c>
      <c r="B942" s="29" t="str">
        <f>Item_Enchant_Old!B946</f>
        <v>ACTIVE_BLOCK_RATE_UP</v>
      </c>
      <c r="C942" s="29">
        <f>Item_Enchant_Old!C946</f>
        <v>620</v>
      </c>
      <c r="D942" s="29">
        <f>Item_Enchant_Old!D946</f>
        <v>0</v>
      </c>
      <c r="E942" s="29">
        <f>Item_Enchant_Old!E946</f>
        <v>0</v>
      </c>
      <c r="F942" s="29">
        <f>Item_Enchant_Old!F946</f>
        <v>0</v>
      </c>
      <c r="G942" s="29">
        <f>Item_Enchant_Old!G946</f>
        <v>1</v>
      </c>
      <c r="H942" s="29" t="str">
        <f>Item_Enchant_Old!H946</f>
        <v>@</v>
      </c>
      <c r="I942" s="29">
        <f>Item_Enchant_Old!I946</f>
        <v>1</v>
      </c>
      <c r="J942" s="29" t="str">
        <f>Item_Enchant_Old!J946</f>
        <v>절대값/상대값(%) 가능</v>
      </c>
      <c r="K942" s="29">
        <f>Item_Enchant_Old!K946</f>
        <v>18</v>
      </c>
      <c r="L942" s="29">
        <f>Item_Enchant_Old!L946</f>
        <v>0</v>
      </c>
      <c r="M942" s="29">
        <f>Item_Enchant_Old!M946</f>
        <v>8</v>
      </c>
      <c r="N942" s="29">
        <f>Item_Enchant_Old!N946</f>
        <v>352</v>
      </c>
      <c r="O942" s="29">
        <f>Item_Enchant_Old!O946</f>
        <v>1</v>
      </c>
      <c r="P942" s="29">
        <f>Item_Enchant_Old!P946</f>
        <v>1</v>
      </c>
      <c r="Q942" s="29">
        <f>Item_Enchant_Old!Q946</f>
        <v>1</v>
      </c>
      <c r="R942" s="29">
        <f>Item_Enchant_Old!R946</f>
        <v>1</v>
      </c>
    </row>
    <row r="943" spans="1:18" s="29" customFormat="1" hidden="1">
      <c r="A943" s="29">
        <f>Item_Enchant_Old!A947</f>
        <v>942</v>
      </c>
      <c r="B943" s="29" t="str">
        <f>Item_Enchant_Old!B947</f>
        <v>ACTIVE_HONEST_DEFENCE_UP</v>
      </c>
      <c r="C943" s="29">
        <f>Item_Enchant_Old!C947</f>
        <v>621</v>
      </c>
      <c r="D943" s="29">
        <f>Item_Enchant_Old!D947</f>
        <v>0</v>
      </c>
      <c r="E943" s="29">
        <f>Item_Enchant_Old!E947</f>
        <v>0</v>
      </c>
      <c r="F943" s="29">
        <f>Item_Enchant_Old!F947</f>
        <v>0</v>
      </c>
      <c r="G943" s="29">
        <f>Item_Enchant_Old!G947</f>
        <v>5</v>
      </c>
      <c r="H943" s="29" t="str">
        <f>Item_Enchant_Old!H947</f>
        <v>@</v>
      </c>
      <c r="I943" s="29">
        <f>Item_Enchant_Old!I947</f>
        <v>1</v>
      </c>
      <c r="J943" s="29" t="str">
        <f>Item_Enchant_Old!J947</f>
        <v>절대값만 가능</v>
      </c>
      <c r="K943" s="29">
        <f>Item_Enchant_Old!K947</f>
        <v>18</v>
      </c>
      <c r="L943" s="29">
        <f>Item_Enchant_Old!L947</f>
        <v>0</v>
      </c>
      <c r="M943" s="29">
        <f>Item_Enchant_Old!M947</f>
        <v>8</v>
      </c>
      <c r="N943" s="29">
        <f>Item_Enchant_Old!N947</f>
        <v>20</v>
      </c>
      <c r="O943" s="29">
        <f>Item_Enchant_Old!O947</f>
        <v>1</v>
      </c>
      <c r="P943" s="29">
        <f>Item_Enchant_Old!P947</f>
        <v>1</v>
      </c>
      <c r="Q943" s="29">
        <f>Item_Enchant_Old!Q947</f>
        <v>1</v>
      </c>
      <c r="R943" s="29">
        <f>Item_Enchant_Old!R947</f>
        <v>1</v>
      </c>
    </row>
    <row r="944" spans="1:18" s="29" customFormat="1" hidden="1">
      <c r="A944" s="29">
        <f>Item_Enchant_Old!A948</f>
        <v>943</v>
      </c>
      <c r="B944" s="29" t="str">
        <f>Item_Enchant_Old!B948</f>
        <v>ACTIVE_STRANGE_DEFENCE_UP</v>
      </c>
      <c r="C944" s="29">
        <f>Item_Enchant_Old!C948</f>
        <v>622</v>
      </c>
      <c r="D944" s="29">
        <f>Item_Enchant_Old!D948</f>
        <v>0</v>
      </c>
      <c r="E944" s="29">
        <f>Item_Enchant_Old!E948</f>
        <v>0</v>
      </c>
      <c r="F944" s="29">
        <f>Item_Enchant_Old!F948</f>
        <v>0</v>
      </c>
      <c r="G944" s="29">
        <f>Item_Enchant_Old!G948</f>
        <v>5</v>
      </c>
      <c r="H944" s="29" t="str">
        <f>Item_Enchant_Old!H948</f>
        <v>@</v>
      </c>
      <c r="I944" s="29">
        <f>Item_Enchant_Old!I948</f>
        <v>1</v>
      </c>
      <c r="J944" s="29" t="str">
        <f>Item_Enchant_Old!J948</f>
        <v>절대값만 가능</v>
      </c>
      <c r="K944" s="29">
        <f>Item_Enchant_Old!K948</f>
        <v>18</v>
      </c>
      <c r="L944" s="29">
        <f>Item_Enchant_Old!L948</f>
        <v>0</v>
      </c>
      <c r="M944" s="29">
        <f>Item_Enchant_Old!M948</f>
        <v>8</v>
      </c>
      <c r="N944" s="29">
        <f>Item_Enchant_Old!N948</f>
        <v>20</v>
      </c>
      <c r="O944" s="29">
        <f>Item_Enchant_Old!O948</f>
        <v>1</v>
      </c>
      <c r="P944" s="29">
        <f>Item_Enchant_Old!P948</f>
        <v>1</v>
      </c>
      <c r="Q944" s="29">
        <f>Item_Enchant_Old!Q948</f>
        <v>1</v>
      </c>
      <c r="R944" s="29">
        <f>Item_Enchant_Old!R948</f>
        <v>1</v>
      </c>
    </row>
    <row r="945" spans="1:18" s="29" customFormat="1" hidden="1">
      <c r="A945" s="29">
        <f>Item_Enchant_Old!A949</f>
        <v>944</v>
      </c>
      <c r="B945" s="29" t="str">
        <f>Item_Enchant_Old!B949</f>
        <v>ACTIVE_WILD_DEFENCE_UP</v>
      </c>
      <c r="C945" s="29">
        <f>Item_Enchant_Old!C949</f>
        <v>623</v>
      </c>
      <c r="D945" s="29">
        <f>Item_Enchant_Old!D949</f>
        <v>0</v>
      </c>
      <c r="E945" s="29">
        <f>Item_Enchant_Old!E949</f>
        <v>0</v>
      </c>
      <c r="F945" s="29">
        <f>Item_Enchant_Old!F949</f>
        <v>0</v>
      </c>
      <c r="G945" s="29">
        <f>Item_Enchant_Old!G949</f>
        <v>5</v>
      </c>
      <c r="H945" s="29" t="str">
        <f>Item_Enchant_Old!H949</f>
        <v>@</v>
      </c>
      <c r="I945" s="29">
        <f>Item_Enchant_Old!I949</f>
        <v>1</v>
      </c>
      <c r="J945" s="29" t="str">
        <f>Item_Enchant_Old!J949</f>
        <v>절대값만 가능</v>
      </c>
      <c r="K945" s="29">
        <f>Item_Enchant_Old!K949</f>
        <v>18</v>
      </c>
      <c r="L945" s="29">
        <f>Item_Enchant_Old!L949</f>
        <v>0</v>
      </c>
      <c r="M945" s="29">
        <f>Item_Enchant_Old!M949</f>
        <v>8</v>
      </c>
      <c r="N945" s="29">
        <f>Item_Enchant_Old!N949</f>
        <v>20</v>
      </c>
      <c r="O945" s="29">
        <f>Item_Enchant_Old!O949</f>
        <v>1</v>
      </c>
      <c r="P945" s="29">
        <f>Item_Enchant_Old!P949</f>
        <v>1</v>
      </c>
      <c r="Q945" s="29">
        <f>Item_Enchant_Old!Q949</f>
        <v>1</v>
      </c>
      <c r="R945" s="29">
        <f>Item_Enchant_Old!R949</f>
        <v>1</v>
      </c>
    </row>
    <row r="946" spans="1:18" s="29" customFormat="1" hidden="1">
      <c r="A946" s="29">
        <f>Item_Enchant_Old!A950</f>
        <v>945</v>
      </c>
      <c r="B946" s="29" t="str">
        <f>Item_Enchant_Old!B950</f>
        <v>ACTIVE_ELEGANCE_DEFENCE_UP</v>
      </c>
      <c r="C946" s="29">
        <f>Item_Enchant_Old!C950</f>
        <v>624</v>
      </c>
      <c r="D946" s="29">
        <f>Item_Enchant_Old!D950</f>
        <v>0</v>
      </c>
      <c r="E946" s="29">
        <f>Item_Enchant_Old!E950</f>
        <v>0</v>
      </c>
      <c r="F946" s="29">
        <f>Item_Enchant_Old!F950</f>
        <v>0</v>
      </c>
      <c r="G946" s="29">
        <f>Item_Enchant_Old!G950</f>
        <v>5</v>
      </c>
      <c r="H946" s="29" t="str">
        <f>Item_Enchant_Old!H950</f>
        <v>@</v>
      </c>
      <c r="I946" s="29">
        <f>Item_Enchant_Old!I950</f>
        <v>1</v>
      </c>
      <c r="J946" s="29" t="str">
        <f>Item_Enchant_Old!J950</f>
        <v>절대값만 가능</v>
      </c>
      <c r="K946" s="29">
        <f>Item_Enchant_Old!K950</f>
        <v>18</v>
      </c>
      <c r="L946" s="29">
        <f>Item_Enchant_Old!L950</f>
        <v>0</v>
      </c>
      <c r="M946" s="29">
        <f>Item_Enchant_Old!M950</f>
        <v>8</v>
      </c>
      <c r="N946" s="29">
        <f>Item_Enchant_Old!N950</f>
        <v>20</v>
      </c>
      <c r="O946" s="29">
        <f>Item_Enchant_Old!O950</f>
        <v>1</v>
      </c>
      <c r="P946" s="29">
        <f>Item_Enchant_Old!P950</f>
        <v>1</v>
      </c>
      <c r="Q946" s="29">
        <f>Item_Enchant_Old!Q950</f>
        <v>1</v>
      </c>
      <c r="R946" s="29">
        <f>Item_Enchant_Old!R950</f>
        <v>1</v>
      </c>
    </row>
    <row r="947" spans="1:18" s="29" customFormat="1" hidden="1">
      <c r="A947" s="29">
        <f>Item_Enchant_Old!A951</f>
        <v>946</v>
      </c>
      <c r="B947" s="29" t="str">
        <f>Item_Enchant_Old!B951</f>
        <v>ACTIVE_FUNNY_DEFENCE_UP</v>
      </c>
      <c r="C947" s="29">
        <f>Item_Enchant_Old!C951</f>
        <v>625</v>
      </c>
      <c r="D947" s="29">
        <f>Item_Enchant_Old!D951</f>
        <v>0</v>
      </c>
      <c r="E947" s="29">
        <f>Item_Enchant_Old!E951</f>
        <v>0</v>
      </c>
      <c r="F947" s="29">
        <f>Item_Enchant_Old!F951</f>
        <v>0</v>
      </c>
      <c r="G947" s="29">
        <f>Item_Enchant_Old!G951</f>
        <v>5</v>
      </c>
      <c r="H947" s="29" t="str">
        <f>Item_Enchant_Old!H951</f>
        <v>@</v>
      </c>
      <c r="I947" s="29">
        <f>Item_Enchant_Old!I951</f>
        <v>1</v>
      </c>
      <c r="J947" s="29" t="str">
        <f>Item_Enchant_Old!J951</f>
        <v>절대값만 가능</v>
      </c>
      <c r="K947" s="29">
        <f>Item_Enchant_Old!K951</f>
        <v>18</v>
      </c>
      <c r="L947" s="29">
        <f>Item_Enchant_Old!L951</f>
        <v>0</v>
      </c>
      <c r="M947" s="29">
        <f>Item_Enchant_Old!M951</f>
        <v>8</v>
      </c>
      <c r="N947" s="29">
        <f>Item_Enchant_Old!N951</f>
        <v>20</v>
      </c>
      <c r="O947" s="29">
        <f>Item_Enchant_Old!O951</f>
        <v>1</v>
      </c>
      <c r="P947" s="29">
        <f>Item_Enchant_Old!P951</f>
        <v>1</v>
      </c>
      <c r="Q947" s="29">
        <f>Item_Enchant_Old!Q951</f>
        <v>1</v>
      </c>
      <c r="R947" s="29">
        <f>Item_Enchant_Old!R951</f>
        <v>1</v>
      </c>
    </row>
    <row r="948" spans="1:18" s="29" customFormat="1" hidden="1">
      <c r="A948" s="29">
        <f>Item_Enchant_Old!A952</f>
        <v>947</v>
      </c>
      <c r="B948" s="29" t="str">
        <f>Item_Enchant_Old!B952</f>
        <v>ACTIVE_PHYSICAL_DEFENCE_UP</v>
      </c>
      <c r="C948" s="29">
        <f>Item_Enchant_Old!C952</f>
        <v>608</v>
      </c>
      <c r="D948" s="29">
        <f>Item_Enchant_Old!D952</f>
        <v>0</v>
      </c>
      <c r="E948" s="29">
        <f>Item_Enchant_Old!E952</f>
        <v>0</v>
      </c>
      <c r="F948" s="29">
        <f>Item_Enchant_Old!F952</f>
        <v>0</v>
      </c>
      <c r="G948" s="29">
        <f>Item_Enchant_Old!G952</f>
        <v>1</v>
      </c>
      <c r="H948" s="29" t="str">
        <f>Item_Enchant_Old!H952</f>
        <v>@</v>
      </c>
      <c r="I948" s="29">
        <f>Item_Enchant_Old!I952</f>
        <v>1</v>
      </c>
      <c r="J948" s="29" t="str">
        <f>Item_Enchant_Old!J952</f>
        <v>절대값/상대값(%) 가능</v>
      </c>
      <c r="K948" s="29">
        <f>Item_Enchant_Old!K952</f>
        <v>19</v>
      </c>
      <c r="L948" s="29">
        <f>Item_Enchant_Old!L952</f>
        <v>0</v>
      </c>
      <c r="M948" s="29">
        <f>Item_Enchant_Old!M952</f>
        <v>1</v>
      </c>
      <c r="N948" s="29">
        <f>Item_Enchant_Old!N952</f>
        <v>1350</v>
      </c>
      <c r="O948" s="29">
        <f>Item_Enchant_Old!O952</f>
        <v>1</v>
      </c>
      <c r="P948" s="29">
        <f>Item_Enchant_Old!P952</f>
        <v>1</v>
      </c>
      <c r="Q948" s="29">
        <f>Item_Enchant_Old!Q952</f>
        <v>1</v>
      </c>
      <c r="R948" s="29">
        <f>Item_Enchant_Old!R952</f>
        <v>1</v>
      </c>
    </row>
    <row r="949" spans="1:18" s="29" customFormat="1" hidden="1">
      <c r="A949" s="29">
        <f>Item_Enchant_Old!A953</f>
        <v>948</v>
      </c>
      <c r="B949" s="29" t="str">
        <f>Item_Enchant_Old!B953</f>
        <v>ACTIVE_BLOCK_RATE_UP</v>
      </c>
      <c r="C949" s="29">
        <f>Item_Enchant_Old!C953</f>
        <v>620</v>
      </c>
      <c r="D949" s="29">
        <f>Item_Enchant_Old!D953</f>
        <v>0</v>
      </c>
      <c r="E949" s="29">
        <f>Item_Enchant_Old!E953</f>
        <v>0</v>
      </c>
      <c r="F949" s="29">
        <f>Item_Enchant_Old!F953</f>
        <v>0</v>
      </c>
      <c r="G949" s="29">
        <f>Item_Enchant_Old!G953</f>
        <v>1</v>
      </c>
      <c r="H949" s="29" t="str">
        <f>Item_Enchant_Old!H953</f>
        <v>@</v>
      </c>
      <c r="I949" s="29">
        <f>Item_Enchant_Old!I953</f>
        <v>1</v>
      </c>
      <c r="J949" s="29" t="str">
        <f>Item_Enchant_Old!J953</f>
        <v>절대값/상대값(%) 가능</v>
      </c>
      <c r="K949" s="29">
        <f>Item_Enchant_Old!K953</f>
        <v>19</v>
      </c>
      <c r="L949" s="29">
        <f>Item_Enchant_Old!L953</f>
        <v>0</v>
      </c>
      <c r="M949" s="29">
        <f>Item_Enchant_Old!M953</f>
        <v>1</v>
      </c>
      <c r="N949" s="29">
        <f>Item_Enchant_Old!N953</f>
        <v>352</v>
      </c>
      <c r="O949" s="29">
        <f>Item_Enchant_Old!O953</f>
        <v>1</v>
      </c>
      <c r="P949" s="29">
        <f>Item_Enchant_Old!P953</f>
        <v>1</v>
      </c>
      <c r="Q949" s="29">
        <f>Item_Enchant_Old!Q953</f>
        <v>1</v>
      </c>
      <c r="R949" s="29">
        <f>Item_Enchant_Old!R953</f>
        <v>1</v>
      </c>
    </row>
    <row r="950" spans="1:18" s="29" customFormat="1" hidden="1">
      <c r="A950" s="29">
        <f>Item_Enchant_Old!A954</f>
        <v>949</v>
      </c>
      <c r="B950" s="29" t="str">
        <f>Item_Enchant_Old!B954</f>
        <v>ACTIVE_CON_UP</v>
      </c>
      <c r="C950" s="29">
        <f>Item_Enchant_Old!C954</f>
        <v>611</v>
      </c>
      <c r="D950" s="29">
        <f>Item_Enchant_Old!D954</f>
        <v>0</v>
      </c>
      <c r="E950" s="29">
        <f>Item_Enchant_Old!E954</f>
        <v>0</v>
      </c>
      <c r="F950" s="29">
        <f>Item_Enchant_Old!F954</f>
        <v>0</v>
      </c>
      <c r="G950" s="29">
        <f>Item_Enchant_Old!G954</f>
        <v>3</v>
      </c>
      <c r="H950" s="29" t="str">
        <f>Item_Enchant_Old!H954</f>
        <v>@</v>
      </c>
      <c r="I950" s="29">
        <f>Item_Enchant_Old!I954</f>
        <v>1</v>
      </c>
      <c r="J950" s="29" t="str">
        <f>Item_Enchant_Old!J954</f>
        <v>절대값/상대값(%) 가능</v>
      </c>
      <c r="K950" s="29">
        <f>Item_Enchant_Old!K954</f>
        <v>19</v>
      </c>
      <c r="L950" s="29">
        <f>Item_Enchant_Old!L954</f>
        <v>0</v>
      </c>
      <c r="M950" s="29">
        <f>Item_Enchant_Old!M954</f>
        <v>1</v>
      </c>
      <c r="N950" s="29">
        <f>Item_Enchant_Old!N954</f>
        <v>48</v>
      </c>
      <c r="O950" s="29">
        <f>Item_Enchant_Old!O954</f>
        <v>1</v>
      </c>
      <c r="P950" s="29">
        <f>Item_Enchant_Old!P954</f>
        <v>1</v>
      </c>
      <c r="Q950" s="29">
        <f>Item_Enchant_Old!Q954</f>
        <v>1</v>
      </c>
      <c r="R950" s="29">
        <f>Item_Enchant_Old!R954</f>
        <v>1</v>
      </c>
    </row>
    <row r="951" spans="1:18" s="29" customFormat="1" hidden="1">
      <c r="A951" s="29">
        <f>Item_Enchant_Old!A955</f>
        <v>950</v>
      </c>
      <c r="B951" s="29" t="str">
        <f>Item_Enchant_Old!B955</f>
        <v>ACTIVE_BLEED_DEFENCE</v>
      </c>
      <c r="C951" s="29">
        <f>Item_Enchant_Old!C955</f>
        <v>681</v>
      </c>
      <c r="D951" s="29">
        <f>Item_Enchant_Old!D955</f>
        <v>0</v>
      </c>
      <c r="E951" s="29">
        <f>Item_Enchant_Old!E955</f>
        <v>0</v>
      </c>
      <c r="F951" s="29">
        <f>Item_Enchant_Old!F955</f>
        <v>0</v>
      </c>
      <c r="G951" s="29">
        <f>Item_Enchant_Old!G955</f>
        <v>1</v>
      </c>
      <c r="H951" s="29" t="str">
        <f>Item_Enchant_Old!H955</f>
        <v>@</v>
      </c>
      <c r="I951" s="29">
        <f>Item_Enchant_Old!I955</f>
        <v>1</v>
      </c>
      <c r="J951" s="29" t="str">
        <f>Item_Enchant_Old!J955</f>
        <v>절대값/상대값(%) 가능</v>
      </c>
      <c r="K951" s="29">
        <f>Item_Enchant_Old!K955</f>
        <v>19</v>
      </c>
      <c r="L951" s="29">
        <f>Item_Enchant_Old!L955</f>
        <v>0</v>
      </c>
      <c r="M951" s="29">
        <f>Item_Enchant_Old!M955</f>
        <v>1</v>
      </c>
      <c r="N951" s="29">
        <f>Item_Enchant_Old!N955</f>
        <v>1350</v>
      </c>
      <c r="O951" s="29">
        <f>Item_Enchant_Old!O955</f>
        <v>1</v>
      </c>
      <c r="P951" s="29">
        <f>Item_Enchant_Old!P955</f>
        <v>1</v>
      </c>
      <c r="Q951" s="29">
        <f>Item_Enchant_Old!Q955</f>
        <v>1</v>
      </c>
      <c r="R951" s="29">
        <f>Item_Enchant_Old!R955</f>
        <v>1</v>
      </c>
    </row>
    <row r="952" spans="1:18" s="29" customFormat="1" hidden="1">
      <c r="A952" s="29">
        <f>Item_Enchant_Old!A956</f>
        <v>951</v>
      </c>
      <c r="B952" s="29" t="str">
        <f>Item_Enchant_Old!B956</f>
        <v>ACTIVE_BURN_DEFENCE</v>
      </c>
      <c r="C952" s="29">
        <f>Item_Enchant_Old!C956</f>
        <v>682</v>
      </c>
      <c r="D952" s="29">
        <f>Item_Enchant_Old!D956</f>
        <v>0</v>
      </c>
      <c r="E952" s="29">
        <f>Item_Enchant_Old!E956</f>
        <v>0</v>
      </c>
      <c r="F952" s="29">
        <f>Item_Enchant_Old!F956</f>
        <v>0</v>
      </c>
      <c r="G952" s="29">
        <f>Item_Enchant_Old!G956</f>
        <v>1</v>
      </c>
      <c r="H952" s="29" t="str">
        <f>Item_Enchant_Old!H956</f>
        <v>@</v>
      </c>
      <c r="I952" s="29">
        <f>Item_Enchant_Old!I956</f>
        <v>1</v>
      </c>
      <c r="J952" s="29" t="str">
        <f>Item_Enchant_Old!J956</f>
        <v>절대값/상대값(%) 가능</v>
      </c>
      <c r="K952" s="29">
        <f>Item_Enchant_Old!K956</f>
        <v>19</v>
      </c>
      <c r="L952" s="29">
        <f>Item_Enchant_Old!L956</f>
        <v>0</v>
      </c>
      <c r="M952" s="29">
        <f>Item_Enchant_Old!M956</f>
        <v>1</v>
      </c>
      <c r="N952" s="29">
        <f>Item_Enchant_Old!N956</f>
        <v>1350</v>
      </c>
      <c r="O952" s="29">
        <f>Item_Enchant_Old!O956</f>
        <v>1</v>
      </c>
      <c r="P952" s="29">
        <f>Item_Enchant_Old!P956</f>
        <v>1</v>
      </c>
      <c r="Q952" s="29">
        <f>Item_Enchant_Old!Q956</f>
        <v>1</v>
      </c>
      <c r="R952" s="29">
        <f>Item_Enchant_Old!R956</f>
        <v>1</v>
      </c>
    </row>
    <row r="953" spans="1:18" s="29" customFormat="1" hidden="1">
      <c r="A953" s="29">
        <f>Item_Enchant_Old!A957</f>
        <v>952</v>
      </c>
      <c r="B953" s="29" t="str">
        <f>Item_Enchant_Old!B957</f>
        <v>ACTIVE_ENERGY_DEFENCE_UP</v>
      </c>
      <c r="C953" s="29">
        <f>Item_Enchant_Old!C957</f>
        <v>609</v>
      </c>
      <c r="D953" s="29">
        <f>Item_Enchant_Old!D957</f>
        <v>0</v>
      </c>
      <c r="E953" s="29">
        <f>Item_Enchant_Old!E957</f>
        <v>0</v>
      </c>
      <c r="F953" s="29">
        <f>Item_Enchant_Old!F957</f>
        <v>0</v>
      </c>
      <c r="G953" s="29">
        <f>Item_Enchant_Old!G957</f>
        <v>1</v>
      </c>
      <c r="H953" s="29" t="str">
        <f>Item_Enchant_Old!H957</f>
        <v>@</v>
      </c>
      <c r="I953" s="29">
        <f>Item_Enchant_Old!I957</f>
        <v>1</v>
      </c>
      <c r="J953" s="29" t="str">
        <f>Item_Enchant_Old!J957</f>
        <v>절대값/상대값(%) 가능</v>
      </c>
      <c r="K953" s="29">
        <f>Item_Enchant_Old!K957</f>
        <v>19</v>
      </c>
      <c r="L953" s="29">
        <f>Item_Enchant_Old!L957</f>
        <v>0</v>
      </c>
      <c r="M953" s="29">
        <f>Item_Enchant_Old!M957</f>
        <v>2</v>
      </c>
      <c r="N953" s="29">
        <f>Item_Enchant_Old!N957</f>
        <v>1350</v>
      </c>
      <c r="O953" s="29">
        <f>Item_Enchant_Old!O957</f>
        <v>1</v>
      </c>
      <c r="P953" s="29">
        <f>Item_Enchant_Old!P957</f>
        <v>1</v>
      </c>
      <c r="Q953" s="29">
        <f>Item_Enchant_Old!Q957</f>
        <v>1</v>
      </c>
      <c r="R953" s="29">
        <f>Item_Enchant_Old!R957</f>
        <v>1</v>
      </c>
    </row>
    <row r="954" spans="1:18" s="29" customFormat="1" hidden="1">
      <c r="A954" s="29">
        <f>Item_Enchant_Old!A958</f>
        <v>953</v>
      </c>
      <c r="B954" s="29" t="str">
        <f>Item_Enchant_Old!B958</f>
        <v>ACTIVE_BLOCK_RATE_UP</v>
      </c>
      <c r="C954" s="29">
        <f>Item_Enchant_Old!C958</f>
        <v>620</v>
      </c>
      <c r="D954" s="29">
        <f>Item_Enchant_Old!D958</f>
        <v>0</v>
      </c>
      <c r="E954" s="29">
        <f>Item_Enchant_Old!E958</f>
        <v>0</v>
      </c>
      <c r="F954" s="29">
        <f>Item_Enchant_Old!F958</f>
        <v>0</v>
      </c>
      <c r="G954" s="29">
        <f>Item_Enchant_Old!G958</f>
        <v>1</v>
      </c>
      <c r="H954" s="29" t="str">
        <f>Item_Enchant_Old!H958</f>
        <v>@</v>
      </c>
      <c r="I954" s="29">
        <f>Item_Enchant_Old!I958</f>
        <v>1</v>
      </c>
      <c r="J954" s="29" t="str">
        <f>Item_Enchant_Old!J958</f>
        <v>절대값/상대값(%) 가능</v>
      </c>
      <c r="K954" s="29">
        <f>Item_Enchant_Old!K958</f>
        <v>19</v>
      </c>
      <c r="L954" s="29">
        <f>Item_Enchant_Old!L958</f>
        <v>0</v>
      </c>
      <c r="M954" s="29">
        <f>Item_Enchant_Old!M958</f>
        <v>2</v>
      </c>
      <c r="N954" s="29">
        <f>Item_Enchant_Old!N958</f>
        <v>352</v>
      </c>
      <c r="O954" s="29">
        <f>Item_Enchant_Old!O958</f>
        <v>1</v>
      </c>
      <c r="P954" s="29">
        <f>Item_Enchant_Old!P958</f>
        <v>1</v>
      </c>
      <c r="Q954" s="29">
        <f>Item_Enchant_Old!Q958</f>
        <v>1</v>
      </c>
      <c r="R954" s="29">
        <f>Item_Enchant_Old!R958</f>
        <v>1</v>
      </c>
    </row>
    <row r="955" spans="1:18" s="29" customFormat="1" hidden="1">
      <c r="A955" s="29">
        <f>Item_Enchant_Old!A959</f>
        <v>954</v>
      </c>
      <c r="B955" s="29" t="str">
        <f>Item_Enchant_Old!B959</f>
        <v>ACTIVE_ENG_UP</v>
      </c>
      <c r="C955" s="29">
        <f>Item_Enchant_Old!C959</f>
        <v>615</v>
      </c>
      <c r="D955" s="29">
        <f>Item_Enchant_Old!D959</f>
        <v>0</v>
      </c>
      <c r="E955" s="29">
        <f>Item_Enchant_Old!E959</f>
        <v>0</v>
      </c>
      <c r="F955" s="29">
        <f>Item_Enchant_Old!F959</f>
        <v>0</v>
      </c>
      <c r="G955" s="29">
        <f>Item_Enchant_Old!G959</f>
        <v>2</v>
      </c>
      <c r="H955" s="29" t="str">
        <f>Item_Enchant_Old!H959</f>
        <v>@</v>
      </c>
      <c r="I955" s="29">
        <f>Item_Enchant_Old!I959</f>
        <v>1</v>
      </c>
      <c r="J955" s="29" t="str">
        <f>Item_Enchant_Old!J959</f>
        <v>절대값/상대값(%) 가능</v>
      </c>
      <c r="K955" s="29">
        <f>Item_Enchant_Old!K959</f>
        <v>19</v>
      </c>
      <c r="L955" s="29">
        <f>Item_Enchant_Old!L959</f>
        <v>0</v>
      </c>
      <c r="M955" s="29">
        <f>Item_Enchant_Old!M959</f>
        <v>2</v>
      </c>
      <c r="N955" s="29">
        <f>Item_Enchant_Old!N959</f>
        <v>62</v>
      </c>
      <c r="O955" s="29">
        <f>Item_Enchant_Old!O959</f>
        <v>1</v>
      </c>
      <c r="P955" s="29">
        <f>Item_Enchant_Old!P959</f>
        <v>1</v>
      </c>
      <c r="Q955" s="29">
        <f>Item_Enchant_Old!Q959</f>
        <v>1</v>
      </c>
      <c r="R955" s="29">
        <f>Item_Enchant_Old!R959</f>
        <v>1</v>
      </c>
    </row>
    <row r="956" spans="1:18" s="29" customFormat="1" hidden="1">
      <c r="A956" s="29">
        <f>Item_Enchant_Old!A960</f>
        <v>955</v>
      </c>
      <c r="B956" s="29" t="str">
        <f>Item_Enchant_Old!B960</f>
        <v>ACTIVE_STOMACHACHE_DEFENCE</v>
      </c>
      <c r="C956" s="29">
        <f>Item_Enchant_Old!C960</f>
        <v>679</v>
      </c>
      <c r="D956" s="29">
        <f>Item_Enchant_Old!D960</f>
        <v>0</v>
      </c>
      <c r="E956" s="29">
        <f>Item_Enchant_Old!E960</f>
        <v>0</v>
      </c>
      <c r="F956" s="29">
        <f>Item_Enchant_Old!F960</f>
        <v>0</v>
      </c>
      <c r="G956" s="29">
        <f>Item_Enchant_Old!G960</f>
        <v>1</v>
      </c>
      <c r="H956" s="29" t="str">
        <f>Item_Enchant_Old!H960</f>
        <v>@</v>
      </c>
      <c r="I956" s="29">
        <f>Item_Enchant_Old!I960</f>
        <v>1</v>
      </c>
      <c r="J956" s="29" t="str">
        <f>Item_Enchant_Old!J960</f>
        <v>절대값/상대값(%) 가능</v>
      </c>
      <c r="K956" s="29">
        <f>Item_Enchant_Old!K960</f>
        <v>19</v>
      </c>
      <c r="L956" s="29">
        <f>Item_Enchant_Old!L960</f>
        <v>0</v>
      </c>
      <c r="M956" s="29">
        <f>Item_Enchant_Old!M960</f>
        <v>2</v>
      </c>
      <c r="N956" s="29">
        <f>Item_Enchant_Old!N960</f>
        <v>1350</v>
      </c>
      <c r="O956" s="29">
        <f>Item_Enchant_Old!O960</f>
        <v>1</v>
      </c>
      <c r="P956" s="29">
        <f>Item_Enchant_Old!P960</f>
        <v>1</v>
      </c>
      <c r="Q956" s="29">
        <f>Item_Enchant_Old!Q960</f>
        <v>1</v>
      </c>
      <c r="R956" s="29">
        <f>Item_Enchant_Old!R960</f>
        <v>1</v>
      </c>
    </row>
    <row r="957" spans="1:18" s="29" customFormat="1" hidden="1">
      <c r="A957" s="29">
        <f>Item_Enchant_Old!A961</f>
        <v>956</v>
      </c>
      <c r="B957" s="29" t="str">
        <f>Item_Enchant_Old!B961</f>
        <v>ACTIVE_POISON_DEFENCE</v>
      </c>
      <c r="C957" s="29">
        <f>Item_Enchant_Old!C961</f>
        <v>680</v>
      </c>
      <c r="D957" s="29">
        <f>Item_Enchant_Old!D961</f>
        <v>0</v>
      </c>
      <c r="E957" s="29">
        <f>Item_Enchant_Old!E961</f>
        <v>0</v>
      </c>
      <c r="F957" s="29">
        <f>Item_Enchant_Old!F961</f>
        <v>0</v>
      </c>
      <c r="G957" s="29">
        <f>Item_Enchant_Old!G961</f>
        <v>1</v>
      </c>
      <c r="H957" s="29" t="str">
        <f>Item_Enchant_Old!H961</f>
        <v>@</v>
      </c>
      <c r="I957" s="29">
        <f>Item_Enchant_Old!I961</f>
        <v>1</v>
      </c>
      <c r="J957" s="29" t="str">
        <f>Item_Enchant_Old!J961</f>
        <v>절대값/상대값(%) 가능</v>
      </c>
      <c r="K957" s="29">
        <f>Item_Enchant_Old!K961</f>
        <v>19</v>
      </c>
      <c r="L957" s="29">
        <f>Item_Enchant_Old!L961</f>
        <v>0</v>
      </c>
      <c r="M957" s="29">
        <f>Item_Enchant_Old!M961</f>
        <v>2</v>
      </c>
      <c r="N957" s="29">
        <f>Item_Enchant_Old!N961</f>
        <v>1350</v>
      </c>
      <c r="O957" s="29">
        <f>Item_Enchant_Old!O961</f>
        <v>1</v>
      </c>
      <c r="P957" s="29">
        <f>Item_Enchant_Old!P961</f>
        <v>1</v>
      </c>
      <c r="Q957" s="29">
        <f>Item_Enchant_Old!Q961</f>
        <v>1</v>
      </c>
      <c r="R957" s="29">
        <f>Item_Enchant_Old!R961</f>
        <v>1</v>
      </c>
    </row>
    <row r="958" spans="1:18" s="29" customFormat="1" hidden="1">
      <c r="A958" s="29">
        <f>Item_Enchant_Old!A962</f>
        <v>957</v>
      </c>
      <c r="B958" s="29" t="str">
        <f>Item_Enchant_Old!B962</f>
        <v>ACTIVE_DODGE_RATE_UP</v>
      </c>
      <c r="C958" s="29">
        <f>Item_Enchant_Old!C962</f>
        <v>619</v>
      </c>
      <c r="D958" s="29">
        <f>Item_Enchant_Old!D962</f>
        <v>0</v>
      </c>
      <c r="E958" s="29">
        <f>Item_Enchant_Old!E962</f>
        <v>0</v>
      </c>
      <c r="F958" s="29">
        <f>Item_Enchant_Old!F962</f>
        <v>0</v>
      </c>
      <c r="G958" s="29">
        <f>Item_Enchant_Old!G962</f>
        <v>1</v>
      </c>
      <c r="H958" s="29" t="str">
        <f>Item_Enchant_Old!H962</f>
        <v>@</v>
      </c>
      <c r="I958" s="29">
        <f>Item_Enchant_Old!I962</f>
        <v>1</v>
      </c>
      <c r="J958" s="29" t="str">
        <f>Item_Enchant_Old!J962</f>
        <v>절대값/상대값(%) 가능</v>
      </c>
      <c r="K958" s="29">
        <f>Item_Enchant_Old!K962</f>
        <v>19</v>
      </c>
      <c r="L958" s="29">
        <f>Item_Enchant_Old!L962</f>
        <v>0</v>
      </c>
      <c r="M958" s="29">
        <f>Item_Enchant_Old!M962</f>
        <v>3</v>
      </c>
      <c r="N958" s="29">
        <f>Item_Enchant_Old!N962</f>
        <v>275</v>
      </c>
      <c r="O958" s="29">
        <f>Item_Enchant_Old!O962</f>
        <v>1</v>
      </c>
      <c r="P958" s="29">
        <f>Item_Enchant_Old!P962</f>
        <v>1</v>
      </c>
      <c r="Q958" s="29">
        <f>Item_Enchant_Old!Q962</f>
        <v>1</v>
      </c>
      <c r="R958" s="29">
        <f>Item_Enchant_Old!R962</f>
        <v>1</v>
      </c>
    </row>
    <row r="959" spans="1:18" s="29" customFormat="1" hidden="1">
      <c r="A959" s="29">
        <f>Item_Enchant_Old!A963</f>
        <v>958</v>
      </c>
      <c r="B959" s="29" t="str">
        <f>Item_Enchant_Old!B963</f>
        <v>ACTIVE_DEX_UP</v>
      </c>
      <c r="C959" s="29">
        <f>Item_Enchant_Old!C963</f>
        <v>613</v>
      </c>
      <c r="D959" s="29">
        <f>Item_Enchant_Old!D963</f>
        <v>0</v>
      </c>
      <c r="E959" s="29">
        <f>Item_Enchant_Old!E963</f>
        <v>0</v>
      </c>
      <c r="F959" s="29">
        <f>Item_Enchant_Old!F963</f>
        <v>0</v>
      </c>
      <c r="G959" s="29">
        <f>Item_Enchant_Old!G963</f>
        <v>3</v>
      </c>
      <c r="H959" s="29" t="str">
        <f>Item_Enchant_Old!H963</f>
        <v>@</v>
      </c>
      <c r="I959" s="29">
        <f>Item_Enchant_Old!I963</f>
        <v>1</v>
      </c>
      <c r="J959" s="29" t="str">
        <f>Item_Enchant_Old!J963</f>
        <v>절대값/상대값(%) 가능</v>
      </c>
      <c r="K959" s="29">
        <f>Item_Enchant_Old!K963</f>
        <v>19</v>
      </c>
      <c r="L959" s="29">
        <f>Item_Enchant_Old!L963</f>
        <v>0</v>
      </c>
      <c r="M959" s="29">
        <f>Item_Enchant_Old!M963</f>
        <v>3</v>
      </c>
      <c r="N959" s="29">
        <f>Item_Enchant_Old!N963</f>
        <v>44</v>
      </c>
      <c r="O959" s="29">
        <f>Item_Enchant_Old!O963</f>
        <v>1</v>
      </c>
      <c r="P959" s="29">
        <f>Item_Enchant_Old!P963</f>
        <v>1</v>
      </c>
      <c r="Q959" s="29">
        <f>Item_Enchant_Old!Q963</f>
        <v>1</v>
      </c>
      <c r="R959" s="29">
        <f>Item_Enchant_Old!R963</f>
        <v>1</v>
      </c>
    </row>
    <row r="960" spans="1:18" s="29" customFormat="1" hidden="1">
      <c r="A960" s="29">
        <f>Item_Enchant_Old!A964</f>
        <v>959</v>
      </c>
      <c r="B960" s="29" t="str">
        <f>Item_Enchant_Old!B964</f>
        <v>ACTIVE_FOC_UP</v>
      </c>
      <c r="C960" s="29">
        <f>Item_Enchant_Old!C964</f>
        <v>612</v>
      </c>
      <c r="D960" s="29">
        <f>Item_Enchant_Old!D964</f>
        <v>0</v>
      </c>
      <c r="E960" s="29">
        <f>Item_Enchant_Old!E964</f>
        <v>0</v>
      </c>
      <c r="F960" s="29">
        <f>Item_Enchant_Old!F964</f>
        <v>0</v>
      </c>
      <c r="G960" s="29">
        <f>Item_Enchant_Old!G964</f>
        <v>2</v>
      </c>
      <c r="H960" s="29" t="str">
        <f>Item_Enchant_Old!H964</f>
        <v>@</v>
      </c>
      <c r="I960" s="29">
        <f>Item_Enchant_Old!I964</f>
        <v>1</v>
      </c>
      <c r="J960" s="29" t="str">
        <f>Item_Enchant_Old!J964</f>
        <v>절대값/상대값(%) 가능</v>
      </c>
      <c r="K960" s="29">
        <f>Item_Enchant_Old!K964</f>
        <v>19</v>
      </c>
      <c r="L960" s="29">
        <f>Item_Enchant_Old!L964</f>
        <v>0</v>
      </c>
      <c r="M960" s="29">
        <f>Item_Enchant_Old!M964</f>
        <v>3</v>
      </c>
      <c r="N960" s="29">
        <f>Item_Enchant_Old!N964</f>
        <v>53</v>
      </c>
      <c r="O960" s="29">
        <f>Item_Enchant_Old!O964</f>
        <v>1</v>
      </c>
      <c r="P960" s="29">
        <f>Item_Enchant_Old!P964</f>
        <v>1</v>
      </c>
      <c r="Q960" s="29">
        <f>Item_Enchant_Old!Q964</f>
        <v>1</v>
      </c>
      <c r="R960" s="29">
        <f>Item_Enchant_Old!R964</f>
        <v>1</v>
      </c>
    </row>
    <row r="961" spans="1:18" s="29" customFormat="1" hidden="1">
      <c r="A961" s="29">
        <f>Item_Enchant_Old!A965</f>
        <v>960</v>
      </c>
      <c r="B961" s="29" t="str">
        <f>Item_Enchant_Old!B965</f>
        <v>ACTIVE_BLEEDING_KEEPTIME_DOWN</v>
      </c>
      <c r="C961" s="29">
        <f>Item_Enchant_Old!C965</f>
        <v>648</v>
      </c>
      <c r="D961" s="29">
        <f>Item_Enchant_Old!D965</f>
        <v>1</v>
      </c>
      <c r="E961" s="29">
        <f>Item_Enchant_Old!E965</f>
        <v>0</v>
      </c>
      <c r="F961" s="29">
        <f>Item_Enchant_Old!F965</f>
        <v>0</v>
      </c>
      <c r="G961" s="29">
        <f>Item_Enchant_Old!G965</f>
        <v>5</v>
      </c>
      <c r="H961" s="29" t="str">
        <f>Item_Enchant_Old!H965</f>
        <v>@</v>
      </c>
      <c r="I961" s="29">
        <f>Item_Enchant_Old!I965</f>
        <v>1</v>
      </c>
      <c r="J961" s="29" t="str">
        <f>Item_Enchant_Old!J965</f>
        <v>상대값(%)값만 가능</v>
      </c>
      <c r="K961" s="29">
        <f>Item_Enchant_Old!K965</f>
        <v>19</v>
      </c>
      <c r="L961" s="29">
        <f>Item_Enchant_Old!L965</f>
        <v>0</v>
      </c>
      <c r="M961" s="29">
        <f>Item_Enchant_Old!M965</f>
        <v>3</v>
      </c>
      <c r="N961" s="29">
        <f>Item_Enchant_Old!N965</f>
        <v>20</v>
      </c>
      <c r="O961" s="29">
        <f>Item_Enchant_Old!O965</f>
        <v>1</v>
      </c>
      <c r="P961" s="29">
        <f>Item_Enchant_Old!P965</f>
        <v>1</v>
      </c>
      <c r="Q961" s="29">
        <f>Item_Enchant_Old!Q965</f>
        <v>1</v>
      </c>
      <c r="R961" s="29">
        <f>Item_Enchant_Old!R965</f>
        <v>1</v>
      </c>
    </row>
    <row r="962" spans="1:18" s="29" customFormat="1" hidden="1">
      <c r="A962" s="29">
        <f>Item_Enchant_Old!A966</f>
        <v>961</v>
      </c>
      <c r="B962" s="29" t="str">
        <f>Item_Enchant_Old!B966</f>
        <v>ACTIVE_POISON_KEEPTIME_DOWN</v>
      </c>
      <c r="C962" s="29">
        <f>Item_Enchant_Old!C966</f>
        <v>649</v>
      </c>
      <c r="D962" s="29">
        <f>Item_Enchant_Old!D966</f>
        <v>1</v>
      </c>
      <c r="E962" s="29">
        <f>Item_Enchant_Old!E966</f>
        <v>0</v>
      </c>
      <c r="F962" s="29">
        <f>Item_Enchant_Old!F966</f>
        <v>0</v>
      </c>
      <c r="G962" s="29">
        <f>Item_Enchant_Old!G966</f>
        <v>5</v>
      </c>
      <c r="H962" s="29" t="str">
        <f>Item_Enchant_Old!H966</f>
        <v>@</v>
      </c>
      <c r="I962" s="29">
        <f>Item_Enchant_Old!I966</f>
        <v>1</v>
      </c>
      <c r="J962" s="29" t="str">
        <f>Item_Enchant_Old!J966</f>
        <v>상대값(%)값만 가능</v>
      </c>
      <c r="K962" s="29">
        <f>Item_Enchant_Old!K966</f>
        <v>19</v>
      </c>
      <c r="L962" s="29">
        <f>Item_Enchant_Old!L966</f>
        <v>0</v>
      </c>
      <c r="M962" s="29">
        <f>Item_Enchant_Old!M966</f>
        <v>3</v>
      </c>
      <c r="N962" s="29">
        <f>Item_Enchant_Old!N966</f>
        <v>20</v>
      </c>
      <c r="O962" s="29">
        <f>Item_Enchant_Old!O966</f>
        <v>1</v>
      </c>
      <c r="P962" s="29">
        <f>Item_Enchant_Old!P966</f>
        <v>1</v>
      </c>
      <c r="Q962" s="29">
        <f>Item_Enchant_Old!Q966</f>
        <v>1</v>
      </c>
      <c r="R962" s="29">
        <f>Item_Enchant_Old!R966</f>
        <v>1</v>
      </c>
    </row>
    <row r="963" spans="1:18" s="29" customFormat="1" hidden="1">
      <c r="A963" s="29">
        <f>Item_Enchant_Old!A967</f>
        <v>962</v>
      </c>
      <c r="B963" s="29" t="str">
        <f>Item_Enchant_Old!B967</f>
        <v>ACTIVE_STOMACHACHE_KEEPTIME_DOWN</v>
      </c>
      <c r="C963" s="29">
        <f>Item_Enchant_Old!C967</f>
        <v>650</v>
      </c>
      <c r="D963" s="29">
        <f>Item_Enchant_Old!D967</f>
        <v>1</v>
      </c>
      <c r="E963" s="29">
        <f>Item_Enchant_Old!E967</f>
        <v>0</v>
      </c>
      <c r="F963" s="29">
        <f>Item_Enchant_Old!F967</f>
        <v>0</v>
      </c>
      <c r="G963" s="29">
        <f>Item_Enchant_Old!G967</f>
        <v>5</v>
      </c>
      <c r="H963" s="29" t="str">
        <f>Item_Enchant_Old!H967</f>
        <v>@</v>
      </c>
      <c r="I963" s="29">
        <f>Item_Enchant_Old!I967</f>
        <v>1</v>
      </c>
      <c r="J963" s="29" t="str">
        <f>Item_Enchant_Old!J967</f>
        <v>상대값(%)값만 가능</v>
      </c>
      <c r="K963" s="29">
        <f>Item_Enchant_Old!K967</f>
        <v>19</v>
      </c>
      <c r="L963" s="29">
        <f>Item_Enchant_Old!L967</f>
        <v>0</v>
      </c>
      <c r="M963" s="29">
        <f>Item_Enchant_Old!M967</f>
        <v>3</v>
      </c>
      <c r="N963" s="29">
        <f>Item_Enchant_Old!N967</f>
        <v>20</v>
      </c>
      <c r="O963" s="29">
        <f>Item_Enchant_Old!O967</f>
        <v>1</v>
      </c>
      <c r="P963" s="29">
        <f>Item_Enchant_Old!P967</f>
        <v>1</v>
      </c>
      <c r="Q963" s="29">
        <f>Item_Enchant_Old!Q967</f>
        <v>1</v>
      </c>
      <c r="R963" s="29">
        <f>Item_Enchant_Old!R967</f>
        <v>1</v>
      </c>
    </row>
    <row r="964" spans="1:18" s="29" customFormat="1" hidden="1">
      <c r="A964" s="29">
        <f>Item_Enchant_Old!A968</f>
        <v>963</v>
      </c>
      <c r="B964" s="29" t="str">
        <f>Item_Enchant_Old!B968</f>
        <v>ACTIVE_CURSE_TOLERANCE</v>
      </c>
      <c r="C964" s="29">
        <f>Item_Enchant_Old!C968</f>
        <v>631</v>
      </c>
      <c r="D964" s="29">
        <f>Item_Enchant_Old!D968</f>
        <v>0</v>
      </c>
      <c r="E964" s="29">
        <f>Item_Enchant_Old!E968</f>
        <v>0</v>
      </c>
      <c r="F964" s="29">
        <f>Item_Enchant_Old!F968</f>
        <v>0</v>
      </c>
      <c r="G964" s="29">
        <f>Item_Enchant_Old!G968</f>
        <v>1</v>
      </c>
      <c r="H964" s="29" t="str">
        <f>Item_Enchant_Old!H968</f>
        <v>@</v>
      </c>
      <c r="I964" s="29">
        <f>Item_Enchant_Old!I968</f>
        <v>1</v>
      </c>
      <c r="J964" s="29" t="str">
        <f>Item_Enchant_Old!J968</f>
        <v>절대값/상대값(%) 가능</v>
      </c>
      <c r="K964" s="29">
        <f>Item_Enchant_Old!K968</f>
        <v>19</v>
      </c>
      <c r="L964" s="29">
        <f>Item_Enchant_Old!L968</f>
        <v>0</v>
      </c>
      <c r="M964" s="29">
        <f>Item_Enchant_Old!M968</f>
        <v>4</v>
      </c>
      <c r="N964" s="29">
        <f>Item_Enchant_Old!N968</f>
        <v>220</v>
      </c>
      <c r="O964" s="29">
        <f>Item_Enchant_Old!O968</f>
        <v>1</v>
      </c>
      <c r="P964" s="29">
        <f>Item_Enchant_Old!P968</f>
        <v>1</v>
      </c>
      <c r="Q964" s="29">
        <f>Item_Enchant_Old!Q968</f>
        <v>1</v>
      </c>
      <c r="R964" s="29">
        <f>Item_Enchant_Old!R968</f>
        <v>1</v>
      </c>
    </row>
    <row r="965" spans="1:18" s="29" customFormat="1" hidden="1">
      <c r="A965" s="29">
        <f>Item_Enchant_Old!A969</f>
        <v>964</v>
      </c>
      <c r="B965" s="29" t="str">
        <f>Item_Enchant_Old!B969</f>
        <v>ACTIVE_PARALYZE_KEEPTIME_DOWN</v>
      </c>
      <c r="C965" s="29">
        <f>Item_Enchant_Old!C969</f>
        <v>643</v>
      </c>
      <c r="D965" s="29">
        <f>Item_Enchant_Old!D969</f>
        <v>1</v>
      </c>
      <c r="E965" s="29">
        <f>Item_Enchant_Old!E969</f>
        <v>0</v>
      </c>
      <c r="F965" s="29">
        <f>Item_Enchant_Old!F969</f>
        <v>0</v>
      </c>
      <c r="G965" s="29">
        <f>Item_Enchant_Old!G969</f>
        <v>5</v>
      </c>
      <c r="H965" s="29" t="str">
        <f>Item_Enchant_Old!H969</f>
        <v>@</v>
      </c>
      <c r="I965" s="29">
        <f>Item_Enchant_Old!I969</f>
        <v>1</v>
      </c>
      <c r="J965" s="29" t="str">
        <f>Item_Enchant_Old!J969</f>
        <v>상대값(%)값만 가능</v>
      </c>
      <c r="K965" s="29">
        <f>Item_Enchant_Old!K969</f>
        <v>19</v>
      </c>
      <c r="L965" s="29">
        <f>Item_Enchant_Old!L969</f>
        <v>0</v>
      </c>
      <c r="M965" s="29">
        <f>Item_Enchant_Old!M969</f>
        <v>4</v>
      </c>
      <c r="N965" s="29">
        <f>Item_Enchant_Old!N969</f>
        <v>20</v>
      </c>
      <c r="O965" s="29">
        <f>Item_Enchant_Old!O969</f>
        <v>1</v>
      </c>
      <c r="P965" s="29">
        <f>Item_Enchant_Old!P969</f>
        <v>1</v>
      </c>
      <c r="Q965" s="29">
        <f>Item_Enchant_Old!Q969</f>
        <v>1</v>
      </c>
      <c r="R965" s="29">
        <f>Item_Enchant_Old!R969</f>
        <v>1</v>
      </c>
    </row>
    <row r="966" spans="1:18" s="29" customFormat="1" hidden="1">
      <c r="A966" s="29">
        <f>Item_Enchant_Old!A970</f>
        <v>965</v>
      </c>
      <c r="B966" s="29" t="str">
        <f>Item_Enchant_Old!B970</f>
        <v>ACTIVE_TERROR_KEEPTIME_DOWN</v>
      </c>
      <c r="C966" s="29">
        <f>Item_Enchant_Old!C970</f>
        <v>644</v>
      </c>
      <c r="D966" s="29">
        <f>Item_Enchant_Old!D970</f>
        <v>1</v>
      </c>
      <c r="E966" s="29">
        <f>Item_Enchant_Old!E970</f>
        <v>0</v>
      </c>
      <c r="F966" s="29">
        <f>Item_Enchant_Old!F970</f>
        <v>0</v>
      </c>
      <c r="G966" s="29">
        <f>Item_Enchant_Old!G970</f>
        <v>5</v>
      </c>
      <c r="H966" s="29" t="str">
        <f>Item_Enchant_Old!H970</f>
        <v>@</v>
      </c>
      <c r="I966" s="29">
        <f>Item_Enchant_Old!I970</f>
        <v>1</v>
      </c>
      <c r="J966" s="29" t="str">
        <f>Item_Enchant_Old!J970</f>
        <v>상대값(%)값만 가능</v>
      </c>
      <c r="K966" s="29">
        <f>Item_Enchant_Old!K970</f>
        <v>19</v>
      </c>
      <c r="L966" s="29">
        <f>Item_Enchant_Old!L970</f>
        <v>0</v>
      </c>
      <c r="M966" s="29">
        <f>Item_Enchant_Old!M970</f>
        <v>4</v>
      </c>
      <c r="N966" s="29">
        <f>Item_Enchant_Old!N970</f>
        <v>20</v>
      </c>
      <c r="O966" s="29">
        <f>Item_Enchant_Old!O970</f>
        <v>1</v>
      </c>
      <c r="P966" s="29">
        <f>Item_Enchant_Old!P970</f>
        <v>1</v>
      </c>
      <c r="Q966" s="29">
        <f>Item_Enchant_Old!Q970</f>
        <v>1</v>
      </c>
      <c r="R966" s="29">
        <f>Item_Enchant_Old!R970</f>
        <v>1</v>
      </c>
    </row>
    <row r="967" spans="1:18" s="29" customFormat="1" hidden="1">
      <c r="A967" s="29">
        <f>Item_Enchant_Old!A971</f>
        <v>966</v>
      </c>
      <c r="B967" s="29" t="str">
        <f>Item_Enchant_Old!B971</f>
        <v>ACTIVE_CONFUSE_KEEPTIME_DOWN</v>
      </c>
      <c r="C967" s="29">
        <f>Item_Enchant_Old!C971</f>
        <v>645</v>
      </c>
      <c r="D967" s="29">
        <f>Item_Enchant_Old!D971</f>
        <v>1</v>
      </c>
      <c r="E967" s="29">
        <f>Item_Enchant_Old!E971</f>
        <v>0</v>
      </c>
      <c r="F967" s="29">
        <f>Item_Enchant_Old!F971</f>
        <v>0</v>
      </c>
      <c r="G967" s="29">
        <f>Item_Enchant_Old!G971</f>
        <v>5</v>
      </c>
      <c r="H967" s="29" t="str">
        <f>Item_Enchant_Old!H971</f>
        <v>@</v>
      </c>
      <c r="I967" s="29">
        <f>Item_Enchant_Old!I971</f>
        <v>1</v>
      </c>
      <c r="J967" s="29" t="str">
        <f>Item_Enchant_Old!J971</f>
        <v>상대값(%)값만 가능</v>
      </c>
      <c r="K967" s="29">
        <f>Item_Enchant_Old!K971</f>
        <v>19</v>
      </c>
      <c r="L967" s="29">
        <f>Item_Enchant_Old!L971</f>
        <v>0</v>
      </c>
      <c r="M967" s="29">
        <f>Item_Enchant_Old!M971</f>
        <v>4</v>
      </c>
      <c r="N967" s="29">
        <f>Item_Enchant_Old!N971</f>
        <v>20</v>
      </c>
      <c r="O967" s="29">
        <f>Item_Enchant_Old!O971</f>
        <v>1</v>
      </c>
      <c r="P967" s="29">
        <f>Item_Enchant_Old!P971</f>
        <v>1</v>
      </c>
      <c r="Q967" s="29">
        <f>Item_Enchant_Old!Q971</f>
        <v>1</v>
      </c>
      <c r="R967" s="29">
        <f>Item_Enchant_Old!R971</f>
        <v>1</v>
      </c>
    </row>
    <row r="968" spans="1:18" s="29" customFormat="1" hidden="1">
      <c r="A968" s="29">
        <f>Item_Enchant_Old!A972</f>
        <v>967</v>
      </c>
      <c r="B968" s="29" t="str">
        <f>Item_Enchant_Old!B972</f>
        <v>ACTIVE_STONE_KEEPTIME_DOWN</v>
      </c>
      <c r="C968" s="29">
        <f>Item_Enchant_Old!C972</f>
        <v>646</v>
      </c>
      <c r="D968" s="29">
        <f>Item_Enchant_Old!D972</f>
        <v>1</v>
      </c>
      <c r="E968" s="29">
        <f>Item_Enchant_Old!E972</f>
        <v>0</v>
      </c>
      <c r="F968" s="29">
        <f>Item_Enchant_Old!F972</f>
        <v>0</v>
      </c>
      <c r="G968" s="29">
        <f>Item_Enchant_Old!G972</f>
        <v>5</v>
      </c>
      <c r="H968" s="29" t="str">
        <f>Item_Enchant_Old!H972</f>
        <v>@</v>
      </c>
      <c r="I968" s="29">
        <f>Item_Enchant_Old!I972</f>
        <v>1</v>
      </c>
      <c r="J968" s="29" t="str">
        <f>Item_Enchant_Old!J972</f>
        <v>상대값(%)값만 가능</v>
      </c>
      <c r="K968" s="29">
        <f>Item_Enchant_Old!K972</f>
        <v>19</v>
      </c>
      <c r="L968" s="29">
        <f>Item_Enchant_Old!L972</f>
        <v>0</v>
      </c>
      <c r="M968" s="29">
        <f>Item_Enchant_Old!M972</f>
        <v>4</v>
      </c>
      <c r="N968" s="29">
        <f>Item_Enchant_Old!N972</f>
        <v>20</v>
      </c>
      <c r="O968" s="29">
        <f>Item_Enchant_Old!O972</f>
        <v>1</v>
      </c>
      <c r="P968" s="29">
        <f>Item_Enchant_Old!P972</f>
        <v>1</v>
      </c>
      <c r="Q968" s="29">
        <f>Item_Enchant_Old!Q972</f>
        <v>1</v>
      </c>
      <c r="R968" s="29">
        <f>Item_Enchant_Old!R972</f>
        <v>1</v>
      </c>
    </row>
    <row r="969" spans="1:18" s="29" customFormat="1" hidden="1">
      <c r="A969" s="29">
        <f>Item_Enchant_Old!A973</f>
        <v>968</v>
      </c>
      <c r="B969" s="29" t="str">
        <f>Item_Enchant_Old!B973</f>
        <v>ACTIVE_CANDY_KEEPTIME_DOWN</v>
      </c>
      <c r="C969" s="29">
        <f>Item_Enchant_Old!C973</f>
        <v>647</v>
      </c>
      <c r="D969" s="29">
        <f>Item_Enchant_Old!D973</f>
        <v>1</v>
      </c>
      <c r="E969" s="29">
        <f>Item_Enchant_Old!E973</f>
        <v>0</v>
      </c>
      <c r="F969" s="29">
        <f>Item_Enchant_Old!F973</f>
        <v>0</v>
      </c>
      <c r="G969" s="29">
        <f>Item_Enchant_Old!G973</f>
        <v>5</v>
      </c>
      <c r="H969" s="29" t="str">
        <f>Item_Enchant_Old!H973</f>
        <v>@</v>
      </c>
      <c r="I969" s="29">
        <f>Item_Enchant_Old!I973</f>
        <v>1</v>
      </c>
      <c r="J969" s="29" t="str">
        <f>Item_Enchant_Old!J973</f>
        <v>상대값(%)값만 가능</v>
      </c>
      <c r="K969" s="29">
        <f>Item_Enchant_Old!K973</f>
        <v>19</v>
      </c>
      <c r="L969" s="29">
        <f>Item_Enchant_Old!L973</f>
        <v>0</v>
      </c>
      <c r="M969" s="29">
        <f>Item_Enchant_Old!M973</f>
        <v>4</v>
      </c>
      <c r="N969" s="29">
        <f>Item_Enchant_Old!N973</f>
        <v>20</v>
      </c>
      <c r="O969" s="29">
        <f>Item_Enchant_Old!O973</f>
        <v>1</v>
      </c>
      <c r="P969" s="29">
        <f>Item_Enchant_Old!P973</f>
        <v>1</v>
      </c>
      <c r="Q969" s="29">
        <f>Item_Enchant_Old!Q973</f>
        <v>1</v>
      </c>
      <c r="R969" s="29">
        <f>Item_Enchant_Old!R973</f>
        <v>1</v>
      </c>
    </row>
    <row r="970" spans="1:18" s="29" customFormat="1" hidden="1">
      <c r="A970" s="29">
        <f>Item_Enchant_Old!A974</f>
        <v>969</v>
      </c>
      <c r="B970" s="29" t="str">
        <f>Item_Enchant_Old!B974</f>
        <v>ACTIVE_BLEEDING_KEEPTIME_DOWN</v>
      </c>
      <c r="C970" s="29">
        <f>Item_Enchant_Old!C974</f>
        <v>648</v>
      </c>
      <c r="D970" s="29">
        <f>Item_Enchant_Old!D974</f>
        <v>1</v>
      </c>
      <c r="E970" s="29">
        <f>Item_Enchant_Old!E974</f>
        <v>0</v>
      </c>
      <c r="F970" s="29">
        <f>Item_Enchant_Old!F974</f>
        <v>0</v>
      </c>
      <c r="G970" s="29">
        <f>Item_Enchant_Old!G974</f>
        <v>5</v>
      </c>
      <c r="H970" s="29" t="str">
        <f>Item_Enchant_Old!H974</f>
        <v>@</v>
      </c>
      <c r="I970" s="29">
        <f>Item_Enchant_Old!I974</f>
        <v>1</v>
      </c>
      <c r="J970" s="29" t="str">
        <f>Item_Enchant_Old!J974</f>
        <v>상대값(%)값만 가능</v>
      </c>
      <c r="K970" s="29">
        <f>Item_Enchant_Old!K974</f>
        <v>19</v>
      </c>
      <c r="L970" s="29">
        <f>Item_Enchant_Old!L974</f>
        <v>0</v>
      </c>
      <c r="M970" s="29">
        <f>Item_Enchant_Old!M974</f>
        <v>4</v>
      </c>
      <c r="N970" s="29">
        <f>Item_Enchant_Old!N974</f>
        <v>20</v>
      </c>
      <c r="O970" s="29">
        <f>Item_Enchant_Old!O974</f>
        <v>1</v>
      </c>
      <c r="P970" s="29">
        <f>Item_Enchant_Old!P974</f>
        <v>1</v>
      </c>
      <c r="Q970" s="29">
        <f>Item_Enchant_Old!Q974</f>
        <v>1</v>
      </c>
      <c r="R970" s="29">
        <f>Item_Enchant_Old!R974</f>
        <v>1</v>
      </c>
    </row>
    <row r="971" spans="1:18" s="29" customFormat="1" hidden="1">
      <c r="A971" s="29">
        <f>Item_Enchant_Old!A975</f>
        <v>970</v>
      </c>
      <c r="B971" s="29" t="str">
        <f>Item_Enchant_Old!B975</f>
        <v>ACTIVE_POISON_KEEPTIME_DOWN</v>
      </c>
      <c r="C971" s="29">
        <f>Item_Enchant_Old!C975</f>
        <v>649</v>
      </c>
      <c r="D971" s="29">
        <f>Item_Enchant_Old!D975</f>
        <v>1</v>
      </c>
      <c r="E971" s="29">
        <f>Item_Enchant_Old!E975</f>
        <v>0</v>
      </c>
      <c r="F971" s="29">
        <f>Item_Enchant_Old!F975</f>
        <v>0</v>
      </c>
      <c r="G971" s="29">
        <f>Item_Enchant_Old!G975</f>
        <v>5</v>
      </c>
      <c r="H971" s="29" t="str">
        <f>Item_Enchant_Old!H975</f>
        <v>@</v>
      </c>
      <c r="I971" s="29">
        <f>Item_Enchant_Old!I975</f>
        <v>1</v>
      </c>
      <c r="J971" s="29" t="str">
        <f>Item_Enchant_Old!J975</f>
        <v>상대값(%)값만 가능</v>
      </c>
      <c r="K971" s="29">
        <f>Item_Enchant_Old!K975</f>
        <v>19</v>
      </c>
      <c r="L971" s="29">
        <f>Item_Enchant_Old!L975</f>
        <v>0</v>
      </c>
      <c r="M971" s="29">
        <f>Item_Enchant_Old!M975</f>
        <v>4</v>
      </c>
      <c r="N971" s="29">
        <f>Item_Enchant_Old!N975</f>
        <v>20</v>
      </c>
      <c r="O971" s="29">
        <f>Item_Enchant_Old!O975</f>
        <v>1</v>
      </c>
      <c r="P971" s="29">
        <f>Item_Enchant_Old!P975</f>
        <v>1</v>
      </c>
      <c r="Q971" s="29">
        <f>Item_Enchant_Old!Q975</f>
        <v>1</v>
      </c>
      <c r="R971" s="29">
        <f>Item_Enchant_Old!R975</f>
        <v>1</v>
      </c>
    </row>
    <row r="972" spans="1:18" s="29" customFormat="1" hidden="1">
      <c r="A972" s="29">
        <f>Item_Enchant_Old!A976</f>
        <v>971</v>
      </c>
      <c r="B972" s="29" t="str">
        <f>Item_Enchant_Old!B976</f>
        <v>ACTIVE_STOMACHACHE_KEEPTIME_DOWN</v>
      </c>
      <c r="C972" s="29">
        <f>Item_Enchant_Old!C976</f>
        <v>650</v>
      </c>
      <c r="D972" s="29">
        <f>Item_Enchant_Old!D976</f>
        <v>1</v>
      </c>
      <c r="E972" s="29">
        <f>Item_Enchant_Old!E976</f>
        <v>0</v>
      </c>
      <c r="F972" s="29">
        <f>Item_Enchant_Old!F976</f>
        <v>0</v>
      </c>
      <c r="G972" s="29">
        <f>Item_Enchant_Old!G976</f>
        <v>5</v>
      </c>
      <c r="H972" s="29" t="str">
        <f>Item_Enchant_Old!H976</f>
        <v>@</v>
      </c>
      <c r="I972" s="29">
        <f>Item_Enchant_Old!I976</f>
        <v>1</v>
      </c>
      <c r="J972" s="29" t="str">
        <f>Item_Enchant_Old!J976</f>
        <v>상대값(%)값만 가능</v>
      </c>
      <c r="K972" s="29">
        <f>Item_Enchant_Old!K976</f>
        <v>19</v>
      </c>
      <c r="L972" s="29">
        <f>Item_Enchant_Old!L976</f>
        <v>0</v>
      </c>
      <c r="M972" s="29">
        <f>Item_Enchant_Old!M976</f>
        <v>4</v>
      </c>
      <c r="N972" s="29">
        <f>Item_Enchant_Old!N976</f>
        <v>20</v>
      </c>
      <c r="O972" s="29">
        <f>Item_Enchant_Old!O976</f>
        <v>1</v>
      </c>
      <c r="P972" s="29">
        <f>Item_Enchant_Old!P976</f>
        <v>1</v>
      </c>
      <c r="Q972" s="29">
        <f>Item_Enchant_Old!Q976</f>
        <v>1</v>
      </c>
      <c r="R972" s="29">
        <f>Item_Enchant_Old!R976</f>
        <v>1</v>
      </c>
    </row>
    <row r="973" spans="1:18" s="29" customFormat="1" hidden="1">
      <c r="A973" s="29">
        <f>Item_Enchant_Old!A977</f>
        <v>972</v>
      </c>
      <c r="B973" s="29" t="str">
        <f>Item_Enchant_Old!B977</f>
        <v>ACTIVE_MAX_LP_UP</v>
      </c>
      <c r="C973" s="29">
        <f>Item_Enchant_Old!C977</f>
        <v>603</v>
      </c>
      <c r="D973" s="29">
        <f>Item_Enchant_Old!D977</f>
        <v>0</v>
      </c>
      <c r="E973" s="29">
        <f>Item_Enchant_Old!E977</f>
        <v>0</v>
      </c>
      <c r="F973" s="29">
        <f>Item_Enchant_Old!F977</f>
        <v>0</v>
      </c>
      <c r="G973" s="29">
        <f>Item_Enchant_Old!G977</f>
        <v>1</v>
      </c>
      <c r="H973" s="29" t="str">
        <f>Item_Enchant_Old!H977</f>
        <v>@</v>
      </c>
      <c r="I973" s="29">
        <f>Item_Enchant_Old!I977</f>
        <v>1</v>
      </c>
      <c r="J973" s="29" t="str">
        <f>Item_Enchant_Old!J977</f>
        <v>절대값/상대값(%) 가능</v>
      </c>
      <c r="K973" s="29">
        <f>Item_Enchant_Old!K977</f>
        <v>19</v>
      </c>
      <c r="L973" s="29">
        <f>Item_Enchant_Old!L977</f>
        <v>0</v>
      </c>
      <c r="M973" s="29">
        <f>Item_Enchant_Old!M977</f>
        <v>5</v>
      </c>
      <c r="N973" s="29">
        <f>Item_Enchant_Old!N977</f>
        <v>2762</v>
      </c>
      <c r="O973" s="29">
        <f>Item_Enchant_Old!O977</f>
        <v>1</v>
      </c>
      <c r="P973" s="29">
        <f>Item_Enchant_Old!P977</f>
        <v>1</v>
      </c>
      <c r="Q973" s="29">
        <f>Item_Enchant_Old!Q977</f>
        <v>1</v>
      </c>
      <c r="R973" s="29">
        <f>Item_Enchant_Old!R977</f>
        <v>1</v>
      </c>
    </row>
    <row r="974" spans="1:18" s="29" customFormat="1" hidden="1">
      <c r="A974" s="29">
        <f>Item_Enchant_Old!A978</f>
        <v>973</v>
      </c>
      <c r="B974" s="29" t="str">
        <f>Item_Enchant_Old!B978</f>
        <v>ACTIVE_CON_UP</v>
      </c>
      <c r="C974" s="29">
        <f>Item_Enchant_Old!C978</f>
        <v>611</v>
      </c>
      <c r="D974" s="29">
        <f>Item_Enchant_Old!D978</f>
        <v>0</v>
      </c>
      <c r="E974" s="29">
        <f>Item_Enchant_Old!E978</f>
        <v>0</v>
      </c>
      <c r="F974" s="29">
        <f>Item_Enchant_Old!F978</f>
        <v>0</v>
      </c>
      <c r="G974" s="29">
        <f>Item_Enchant_Old!G978</f>
        <v>3</v>
      </c>
      <c r="H974" s="29" t="str">
        <f>Item_Enchant_Old!H978</f>
        <v>@</v>
      </c>
      <c r="I974" s="29">
        <f>Item_Enchant_Old!I978</f>
        <v>1</v>
      </c>
      <c r="J974" s="29" t="str">
        <f>Item_Enchant_Old!J978</f>
        <v>절대값/상대값(%) 가능</v>
      </c>
      <c r="K974" s="29">
        <f>Item_Enchant_Old!K978</f>
        <v>19</v>
      </c>
      <c r="L974" s="29">
        <f>Item_Enchant_Old!L978</f>
        <v>0</v>
      </c>
      <c r="M974" s="29">
        <f>Item_Enchant_Old!M978</f>
        <v>5</v>
      </c>
      <c r="N974" s="29">
        <f>Item_Enchant_Old!N978</f>
        <v>48</v>
      </c>
      <c r="O974" s="29">
        <f>Item_Enchant_Old!O978</f>
        <v>1</v>
      </c>
      <c r="P974" s="29">
        <f>Item_Enchant_Old!P978</f>
        <v>1</v>
      </c>
      <c r="Q974" s="29">
        <f>Item_Enchant_Old!Q978</f>
        <v>1</v>
      </c>
      <c r="R974" s="29">
        <f>Item_Enchant_Old!R978</f>
        <v>1</v>
      </c>
    </row>
    <row r="975" spans="1:18" s="29" customFormat="1" hidden="1">
      <c r="A975" s="29">
        <f>Item_Enchant_Old!A979</f>
        <v>974</v>
      </c>
      <c r="B975" s="29" t="str">
        <f>Item_Enchant_Old!B979</f>
        <v>ACTIVE_LP_REGENERATION</v>
      </c>
      <c r="C975" s="29">
        <f>Item_Enchant_Old!C979</f>
        <v>627</v>
      </c>
      <c r="D975" s="29">
        <f>Item_Enchant_Old!D979</f>
        <v>0</v>
      </c>
      <c r="E975" s="29">
        <f>Item_Enchant_Old!E979</f>
        <v>0</v>
      </c>
      <c r="F975" s="29">
        <f>Item_Enchant_Old!F979</f>
        <v>0</v>
      </c>
      <c r="G975" s="29">
        <f>Item_Enchant_Old!G979</f>
        <v>1</v>
      </c>
      <c r="H975" s="29" t="str">
        <f>Item_Enchant_Old!H979</f>
        <v>@</v>
      </c>
      <c r="I975" s="29">
        <f>Item_Enchant_Old!I979</f>
        <v>1</v>
      </c>
      <c r="J975" s="29" t="str">
        <f>Item_Enchant_Old!J979</f>
        <v>절대값/상대값(%) 가능</v>
      </c>
      <c r="K975" s="29">
        <f>Item_Enchant_Old!K979</f>
        <v>19</v>
      </c>
      <c r="L975" s="29">
        <f>Item_Enchant_Old!L979</f>
        <v>0</v>
      </c>
      <c r="M975" s="29">
        <f>Item_Enchant_Old!M979</f>
        <v>5</v>
      </c>
      <c r="N975" s="29">
        <f>Item_Enchant_Old!N979</f>
        <v>126</v>
      </c>
      <c r="O975" s="29">
        <f>Item_Enchant_Old!O979</f>
        <v>1</v>
      </c>
      <c r="P975" s="29">
        <f>Item_Enchant_Old!P979</f>
        <v>1</v>
      </c>
      <c r="Q975" s="29">
        <f>Item_Enchant_Old!Q979</f>
        <v>1</v>
      </c>
      <c r="R975" s="29">
        <f>Item_Enchant_Old!R979</f>
        <v>1</v>
      </c>
    </row>
    <row r="976" spans="1:18" s="29" customFormat="1" hidden="1">
      <c r="A976" s="29">
        <f>Item_Enchant_Old!A980</f>
        <v>975</v>
      </c>
      <c r="B976" s="29" t="str">
        <f>Item_Enchant_Old!B980</f>
        <v>ACTIVE_STOMACHACHE_DEFENCE</v>
      </c>
      <c r="C976" s="29">
        <f>Item_Enchant_Old!C980</f>
        <v>679</v>
      </c>
      <c r="D976" s="29">
        <f>Item_Enchant_Old!D980</f>
        <v>0</v>
      </c>
      <c r="E976" s="29">
        <f>Item_Enchant_Old!E980</f>
        <v>0</v>
      </c>
      <c r="F976" s="29">
        <f>Item_Enchant_Old!F980</f>
        <v>0</v>
      </c>
      <c r="G976" s="29">
        <f>Item_Enchant_Old!G980</f>
        <v>1</v>
      </c>
      <c r="H976" s="29" t="str">
        <f>Item_Enchant_Old!H980</f>
        <v>@</v>
      </c>
      <c r="I976" s="29">
        <f>Item_Enchant_Old!I980</f>
        <v>1</v>
      </c>
      <c r="J976" s="29" t="str">
        <f>Item_Enchant_Old!J980</f>
        <v>절대값/상대값(%) 가능</v>
      </c>
      <c r="K976" s="29">
        <f>Item_Enchant_Old!K980</f>
        <v>19</v>
      </c>
      <c r="L976" s="29">
        <f>Item_Enchant_Old!L980</f>
        <v>0</v>
      </c>
      <c r="M976" s="29">
        <f>Item_Enchant_Old!M980</f>
        <v>5</v>
      </c>
      <c r="N976" s="29">
        <f>Item_Enchant_Old!N980</f>
        <v>1350</v>
      </c>
      <c r="O976" s="29">
        <f>Item_Enchant_Old!O980</f>
        <v>1</v>
      </c>
      <c r="P976" s="29">
        <f>Item_Enchant_Old!P980</f>
        <v>1</v>
      </c>
      <c r="Q976" s="29">
        <f>Item_Enchant_Old!Q980</f>
        <v>1</v>
      </c>
      <c r="R976" s="29">
        <f>Item_Enchant_Old!R980</f>
        <v>1</v>
      </c>
    </row>
    <row r="977" spans="1:18" s="29" customFormat="1" hidden="1">
      <c r="A977" s="29">
        <f>Item_Enchant_Old!A981</f>
        <v>976</v>
      </c>
      <c r="B977" s="29" t="str">
        <f>Item_Enchant_Old!B981</f>
        <v>ACTIVE_POISON_DEFENCE</v>
      </c>
      <c r="C977" s="29">
        <f>Item_Enchant_Old!C981</f>
        <v>680</v>
      </c>
      <c r="D977" s="29">
        <f>Item_Enchant_Old!D981</f>
        <v>0</v>
      </c>
      <c r="E977" s="29">
        <f>Item_Enchant_Old!E981</f>
        <v>0</v>
      </c>
      <c r="F977" s="29">
        <f>Item_Enchant_Old!F981</f>
        <v>0</v>
      </c>
      <c r="G977" s="29">
        <f>Item_Enchant_Old!G981</f>
        <v>1</v>
      </c>
      <c r="H977" s="29" t="str">
        <f>Item_Enchant_Old!H981</f>
        <v>@</v>
      </c>
      <c r="I977" s="29">
        <f>Item_Enchant_Old!I981</f>
        <v>1</v>
      </c>
      <c r="J977" s="29" t="str">
        <f>Item_Enchant_Old!J981</f>
        <v>절대값/상대값(%) 가능</v>
      </c>
      <c r="K977" s="29">
        <f>Item_Enchant_Old!K981</f>
        <v>19</v>
      </c>
      <c r="L977" s="29">
        <f>Item_Enchant_Old!L981</f>
        <v>0</v>
      </c>
      <c r="M977" s="29">
        <f>Item_Enchant_Old!M981</f>
        <v>5</v>
      </c>
      <c r="N977" s="29">
        <f>Item_Enchant_Old!N981</f>
        <v>1350</v>
      </c>
      <c r="O977" s="29">
        <f>Item_Enchant_Old!O981</f>
        <v>1</v>
      </c>
      <c r="P977" s="29">
        <f>Item_Enchant_Old!P981</f>
        <v>1</v>
      </c>
      <c r="Q977" s="29">
        <f>Item_Enchant_Old!Q981</f>
        <v>1</v>
      </c>
      <c r="R977" s="29">
        <f>Item_Enchant_Old!R981</f>
        <v>1</v>
      </c>
    </row>
    <row r="978" spans="1:18" s="29" customFormat="1" hidden="1">
      <c r="A978" s="29">
        <f>Item_Enchant_Old!A982</f>
        <v>977</v>
      </c>
      <c r="B978" s="29" t="str">
        <f>Item_Enchant_Old!B982</f>
        <v>ACTIVE_MAX_EP_UP</v>
      </c>
      <c r="C978" s="29">
        <f>Item_Enchant_Old!C982</f>
        <v>604</v>
      </c>
      <c r="D978" s="29">
        <f>Item_Enchant_Old!D982</f>
        <v>0</v>
      </c>
      <c r="E978" s="29">
        <f>Item_Enchant_Old!E982</f>
        <v>0</v>
      </c>
      <c r="F978" s="29">
        <f>Item_Enchant_Old!F982</f>
        <v>0</v>
      </c>
      <c r="G978" s="29">
        <f>Item_Enchant_Old!G982</f>
        <v>1</v>
      </c>
      <c r="H978" s="29" t="str">
        <f>Item_Enchant_Old!H982</f>
        <v>@</v>
      </c>
      <c r="I978" s="29">
        <f>Item_Enchant_Old!I982</f>
        <v>1</v>
      </c>
      <c r="J978" s="29" t="str">
        <f>Item_Enchant_Old!J982</f>
        <v>절대값/상대값(%) 가능</v>
      </c>
      <c r="K978" s="29">
        <f>Item_Enchant_Old!K982</f>
        <v>19</v>
      </c>
      <c r="L978" s="29">
        <f>Item_Enchant_Old!L982</f>
        <v>0</v>
      </c>
      <c r="M978" s="29">
        <f>Item_Enchant_Old!M982</f>
        <v>6</v>
      </c>
      <c r="N978" s="29">
        <f>Item_Enchant_Old!N982</f>
        <v>2812</v>
      </c>
      <c r="O978" s="29">
        <f>Item_Enchant_Old!O982</f>
        <v>1</v>
      </c>
      <c r="P978" s="29">
        <f>Item_Enchant_Old!P982</f>
        <v>1</v>
      </c>
      <c r="Q978" s="29">
        <f>Item_Enchant_Old!Q982</f>
        <v>1</v>
      </c>
      <c r="R978" s="29">
        <f>Item_Enchant_Old!R982</f>
        <v>1</v>
      </c>
    </row>
    <row r="979" spans="1:18" s="29" customFormat="1" hidden="1">
      <c r="A979" s="29">
        <f>Item_Enchant_Old!A983</f>
        <v>978</v>
      </c>
      <c r="B979" s="29" t="str">
        <f>Item_Enchant_Old!B983</f>
        <v>ACTIVE_EP_REGENERATION</v>
      </c>
      <c r="C979" s="29">
        <f>Item_Enchant_Old!C983</f>
        <v>628</v>
      </c>
      <c r="D979" s="29">
        <f>Item_Enchant_Old!D983</f>
        <v>0</v>
      </c>
      <c r="E979" s="29">
        <f>Item_Enchant_Old!E983</f>
        <v>0</v>
      </c>
      <c r="F979" s="29">
        <f>Item_Enchant_Old!F983</f>
        <v>0</v>
      </c>
      <c r="G979" s="29">
        <f>Item_Enchant_Old!G983</f>
        <v>1</v>
      </c>
      <c r="H979" s="29" t="str">
        <f>Item_Enchant_Old!H983</f>
        <v>@</v>
      </c>
      <c r="I979" s="29">
        <f>Item_Enchant_Old!I983</f>
        <v>1</v>
      </c>
      <c r="J979" s="29" t="str">
        <f>Item_Enchant_Old!J983</f>
        <v>절대값/상대값(%) 가능</v>
      </c>
      <c r="K979" s="29">
        <f>Item_Enchant_Old!K983</f>
        <v>19</v>
      </c>
      <c r="L979" s="29">
        <f>Item_Enchant_Old!L983</f>
        <v>0</v>
      </c>
      <c r="M979" s="29">
        <f>Item_Enchant_Old!M983</f>
        <v>6</v>
      </c>
      <c r="N979" s="29">
        <f>Item_Enchant_Old!N983</f>
        <v>156</v>
      </c>
      <c r="O979" s="29">
        <f>Item_Enchant_Old!O983</f>
        <v>1</v>
      </c>
      <c r="P979" s="29">
        <f>Item_Enchant_Old!P983</f>
        <v>1</v>
      </c>
      <c r="Q979" s="29">
        <f>Item_Enchant_Old!Q983</f>
        <v>1</v>
      </c>
      <c r="R979" s="29">
        <f>Item_Enchant_Old!R983</f>
        <v>1</v>
      </c>
    </row>
    <row r="980" spans="1:18" s="29" customFormat="1" hidden="1">
      <c r="A980" s="29">
        <f>Item_Enchant_Old!A984</f>
        <v>979</v>
      </c>
      <c r="B980" s="29" t="str">
        <f>Item_Enchant_Old!B984</f>
        <v>ACTIVE_ENG_UP</v>
      </c>
      <c r="C980" s="29">
        <f>Item_Enchant_Old!C984</f>
        <v>615</v>
      </c>
      <c r="D980" s="29">
        <f>Item_Enchant_Old!D984</f>
        <v>0</v>
      </c>
      <c r="E980" s="29">
        <f>Item_Enchant_Old!E984</f>
        <v>0</v>
      </c>
      <c r="F980" s="29">
        <f>Item_Enchant_Old!F984</f>
        <v>0</v>
      </c>
      <c r="G980" s="29">
        <f>Item_Enchant_Old!G984</f>
        <v>2</v>
      </c>
      <c r="H980" s="29" t="str">
        <f>Item_Enchant_Old!H984</f>
        <v>@</v>
      </c>
      <c r="I980" s="29">
        <f>Item_Enchant_Old!I984</f>
        <v>1</v>
      </c>
      <c r="J980" s="29" t="str">
        <f>Item_Enchant_Old!J984</f>
        <v>절대값/상대값(%) 가능</v>
      </c>
      <c r="K980" s="29">
        <f>Item_Enchant_Old!K984</f>
        <v>19</v>
      </c>
      <c r="L980" s="29">
        <f>Item_Enchant_Old!L984</f>
        <v>0</v>
      </c>
      <c r="M980" s="29">
        <f>Item_Enchant_Old!M984</f>
        <v>6</v>
      </c>
      <c r="N980" s="29">
        <f>Item_Enchant_Old!N984</f>
        <v>62</v>
      </c>
      <c r="O980" s="29">
        <f>Item_Enchant_Old!O984</f>
        <v>1</v>
      </c>
      <c r="P980" s="29">
        <f>Item_Enchant_Old!P984</f>
        <v>1</v>
      </c>
      <c r="Q980" s="29">
        <f>Item_Enchant_Old!Q984</f>
        <v>1</v>
      </c>
      <c r="R980" s="29">
        <f>Item_Enchant_Old!R984</f>
        <v>1</v>
      </c>
    </row>
    <row r="981" spans="1:18" s="29" customFormat="1" hidden="1">
      <c r="A981" s="29">
        <f>Item_Enchant_Old!A985</f>
        <v>980</v>
      </c>
      <c r="B981" s="29" t="str">
        <f>Item_Enchant_Old!B985</f>
        <v>ACTIVE_BLEED_DEFENCE</v>
      </c>
      <c r="C981" s="29">
        <f>Item_Enchant_Old!C985</f>
        <v>681</v>
      </c>
      <c r="D981" s="29">
        <f>Item_Enchant_Old!D985</f>
        <v>0</v>
      </c>
      <c r="E981" s="29">
        <f>Item_Enchant_Old!E985</f>
        <v>0</v>
      </c>
      <c r="F981" s="29">
        <f>Item_Enchant_Old!F985</f>
        <v>0</v>
      </c>
      <c r="G981" s="29">
        <f>Item_Enchant_Old!G985</f>
        <v>1</v>
      </c>
      <c r="H981" s="29" t="str">
        <f>Item_Enchant_Old!H985</f>
        <v>@</v>
      </c>
      <c r="I981" s="29">
        <f>Item_Enchant_Old!I985</f>
        <v>1</v>
      </c>
      <c r="J981" s="29" t="str">
        <f>Item_Enchant_Old!J985</f>
        <v>절대값/상대값(%) 가능</v>
      </c>
      <c r="K981" s="29">
        <f>Item_Enchant_Old!K985</f>
        <v>19</v>
      </c>
      <c r="L981" s="29">
        <f>Item_Enchant_Old!L985</f>
        <v>0</v>
      </c>
      <c r="M981" s="29">
        <f>Item_Enchant_Old!M985</f>
        <v>6</v>
      </c>
      <c r="N981" s="29">
        <f>Item_Enchant_Old!N985</f>
        <v>1350</v>
      </c>
      <c r="O981" s="29">
        <f>Item_Enchant_Old!O985</f>
        <v>1</v>
      </c>
      <c r="P981" s="29">
        <f>Item_Enchant_Old!P985</f>
        <v>1</v>
      </c>
      <c r="Q981" s="29">
        <f>Item_Enchant_Old!Q985</f>
        <v>1</v>
      </c>
      <c r="R981" s="29">
        <f>Item_Enchant_Old!R985</f>
        <v>1</v>
      </c>
    </row>
    <row r="982" spans="1:18" s="29" customFormat="1" hidden="1">
      <c r="A982" s="29">
        <f>Item_Enchant_Old!A986</f>
        <v>981</v>
      </c>
      <c r="B982" s="29" t="str">
        <f>Item_Enchant_Old!B986</f>
        <v>ACTIVE_BURN_DEFENCE</v>
      </c>
      <c r="C982" s="29">
        <f>Item_Enchant_Old!C986</f>
        <v>682</v>
      </c>
      <c r="D982" s="29">
        <f>Item_Enchant_Old!D986</f>
        <v>0</v>
      </c>
      <c r="E982" s="29">
        <f>Item_Enchant_Old!E986</f>
        <v>0</v>
      </c>
      <c r="F982" s="29">
        <f>Item_Enchant_Old!F986</f>
        <v>0</v>
      </c>
      <c r="G982" s="29">
        <f>Item_Enchant_Old!G986</f>
        <v>1</v>
      </c>
      <c r="H982" s="29" t="str">
        <f>Item_Enchant_Old!H986</f>
        <v>@</v>
      </c>
      <c r="I982" s="29">
        <f>Item_Enchant_Old!I986</f>
        <v>1</v>
      </c>
      <c r="J982" s="29" t="str">
        <f>Item_Enchant_Old!J986</f>
        <v>절대값/상대값(%) 가능</v>
      </c>
      <c r="K982" s="29">
        <f>Item_Enchant_Old!K986</f>
        <v>19</v>
      </c>
      <c r="L982" s="29">
        <f>Item_Enchant_Old!L986</f>
        <v>0</v>
      </c>
      <c r="M982" s="29">
        <f>Item_Enchant_Old!M986</f>
        <v>6</v>
      </c>
      <c r="N982" s="29">
        <f>Item_Enchant_Old!N986</f>
        <v>1350</v>
      </c>
      <c r="O982" s="29">
        <f>Item_Enchant_Old!O986</f>
        <v>1</v>
      </c>
      <c r="P982" s="29">
        <f>Item_Enchant_Old!P986</f>
        <v>1</v>
      </c>
      <c r="Q982" s="29">
        <f>Item_Enchant_Old!Q986</f>
        <v>1</v>
      </c>
      <c r="R982" s="29">
        <f>Item_Enchant_Old!R986</f>
        <v>1</v>
      </c>
    </row>
    <row r="983" spans="1:18" s="29" customFormat="1" hidden="1">
      <c r="A983" s="29">
        <f>Item_Enchant_Old!A987</f>
        <v>982</v>
      </c>
      <c r="B983" s="29" t="str">
        <f>Item_Enchant_Old!B987</f>
        <v>ACTIVE_CRITICAL_BLOCK_UP</v>
      </c>
      <c r="C983" s="29">
        <f>Item_Enchant_Old!C987</f>
        <v>651</v>
      </c>
      <c r="D983" s="29">
        <f>Item_Enchant_Old!D987</f>
        <v>0</v>
      </c>
      <c r="E983" s="29">
        <f>Item_Enchant_Old!E987</f>
        <v>0</v>
      </c>
      <c r="F983" s="29">
        <f>Item_Enchant_Old!F987</f>
        <v>0</v>
      </c>
      <c r="G983" s="29">
        <f>Item_Enchant_Old!G987</f>
        <v>5</v>
      </c>
      <c r="H983" s="29" t="str">
        <f>Item_Enchant_Old!H987</f>
        <v>@</v>
      </c>
      <c r="I983" s="29">
        <f>Item_Enchant_Old!I987</f>
        <v>1</v>
      </c>
      <c r="J983" s="29" t="str">
        <f>Item_Enchant_Old!J987</f>
        <v>절대값만 가능</v>
      </c>
      <c r="K983" s="29">
        <f>Item_Enchant_Old!K987</f>
        <v>19</v>
      </c>
      <c r="L983" s="29">
        <f>Item_Enchant_Old!L987</f>
        <v>0</v>
      </c>
      <c r="M983" s="29">
        <f>Item_Enchant_Old!M987</f>
        <v>7</v>
      </c>
      <c r="N983" s="29">
        <f>Item_Enchant_Old!N987</f>
        <v>20</v>
      </c>
      <c r="O983" s="29">
        <f>Item_Enchant_Old!O987</f>
        <v>1</v>
      </c>
      <c r="P983" s="29">
        <f>Item_Enchant_Old!P987</f>
        <v>1</v>
      </c>
      <c r="Q983" s="29">
        <f>Item_Enchant_Old!Q987</f>
        <v>1</v>
      </c>
      <c r="R983" s="29">
        <f>Item_Enchant_Old!R987</f>
        <v>1</v>
      </c>
    </row>
    <row r="984" spans="1:18" s="29" customFormat="1" hidden="1">
      <c r="A984" s="29">
        <f>Item_Enchant_Old!A988</f>
        <v>983</v>
      </c>
      <c r="B984" s="29" t="str">
        <f>Item_Enchant_Old!B988</f>
        <v>ACTIVE_BLOCK_RATE_UP</v>
      </c>
      <c r="C984" s="29">
        <f>Item_Enchant_Old!C988</f>
        <v>620</v>
      </c>
      <c r="D984" s="29">
        <f>Item_Enchant_Old!D988</f>
        <v>0</v>
      </c>
      <c r="E984" s="29">
        <f>Item_Enchant_Old!E988</f>
        <v>0</v>
      </c>
      <c r="F984" s="29">
        <f>Item_Enchant_Old!F988</f>
        <v>0</v>
      </c>
      <c r="G984" s="29">
        <f>Item_Enchant_Old!G988</f>
        <v>1</v>
      </c>
      <c r="H984" s="29" t="str">
        <f>Item_Enchant_Old!H988</f>
        <v>@</v>
      </c>
      <c r="I984" s="29">
        <f>Item_Enchant_Old!I988</f>
        <v>1</v>
      </c>
      <c r="J984" s="29" t="str">
        <f>Item_Enchant_Old!J988</f>
        <v>절대값/상대값(%) 가능</v>
      </c>
      <c r="K984" s="29">
        <f>Item_Enchant_Old!K988</f>
        <v>19</v>
      </c>
      <c r="L984" s="29">
        <f>Item_Enchant_Old!L988</f>
        <v>0</v>
      </c>
      <c r="M984" s="29">
        <f>Item_Enchant_Old!M988</f>
        <v>7</v>
      </c>
      <c r="N984" s="29">
        <f>Item_Enchant_Old!N988</f>
        <v>352</v>
      </c>
      <c r="O984" s="29">
        <f>Item_Enchant_Old!O988</f>
        <v>1</v>
      </c>
      <c r="P984" s="29">
        <f>Item_Enchant_Old!P988</f>
        <v>1</v>
      </c>
      <c r="Q984" s="29">
        <f>Item_Enchant_Old!Q988</f>
        <v>1</v>
      </c>
      <c r="R984" s="29">
        <f>Item_Enchant_Old!R988</f>
        <v>1</v>
      </c>
    </row>
    <row r="985" spans="1:18" s="29" customFormat="1" hidden="1">
      <c r="A985" s="29">
        <f>Item_Enchant_Old!A989</f>
        <v>984</v>
      </c>
      <c r="B985" s="29" t="str">
        <f>Item_Enchant_Old!B989</f>
        <v>ACTIVE_DODGE_RATE_UP</v>
      </c>
      <c r="C985" s="29">
        <f>Item_Enchant_Old!C989</f>
        <v>619</v>
      </c>
      <c r="D985" s="29">
        <f>Item_Enchant_Old!D989</f>
        <v>0</v>
      </c>
      <c r="E985" s="29">
        <f>Item_Enchant_Old!E989</f>
        <v>0</v>
      </c>
      <c r="F985" s="29">
        <f>Item_Enchant_Old!F989</f>
        <v>0</v>
      </c>
      <c r="G985" s="29">
        <f>Item_Enchant_Old!G989</f>
        <v>1</v>
      </c>
      <c r="H985" s="29" t="str">
        <f>Item_Enchant_Old!H989</f>
        <v>@</v>
      </c>
      <c r="I985" s="29">
        <f>Item_Enchant_Old!I989</f>
        <v>1</v>
      </c>
      <c r="J985" s="29" t="str">
        <f>Item_Enchant_Old!J989</f>
        <v>절대값/상대값(%) 가능</v>
      </c>
      <c r="K985" s="29">
        <f>Item_Enchant_Old!K989</f>
        <v>19</v>
      </c>
      <c r="L985" s="29">
        <f>Item_Enchant_Old!L989</f>
        <v>0</v>
      </c>
      <c r="M985" s="29">
        <f>Item_Enchant_Old!M989</f>
        <v>7</v>
      </c>
      <c r="N985" s="29">
        <f>Item_Enchant_Old!N989</f>
        <v>275</v>
      </c>
      <c r="O985" s="29">
        <f>Item_Enchant_Old!O989</f>
        <v>1</v>
      </c>
      <c r="P985" s="29">
        <f>Item_Enchant_Old!P989</f>
        <v>1</v>
      </c>
      <c r="Q985" s="29">
        <f>Item_Enchant_Old!Q989</f>
        <v>1</v>
      </c>
      <c r="R985" s="29">
        <f>Item_Enchant_Old!R989</f>
        <v>1</v>
      </c>
    </row>
    <row r="986" spans="1:18" s="29" customFormat="1" hidden="1">
      <c r="A986" s="29">
        <f>Item_Enchant_Old!A990</f>
        <v>985</v>
      </c>
      <c r="B986" s="29" t="str">
        <f>Item_Enchant_Old!B990</f>
        <v>ACTIVE_STOMACHACHE_DEFENCE</v>
      </c>
      <c r="C986" s="29">
        <f>Item_Enchant_Old!C990</f>
        <v>679</v>
      </c>
      <c r="D986" s="29">
        <f>Item_Enchant_Old!D990</f>
        <v>0</v>
      </c>
      <c r="E986" s="29">
        <f>Item_Enchant_Old!E990</f>
        <v>0</v>
      </c>
      <c r="F986" s="29">
        <f>Item_Enchant_Old!F990</f>
        <v>0</v>
      </c>
      <c r="G986" s="29">
        <f>Item_Enchant_Old!G990</f>
        <v>1</v>
      </c>
      <c r="H986" s="29" t="str">
        <f>Item_Enchant_Old!H990</f>
        <v>@</v>
      </c>
      <c r="I986" s="29">
        <f>Item_Enchant_Old!I990</f>
        <v>1</v>
      </c>
      <c r="J986" s="29" t="str">
        <f>Item_Enchant_Old!J990</f>
        <v>절대값/상대값(%) 가능</v>
      </c>
      <c r="K986" s="29">
        <f>Item_Enchant_Old!K990</f>
        <v>19</v>
      </c>
      <c r="L986" s="29">
        <f>Item_Enchant_Old!L990</f>
        <v>0</v>
      </c>
      <c r="M986" s="29">
        <f>Item_Enchant_Old!M990</f>
        <v>7</v>
      </c>
      <c r="N986" s="29">
        <f>Item_Enchant_Old!N990</f>
        <v>1350</v>
      </c>
      <c r="O986" s="29">
        <f>Item_Enchant_Old!O990</f>
        <v>1</v>
      </c>
      <c r="P986" s="29">
        <f>Item_Enchant_Old!P990</f>
        <v>1</v>
      </c>
      <c r="Q986" s="29">
        <f>Item_Enchant_Old!Q990</f>
        <v>1</v>
      </c>
      <c r="R986" s="29">
        <f>Item_Enchant_Old!R990</f>
        <v>1</v>
      </c>
    </row>
    <row r="987" spans="1:18" s="29" customFormat="1" hidden="1">
      <c r="A987" s="29">
        <f>Item_Enchant_Old!A991</f>
        <v>986</v>
      </c>
      <c r="B987" s="29" t="str">
        <f>Item_Enchant_Old!B991</f>
        <v>ACTIVE_POISON_DEFENCE</v>
      </c>
      <c r="C987" s="29">
        <f>Item_Enchant_Old!C991</f>
        <v>680</v>
      </c>
      <c r="D987" s="29">
        <f>Item_Enchant_Old!D991</f>
        <v>0</v>
      </c>
      <c r="E987" s="29">
        <f>Item_Enchant_Old!E991</f>
        <v>0</v>
      </c>
      <c r="F987" s="29">
        <f>Item_Enchant_Old!F991</f>
        <v>0</v>
      </c>
      <c r="G987" s="29">
        <f>Item_Enchant_Old!G991</f>
        <v>1</v>
      </c>
      <c r="H987" s="29" t="str">
        <f>Item_Enchant_Old!H991</f>
        <v>@</v>
      </c>
      <c r="I987" s="29">
        <f>Item_Enchant_Old!I991</f>
        <v>1</v>
      </c>
      <c r="J987" s="29" t="str">
        <f>Item_Enchant_Old!J991</f>
        <v>절대값/상대값(%) 가능</v>
      </c>
      <c r="K987" s="29">
        <f>Item_Enchant_Old!K991</f>
        <v>19</v>
      </c>
      <c r="L987" s="29">
        <f>Item_Enchant_Old!L991</f>
        <v>0</v>
      </c>
      <c r="M987" s="29">
        <f>Item_Enchant_Old!M991</f>
        <v>7</v>
      </c>
      <c r="N987" s="29">
        <f>Item_Enchant_Old!N991</f>
        <v>1350</v>
      </c>
      <c r="O987" s="29">
        <f>Item_Enchant_Old!O991</f>
        <v>1</v>
      </c>
      <c r="P987" s="29">
        <f>Item_Enchant_Old!P991</f>
        <v>1</v>
      </c>
      <c r="Q987" s="29">
        <f>Item_Enchant_Old!Q991</f>
        <v>1</v>
      </c>
      <c r="R987" s="29">
        <f>Item_Enchant_Old!R991</f>
        <v>1</v>
      </c>
    </row>
    <row r="988" spans="1:18" s="29" customFormat="1" hidden="1">
      <c r="A988" s="29">
        <f>Item_Enchant_Old!A992</f>
        <v>987</v>
      </c>
      <c r="B988" s="29" t="str">
        <f>Item_Enchant_Old!B992</f>
        <v>ACTIVE_BLEED_DEFENCE</v>
      </c>
      <c r="C988" s="29">
        <f>Item_Enchant_Old!C992</f>
        <v>681</v>
      </c>
      <c r="D988" s="29">
        <f>Item_Enchant_Old!D992</f>
        <v>0</v>
      </c>
      <c r="E988" s="29">
        <f>Item_Enchant_Old!E992</f>
        <v>0</v>
      </c>
      <c r="F988" s="29">
        <f>Item_Enchant_Old!F992</f>
        <v>0</v>
      </c>
      <c r="G988" s="29">
        <f>Item_Enchant_Old!G992</f>
        <v>1</v>
      </c>
      <c r="H988" s="29" t="str">
        <f>Item_Enchant_Old!H992</f>
        <v>@</v>
      </c>
      <c r="I988" s="29">
        <f>Item_Enchant_Old!I992</f>
        <v>1</v>
      </c>
      <c r="J988" s="29" t="str">
        <f>Item_Enchant_Old!J992</f>
        <v>절대값/상대값(%) 가능</v>
      </c>
      <c r="K988" s="29">
        <f>Item_Enchant_Old!K992</f>
        <v>19</v>
      </c>
      <c r="L988" s="29">
        <f>Item_Enchant_Old!L992</f>
        <v>0</v>
      </c>
      <c r="M988" s="29">
        <f>Item_Enchant_Old!M992</f>
        <v>7</v>
      </c>
      <c r="N988" s="29">
        <f>Item_Enchant_Old!N992</f>
        <v>1350</v>
      </c>
      <c r="O988" s="29">
        <f>Item_Enchant_Old!O992</f>
        <v>1</v>
      </c>
      <c r="P988" s="29">
        <f>Item_Enchant_Old!P992</f>
        <v>1</v>
      </c>
      <c r="Q988" s="29">
        <f>Item_Enchant_Old!Q992</f>
        <v>1</v>
      </c>
      <c r="R988" s="29">
        <f>Item_Enchant_Old!R992</f>
        <v>1</v>
      </c>
    </row>
    <row r="989" spans="1:18" s="29" customFormat="1" hidden="1">
      <c r="A989" s="29">
        <f>Item_Enchant_Old!A993</f>
        <v>988</v>
      </c>
      <c r="B989" s="29" t="str">
        <f>Item_Enchant_Old!B993</f>
        <v>ACTIVE_BURN_DEFENCE</v>
      </c>
      <c r="C989" s="29">
        <f>Item_Enchant_Old!C993</f>
        <v>682</v>
      </c>
      <c r="D989" s="29">
        <f>Item_Enchant_Old!D993</f>
        <v>0</v>
      </c>
      <c r="E989" s="29">
        <f>Item_Enchant_Old!E993</f>
        <v>0</v>
      </c>
      <c r="F989" s="29">
        <f>Item_Enchant_Old!F993</f>
        <v>0</v>
      </c>
      <c r="G989" s="29">
        <f>Item_Enchant_Old!G993</f>
        <v>1</v>
      </c>
      <c r="H989" s="29" t="str">
        <f>Item_Enchant_Old!H993</f>
        <v>@</v>
      </c>
      <c r="I989" s="29">
        <f>Item_Enchant_Old!I993</f>
        <v>1</v>
      </c>
      <c r="J989" s="29" t="str">
        <f>Item_Enchant_Old!J993</f>
        <v>절대값/상대값(%) 가능</v>
      </c>
      <c r="K989" s="29">
        <f>Item_Enchant_Old!K993</f>
        <v>19</v>
      </c>
      <c r="L989" s="29">
        <f>Item_Enchant_Old!L993</f>
        <v>0</v>
      </c>
      <c r="M989" s="29">
        <f>Item_Enchant_Old!M993</f>
        <v>7</v>
      </c>
      <c r="N989" s="29">
        <f>Item_Enchant_Old!N993</f>
        <v>1350</v>
      </c>
      <c r="O989" s="29">
        <f>Item_Enchant_Old!O993</f>
        <v>1</v>
      </c>
      <c r="P989" s="29">
        <f>Item_Enchant_Old!P993</f>
        <v>1</v>
      </c>
      <c r="Q989" s="29">
        <f>Item_Enchant_Old!Q993</f>
        <v>1</v>
      </c>
      <c r="R989" s="29">
        <f>Item_Enchant_Old!R993</f>
        <v>1</v>
      </c>
    </row>
    <row r="990" spans="1:18" s="29" customFormat="1" hidden="1">
      <c r="A990" s="29">
        <f>Item_Enchant_Old!A994</f>
        <v>989</v>
      </c>
      <c r="B990" s="29" t="str">
        <f>Item_Enchant_Old!B994</f>
        <v>ACTIVE_PHYSICAL_DEFENCE_UP</v>
      </c>
      <c r="C990" s="29">
        <f>Item_Enchant_Old!C994</f>
        <v>608</v>
      </c>
      <c r="D990" s="29">
        <f>Item_Enchant_Old!D994</f>
        <v>0</v>
      </c>
      <c r="E990" s="29">
        <f>Item_Enchant_Old!E994</f>
        <v>0</v>
      </c>
      <c r="F990" s="29">
        <f>Item_Enchant_Old!F994</f>
        <v>0</v>
      </c>
      <c r="G990" s="29">
        <f>Item_Enchant_Old!G994</f>
        <v>1</v>
      </c>
      <c r="H990" s="29" t="str">
        <f>Item_Enchant_Old!H994</f>
        <v>@</v>
      </c>
      <c r="I990" s="29">
        <f>Item_Enchant_Old!I994</f>
        <v>1</v>
      </c>
      <c r="J990" s="29" t="str">
        <f>Item_Enchant_Old!J994</f>
        <v>절대값/상대값(%) 가능</v>
      </c>
      <c r="K990" s="29">
        <f>Item_Enchant_Old!K994</f>
        <v>19</v>
      </c>
      <c r="L990" s="29">
        <f>Item_Enchant_Old!L994</f>
        <v>0</v>
      </c>
      <c r="M990" s="29">
        <f>Item_Enchant_Old!M994</f>
        <v>8</v>
      </c>
      <c r="N990" s="29">
        <f>Item_Enchant_Old!N994</f>
        <v>1350</v>
      </c>
      <c r="O990" s="29">
        <f>Item_Enchant_Old!O994</f>
        <v>1</v>
      </c>
      <c r="P990" s="29">
        <f>Item_Enchant_Old!P994</f>
        <v>1</v>
      </c>
      <c r="Q990" s="29">
        <f>Item_Enchant_Old!Q994</f>
        <v>1</v>
      </c>
      <c r="R990" s="29">
        <f>Item_Enchant_Old!R994</f>
        <v>1</v>
      </c>
    </row>
    <row r="991" spans="1:18" s="29" customFormat="1" hidden="1">
      <c r="A991" s="29">
        <f>Item_Enchant_Old!A995</f>
        <v>990</v>
      </c>
      <c r="B991" s="29" t="str">
        <f>Item_Enchant_Old!B995</f>
        <v>ACTIVE_ENERGY_DEFENCE_UP</v>
      </c>
      <c r="C991" s="29">
        <f>Item_Enchant_Old!C995</f>
        <v>609</v>
      </c>
      <c r="D991" s="29">
        <f>Item_Enchant_Old!D995</f>
        <v>0</v>
      </c>
      <c r="E991" s="29">
        <f>Item_Enchant_Old!E995</f>
        <v>0</v>
      </c>
      <c r="F991" s="29">
        <f>Item_Enchant_Old!F995</f>
        <v>0</v>
      </c>
      <c r="G991" s="29">
        <f>Item_Enchant_Old!G995</f>
        <v>1</v>
      </c>
      <c r="H991" s="29" t="str">
        <f>Item_Enchant_Old!H995</f>
        <v>@</v>
      </c>
      <c r="I991" s="29">
        <f>Item_Enchant_Old!I995</f>
        <v>1</v>
      </c>
      <c r="J991" s="29" t="str">
        <f>Item_Enchant_Old!J995</f>
        <v>절대값/상대값(%) 가능</v>
      </c>
      <c r="K991" s="29">
        <f>Item_Enchant_Old!K995</f>
        <v>19</v>
      </c>
      <c r="L991" s="29">
        <f>Item_Enchant_Old!L995</f>
        <v>0</v>
      </c>
      <c r="M991" s="29">
        <f>Item_Enchant_Old!M995</f>
        <v>8</v>
      </c>
      <c r="N991" s="29">
        <f>Item_Enchant_Old!N995</f>
        <v>1350</v>
      </c>
      <c r="O991" s="29">
        <f>Item_Enchant_Old!O995</f>
        <v>1</v>
      </c>
      <c r="P991" s="29">
        <f>Item_Enchant_Old!P995</f>
        <v>1</v>
      </c>
      <c r="Q991" s="29">
        <f>Item_Enchant_Old!Q995</f>
        <v>1</v>
      </c>
      <c r="R991" s="29">
        <f>Item_Enchant_Old!R995</f>
        <v>1</v>
      </c>
    </row>
    <row r="992" spans="1:18" s="29" customFormat="1" hidden="1">
      <c r="A992" s="29">
        <f>Item_Enchant_Old!A996</f>
        <v>991</v>
      </c>
      <c r="B992" s="29" t="str">
        <f>Item_Enchant_Old!B996</f>
        <v>ACTIVE_BLOCK_RATE_UP</v>
      </c>
      <c r="C992" s="29">
        <f>Item_Enchant_Old!C996</f>
        <v>620</v>
      </c>
      <c r="D992" s="29">
        <f>Item_Enchant_Old!D996</f>
        <v>0</v>
      </c>
      <c r="E992" s="29">
        <f>Item_Enchant_Old!E996</f>
        <v>0</v>
      </c>
      <c r="F992" s="29">
        <f>Item_Enchant_Old!F996</f>
        <v>0</v>
      </c>
      <c r="G992" s="29">
        <f>Item_Enchant_Old!G996</f>
        <v>1</v>
      </c>
      <c r="H992" s="29" t="str">
        <f>Item_Enchant_Old!H996</f>
        <v>@</v>
      </c>
      <c r="I992" s="29">
        <f>Item_Enchant_Old!I996</f>
        <v>1</v>
      </c>
      <c r="J992" s="29" t="str">
        <f>Item_Enchant_Old!J996</f>
        <v>절대값/상대값(%) 가능</v>
      </c>
      <c r="K992" s="29">
        <f>Item_Enchant_Old!K996</f>
        <v>19</v>
      </c>
      <c r="L992" s="29">
        <f>Item_Enchant_Old!L996</f>
        <v>0</v>
      </c>
      <c r="M992" s="29">
        <f>Item_Enchant_Old!M996</f>
        <v>8</v>
      </c>
      <c r="N992" s="29">
        <f>Item_Enchant_Old!N996</f>
        <v>352</v>
      </c>
      <c r="O992" s="29">
        <f>Item_Enchant_Old!O996</f>
        <v>1</v>
      </c>
      <c r="P992" s="29">
        <f>Item_Enchant_Old!P996</f>
        <v>1</v>
      </c>
      <c r="Q992" s="29">
        <f>Item_Enchant_Old!Q996</f>
        <v>1</v>
      </c>
      <c r="R992" s="29">
        <f>Item_Enchant_Old!R996</f>
        <v>1</v>
      </c>
    </row>
    <row r="993" spans="1:18" s="29" customFormat="1" hidden="1">
      <c r="A993" s="29">
        <f>Item_Enchant_Old!A997</f>
        <v>992</v>
      </c>
      <c r="B993" s="29" t="str">
        <f>Item_Enchant_Old!B997</f>
        <v>ACTIVE_HONEST_DEFENCE_UP</v>
      </c>
      <c r="C993" s="29">
        <f>Item_Enchant_Old!C997</f>
        <v>621</v>
      </c>
      <c r="D993" s="29">
        <f>Item_Enchant_Old!D997</f>
        <v>0</v>
      </c>
      <c r="E993" s="29">
        <f>Item_Enchant_Old!E997</f>
        <v>0</v>
      </c>
      <c r="F993" s="29">
        <f>Item_Enchant_Old!F997</f>
        <v>0</v>
      </c>
      <c r="G993" s="29">
        <f>Item_Enchant_Old!G997</f>
        <v>5</v>
      </c>
      <c r="H993" s="29" t="str">
        <f>Item_Enchant_Old!H997</f>
        <v>@</v>
      </c>
      <c r="I993" s="29">
        <f>Item_Enchant_Old!I997</f>
        <v>1</v>
      </c>
      <c r="J993" s="29" t="str">
        <f>Item_Enchant_Old!J997</f>
        <v>절대값만 가능</v>
      </c>
      <c r="K993" s="29">
        <f>Item_Enchant_Old!K997</f>
        <v>19</v>
      </c>
      <c r="L993" s="29">
        <f>Item_Enchant_Old!L997</f>
        <v>0</v>
      </c>
      <c r="M993" s="29">
        <f>Item_Enchant_Old!M997</f>
        <v>8</v>
      </c>
      <c r="N993" s="29">
        <f>Item_Enchant_Old!N997</f>
        <v>20</v>
      </c>
      <c r="O993" s="29">
        <f>Item_Enchant_Old!O997</f>
        <v>1</v>
      </c>
      <c r="P993" s="29">
        <f>Item_Enchant_Old!P997</f>
        <v>1</v>
      </c>
      <c r="Q993" s="29">
        <f>Item_Enchant_Old!Q997</f>
        <v>1</v>
      </c>
      <c r="R993" s="29">
        <f>Item_Enchant_Old!R997</f>
        <v>1</v>
      </c>
    </row>
    <row r="994" spans="1:18" s="29" customFormat="1" hidden="1">
      <c r="A994" s="29">
        <f>Item_Enchant_Old!A998</f>
        <v>993</v>
      </c>
      <c r="B994" s="29" t="str">
        <f>Item_Enchant_Old!B998</f>
        <v>ACTIVE_STRANGE_DEFENCE_UP</v>
      </c>
      <c r="C994" s="29">
        <f>Item_Enchant_Old!C998</f>
        <v>622</v>
      </c>
      <c r="D994" s="29">
        <f>Item_Enchant_Old!D998</f>
        <v>0</v>
      </c>
      <c r="E994" s="29">
        <f>Item_Enchant_Old!E998</f>
        <v>0</v>
      </c>
      <c r="F994" s="29">
        <f>Item_Enchant_Old!F998</f>
        <v>0</v>
      </c>
      <c r="G994" s="29">
        <f>Item_Enchant_Old!G998</f>
        <v>5</v>
      </c>
      <c r="H994" s="29" t="str">
        <f>Item_Enchant_Old!H998</f>
        <v>@</v>
      </c>
      <c r="I994" s="29">
        <f>Item_Enchant_Old!I998</f>
        <v>1</v>
      </c>
      <c r="J994" s="29" t="str">
        <f>Item_Enchant_Old!J998</f>
        <v>절대값만 가능</v>
      </c>
      <c r="K994" s="29">
        <f>Item_Enchant_Old!K998</f>
        <v>19</v>
      </c>
      <c r="L994" s="29">
        <f>Item_Enchant_Old!L998</f>
        <v>0</v>
      </c>
      <c r="M994" s="29">
        <f>Item_Enchant_Old!M998</f>
        <v>8</v>
      </c>
      <c r="N994" s="29">
        <f>Item_Enchant_Old!N998</f>
        <v>20</v>
      </c>
      <c r="O994" s="29">
        <f>Item_Enchant_Old!O998</f>
        <v>1</v>
      </c>
      <c r="P994" s="29">
        <f>Item_Enchant_Old!P998</f>
        <v>1</v>
      </c>
      <c r="Q994" s="29">
        <f>Item_Enchant_Old!Q998</f>
        <v>1</v>
      </c>
      <c r="R994" s="29">
        <f>Item_Enchant_Old!R998</f>
        <v>1</v>
      </c>
    </row>
    <row r="995" spans="1:18" s="29" customFormat="1" hidden="1">
      <c r="A995" s="29">
        <f>Item_Enchant_Old!A999</f>
        <v>994</v>
      </c>
      <c r="B995" s="29" t="str">
        <f>Item_Enchant_Old!B999</f>
        <v>ACTIVE_WILD_DEFENCE_UP</v>
      </c>
      <c r="C995" s="29">
        <f>Item_Enchant_Old!C999</f>
        <v>623</v>
      </c>
      <c r="D995" s="29">
        <f>Item_Enchant_Old!D999</f>
        <v>0</v>
      </c>
      <c r="E995" s="29">
        <f>Item_Enchant_Old!E999</f>
        <v>0</v>
      </c>
      <c r="F995" s="29">
        <f>Item_Enchant_Old!F999</f>
        <v>0</v>
      </c>
      <c r="G995" s="29">
        <f>Item_Enchant_Old!G999</f>
        <v>5</v>
      </c>
      <c r="H995" s="29" t="str">
        <f>Item_Enchant_Old!H999</f>
        <v>@</v>
      </c>
      <c r="I995" s="29">
        <f>Item_Enchant_Old!I999</f>
        <v>1</v>
      </c>
      <c r="J995" s="29" t="str">
        <f>Item_Enchant_Old!J999</f>
        <v>절대값만 가능</v>
      </c>
      <c r="K995" s="29">
        <f>Item_Enchant_Old!K999</f>
        <v>19</v>
      </c>
      <c r="L995" s="29">
        <f>Item_Enchant_Old!L999</f>
        <v>0</v>
      </c>
      <c r="M995" s="29">
        <f>Item_Enchant_Old!M999</f>
        <v>8</v>
      </c>
      <c r="N995" s="29">
        <f>Item_Enchant_Old!N999</f>
        <v>20</v>
      </c>
      <c r="O995" s="29">
        <f>Item_Enchant_Old!O999</f>
        <v>1</v>
      </c>
      <c r="P995" s="29">
        <f>Item_Enchant_Old!P999</f>
        <v>1</v>
      </c>
      <c r="Q995" s="29">
        <f>Item_Enchant_Old!Q999</f>
        <v>1</v>
      </c>
      <c r="R995" s="29">
        <f>Item_Enchant_Old!R999</f>
        <v>1</v>
      </c>
    </row>
    <row r="996" spans="1:18" s="29" customFormat="1" hidden="1">
      <c r="A996" s="29">
        <f>Item_Enchant_Old!A1000</f>
        <v>995</v>
      </c>
      <c r="B996" s="29" t="str">
        <f>Item_Enchant_Old!B1000</f>
        <v>ACTIVE_ELEGANCE_DEFENCE_UP</v>
      </c>
      <c r="C996" s="29">
        <f>Item_Enchant_Old!C1000</f>
        <v>624</v>
      </c>
      <c r="D996" s="29">
        <f>Item_Enchant_Old!D1000</f>
        <v>0</v>
      </c>
      <c r="E996" s="29">
        <f>Item_Enchant_Old!E1000</f>
        <v>0</v>
      </c>
      <c r="F996" s="29">
        <f>Item_Enchant_Old!F1000</f>
        <v>0</v>
      </c>
      <c r="G996" s="29">
        <f>Item_Enchant_Old!G1000</f>
        <v>5</v>
      </c>
      <c r="H996" s="29" t="str">
        <f>Item_Enchant_Old!H1000</f>
        <v>@</v>
      </c>
      <c r="I996" s="29">
        <f>Item_Enchant_Old!I1000</f>
        <v>1</v>
      </c>
      <c r="J996" s="29" t="str">
        <f>Item_Enchant_Old!J1000</f>
        <v>절대값만 가능</v>
      </c>
      <c r="K996" s="29">
        <f>Item_Enchant_Old!K1000</f>
        <v>19</v>
      </c>
      <c r="L996" s="29">
        <f>Item_Enchant_Old!L1000</f>
        <v>0</v>
      </c>
      <c r="M996" s="29">
        <f>Item_Enchant_Old!M1000</f>
        <v>8</v>
      </c>
      <c r="N996" s="29">
        <f>Item_Enchant_Old!N1000</f>
        <v>20</v>
      </c>
      <c r="O996" s="29">
        <f>Item_Enchant_Old!O1000</f>
        <v>1</v>
      </c>
      <c r="P996" s="29">
        <f>Item_Enchant_Old!P1000</f>
        <v>1</v>
      </c>
      <c r="Q996" s="29">
        <f>Item_Enchant_Old!Q1000</f>
        <v>1</v>
      </c>
      <c r="R996" s="29">
        <f>Item_Enchant_Old!R1000</f>
        <v>1</v>
      </c>
    </row>
    <row r="997" spans="1:18" s="29" customFormat="1" hidden="1">
      <c r="A997" s="29">
        <f>Item_Enchant_Old!A1001</f>
        <v>996</v>
      </c>
      <c r="B997" s="29" t="str">
        <f>Item_Enchant_Old!B1001</f>
        <v>ACTIVE_FUNNY_DEFENCE_UP</v>
      </c>
      <c r="C997" s="29">
        <f>Item_Enchant_Old!C1001</f>
        <v>625</v>
      </c>
      <c r="D997" s="29">
        <f>Item_Enchant_Old!D1001</f>
        <v>0</v>
      </c>
      <c r="E997" s="29">
        <f>Item_Enchant_Old!E1001</f>
        <v>0</v>
      </c>
      <c r="F997" s="29">
        <f>Item_Enchant_Old!F1001</f>
        <v>0</v>
      </c>
      <c r="G997" s="29">
        <f>Item_Enchant_Old!G1001</f>
        <v>5</v>
      </c>
      <c r="H997" s="29" t="str">
        <f>Item_Enchant_Old!H1001</f>
        <v>@</v>
      </c>
      <c r="I997" s="29">
        <f>Item_Enchant_Old!I1001</f>
        <v>1</v>
      </c>
      <c r="J997" s="29" t="str">
        <f>Item_Enchant_Old!J1001</f>
        <v>절대값만 가능</v>
      </c>
      <c r="K997" s="29">
        <f>Item_Enchant_Old!K1001</f>
        <v>19</v>
      </c>
      <c r="L997" s="29">
        <f>Item_Enchant_Old!L1001</f>
        <v>0</v>
      </c>
      <c r="M997" s="29">
        <f>Item_Enchant_Old!M1001</f>
        <v>8</v>
      </c>
      <c r="N997" s="29">
        <f>Item_Enchant_Old!N1001</f>
        <v>20</v>
      </c>
      <c r="O997" s="29">
        <f>Item_Enchant_Old!O1001</f>
        <v>1</v>
      </c>
      <c r="P997" s="29">
        <f>Item_Enchant_Old!P1001</f>
        <v>1</v>
      </c>
      <c r="Q997" s="29">
        <f>Item_Enchant_Old!Q1001</f>
        <v>1</v>
      </c>
      <c r="R997" s="29">
        <f>Item_Enchant_Old!R1001</f>
        <v>1</v>
      </c>
    </row>
    <row r="998" spans="1:18" s="29" customFormat="1" hidden="1">
      <c r="A998" s="29">
        <f>Item_Enchant_Old!A1002</f>
        <v>997</v>
      </c>
      <c r="B998" s="29" t="str">
        <f>Item_Enchant_Old!B1002</f>
        <v>ACTIVE_PHYSICAL_DEFENCE_UP</v>
      </c>
      <c r="C998" s="29">
        <f>Item_Enchant_Old!C1002</f>
        <v>608</v>
      </c>
      <c r="D998" s="29">
        <f>Item_Enchant_Old!D1002</f>
        <v>0</v>
      </c>
      <c r="E998" s="29">
        <f>Item_Enchant_Old!E1002</f>
        <v>0</v>
      </c>
      <c r="F998" s="29">
        <f>Item_Enchant_Old!F1002</f>
        <v>0</v>
      </c>
      <c r="G998" s="29">
        <f>Item_Enchant_Old!G1002</f>
        <v>1</v>
      </c>
      <c r="H998" s="29" t="str">
        <f>Item_Enchant_Old!H1002</f>
        <v>@</v>
      </c>
      <c r="I998" s="29">
        <f>Item_Enchant_Old!I1002</f>
        <v>1</v>
      </c>
      <c r="J998" s="29" t="str">
        <f>Item_Enchant_Old!J1002</f>
        <v>절대값/상대값(%) 가능</v>
      </c>
      <c r="K998" s="29">
        <f>Item_Enchant_Old!K1002</f>
        <v>20</v>
      </c>
      <c r="L998" s="29">
        <f>Item_Enchant_Old!L1002</f>
        <v>0</v>
      </c>
      <c r="M998" s="29">
        <f>Item_Enchant_Old!M1002</f>
        <v>1</v>
      </c>
      <c r="N998" s="29">
        <f>Item_Enchant_Old!N1002</f>
        <v>1350</v>
      </c>
      <c r="O998" s="29">
        <f>Item_Enchant_Old!O1002</f>
        <v>1</v>
      </c>
      <c r="P998" s="29">
        <f>Item_Enchant_Old!P1002</f>
        <v>1</v>
      </c>
      <c r="Q998" s="29">
        <f>Item_Enchant_Old!Q1002</f>
        <v>1</v>
      </c>
      <c r="R998" s="29">
        <f>Item_Enchant_Old!R1002</f>
        <v>1</v>
      </c>
    </row>
    <row r="999" spans="1:18" s="29" customFormat="1" hidden="1">
      <c r="A999" s="29">
        <f>Item_Enchant_Old!A1003</f>
        <v>998</v>
      </c>
      <c r="B999" s="29" t="str">
        <f>Item_Enchant_Old!B1003</f>
        <v>ACTIVE_BLOCK_RATE_UP</v>
      </c>
      <c r="C999" s="29">
        <f>Item_Enchant_Old!C1003</f>
        <v>620</v>
      </c>
      <c r="D999" s="29">
        <f>Item_Enchant_Old!D1003</f>
        <v>0</v>
      </c>
      <c r="E999" s="29">
        <f>Item_Enchant_Old!E1003</f>
        <v>0</v>
      </c>
      <c r="F999" s="29">
        <f>Item_Enchant_Old!F1003</f>
        <v>0</v>
      </c>
      <c r="G999" s="29">
        <f>Item_Enchant_Old!G1003</f>
        <v>1</v>
      </c>
      <c r="H999" s="29" t="str">
        <f>Item_Enchant_Old!H1003</f>
        <v>@</v>
      </c>
      <c r="I999" s="29">
        <f>Item_Enchant_Old!I1003</f>
        <v>1</v>
      </c>
      <c r="J999" s="29" t="str">
        <f>Item_Enchant_Old!J1003</f>
        <v>절대값/상대값(%) 가능</v>
      </c>
      <c r="K999" s="29">
        <f>Item_Enchant_Old!K1003</f>
        <v>20</v>
      </c>
      <c r="L999" s="29">
        <f>Item_Enchant_Old!L1003</f>
        <v>0</v>
      </c>
      <c r="M999" s="29">
        <f>Item_Enchant_Old!M1003</f>
        <v>1</v>
      </c>
      <c r="N999" s="29">
        <f>Item_Enchant_Old!N1003</f>
        <v>352</v>
      </c>
      <c r="O999" s="29">
        <f>Item_Enchant_Old!O1003</f>
        <v>1</v>
      </c>
      <c r="P999" s="29">
        <f>Item_Enchant_Old!P1003</f>
        <v>1</v>
      </c>
      <c r="Q999" s="29">
        <f>Item_Enchant_Old!Q1003</f>
        <v>1</v>
      </c>
      <c r="R999" s="29">
        <f>Item_Enchant_Old!R1003</f>
        <v>1</v>
      </c>
    </row>
    <row r="1000" spans="1:18" s="29" customFormat="1" hidden="1">
      <c r="A1000" s="29">
        <f>Item_Enchant_Old!A1004</f>
        <v>999</v>
      </c>
      <c r="B1000" s="29" t="str">
        <f>Item_Enchant_Old!B1004</f>
        <v>ACTIVE_CON_UP</v>
      </c>
      <c r="C1000" s="29">
        <f>Item_Enchant_Old!C1004</f>
        <v>611</v>
      </c>
      <c r="D1000" s="29">
        <f>Item_Enchant_Old!D1004</f>
        <v>0</v>
      </c>
      <c r="E1000" s="29">
        <f>Item_Enchant_Old!E1004</f>
        <v>0</v>
      </c>
      <c r="F1000" s="29">
        <f>Item_Enchant_Old!F1004</f>
        <v>0</v>
      </c>
      <c r="G1000" s="29">
        <f>Item_Enchant_Old!G1004</f>
        <v>3</v>
      </c>
      <c r="H1000" s="29" t="str">
        <f>Item_Enchant_Old!H1004</f>
        <v>@</v>
      </c>
      <c r="I1000" s="29">
        <f>Item_Enchant_Old!I1004</f>
        <v>1</v>
      </c>
      <c r="J1000" s="29" t="str">
        <f>Item_Enchant_Old!J1004</f>
        <v>절대값/상대값(%) 가능</v>
      </c>
      <c r="K1000" s="29">
        <f>Item_Enchant_Old!K1004</f>
        <v>20</v>
      </c>
      <c r="L1000" s="29">
        <f>Item_Enchant_Old!L1004</f>
        <v>0</v>
      </c>
      <c r="M1000" s="29">
        <f>Item_Enchant_Old!M1004</f>
        <v>1</v>
      </c>
      <c r="N1000" s="29">
        <f>Item_Enchant_Old!N1004</f>
        <v>48</v>
      </c>
      <c r="O1000" s="29">
        <f>Item_Enchant_Old!O1004</f>
        <v>1</v>
      </c>
      <c r="P1000" s="29">
        <f>Item_Enchant_Old!P1004</f>
        <v>1</v>
      </c>
      <c r="Q1000" s="29">
        <f>Item_Enchant_Old!Q1004</f>
        <v>1</v>
      </c>
      <c r="R1000" s="29">
        <f>Item_Enchant_Old!R1004</f>
        <v>1</v>
      </c>
    </row>
    <row r="1001" spans="1:18" s="29" customFormat="1" hidden="1">
      <c r="A1001" s="29">
        <f>Item_Enchant_Old!A1005</f>
        <v>1000</v>
      </c>
      <c r="B1001" s="29" t="str">
        <f>Item_Enchant_Old!B1005</f>
        <v>ACTIVE_BLEED_DEFENCE</v>
      </c>
      <c r="C1001" s="29">
        <f>Item_Enchant_Old!C1005</f>
        <v>681</v>
      </c>
      <c r="D1001" s="29">
        <f>Item_Enchant_Old!D1005</f>
        <v>0</v>
      </c>
      <c r="E1001" s="29">
        <f>Item_Enchant_Old!E1005</f>
        <v>0</v>
      </c>
      <c r="F1001" s="29">
        <f>Item_Enchant_Old!F1005</f>
        <v>0</v>
      </c>
      <c r="G1001" s="29">
        <f>Item_Enchant_Old!G1005</f>
        <v>1</v>
      </c>
      <c r="H1001" s="29" t="str">
        <f>Item_Enchant_Old!H1005</f>
        <v>@</v>
      </c>
      <c r="I1001" s="29">
        <f>Item_Enchant_Old!I1005</f>
        <v>1</v>
      </c>
      <c r="J1001" s="29" t="str">
        <f>Item_Enchant_Old!J1005</f>
        <v>절대값/상대값(%) 가능</v>
      </c>
      <c r="K1001" s="29">
        <f>Item_Enchant_Old!K1005</f>
        <v>20</v>
      </c>
      <c r="L1001" s="29">
        <f>Item_Enchant_Old!L1005</f>
        <v>0</v>
      </c>
      <c r="M1001" s="29">
        <f>Item_Enchant_Old!M1005</f>
        <v>1</v>
      </c>
      <c r="N1001" s="29">
        <f>Item_Enchant_Old!N1005</f>
        <v>1350</v>
      </c>
      <c r="O1001" s="29">
        <f>Item_Enchant_Old!O1005</f>
        <v>1</v>
      </c>
      <c r="P1001" s="29">
        <f>Item_Enchant_Old!P1005</f>
        <v>1</v>
      </c>
      <c r="Q1001" s="29">
        <f>Item_Enchant_Old!Q1005</f>
        <v>1</v>
      </c>
      <c r="R1001" s="29">
        <f>Item_Enchant_Old!R1005</f>
        <v>1</v>
      </c>
    </row>
    <row r="1002" spans="1:18" s="29" customFormat="1" hidden="1">
      <c r="A1002" s="29">
        <f>Item_Enchant_Old!A1006</f>
        <v>1001</v>
      </c>
      <c r="B1002" s="29" t="str">
        <f>Item_Enchant_Old!B1006</f>
        <v>ACTIVE_BURN_DEFENCE</v>
      </c>
      <c r="C1002" s="29">
        <f>Item_Enchant_Old!C1006</f>
        <v>682</v>
      </c>
      <c r="D1002" s="29">
        <f>Item_Enchant_Old!D1006</f>
        <v>0</v>
      </c>
      <c r="E1002" s="29">
        <f>Item_Enchant_Old!E1006</f>
        <v>0</v>
      </c>
      <c r="F1002" s="29">
        <f>Item_Enchant_Old!F1006</f>
        <v>0</v>
      </c>
      <c r="G1002" s="29">
        <f>Item_Enchant_Old!G1006</f>
        <v>1</v>
      </c>
      <c r="H1002" s="29" t="str">
        <f>Item_Enchant_Old!H1006</f>
        <v>@</v>
      </c>
      <c r="I1002" s="29">
        <f>Item_Enchant_Old!I1006</f>
        <v>1</v>
      </c>
      <c r="J1002" s="29" t="str">
        <f>Item_Enchant_Old!J1006</f>
        <v>절대값/상대값(%) 가능</v>
      </c>
      <c r="K1002" s="29">
        <f>Item_Enchant_Old!K1006</f>
        <v>20</v>
      </c>
      <c r="L1002" s="29">
        <f>Item_Enchant_Old!L1006</f>
        <v>0</v>
      </c>
      <c r="M1002" s="29">
        <f>Item_Enchant_Old!M1006</f>
        <v>1</v>
      </c>
      <c r="N1002" s="29">
        <f>Item_Enchant_Old!N1006</f>
        <v>1350</v>
      </c>
      <c r="O1002" s="29">
        <f>Item_Enchant_Old!O1006</f>
        <v>1</v>
      </c>
      <c r="P1002" s="29">
        <f>Item_Enchant_Old!P1006</f>
        <v>1</v>
      </c>
      <c r="Q1002" s="29">
        <f>Item_Enchant_Old!Q1006</f>
        <v>1</v>
      </c>
      <c r="R1002" s="29">
        <f>Item_Enchant_Old!R1006</f>
        <v>1</v>
      </c>
    </row>
    <row r="1003" spans="1:18" s="29" customFormat="1" hidden="1">
      <c r="A1003" s="29">
        <f>Item_Enchant_Old!A1007</f>
        <v>1002</v>
      </c>
      <c r="B1003" s="29" t="str">
        <f>Item_Enchant_Old!B1007</f>
        <v>ACTIVE_ENERGY_DEFENCE_UP</v>
      </c>
      <c r="C1003" s="29">
        <f>Item_Enchant_Old!C1007</f>
        <v>609</v>
      </c>
      <c r="D1003" s="29">
        <f>Item_Enchant_Old!D1007</f>
        <v>0</v>
      </c>
      <c r="E1003" s="29">
        <f>Item_Enchant_Old!E1007</f>
        <v>0</v>
      </c>
      <c r="F1003" s="29">
        <f>Item_Enchant_Old!F1007</f>
        <v>0</v>
      </c>
      <c r="G1003" s="29">
        <f>Item_Enchant_Old!G1007</f>
        <v>1</v>
      </c>
      <c r="H1003" s="29" t="str">
        <f>Item_Enchant_Old!H1007</f>
        <v>@</v>
      </c>
      <c r="I1003" s="29">
        <f>Item_Enchant_Old!I1007</f>
        <v>1</v>
      </c>
      <c r="J1003" s="29" t="str">
        <f>Item_Enchant_Old!J1007</f>
        <v>절대값/상대값(%) 가능</v>
      </c>
      <c r="K1003" s="29">
        <f>Item_Enchant_Old!K1007</f>
        <v>20</v>
      </c>
      <c r="L1003" s="29">
        <f>Item_Enchant_Old!L1007</f>
        <v>0</v>
      </c>
      <c r="M1003" s="29">
        <f>Item_Enchant_Old!M1007</f>
        <v>2</v>
      </c>
      <c r="N1003" s="29">
        <f>Item_Enchant_Old!N1007</f>
        <v>1350</v>
      </c>
      <c r="O1003" s="29">
        <f>Item_Enchant_Old!O1007</f>
        <v>1</v>
      </c>
      <c r="P1003" s="29">
        <f>Item_Enchant_Old!P1007</f>
        <v>1</v>
      </c>
      <c r="Q1003" s="29">
        <f>Item_Enchant_Old!Q1007</f>
        <v>1</v>
      </c>
      <c r="R1003" s="29">
        <f>Item_Enchant_Old!R1007</f>
        <v>1</v>
      </c>
    </row>
    <row r="1004" spans="1:18" s="29" customFormat="1" hidden="1">
      <c r="A1004" s="29">
        <f>Item_Enchant_Old!A1008</f>
        <v>1003</v>
      </c>
      <c r="B1004" s="29" t="str">
        <f>Item_Enchant_Old!B1008</f>
        <v>ACTIVE_BLOCK_RATE_UP</v>
      </c>
      <c r="C1004" s="29">
        <f>Item_Enchant_Old!C1008</f>
        <v>620</v>
      </c>
      <c r="D1004" s="29">
        <f>Item_Enchant_Old!D1008</f>
        <v>0</v>
      </c>
      <c r="E1004" s="29">
        <f>Item_Enchant_Old!E1008</f>
        <v>0</v>
      </c>
      <c r="F1004" s="29">
        <f>Item_Enchant_Old!F1008</f>
        <v>0</v>
      </c>
      <c r="G1004" s="29">
        <f>Item_Enchant_Old!G1008</f>
        <v>1</v>
      </c>
      <c r="H1004" s="29" t="str">
        <f>Item_Enchant_Old!H1008</f>
        <v>@</v>
      </c>
      <c r="I1004" s="29">
        <f>Item_Enchant_Old!I1008</f>
        <v>1</v>
      </c>
      <c r="J1004" s="29" t="str">
        <f>Item_Enchant_Old!J1008</f>
        <v>절대값/상대값(%) 가능</v>
      </c>
      <c r="K1004" s="29">
        <f>Item_Enchant_Old!K1008</f>
        <v>20</v>
      </c>
      <c r="L1004" s="29">
        <f>Item_Enchant_Old!L1008</f>
        <v>0</v>
      </c>
      <c r="M1004" s="29">
        <f>Item_Enchant_Old!M1008</f>
        <v>2</v>
      </c>
      <c r="N1004" s="29">
        <f>Item_Enchant_Old!N1008</f>
        <v>352</v>
      </c>
      <c r="O1004" s="29">
        <f>Item_Enchant_Old!O1008</f>
        <v>1</v>
      </c>
      <c r="P1004" s="29">
        <f>Item_Enchant_Old!P1008</f>
        <v>1</v>
      </c>
      <c r="Q1004" s="29">
        <f>Item_Enchant_Old!Q1008</f>
        <v>1</v>
      </c>
      <c r="R1004" s="29">
        <f>Item_Enchant_Old!R1008</f>
        <v>1</v>
      </c>
    </row>
    <row r="1005" spans="1:18" s="29" customFormat="1" hidden="1">
      <c r="A1005" s="29">
        <f>Item_Enchant_Old!A1009</f>
        <v>1004</v>
      </c>
      <c r="B1005" s="29" t="str">
        <f>Item_Enchant_Old!B1009</f>
        <v>ACTIVE_ENG_UP</v>
      </c>
      <c r="C1005" s="29">
        <f>Item_Enchant_Old!C1009</f>
        <v>615</v>
      </c>
      <c r="D1005" s="29">
        <f>Item_Enchant_Old!D1009</f>
        <v>0</v>
      </c>
      <c r="E1005" s="29">
        <f>Item_Enchant_Old!E1009</f>
        <v>0</v>
      </c>
      <c r="F1005" s="29">
        <f>Item_Enchant_Old!F1009</f>
        <v>0</v>
      </c>
      <c r="G1005" s="29">
        <f>Item_Enchant_Old!G1009</f>
        <v>2</v>
      </c>
      <c r="H1005" s="29" t="str">
        <f>Item_Enchant_Old!H1009</f>
        <v>@</v>
      </c>
      <c r="I1005" s="29">
        <f>Item_Enchant_Old!I1009</f>
        <v>1</v>
      </c>
      <c r="J1005" s="29" t="str">
        <f>Item_Enchant_Old!J1009</f>
        <v>절대값/상대값(%) 가능</v>
      </c>
      <c r="K1005" s="29">
        <f>Item_Enchant_Old!K1009</f>
        <v>20</v>
      </c>
      <c r="L1005" s="29">
        <f>Item_Enchant_Old!L1009</f>
        <v>0</v>
      </c>
      <c r="M1005" s="29">
        <f>Item_Enchant_Old!M1009</f>
        <v>2</v>
      </c>
      <c r="N1005" s="29">
        <f>Item_Enchant_Old!N1009</f>
        <v>62</v>
      </c>
      <c r="O1005" s="29">
        <f>Item_Enchant_Old!O1009</f>
        <v>1</v>
      </c>
      <c r="P1005" s="29">
        <f>Item_Enchant_Old!P1009</f>
        <v>1</v>
      </c>
      <c r="Q1005" s="29">
        <f>Item_Enchant_Old!Q1009</f>
        <v>1</v>
      </c>
      <c r="R1005" s="29">
        <f>Item_Enchant_Old!R1009</f>
        <v>1</v>
      </c>
    </row>
    <row r="1006" spans="1:18" s="29" customFormat="1" hidden="1">
      <c r="A1006" s="29">
        <f>Item_Enchant_Old!A1010</f>
        <v>1005</v>
      </c>
      <c r="B1006" s="29" t="str">
        <f>Item_Enchant_Old!B1010</f>
        <v>ACTIVE_STOMACHACHE_DEFENCE</v>
      </c>
      <c r="C1006" s="29">
        <f>Item_Enchant_Old!C1010</f>
        <v>679</v>
      </c>
      <c r="D1006" s="29">
        <f>Item_Enchant_Old!D1010</f>
        <v>0</v>
      </c>
      <c r="E1006" s="29">
        <f>Item_Enchant_Old!E1010</f>
        <v>0</v>
      </c>
      <c r="F1006" s="29">
        <f>Item_Enchant_Old!F1010</f>
        <v>0</v>
      </c>
      <c r="G1006" s="29">
        <f>Item_Enchant_Old!G1010</f>
        <v>1</v>
      </c>
      <c r="H1006" s="29" t="str">
        <f>Item_Enchant_Old!H1010</f>
        <v>@</v>
      </c>
      <c r="I1006" s="29">
        <f>Item_Enchant_Old!I1010</f>
        <v>1</v>
      </c>
      <c r="J1006" s="29" t="str">
        <f>Item_Enchant_Old!J1010</f>
        <v>절대값/상대값(%) 가능</v>
      </c>
      <c r="K1006" s="29">
        <f>Item_Enchant_Old!K1010</f>
        <v>20</v>
      </c>
      <c r="L1006" s="29">
        <f>Item_Enchant_Old!L1010</f>
        <v>0</v>
      </c>
      <c r="M1006" s="29">
        <f>Item_Enchant_Old!M1010</f>
        <v>2</v>
      </c>
      <c r="N1006" s="29">
        <f>Item_Enchant_Old!N1010</f>
        <v>1350</v>
      </c>
      <c r="O1006" s="29">
        <f>Item_Enchant_Old!O1010</f>
        <v>1</v>
      </c>
      <c r="P1006" s="29">
        <f>Item_Enchant_Old!P1010</f>
        <v>1</v>
      </c>
      <c r="Q1006" s="29">
        <f>Item_Enchant_Old!Q1010</f>
        <v>1</v>
      </c>
      <c r="R1006" s="29">
        <f>Item_Enchant_Old!R1010</f>
        <v>1</v>
      </c>
    </row>
    <row r="1007" spans="1:18" s="29" customFormat="1" hidden="1">
      <c r="A1007" s="29">
        <f>Item_Enchant_Old!A1011</f>
        <v>1006</v>
      </c>
      <c r="B1007" s="29" t="str">
        <f>Item_Enchant_Old!B1011</f>
        <v>ACTIVE_POISON_DEFENCE</v>
      </c>
      <c r="C1007" s="29">
        <f>Item_Enchant_Old!C1011</f>
        <v>680</v>
      </c>
      <c r="D1007" s="29">
        <f>Item_Enchant_Old!D1011</f>
        <v>0</v>
      </c>
      <c r="E1007" s="29">
        <f>Item_Enchant_Old!E1011</f>
        <v>0</v>
      </c>
      <c r="F1007" s="29">
        <f>Item_Enchant_Old!F1011</f>
        <v>0</v>
      </c>
      <c r="G1007" s="29">
        <f>Item_Enchant_Old!G1011</f>
        <v>1</v>
      </c>
      <c r="H1007" s="29" t="str">
        <f>Item_Enchant_Old!H1011</f>
        <v>@</v>
      </c>
      <c r="I1007" s="29">
        <f>Item_Enchant_Old!I1011</f>
        <v>1</v>
      </c>
      <c r="J1007" s="29" t="str">
        <f>Item_Enchant_Old!J1011</f>
        <v>절대값/상대값(%) 가능</v>
      </c>
      <c r="K1007" s="29">
        <f>Item_Enchant_Old!K1011</f>
        <v>20</v>
      </c>
      <c r="L1007" s="29">
        <f>Item_Enchant_Old!L1011</f>
        <v>0</v>
      </c>
      <c r="M1007" s="29">
        <f>Item_Enchant_Old!M1011</f>
        <v>2</v>
      </c>
      <c r="N1007" s="29">
        <f>Item_Enchant_Old!N1011</f>
        <v>1350</v>
      </c>
      <c r="O1007" s="29">
        <f>Item_Enchant_Old!O1011</f>
        <v>1</v>
      </c>
      <c r="P1007" s="29">
        <f>Item_Enchant_Old!P1011</f>
        <v>1</v>
      </c>
      <c r="Q1007" s="29">
        <f>Item_Enchant_Old!Q1011</f>
        <v>1</v>
      </c>
      <c r="R1007" s="29">
        <f>Item_Enchant_Old!R1011</f>
        <v>1</v>
      </c>
    </row>
    <row r="1008" spans="1:18" s="29" customFormat="1" hidden="1">
      <c r="A1008" s="29">
        <f>Item_Enchant_Old!A1012</f>
        <v>1007</v>
      </c>
      <c r="B1008" s="29" t="str">
        <f>Item_Enchant_Old!B1012</f>
        <v>ACTIVE_DODGE_RATE_UP</v>
      </c>
      <c r="C1008" s="29">
        <f>Item_Enchant_Old!C1012</f>
        <v>619</v>
      </c>
      <c r="D1008" s="29">
        <f>Item_Enchant_Old!D1012</f>
        <v>0</v>
      </c>
      <c r="E1008" s="29">
        <f>Item_Enchant_Old!E1012</f>
        <v>0</v>
      </c>
      <c r="F1008" s="29">
        <f>Item_Enchant_Old!F1012</f>
        <v>0</v>
      </c>
      <c r="G1008" s="29">
        <f>Item_Enchant_Old!G1012</f>
        <v>1</v>
      </c>
      <c r="H1008" s="29" t="str">
        <f>Item_Enchant_Old!H1012</f>
        <v>@</v>
      </c>
      <c r="I1008" s="29">
        <f>Item_Enchant_Old!I1012</f>
        <v>1</v>
      </c>
      <c r="J1008" s="29" t="str">
        <f>Item_Enchant_Old!J1012</f>
        <v>절대값/상대값(%) 가능</v>
      </c>
      <c r="K1008" s="29">
        <f>Item_Enchant_Old!K1012</f>
        <v>20</v>
      </c>
      <c r="L1008" s="29">
        <f>Item_Enchant_Old!L1012</f>
        <v>0</v>
      </c>
      <c r="M1008" s="29">
        <f>Item_Enchant_Old!M1012</f>
        <v>3</v>
      </c>
      <c r="N1008" s="29">
        <f>Item_Enchant_Old!N1012</f>
        <v>275</v>
      </c>
      <c r="O1008" s="29">
        <f>Item_Enchant_Old!O1012</f>
        <v>1</v>
      </c>
      <c r="P1008" s="29">
        <f>Item_Enchant_Old!P1012</f>
        <v>1</v>
      </c>
      <c r="Q1008" s="29">
        <f>Item_Enchant_Old!Q1012</f>
        <v>1</v>
      </c>
      <c r="R1008" s="29">
        <f>Item_Enchant_Old!R1012</f>
        <v>1</v>
      </c>
    </row>
    <row r="1009" spans="1:18" s="29" customFormat="1" hidden="1">
      <c r="A1009" s="29">
        <f>Item_Enchant_Old!A1013</f>
        <v>1008</v>
      </c>
      <c r="B1009" s="29" t="str">
        <f>Item_Enchant_Old!B1013</f>
        <v>ACTIVE_DEX_UP</v>
      </c>
      <c r="C1009" s="29">
        <f>Item_Enchant_Old!C1013</f>
        <v>613</v>
      </c>
      <c r="D1009" s="29">
        <f>Item_Enchant_Old!D1013</f>
        <v>0</v>
      </c>
      <c r="E1009" s="29">
        <f>Item_Enchant_Old!E1013</f>
        <v>0</v>
      </c>
      <c r="F1009" s="29">
        <f>Item_Enchant_Old!F1013</f>
        <v>0</v>
      </c>
      <c r="G1009" s="29">
        <f>Item_Enchant_Old!G1013</f>
        <v>3</v>
      </c>
      <c r="H1009" s="29" t="str">
        <f>Item_Enchant_Old!H1013</f>
        <v>@</v>
      </c>
      <c r="I1009" s="29">
        <f>Item_Enchant_Old!I1013</f>
        <v>1</v>
      </c>
      <c r="J1009" s="29" t="str">
        <f>Item_Enchant_Old!J1013</f>
        <v>절대값/상대값(%) 가능</v>
      </c>
      <c r="K1009" s="29">
        <f>Item_Enchant_Old!K1013</f>
        <v>20</v>
      </c>
      <c r="L1009" s="29">
        <f>Item_Enchant_Old!L1013</f>
        <v>0</v>
      </c>
      <c r="M1009" s="29">
        <f>Item_Enchant_Old!M1013</f>
        <v>3</v>
      </c>
      <c r="N1009" s="29">
        <f>Item_Enchant_Old!N1013</f>
        <v>44</v>
      </c>
      <c r="O1009" s="29">
        <f>Item_Enchant_Old!O1013</f>
        <v>1</v>
      </c>
      <c r="P1009" s="29">
        <f>Item_Enchant_Old!P1013</f>
        <v>1</v>
      </c>
      <c r="Q1009" s="29">
        <f>Item_Enchant_Old!Q1013</f>
        <v>1</v>
      </c>
      <c r="R1009" s="29">
        <f>Item_Enchant_Old!R1013</f>
        <v>1</v>
      </c>
    </row>
    <row r="1010" spans="1:18" s="29" customFormat="1" hidden="1">
      <c r="A1010" s="29">
        <f>Item_Enchant_Old!A1014</f>
        <v>1009</v>
      </c>
      <c r="B1010" s="29" t="str">
        <f>Item_Enchant_Old!B1014</f>
        <v>ACTIVE_FOC_UP</v>
      </c>
      <c r="C1010" s="29">
        <f>Item_Enchant_Old!C1014</f>
        <v>612</v>
      </c>
      <c r="D1010" s="29">
        <f>Item_Enchant_Old!D1014</f>
        <v>0</v>
      </c>
      <c r="E1010" s="29">
        <f>Item_Enchant_Old!E1014</f>
        <v>0</v>
      </c>
      <c r="F1010" s="29">
        <f>Item_Enchant_Old!F1014</f>
        <v>0</v>
      </c>
      <c r="G1010" s="29">
        <f>Item_Enchant_Old!G1014</f>
        <v>2</v>
      </c>
      <c r="H1010" s="29" t="str">
        <f>Item_Enchant_Old!H1014</f>
        <v>@</v>
      </c>
      <c r="I1010" s="29">
        <f>Item_Enchant_Old!I1014</f>
        <v>1</v>
      </c>
      <c r="J1010" s="29" t="str">
        <f>Item_Enchant_Old!J1014</f>
        <v>절대값/상대값(%) 가능</v>
      </c>
      <c r="K1010" s="29">
        <f>Item_Enchant_Old!K1014</f>
        <v>20</v>
      </c>
      <c r="L1010" s="29">
        <f>Item_Enchant_Old!L1014</f>
        <v>0</v>
      </c>
      <c r="M1010" s="29">
        <f>Item_Enchant_Old!M1014</f>
        <v>3</v>
      </c>
      <c r="N1010" s="29">
        <f>Item_Enchant_Old!N1014</f>
        <v>53</v>
      </c>
      <c r="O1010" s="29">
        <f>Item_Enchant_Old!O1014</f>
        <v>1</v>
      </c>
      <c r="P1010" s="29">
        <f>Item_Enchant_Old!P1014</f>
        <v>1</v>
      </c>
      <c r="Q1010" s="29">
        <f>Item_Enchant_Old!Q1014</f>
        <v>1</v>
      </c>
      <c r="R1010" s="29">
        <f>Item_Enchant_Old!R1014</f>
        <v>1</v>
      </c>
    </row>
    <row r="1011" spans="1:18" s="29" customFormat="1" hidden="1">
      <c r="A1011" s="29">
        <f>Item_Enchant_Old!A1015</f>
        <v>1010</v>
      </c>
      <c r="B1011" s="29" t="str">
        <f>Item_Enchant_Old!B1015</f>
        <v>ACTIVE_BLEEDING_KEEPTIME_DOWN</v>
      </c>
      <c r="C1011" s="29">
        <f>Item_Enchant_Old!C1015</f>
        <v>648</v>
      </c>
      <c r="D1011" s="29">
        <f>Item_Enchant_Old!D1015</f>
        <v>1</v>
      </c>
      <c r="E1011" s="29">
        <f>Item_Enchant_Old!E1015</f>
        <v>0</v>
      </c>
      <c r="F1011" s="29">
        <f>Item_Enchant_Old!F1015</f>
        <v>0</v>
      </c>
      <c r="G1011" s="29">
        <f>Item_Enchant_Old!G1015</f>
        <v>5</v>
      </c>
      <c r="H1011" s="29" t="str">
        <f>Item_Enchant_Old!H1015</f>
        <v>@</v>
      </c>
      <c r="I1011" s="29">
        <f>Item_Enchant_Old!I1015</f>
        <v>1</v>
      </c>
      <c r="J1011" s="29" t="str">
        <f>Item_Enchant_Old!J1015</f>
        <v>상대값(%)값만 가능</v>
      </c>
      <c r="K1011" s="29">
        <f>Item_Enchant_Old!K1015</f>
        <v>20</v>
      </c>
      <c r="L1011" s="29">
        <f>Item_Enchant_Old!L1015</f>
        <v>0</v>
      </c>
      <c r="M1011" s="29">
        <f>Item_Enchant_Old!M1015</f>
        <v>3</v>
      </c>
      <c r="N1011" s="29">
        <f>Item_Enchant_Old!N1015</f>
        <v>20</v>
      </c>
      <c r="O1011" s="29">
        <f>Item_Enchant_Old!O1015</f>
        <v>1</v>
      </c>
      <c r="P1011" s="29">
        <f>Item_Enchant_Old!P1015</f>
        <v>1</v>
      </c>
      <c r="Q1011" s="29">
        <f>Item_Enchant_Old!Q1015</f>
        <v>1</v>
      </c>
      <c r="R1011" s="29">
        <f>Item_Enchant_Old!R1015</f>
        <v>1</v>
      </c>
    </row>
    <row r="1012" spans="1:18" s="29" customFormat="1" hidden="1">
      <c r="A1012" s="29">
        <f>Item_Enchant_Old!A1016</f>
        <v>1011</v>
      </c>
      <c r="B1012" s="29" t="str">
        <f>Item_Enchant_Old!B1016</f>
        <v>ACTIVE_POISON_KEEPTIME_DOWN</v>
      </c>
      <c r="C1012" s="29">
        <f>Item_Enchant_Old!C1016</f>
        <v>649</v>
      </c>
      <c r="D1012" s="29">
        <f>Item_Enchant_Old!D1016</f>
        <v>1</v>
      </c>
      <c r="E1012" s="29">
        <f>Item_Enchant_Old!E1016</f>
        <v>0</v>
      </c>
      <c r="F1012" s="29">
        <f>Item_Enchant_Old!F1016</f>
        <v>0</v>
      </c>
      <c r="G1012" s="29">
        <f>Item_Enchant_Old!G1016</f>
        <v>5</v>
      </c>
      <c r="H1012" s="29" t="str">
        <f>Item_Enchant_Old!H1016</f>
        <v>@</v>
      </c>
      <c r="I1012" s="29">
        <f>Item_Enchant_Old!I1016</f>
        <v>1</v>
      </c>
      <c r="J1012" s="29" t="str">
        <f>Item_Enchant_Old!J1016</f>
        <v>상대값(%)값만 가능</v>
      </c>
      <c r="K1012" s="29">
        <f>Item_Enchant_Old!K1016</f>
        <v>20</v>
      </c>
      <c r="L1012" s="29">
        <f>Item_Enchant_Old!L1016</f>
        <v>0</v>
      </c>
      <c r="M1012" s="29">
        <f>Item_Enchant_Old!M1016</f>
        <v>3</v>
      </c>
      <c r="N1012" s="29">
        <f>Item_Enchant_Old!N1016</f>
        <v>20</v>
      </c>
      <c r="O1012" s="29">
        <f>Item_Enchant_Old!O1016</f>
        <v>1</v>
      </c>
      <c r="P1012" s="29">
        <f>Item_Enchant_Old!P1016</f>
        <v>1</v>
      </c>
      <c r="Q1012" s="29">
        <f>Item_Enchant_Old!Q1016</f>
        <v>1</v>
      </c>
      <c r="R1012" s="29">
        <f>Item_Enchant_Old!R1016</f>
        <v>1</v>
      </c>
    </row>
    <row r="1013" spans="1:18" s="29" customFormat="1" hidden="1">
      <c r="A1013" s="29">
        <f>Item_Enchant_Old!A1017</f>
        <v>1012</v>
      </c>
      <c r="B1013" s="29" t="str">
        <f>Item_Enchant_Old!B1017</f>
        <v>ACTIVE_STOMACHACHE_KEEPTIME_DOWN</v>
      </c>
      <c r="C1013" s="29">
        <f>Item_Enchant_Old!C1017</f>
        <v>650</v>
      </c>
      <c r="D1013" s="29">
        <f>Item_Enchant_Old!D1017</f>
        <v>1</v>
      </c>
      <c r="E1013" s="29">
        <f>Item_Enchant_Old!E1017</f>
        <v>0</v>
      </c>
      <c r="F1013" s="29">
        <f>Item_Enchant_Old!F1017</f>
        <v>0</v>
      </c>
      <c r="G1013" s="29">
        <f>Item_Enchant_Old!G1017</f>
        <v>5</v>
      </c>
      <c r="H1013" s="29" t="str">
        <f>Item_Enchant_Old!H1017</f>
        <v>@</v>
      </c>
      <c r="I1013" s="29">
        <f>Item_Enchant_Old!I1017</f>
        <v>1</v>
      </c>
      <c r="J1013" s="29" t="str">
        <f>Item_Enchant_Old!J1017</f>
        <v>상대값(%)값만 가능</v>
      </c>
      <c r="K1013" s="29">
        <f>Item_Enchant_Old!K1017</f>
        <v>20</v>
      </c>
      <c r="L1013" s="29">
        <f>Item_Enchant_Old!L1017</f>
        <v>0</v>
      </c>
      <c r="M1013" s="29">
        <f>Item_Enchant_Old!M1017</f>
        <v>3</v>
      </c>
      <c r="N1013" s="29">
        <f>Item_Enchant_Old!N1017</f>
        <v>20</v>
      </c>
      <c r="O1013" s="29">
        <f>Item_Enchant_Old!O1017</f>
        <v>1</v>
      </c>
      <c r="P1013" s="29">
        <f>Item_Enchant_Old!P1017</f>
        <v>1</v>
      </c>
      <c r="Q1013" s="29">
        <f>Item_Enchant_Old!Q1017</f>
        <v>1</v>
      </c>
      <c r="R1013" s="29">
        <f>Item_Enchant_Old!R1017</f>
        <v>1</v>
      </c>
    </row>
    <row r="1014" spans="1:18" s="29" customFormat="1" hidden="1">
      <c r="A1014" s="29">
        <f>Item_Enchant_Old!A1018</f>
        <v>1013</v>
      </c>
      <c r="B1014" s="29" t="str">
        <f>Item_Enchant_Old!B1018</f>
        <v>ACTIVE_CURSE_TOLERANCE</v>
      </c>
      <c r="C1014" s="29">
        <f>Item_Enchant_Old!C1018</f>
        <v>631</v>
      </c>
      <c r="D1014" s="29">
        <f>Item_Enchant_Old!D1018</f>
        <v>0</v>
      </c>
      <c r="E1014" s="29">
        <f>Item_Enchant_Old!E1018</f>
        <v>0</v>
      </c>
      <c r="F1014" s="29">
        <f>Item_Enchant_Old!F1018</f>
        <v>0</v>
      </c>
      <c r="G1014" s="29">
        <f>Item_Enchant_Old!G1018</f>
        <v>1</v>
      </c>
      <c r="H1014" s="29" t="str">
        <f>Item_Enchant_Old!H1018</f>
        <v>@</v>
      </c>
      <c r="I1014" s="29">
        <f>Item_Enchant_Old!I1018</f>
        <v>1</v>
      </c>
      <c r="J1014" s="29" t="str">
        <f>Item_Enchant_Old!J1018</f>
        <v>절대값/상대값(%) 가능</v>
      </c>
      <c r="K1014" s="29">
        <f>Item_Enchant_Old!K1018</f>
        <v>20</v>
      </c>
      <c r="L1014" s="29">
        <f>Item_Enchant_Old!L1018</f>
        <v>0</v>
      </c>
      <c r="M1014" s="29">
        <f>Item_Enchant_Old!M1018</f>
        <v>4</v>
      </c>
      <c r="N1014" s="29">
        <f>Item_Enchant_Old!N1018</f>
        <v>220</v>
      </c>
      <c r="O1014" s="29">
        <f>Item_Enchant_Old!O1018</f>
        <v>1</v>
      </c>
      <c r="P1014" s="29">
        <f>Item_Enchant_Old!P1018</f>
        <v>1</v>
      </c>
      <c r="Q1014" s="29">
        <f>Item_Enchant_Old!Q1018</f>
        <v>1</v>
      </c>
      <c r="R1014" s="29">
        <f>Item_Enchant_Old!R1018</f>
        <v>1</v>
      </c>
    </row>
    <row r="1015" spans="1:18" s="29" customFormat="1" hidden="1">
      <c r="A1015" s="29">
        <f>Item_Enchant_Old!A1019</f>
        <v>1014</v>
      </c>
      <c r="B1015" s="29" t="str">
        <f>Item_Enchant_Old!B1019</f>
        <v>ACTIVE_PARALYZE_KEEPTIME_DOWN</v>
      </c>
      <c r="C1015" s="29">
        <f>Item_Enchant_Old!C1019</f>
        <v>643</v>
      </c>
      <c r="D1015" s="29">
        <f>Item_Enchant_Old!D1019</f>
        <v>1</v>
      </c>
      <c r="E1015" s="29">
        <f>Item_Enchant_Old!E1019</f>
        <v>0</v>
      </c>
      <c r="F1015" s="29">
        <f>Item_Enchant_Old!F1019</f>
        <v>0</v>
      </c>
      <c r="G1015" s="29">
        <f>Item_Enchant_Old!G1019</f>
        <v>5</v>
      </c>
      <c r="H1015" s="29" t="str">
        <f>Item_Enchant_Old!H1019</f>
        <v>@</v>
      </c>
      <c r="I1015" s="29">
        <f>Item_Enchant_Old!I1019</f>
        <v>1</v>
      </c>
      <c r="J1015" s="29" t="str">
        <f>Item_Enchant_Old!J1019</f>
        <v>상대값(%)값만 가능</v>
      </c>
      <c r="K1015" s="29">
        <f>Item_Enchant_Old!K1019</f>
        <v>20</v>
      </c>
      <c r="L1015" s="29">
        <f>Item_Enchant_Old!L1019</f>
        <v>0</v>
      </c>
      <c r="M1015" s="29">
        <f>Item_Enchant_Old!M1019</f>
        <v>4</v>
      </c>
      <c r="N1015" s="29">
        <f>Item_Enchant_Old!N1019</f>
        <v>20</v>
      </c>
      <c r="O1015" s="29">
        <f>Item_Enchant_Old!O1019</f>
        <v>1</v>
      </c>
      <c r="P1015" s="29">
        <f>Item_Enchant_Old!P1019</f>
        <v>1</v>
      </c>
      <c r="Q1015" s="29">
        <f>Item_Enchant_Old!Q1019</f>
        <v>1</v>
      </c>
      <c r="R1015" s="29">
        <f>Item_Enchant_Old!R1019</f>
        <v>1</v>
      </c>
    </row>
    <row r="1016" spans="1:18" s="29" customFormat="1" hidden="1">
      <c r="A1016" s="29">
        <f>Item_Enchant_Old!A1020</f>
        <v>1015</v>
      </c>
      <c r="B1016" s="29" t="str">
        <f>Item_Enchant_Old!B1020</f>
        <v>ACTIVE_TERROR_KEEPTIME_DOWN</v>
      </c>
      <c r="C1016" s="29">
        <f>Item_Enchant_Old!C1020</f>
        <v>644</v>
      </c>
      <c r="D1016" s="29">
        <f>Item_Enchant_Old!D1020</f>
        <v>1</v>
      </c>
      <c r="E1016" s="29">
        <f>Item_Enchant_Old!E1020</f>
        <v>0</v>
      </c>
      <c r="F1016" s="29">
        <f>Item_Enchant_Old!F1020</f>
        <v>0</v>
      </c>
      <c r="G1016" s="29">
        <f>Item_Enchant_Old!G1020</f>
        <v>5</v>
      </c>
      <c r="H1016" s="29" t="str">
        <f>Item_Enchant_Old!H1020</f>
        <v>@</v>
      </c>
      <c r="I1016" s="29">
        <f>Item_Enchant_Old!I1020</f>
        <v>1</v>
      </c>
      <c r="J1016" s="29" t="str">
        <f>Item_Enchant_Old!J1020</f>
        <v>상대값(%)값만 가능</v>
      </c>
      <c r="K1016" s="29">
        <f>Item_Enchant_Old!K1020</f>
        <v>20</v>
      </c>
      <c r="L1016" s="29">
        <f>Item_Enchant_Old!L1020</f>
        <v>0</v>
      </c>
      <c r="M1016" s="29">
        <f>Item_Enchant_Old!M1020</f>
        <v>4</v>
      </c>
      <c r="N1016" s="29">
        <f>Item_Enchant_Old!N1020</f>
        <v>20</v>
      </c>
      <c r="O1016" s="29">
        <f>Item_Enchant_Old!O1020</f>
        <v>1</v>
      </c>
      <c r="P1016" s="29">
        <f>Item_Enchant_Old!P1020</f>
        <v>1</v>
      </c>
      <c r="Q1016" s="29">
        <f>Item_Enchant_Old!Q1020</f>
        <v>1</v>
      </c>
      <c r="R1016" s="29">
        <f>Item_Enchant_Old!R1020</f>
        <v>1</v>
      </c>
    </row>
    <row r="1017" spans="1:18" s="29" customFormat="1" hidden="1">
      <c r="A1017" s="29">
        <f>Item_Enchant_Old!A1021</f>
        <v>1016</v>
      </c>
      <c r="B1017" s="29" t="str">
        <f>Item_Enchant_Old!B1021</f>
        <v>ACTIVE_CONFUSE_KEEPTIME_DOWN</v>
      </c>
      <c r="C1017" s="29">
        <f>Item_Enchant_Old!C1021</f>
        <v>645</v>
      </c>
      <c r="D1017" s="29">
        <f>Item_Enchant_Old!D1021</f>
        <v>1</v>
      </c>
      <c r="E1017" s="29">
        <f>Item_Enchant_Old!E1021</f>
        <v>0</v>
      </c>
      <c r="F1017" s="29">
        <f>Item_Enchant_Old!F1021</f>
        <v>0</v>
      </c>
      <c r="G1017" s="29">
        <f>Item_Enchant_Old!G1021</f>
        <v>5</v>
      </c>
      <c r="H1017" s="29" t="str">
        <f>Item_Enchant_Old!H1021</f>
        <v>@</v>
      </c>
      <c r="I1017" s="29">
        <f>Item_Enchant_Old!I1021</f>
        <v>1</v>
      </c>
      <c r="J1017" s="29" t="str">
        <f>Item_Enchant_Old!J1021</f>
        <v>상대값(%)값만 가능</v>
      </c>
      <c r="K1017" s="29">
        <f>Item_Enchant_Old!K1021</f>
        <v>20</v>
      </c>
      <c r="L1017" s="29">
        <f>Item_Enchant_Old!L1021</f>
        <v>0</v>
      </c>
      <c r="M1017" s="29">
        <f>Item_Enchant_Old!M1021</f>
        <v>4</v>
      </c>
      <c r="N1017" s="29">
        <f>Item_Enchant_Old!N1021</f>
        <v>20</v>
      </c>
      <c r="O1017" s="29">
        <f>Item_Enchant_Old!O1021</f>
        <v>1</v>
      </c>
      <c r="P1017" s="29">
        <f>Item_Enchant_Old!P1021</f>
        <v>1</v>
      </c>
      <c r="Q1017" s="29">
        <f>Item_Enchant_Old!Q1021</f>
        <v>1</v>
      </c>
      <c r="R1017" s="29">
        <f>Item_Enchant_Old!R1021</f>
        <v>1</v>
      </c>
    </row>
    <row r="1018" spans="1:18" s="29" customFormat="1" hidden="1">
      <c r="A1018" s="29">
        <f>Item_Enchant_Old!A1022</f>
        <v>1017</v>
      </c>
      <c r="B1018" s="29" t="str">
        <f>Item_Enchant_Old!B1022</f>
        <v>ACTIVE_STONE_KEEPTIME_DOWN</v>
      </c>
      <c r="C1018" s="29">
        <f>Item_Enchant_Old!C1022</f>
        <v>646</v>
      </c>
      <c r="D1018" s="29">
        <f>Item_Enchant_Old!D1022</f>
        <v>1</v>
      </c>
      <c r="E1018" s="29">
        <f>Item_Enchant_Old!E1022</f>
        <v>0</v>
      </c>
      <c r="F1018" s="29">
        <f>Item_Enchant_Old!F1022</f>
        <v>0</v>
      </c>
      <c r="G1018" s="29">
        <f>Item_Enchant_Old!G1022</f>
        <v>5</v>
      </c>
      <c r="H1018" s="29" t="str">
        <f>Item_Enchant_Old!H1022</f>
        <v>@</v>
      </c>
      <c r="I1018" s="29">
        <f>Item_Enchant_Old!I1022</f>
        <v>1</v>
      </c>
      <c r="J1018" s="29" t="str">
        <f>Item_Enchant_Old!J1022</f>
        <v>상대값(%)값만 가능</v>
      </c>
      <c r="K1018" s="29">
        <f>Item_Enchant_Old!K1022</f>
        <v>20</v>
      </c>
      <c r="L1018" s="29">
        <f>Item_Enchant_Old!L1022</f>
        <v>0</v>
      </c>
      <c r="M1018" s="29">
        <f>Item_Enchant_Old!M1022</f>
        <v>4</v>
      </c>
      <c r="N1018" s="29">
        <f>Item_Enchant_Old!N1022</f>
        <v>20</v>
      </c>
      <c r="O1018" s="29">
        <f>Item_Enchant_Old!O1022</f>
        <v>1</v>
      </c>
      <c r="P1018" s="29">
        <f>Item_Enchant_Old!P1022</f>
        <v>1</v>
      </c>
      <c r="Q1018" s="29">
        <f>Item_Enchant_Old!Q1022</f>
        <v>1</v>
      </c>
      <c r="R1018" s="29">
        <f>Item_Enchant_Old!R1022</f>
        <v>1</v>
      </c>
    </row>
    <row r="1019" spans="1:18" s="29" customFormat="1" hidden="1">
      <c r="A1019" s="29">
        <f>Item_Enchant_Old!A1023</f>
        <v>1018</v>
      </c>
      <c r="B1019" s="29" t="str">
        <f>Item_Enchant_Old!B1023</f>
        <v>ACTIVE_CANDY_KEEPTIME_DOWN</v>
      </c>
      <c r="C1019" s="29">
        <f>Item_Enchant_Old!C1023</f>
        <v>647</v>
      </c>
      <c r="D1019" s="29">
        <f>Item_Enchant_Old!D1023</f>
        <v>1</v>
      </c>
      <c r="E1019" s="29">
        <f>Item_Enchant_Old!E1023</f>
        <v>0</v>
      </c>
      <c r="F1019" s="29">
        <f>Item_Enchant_Old!F1023</f>
        <v>0</v>
      </c>
      <c r="G1019" s="29">
        <f>Item_Enchant_Old!G1023</f>
        <v>5</v>
      </c>
      <c r="H1019" s="29" t="str">
        <f>Item_Enchant_Old!H1023</f>
        <v>@</v>
      </c>
      <c r="I1019" s="29">
        <f>Item_Enchant_Old!I1023</f>
        <v>1</v>
      </c>
      <c r="J1019" s="29" t="str">
        <f>Item_Enchant_Old!J1023</f>
        <v>상대값(%)값만 가능</v>
      </c>
      <c r="K1019" s="29">
        <f>Item_Enchant_Old!K1023</f>
        <v>20</v>
      </c>
      <c r="L1019" s="29">
        <f>Item_Enchant_Old!L1023</f>
        <v>0</v>
      </c>
      <c r="M1019" s="29">
        <f>Item_Enchant_Old!M1023</f>
        <v>4</v>
      </c>
      <c r="N1019" s="29">
        <f>Item_Enchant_Old!N1023</f>
        <v>20</v>
      </c>
      <c r="O1019" s="29">
        <f>Item_Enchant_Old!O1023</f>
        <v>1</v>
      </c>
      <c r="P1019" s="29">
        <f>Item_Enchant_Old!P1023</f>
        <v>1</v>
      </c>
      <c r="Q1019" s="29">
        <f>Item_Enchant_Old!Q1023</f>
        <v>1</v>
      </c>
      <c r="R1019" s="29">
        <f>Item_Enchant_Old!R1023</f>
        <v>1</v>
      </c>
    </row>
    <row r="1020" spans="1:18" s="29" customFormat="1" hidden="1">
      <c r="A1020" s="29">
        <f>Item_Enchant_Old!A1024</f>
        <v>1019</v>
      </c>
      <c r="B1020" s="29" t="str">
        <f>Item_Enchant_Old!B1024</f>
        <v>ACTIVE_BLEEDING_KEEPTIME_DOWN</v>
      </c>
      <c r="C1020" s="29">
        <f>Item_Enchant_Old!C1024</f>
        <v>648</v>
      </c>
      <c r="D1020" s="29">
        <f>Item_Enchant_Old!D1024</f>
        <v>1</v>
      </c>
      <c r="E1020" s="29">
        <f>Item_Enchant_Old!E1024</f>
        <v>0</v>
      </c>
      <c r="F1020" s="29">
        <f>Item_Enchant_Old!F1024</f>
        <v>0</v>
      </c>
      <c r="G1020" s="29">
        <f>Item_Enchant_Old!G1024</f>
        <v>5</v>
      </c>
      <c r="H1020" s="29" t="str">
        <f>Item_Enchant_Old!H1024</f>
        <v>@</v>
      </c>
      <c r="I1020" s="29">
        <f>Item_Enchant_Old!I1024</f>
        <v>1</v>
      </c>
      <c r="J1020" s="29" t="str">
        <f>Item_Enchant_Old!J1024</f>
        <v>상대값(%)값만 가능</v>
      </c>
      <c r="K1020" s="29">
        <f>Item_Enchant_Old!K1024</f>
        <v>20</v>
      </c>
      <c r="L1020" s="29">
        <f>Item_Enchant_Old!L1024</f>
        <v>0</v>
      </c>
      <c r="M1020" s="29">
        <f>Item_Enchant_Old!M1024</f>
        <v>4</v>
      </c>
      <c r="N1020" s="29">
        <f>Item_Enchant_Old!N1024</f>
        <v>20</v>
      </c>
      <c r="O1020" s="29">
        <f>Item_Enchant_Old!O1024</f>
        <v>1</v>
      </c>
      <c r="P1020" s="29">
        <f>Item_Enchant_Old!P1024</f>
        <v>1</v>
      </c>
      <c r="Q1020" s="29">
        <f>Item_Enchant_Old!Q1024</f>
        <v>1</v>
      </c>
      <c r="R1020" s="29">
        <f>Item_Enchant_Old!R1024</f>
        <v>1</v>
      </c>
    </row>
    <row r="1021" spans="1:18" s="29" customFormat="1" hidden="1">
      <c r="A1021" s="29">
        <f>Item_Enchant_Old!A1025</f>
        <v>1020</v>
      </c>
      <c r="B1021" s="29" t="str">
        <f>Item_Enchant_Old!B1025</f>
        <v>ACTIVE_POISON_KEEPTIME_DOWN</v>
      </c>
      <c r="C1021" s="29">
        <f>Item_Enchant_Old!C1025</f>
        <v>649</v>
      </c>
      <c r="D1021" s="29">
        <f>Item_Enchant_Old!D1025</f>
        <v>1</v>
      </c>
      <c r="E1021" s="29">
        <f>Item_Enchant_Old!E1025</f>
        <v>0</v>
      </c>
      <c r="F1021" s="29">
        <f>Item_Enchant_Old!F1025</f>
        <v>0</v>
      </c>
      <c r="G1021" s="29">
        <f>Item_Enchant_Old!G1025</f>
        <v>5</v>
      </c>
      <c r="H1021" s="29" t="str">
        <f>Item_Enchant_Old!H1025</f>
        <v>@</v>
      </c>
      <c r="I1021" s="29">
        <f>Item_Enchant_Old!I1025</f>
        <v>1</v>
      </c>
      <c r="J1021" s="29" t="str">
        <f>Item_Enchant_Old!J1025</f>
        <v>상대값(%)값만 가능</v>
      </c>
      <c r="K1021" s="29">
        <f>Item_Enchant_Old!K1025</f>
        <v>20</v>
      </c>
      <c r="L1021" s="29">
        <f>Item_Enchant_Old!L1025</f>
        <v>0</v>
      </c>
      <c r="M1021" s="29">
        <f>Item_Enchant_Old!M1025</f>
        <v>4</v>
      </c>
      <c r="N1021" s="29">
        <f>Item_Enchant_Old!N1025</f>
        <v>20</v>
      </c>
      <c r="O1021" s="29">
        <f>Item_Enchant_Old!O1025</f>
        <v>1</v>
      </c>
      <c r="P1021" s="29">
        <f>Item_Enchant_Old!P1025</f>
        <v>1</v>
      </c>
      <c r="Q1021" s="29">
        <f>Item_Enchant_Old!Q1025</f>
        <v>1</v>
      </c>
      <c r="R1021" s="29">
        <f>Item_Enchant_Old!R1025</f>
        <v>1</v>
      </c>
    </row>
    <row r="1022" spans="1:18" s="29" customFormat="1" hidden="1">
      <c r="A1022" s="29">
        <f>Item_Enchant_Old!A1026</f>
        <v>1021</v>
      </c>
      <c r="B1022" s="29" t="str">
        <f>Item_Enchant_Old!B1026</f>
        <v>ACTIVE_STOMACHACHE_KEEPTIME_DOWN</v>
      </c>
      <c r="C1022" s="29">
        <f>Item_Enchant_Old!C1026</f>
        <v>650</v>
      </c>
      <c r="D1022" s="29">
        <f>Item_Enchant_Old!D1026</f>
        <v>1</v>
      </c>
      <c r="E1022" s="29">
        <f>Item_Enchant_Old!E1026</f>
        <v>0</v>
      </c>
      <c r="F1022" s="29">
        <f>Item_Enchant_Old!F1026</f>
        <v>0</v>
      </c>
      <c r="G1022" s="29">
        <f>Item_Enchant_Old!G1026</f>
        <v>5</v>
      </c>
      <c r="H1022" s="29" t="str">
        <f>Item_Enchant_Old!H1026</f>
        <v>@</v>
      </c>
      <c r="I1022" s="29">
        <f>Item_Enchant_Old!I1026</f>
        <v>1</v>
      </c>
      <c r="J1022" s="29" t="str">
        <f>Item_Enchant_Old!J1026</f>
        <v>상대값(%)값만 가능</v>
      </c>
      <c r="K1022" s="29">
        <f>Item_Enchant_Old!K1026</f>
        <v>20</v>
      </c>
      <c r="L1022" s="29">
        <f>Item_Enchant_Old!L1026</f>
        <v>0</v>
      </c>
      <c r="M1022" s="29">
        <f>Item_Enchant_Old!M1026</f>
        <v>4</v>
      </c>
      <c r="N1022" s="29">
        <f>Item_Enchant_Old!N1026</f>
        <v>20</v>
      </c>
      <c r="O1022" s="29">
        <f>Item_Enchant_Old!O1026</f>
        <v>1</v>
      </c>
      <c r="P1022" s="29">
        <f>Item_Enchant_Old!P1026</f>
        <v>1</v>
      </c>
      <c r="Q1022" s="29">
        <f>Item_Enchant_Old!Q1026</f>
        <v>1</v>
      </c>
      <c r="R1022" s="29">
        <f>Item_Enchant_Old!R1026</f>
        <v>1</v>
      </c>
    </row>
    <row r="1023" spans="1:18" s="29" customFormat="1" hidden="1">
      <c r="A1023" s="29">
        <f>Item_Enchant_Old!A1027</f>
        <v>1022</v>
      </c>
      <c r="B1023" s="29" t="str">
        <f>Item_Enchant_Old!B1027</f>
        <v>ACTIVE_MAX_LP_UP</v>
      </c>
      <c r="C1023" s="29">
        <f>Item_Enchant_Old!C1027</f>
        <v>603</v>
      </c>
      <c r="D1023" s="29">
        <f>Item_Enchant_Old!D1027</f>
        <v>0</v>
      </c>
      <c r="E1023" s="29">
        <f>Item_Enchant_Old!E1027</f>
        <v>0</v>
      </c>
      <c r="F1023" s="29">
        <f>Item_Enchant_Old!F1027</f>
        <v>0</v>
      </c>
      <c r="G1023" s="29">
        <f>Item_Enchant_Old!G1027</f>
        <v>1</v>
      </c>
      <c r="H1023" s="29" t="str">
        <f>Item_Enchant_Old!H1027</f>
        <v>@</v>
      </c>
      <c r="I1023" s="29">
        <f>Item_Enchant_Old!I1027</f>
        <v>1</v>
      </c>
      <c r="J1023" s="29" t="str">
        <f>Item_Enchant_Old!J1027</f>
        <v>절대값/상대값(%) 가능</v>
      </c>
      <c r="K1023" s="29">
        <f>Item_Enchant_Old!K1027</f>
        <v>20</v>
      </c>
      <c r="L1023" s="29">
        <f>Item_Enchant_Old!L1027</f>
        <v>0</v>
      </c>
      <c r="M1023" s="29">
        <f>Item_Enchant_Old!M1027</f>
        <v>5</v>
      </c>
      <c r="N1023" s="29">
        <f>Item_Enchant_Old!N1027</f>
        <v>2762</v>
      </c>
      <c r="O1023" s="29">
        <f>Item_Enchant_Old!O1027</f>
        <v>1</v>
      </c>
      <c r="P1023" s="29">
        <f>Item_Enchant_Old!P1027</f>
        <v>1</v>
      </c>
      <c r="Q1023" s="29">
        <f>Item_Enchant_Old!Q1027</f>
        <v>1</v>
      </c>
      <c r="R1023" s="29">
        <f>Item_Enchant_Old!R1027</f>
        <v>1</v>
      </c>
    </row>
    <row r="1024" spans="1:18" s="29" customFormat="1" hidden="1">
      <c r="A1024" s="29">
        <f>Item_Enchant_Old!A1028</f>
        <v>1023</v>
      </c>
      <c r="B1024" s="29" t="str">
        <f>Item_Enchant_Old!B1028</f>
        <v>ACTIVE_CON_UP</v>
      </c>
      <c r="C1024" s="29">
        <f>Item_Enchant_Old!C1028</f>
        <v>611</v>
      </c>
      <c r="D1024" s="29">
        <f>Item_Enchant_Old!D1028</f>
        <v>0</v>
      </c>
      <c r="E1024" s="29">
        <f>Item_Enchant_Old!E1028</f>
        <v>0</v>
      </c>
      <c r="F1024" s="29">
        <f>Item_Enchant_Old!F1028</f>
        <v>0</v>
      </c>
      <c r="G1024" s="29">
        <f>Item_Enchant_Old!G1028</f>
        <v>3</v>
      </c>
      <c r="H1024" s="29" t="str">
        <f>Item_Enchant_Old!H1028</f>
        <v>@</v>
      </c>
      <c r="I1024" s="29">
        <f>Item_Enchant_Old!I1028</f>
        <v>1</v>
      </c>
      <c r="J1024" s="29" t="str">
        <f>Item_Enchant_Old!J1028</f>
        <v>절대값/상대값(%) 가능</v>
      </c>
      <c r="K1024" s="29">
        <f>Item_Enchant_Old!K1028</f>
        <v>20</v>
      </c>
      <c r="L1024" s="29">
        <f>Item_Enchant_Old!L1028</f>
        <v>0</v>
      </c>
      <c r="M1024" s="29">
        <f>Item_Enchant_Old!M1028</f>
        <v>5</v>
      </c>
      <c r="N1024" s="29">
        <f>Item_Enchant_Old!N1028</f>
        <v>48</v>
      </c>
      <c r="O1024" s="29">
        <f>Item_Enchant_Old!O1028</f>
        <v>1</v>
      </c>
      <c r="P1024" s="29">
        <f>Item_Enchant_Old!P1028</f>
        <v>1</v>
      </c>
      <c r="Q1024" s="29">
        <f>Item_Enchant_Old!Q1028</f>
        <v>1</v>
      </c>
      <c r="R1024" s="29">
        <f>Item_Enchant_Old!R1028</f>
        <v>1</v>
      </c>
    </row>
    <row r="1025" spans="1:18" s="29" customFormat="1" hidden="1">
      <c r="A1025" s="29">
        <f>Item_Enchant_Old!A1029</f>
        <v>1024</v>
      </c>
      <c r="B1025" s="29" t="str">
        <f>Item_Enchant_Old!B1029</f>
        <v>ACTIVE_LP_REGENERATION</v>
      </c>
      <c r="C1025" s="29">
        <f>Item_Enchant_Old!C1029</f>
        <v>627</v>
      </c>
      <c r="D1025" s="29">
        <f>Item_Enchant_Old!D1029</f>
        <v>0</v>
      </c>
      <c r="E1025" s="29">
        <f>Item_Enchant_Old!E1029</f>
        <v>0</v>
      </c>
      <c r="F1025" s="29">
        <f>Item_Enchant_Old!F1029</f>
        <v>0</v>
      </c>
      <c r="G1025" s="29">
        <f>Item_Enchant_Old!G1029</f>
        <v>1</v>
      </c>
      <c r="H1025" s="29" t="str">
        <f>Item_Enchant_Old!H1029</f>
        <v>@</v>
      </c>
      <c r="I1025" s="29">
        <f>Item_Enchant_Old!I1029</f>
        <v>1</v>
      </c>
      <c r="J1025" s="29" t="str">
        <f>Item_Enchant_Old!J1029</f>
        <v>절대값/상대값(%) 가능</v>
      </c>
      <c r="K1025" s="29">
        <f>Item_Enchant_Old!K1029</f>
        <v>20</v>
      </c>
      <c r="L1025" s="29">
        <f>Item_Enchant_Old!L1029</f>
        <v>0</v>
      </c>
      <c r="M1025" s="29">
        <f>Item_Enchant_Old!M1029</f>
        <v>5</v>
      </c>
      <c r="N1025" s="29">
        <f>Item_Enchant_Old!N1029</f>
        <v>126</v>
      </c>
      <c r="O1025" s="29">
        <f>Item_Enchant_Old!O1029</f>
        <v>1</v>
      </c>
      <c r="P1025" s="29">
        <f>Item_Enchant_Old!P1029</f>
        <v>1</v>
      </c>
      <c r="Q1025" s="29">
        <f>Item_Enchant_Old!Q1029</f>
        <v>1</v>
      </c>
      <c r="R1025" s="29">
        <f>Item_Enchant_Old!R1029</f>
        <v>1</v>
      </c>
    </row>
    <row r="1026" spans="1:18" s="29" customFormat="1" hidden="1">
      <c r="A1026" s="29">
        <f>Item_Enchant_Old!A1030</f>
        <v>1025</v>
      </c>
      <c r="B1026" s="29" t="str">
        <f>Item_Enchant_Old!B1030</f>
        <v>ACTIVE_STOMACHACHE_DEFENCE</v>
      </c>
      <c r="C1026" s="29">
        <f>Item_Enchant_Old!C1030</f>
        <v>679</v>
      </c>
      <c r="D1026" s="29">
        <f>Item_Enchant_Old!D1030</f>
        <v>0</v>
      </c>
      <c r="E1026" s="29">
        <f>Item_Enchant_Old!E1030</f>
        <v>0</v>
      </c>
      <c r="F1026" s="29">
        <f>Item_Enchant_Old!F1030</f>
        <v>0</v>
      </c>
      <c r="G1026" s="29">
        <f>Item_Enchant_Old!G1030</f>
        <v>1</v>
      </c>
      <c r="H1026" s="29" t="str">
        <f>Item_Enchant_Old!H1030</f>
        <v>@</v>
      </c>
      <c r="I1026" s="29">
        <f>Item_Enchant_Old!I1030</f>
        <v>1</v>
      </c>
      <c r="J1026" s="29" t="str">
        <f>Item_Enchant_Old!J1030</f>
        <v>절대값/상대값(%) 가능</v>
      </c>
      <c r="K1026" s="29">
        <f>Item_Enchant_Old!K1030</f>
        <v>20</v>
      </c>
      <c r="L1026" s="29">
        <f>Item_Enchant_Old!L1030</f>
        <v>0</v>
      </c>
      <c r="M1026" s="29">
        <f>Item_Enchant_Old!M1030</f>
        <v>5</v>
      </c>
      <c r="N1026" s="29">
        <f>Item_Enchant_Old!N1030</f>
        <v>1350</v>
      </c>
      <c r="O1026" s="29">
        <f>Item_Enchant_Old!O1030</f>
        <v>1</v>
      </c>
      <c r="P1026" s="29">
        <f>Item_Enchant_Old!P1030</f>
        <v>1</v>
      </c>
      <c r="Q1026" s="29">
        <f>Item_Enchant_Old!Q1030</f>
        <v>1</v>
      </c>
      <c r="R1026" s="29">
        <f>Item_Enchant_Old!R1030</f>
        <v>1</v>
      </c>
    </row>
    <row r="1027" spans="1:18" s="29" customFormat="1" hidden="1">
      <c r="A1027" s="29">
        <f>Item_Enchant_Old!A1031</f>
        <v>1026</v>
      </c>
      <c r="B1027" s="29" t="str">
        <f>Item_Enchant_Old!B1031</f>
        <v>ACTIVE_POISON_DEFENCE</v>
      </c>
      <c r="C1027" s="29">
        <f>Item_Enchant_Old!C1031</f>
        <v>680</v>
      </c>
      <c r="D1027" s="29">
        <f>Item_Enchant_Old!D1031</f>
        <v>0</v>
      </c>
      <c r="E1027" s="29">
        <f>Item_Enchant_Old!E1031</f>
        <v>0</v>
      </c>
      <c r="F1027" s="29">
        <f>Item_Enchant_Old!F1031</f>
        <v>0</v>
      </c>
      <c r="G1027" s="29">
        <f>Item_Enchant_Old!G1031</f>
        <v>1</v>
      </c>
      <c r="H1027" s="29" t="str">
        <f>Item_Enchant_Old!H1031</f>
        <v>@</v>
      </c>
      <c r="I1027" s="29">
        <f>Item_Enchant_Old!I1031</f>
        <v>1</v>
      </c>
      <c r="J1027" s="29" t="str">
        <f>Item_Enchant_Old!J1031</f>
        <v>절대값/상대값(%) 가능</v>
      </c>
      <c r="K1027" s="29">
        <f>Item_Enchant_Old!K1031</f>
        <v>20</v>
      </c>
      <c r="L1027" s="29">
        <f>Item_Enchant_Old!L1031</f>
        <v>0</v>
      </c>
      <c r="M1027" s="29">
        <f>Item_Enchant_Old!M1031</f>
        <v>5</v>
      </c>
      <c r="N1027" s="29">
        <f>Item_Enchant_Old!N1031</f>
        <v>1350</v>
      </c>
      <c r="O1027" s="29">
        <f>Item_Enchant_Old!O1031</f>
        <v>1</v>
      </c>
      <c r="P1027" s="29">
        <f>Item_Enchant_Old!P1031</f>
        <v>1</v>
      </c>
      <c r="Q1027" s="29">
        <f>Item_Enchant_Old!Q1031</f>
        <v>1</v>
      </c>
      <c r="R1027" s="29">
        <f>Item_Enchant_Old!R1031</f>
        <v>1</v>
      </c>
    </row>
    <row r="1028" spans="1:18" s="29" customFormat="1" hidden="1">
      <c r="A1028" s="29">
        <f>Item_Enchant_Old!A1032</f>
        <v>1027</v>
      </c>
      <c r="B1028" s="29" t="str">
        <f>Item_Enchant_Old!B1032</f>
        <v>ACTIVE_MAX_EP_UP</v>
      </c>
      <c r="C1028" s="29">
        <f>Item_Enchant_Old!C1032</f>
        <v>604</v>
      </c>
      <c r="D1028" s="29">
        <f>Item_Enchant_Old!D1032</f>
        <v>0</v>
      </c>
      <c r="E1028" s="29">
        <f>Item_Enchant_Old!E1032</f>
        <v>0</v>
      </c>
      <c r="F1028" s="29">
        <f>Item_Enchant_Old!F1032</f>
        <v>0</v>
      </c>
      <c r="G1028" s="29">
        <f>Item_Enchant_Old!G1032</f>
        <v>1</v>
      </c>
      <c r="H1028" s="29" t="str">
        <f>Item_Enchant_Old!H1032</f>
        <v>@</v>
      </c>
      <c r="I1028" s="29">
        <f>Item_Enchant_Old!I1032</f>
        <v>1</v>
      </c>
      <c r="J1028" s="29" t="str">
        <f>Item_Enchant_Old!J1032</f>
        <v>절대값/상대값(%) 가능</v>
      </c>
      <c r="K1028" s="29">
        <f>Item_Enchant_Old!K1032</f>
        <v>20</v>
      </c>
      <c r="L1028" s="29">
        <f>Item_Enchant_Old!L1032</f>
        <v>0</v>
      </c>
      <c r="M1028" s="29">
        <f>Item_Enchant_Old!M1032</f>
        <v>6</v>
      </c>
      <c r="N1028" s="29">
        <f>Item_Enchant_Old!N1032</f>
        <v>2812</v>
      </c>
      <c r="O1028" s="29">
        <f>Item_Enchant_Old!O1032</f>
        <v>1</v>
      </c>
      <c r="P1028" s="29">
        <f>Item_Enchant_Old!P1032</f>
        <v>1</v>
      </c>
      <c r="Q1028" s="29">
        <f>Item_Enchant_Old!Q1032</f>
        <v>1</v>
      </c>
      <c r="R1028" s="29">
        <f>Item_Enchant_Old!R1032</f>
        <v>1</v>
      </c>
    </row>
    <row r="1029" spans="1:18" s="29" customFormat="1" hidden="1">
      <c r="A1029" s="29">
        <f>Item_Enchant_Old!A1033</f>
        <v>1028</v>
      </c>
      <c r="B1029" s="29" t="str">
        <f>Item_Enchant_Old!B1033</f>
        <v>ACTIVE_EP_REGENERATION</v>
      </c>
      <c r="C1029" s="29">
        <f>Item_Enchant_Old!C1033</f>
        <v>628</v>
      </c>
      <c r="D1029" s="29">
        <f>Item_Enchant_Old!D1033</f>
        <v>0</v>
      </c>
      <c r="E1029" s="29">
        <f>Item_Enchant_Old!E1033</f>
        <v>0</v>
      </c>
      <c r="F1029" s="29">
        <f>Item_Enchant_Old!F1033</f>
        <v>0</v>
      </c>
      <c r="G1029" s="29">
        <f>Item_Enchant_Old!G1033</f>
        <v>1</v>
      </c>
      <c r="H1029" s="29" t="str">
        <f>Item_Enchant_Old!H1033</f>
        <v>@</v>
      </c>
      <c r="I1029" s="29">
        <f>Item_Enchant_Old!I1033</f>
        <v>1</v>
      </c>
      <c r="J1029" s="29" t="str">
        <f>Item_Enchant_Old!J1033</f>
        <v>절대값/상대값(%) 가능</v>
      </c>
      <c r="K1029" s="29">
        <f>Item_Enchant_Old!K1033</f>
        <v>20</v>
      </c>
      <c r="L1029" s="29">
        <f>Item_Enchant_Old!L1033</f>
        <v>0</v>
      </c>
      <c r="M1029" s="29">
        <f>Item_Enchant_Old!M1033</f>
        <v>6</v>
      </c>
      <c r="N1029" s="29">
        <f>Item_Enchant_Old!N1033</f>
        <v>156</v>
      </c>
      <c r="O1029" s="29">
        <f>Item_Enchant_Old!O1033</f>
        <v>1</v>
      </c>
      <c r="P1029" s="29">
        <f>Item_Enchant_Old!P1033</f>
        <v>1</v>
      </c>
      <c r="Q1029" s="29">
        <f>Item_Enchant_Old!Q1033</f>
        <v>1</v>
      </c>
      <c r="R1029" s="29">
        <f>Item_Enchant_Old!R1033</f>
        <v>1</v>
      </c>
    </row>
    <row r="1030" spans="1:18" s="29" customFormat="1" hidden="1">
      <c r="A1030" s="29">
        <f>Item_Enchant_Old!A1034</f>
        <v>1029</v>
      </c>
      <c r="B1030" s="29" t="str">
        <f>Item_Enchant_Old!B1034</f>
        <v>ACTIVE_ENG_UP</v>
      </c>
      <c r="C1030" s="29">
        <f>Item_Enchant_Old!C1034</f>
        <v>615</v>
      </c>
      <c r="D1030" s="29">
        <f>Item_Enchant_Old!D1034</f>
        <v>0</v>
      </c>
      <c r="E1030" s="29">
        <f>Item_Enchant_Old!E1034</f>
        <v>0</v>
      </c>
      <c r="F1030" s="29">
        <f>Item_Enchant_Old!F1034</f>
        <v>0</v>
      </c>
      <c r="G1030" s="29">
        <f>Item_Enchant_Old!G1034</f>
        <v>2</v>
      </c>
      <c r="H1030" s="29" t="str">
        <f>Item_Enchant_Old!H1034</f>
        <v>@</v>
      </c>
      <c r="I1030" s="29">
        <f>Item_Enchant_Old!I1034</f>
        <v>1</v>
      </c>
      <c r="J1030" s="29" t="str">
        <f>Item_Enchant_Old!J1034</f>
        <v>절대값/상대값(%) 가능</v>
      </c>
      <c r="K1030" s="29">
        <f>Item_Enchant_Old!K1034</f>
        <v>20</v>
      </c>
      <c r="L1030" s="29">
        <f>Item_Enchant_Old!L1034</f>
        <v>0</v>
      </c>
      <c r="M1030" s="29">
        <f>Item_Enchant_Old!M1034</f>
        <v>6</v>
      </c>
      <c r="N1030" s="29">
        <f>Item_Enchant_Old!N1034</f>
        <v>62</v>
      </c>
      <c r="O1030" s="29">
        <f>Item_Enchant_Old!O1034</f>
        <v>1</v>
      </c>
      <c r="P1030" s="29">
        <f>Item_Enchant_Old!P1034</f>
        <v>1</v>
      </c>
      <c r="Q1030" s="29">
        <f>Item_Enchant_Old!Q1034</f>
        <v>1</v>
      </c>
      <c r="R1030" s="29">
        <f>Item_Enchant_Old!R1034</f>
        <v>1</v>
      </c>
    </row>
    <row r="1031" spans="1:18" s="29" customFormat="1" hidden="1">
      <c r="A1031" s="29">
        <f>Item_Enchant_Old!A1035</f>
        <v>1030</v>
      </c>
      <c r="B1031" s="29" t="str">
        <f>Item_Enchant_Old!B1035</f>
        <v>ACTIVE_BLEED_DEFENCE</v>
      </c>
      <c r="C1031" s="29">
        <f>Item_Enchant_Old!C1035</f>
        <v>681</v>
      </c>
      <c r="D1031" s="29">
        <f>Item_Enchant_Old!D1035</f>
        <v>0</v>
      </c>
      <c r="E1031" s="29">
        <f>Item_Enchant_Old!E1035</f>
        <v>0</v>
      </c>
      <c r="F1031" s="29">
        <f>Item_Enchant_Old!F1035</f>
        <v>0</v>
      </c>
      <c r="G1031" s="29">
        <f>Item_Enchant_Old!G1035</f>
        <v>1</v>
      </c>
      <c r="H1031" s="29" t="str">
        <f>Item_Enchant_Old!H1035</f>
        <v>@</v>
      </c>
      <c r="I1031" s="29">
        <f>Item_Enchant_Old!I1035</f>
        <v>1</v>
      </c>
      <c r="J1031" s="29" t="str">
        <f>Item_Enchant_Old!J1035</f>
        <v>절대값/상대값(%) 가능</v>
      </c>
      <c r="K1031" s="29">
        <f>Item_Enchant_Old!K1035</f>
        <v>20</v>
      </c>
      <c r="L1031" s="29">
        <f>Item_Enchant_Old!L1035</f>
        <v>0</v>
      </c>
      <c r="M1031" s="29">
        <f>Item_Enchant_Old!M1035</f>
        <v>6</v>
      </c>
      <c r="N1031" s="29">
        <f>Item_Enchant_Old!N1035</f>
        <v>1350</v>
      </c>
      <c r="O1031" s="29">
        <f>Item_Enchant_Old!O1035</f>
        <v>1</v>
      </c>
      <c r="P1031" s="29">
        <f>Item_Enchant_Old!P1035</f>
        <v>1</v>
      </c>
      <c r="Q1031" s="29">
        <f>Item_Enchant_Old!Q1035</f>
        <v>1</v>
      </c>
      <c r="R1031" s="29">
        <f>Item_Enchant_Old!R1035</f>
        <v>1</v>
      </c>
    </row>
    <row r="1032" spans="1:18" s="29" customFormat="1" hidden="1">
      <c r="A1032" s="29">
        <f>Item_Enchant_Old!A1036</f>
        <v>1031</v>
      </c>
      <c r="B1032" s="29" t="str">
        <f>Item_Enchant_Old!B1036</f>
        <v>ACTIVE_BURN_DEFENCE</v>
      </c>
      <c r="C1032" s="29">
        <f>Item_Enchant_Old!C1036</f>
        <v>682</v>
      </c>
      <c r="D1032" s="29">
        <f>Item_Enchant_Old!D1036</f>
        <v>0</v>
      </c>
      <c r="E1032" s="29">
        <f>Item_Enchant_Old!E1036</f>
        <v>0</v>
      </c>
      <c r="F1032" s="29">
        <f>Item_Enchant_Old!F1036</f>
        <v>0</v>
      </c>
      <c r="G1032" s="29">
        <f>Item_Enchant_Old!G1036</f>
        <v>1</v>
      </c>
      <c r="H1032" s="29" t="str">
        <f>Item_Enchant_Old!H1036</f>
        <v>@</v>
      </c>
      <c r="I1032" s="29">
        <f>Item_Enchant_Old!I1036</f>
        <v>1</v>
      </c>
      <c r="J1032" s="29" t="str">
        <f>Item_Enchant_Old!J1036</f>
        <v>절대값/상대값(%) 가능</v>
      </c>
      <c r="K1032" s="29">
        <f>Item_Enchant_Old!K1036</f>
        <v>20</v>
      </c>
      <c r="L1032" s="29">
        <f>Item_Enchant_Old!L1036</f>
        <v>0</v>
      </c>
      <c r="M1032" s="29">
        <f>Item_Enchant_Old!M1036</f>
        <v>6</v>
      </c>
      <c r="N1032" s="29">
        <f>Item_Enchant_Old!N1036</f>
        <v>1350</v>
      </c>
      <c r="O1032" s="29">
        <f>Item_Enchant_Old!O1036</f>
        <v>1</v>
      </c>
      <c r="P1032" s="29">
        <f>Item_Enchant_Old!P1036</f>
        <v>1</v>
      </c>
      <c r="Q1032" s="29">
        <f>Item_Enchant_Old!Q1036</f>
        <v>1</v>
      </c>
      <c r="R1032" s="29">
        <f>Item_Enchant_Old!R1036</f>
        <v>1</v>
      </c>
    </row>
    <row r="1033" spans="1:18" s="29" customFormat="1" hidden="1">
      <c r="A1033" s="29">
        <f>Item_Enchant_Old!A1037</f>
        <v>1032</v>
      </c>
      <c r="B1033" s="29" t="str">
        <f>Item_Enchant_Old!B1037</f>
        <v>ACTIVE_CRITICAL_BLOCK_UP</v>
      </c>
      <c r="C1033" s="29">
        <f>Item_Enchant_Old!C1037</f>
        <v>651</v>
      </c>
      <c r="D1033" s="29">
        <f>Item_Enchant_Old!D1037</f>
        <v>0</v>
      </c>
      <c r="E1033" s="29">
        <f>Item_Enchant_Old!E1037</f>
        <v>0</v>
      </c>
      <c r="F1033" s="29">
        <f>Item_Enchant_Old!F1037</f>
        <v>0</v>
      </c>
      <c r="G1033" s="29">
        <f>Item_Enchant_Old!G1037</f>
        <v>5</v>
      </c>
      <c r="H1033" s="29" t="str">
        <f>Item_Enchant_Old!H1037</f>
        <v>@</v>
      </c>
      <c r="I1033" s="29">
        <f>Item_Enchant_Old!I1037</f>
        <v>1</v>
      </c>
      <c r="J1033" s="29" t="str">
        <f>Item_Enchant_Old!J1037</f>
        <v>절대값만 가능</v>
      </c>
      <c r="K1033" s="29">
        <f>Item_Enchant_Old!K1037</f>
        <v>20</v>
      </c>
      <c r="L1033" s="29">
        <f>Item_Enchant_Old!L1037</f>
        <v>0</v>
      </c>
      <c r="M1033" s="29">
        <f>Item_Enchant_Old!M1037</f>
        <v>7</v>
      </c>
      <c r="N1033" s="29">
        <f>Item_Enchant_Old!N1037</f>
        <v>20</v>
      </c>
      <c r="O1033" s="29">
        <f>Item_Enchant_Old!O1037</f>
        <v>1</v>
      </c>
      <c r="P1033" s="29">
        <f>Item_Enchant_Old!P1037</f>
        <v>1</v>
      </c>
      <c r="Q1033" s="29">
        <f>Item_Enchant_Old!Q1037</f>
        <v>1</v>
      </c>
      <c r="R1033" s="29">
        <f>Item_Enchant_Old!R1037</f>
        <v>1</v>
      </c>
    </row>
    <row r="1034" spans="1:18" s="29" customFormat="1" hidden="1">
      <c r="A1034" s="29">
        <f>Item_Enchant_Old!A1038</f>
        <v>1033</v>
      </c>
      <c r="B1034" s="29" t="str">
        <f>Item_Enchant_Old!B1038</f>
        <v>ACTIVE_BLOCK_RATE_UP</v>
      </c>
      <c r="C1034" s="29">
        <f>Item_Enchant_Old!C1038</f>
        <v>620</v>
      </c>
      <c r="D1034" s="29">
        <f>Item_Enchant_Old!D1038</f>
        <v>0</v>
      </c>
      <c r="E1034" s="29">
        <f>Item_Enchant_Old!E1038</f>
        <v>0</v>
      </c>
      <c r="F1034" s="29">
        <f>Item_Enchant_Old!F1038</f>
        <v>0</v>
      </c>
      <c r="G1034" s="29">
        <f>Item_Enchant_Old!G1038</f>
        <v>1</v>
      </c>
      <c r="H1034" s="29" t="str">
        <f>Item_Enchant_Old!H1038</f>
        <v>@</v>
      </c>
      <c r="I1034" s="29">
        <f>Item_Enchant_Old!I1038</f>
        <v>1</v>
      </c>
      <c r="J1034" s="29" t="str">
        <f>Item_Enchant_Old!J1038</f>
        <v>절대값/상대값(%) 가능</v>
      </c>
      <c r="K1034" s="29">
        <f>Item_Enchant_Old!K1038</f>
        <v>20</v>
      </c>
      <c r="L1034" s="29">
        <f>Item_Enchant_Old!L1038</f>
        <v>0</v>
      </c>
      <c r="M1034" s="29">
        <f>Item_Enchant_Old!M1038</f>
        <v>7</v>
      </c>
      <c r="N1034" s="29">
        <f>Item_Enchant_Old!N1038</f>
        <v>352</v>
      </c>
      <c r="O1034" s="29">
        <f>Item_Enchant_Old!O1038</f>
        <v>1</v>
      </c>
      <c r="P1034" s="29">
        <f>Item_Enchant_Old!P1038</f>
        <v>1</v>
      </c>
      <c r="Q1034" s="29">
        <f>Item_Enchant_Old!Q1038</f>
        <v>1</v>
      </c>
      <c r="R1034" s="29">
        <f>Item_Enchant_Old!R1038</f>
        <v>1</v>
      </c>
    </row>
    <row r="1035" spans="1:18" s="29" customFormat="1" hidden="1">
      <c r="A1035" s="29">
        <f>Item_Enchant_Old!A1039</f>
        <v>1034</v>
      </c>
      <c r="B1035" s="29" t="str">
        <f>Item_Enchant_Old!B1039</f>
        <v>ACTIVE_DODGE_RATE_UP</v>
      </c>
      <c r="C1035" s="29">
        <f>Item_Enchant_Old!C1039</f>
        <v>619</v>
      </c>
      <c r="D1035" s="29">
        <f>Item_Enchant_Old!D1039</f>
        <v>0</v>
      </c>
      <c r="E1035" s="29">
        <f>Item_Enchant_Old!E1039</f>
        <v>0</v>
      </c>
      <c r="F1035" s="29">
        <f>Item_Enchant_Old!F1039</f>
        <v>0</v>
      </c>
      <c r="G1035" s="29">
        <f>Item_Enchant_Old!G1039</f>
        <v>1</v>
      </c>
      <c r="H1035" s="29" t="str">
        <f>Item_Enchant_Old!H1039</f>
        <v>@</v>
      </c>
      <c r="I1035" s="29">
        <f>Item_Enchant_Old!I1039</f>
        <v>1</v>
      </c>
      <c r="J1035" s="29" t="str">
        <f>Item_Enchant_Old!J1039</f>
        <v>절대값/상대값(%) 가능</v>
      </c>
      <c r="K1035" s="29">
        <f>Item_Enchant_Old!K1039</f>
        <v>20</v>
      </c>
      <c r="L1035" s="29">
        <f>Item_Enchant_Old!L1039</f>
        <v>0</v>
      </c>
      <c r="M1035" s="29">
        <f>Item_Enchant_Old!M1039</f>
        <v>7</v>
      </c>
      <c r="N1035" s="29">
        <f>Item_Enchant_Old!N1039</f>
        <v>275</v>
      </c>
      <c r="O1035" s="29">
        <f>Item_Enchant_Old!O1039</f>
        <v>1</v>
      </c>
      <c r="P1035" s="29">
        <f>Item_Enchant_Old!P1039</f>
        <v>1</v>
      </c>
      <c r="Q1035" s="29">
        <f>Item_Enchant_Old!Q1039</f>
        <v>1</v>
      </c>
      <c r="R1035" s="29">
        <f>Item_Enchant_Old!R1039</f>
        <v>1</v>
      </c>
    </row>
    <row r="1036" spans="1:18" s="29" customFormat="1" hidden="1">
      <c r="A1036" s="29">
        <f>Item_Enchant_Old!A1040</f>
        <v>1035</v>
      </c>
      <c r="B1036" s="29" t="str">
        <f>Item_Enchant_Old!B1040</f>
        <v>ACTIVE_STOMACHACHE_DEFENCE</v>
      </c>
      <c r="C1036" s="29">
        <f>Item_Enchant_Old!C1040</f>
        <v>679</v>
      </c>
      <c r="D1036" s="29">
        <f>Item_Enchant_Old!D1040</f>
        <v>0</v>
      </c>
      <c r="E1036" s="29">
        <f>Item_Enchant_Old!E1040</f>
        <v>0</v>
      </c>
      <c r="F1036" s="29">
        <f>Item_Enchant_Old!F1040</f>
        <v>0</v>
      </c>
      <c r="G1036" s="29">
        <f>Item_Enchant_Old!G1040</f>
        <v>1</v>
      </c>
      <c r="H1036" s="29" t="str">
        <f>Item_Enchant_Old!H1040</f>
        <v>@</v>
      </c>
      <c r="I1036" s="29">
        <f>Item_Enchant_Old!I1040</f>
        <v>1</v>
      </c>
      <c r="J1036" s="29" t="str">
        <f>Item_Enchant_Old!J1040</f>
        <v>절대값/상대값(%) 가능</v>
      </c>
      <c r="K1036" s="29">
        <f>Item_Enchant_Old!K1040</f>
        <v>20</v>
      </c>
      <c r="L1036" s="29">
        <f>Item_Enchant_Old!L1040</f>
        <v>0</v>
      </c>
      <c r="M1036" s="29">
        <f>Item_Enchant_Old!M1040</f>
        <v>7</v>
      </c>
      <c r="N1036" s="29">
        <f>Item_Enchant_Old!N1040</f>
        <v>1350</v>
      </c>
      <c r="O1036" s="29">
        <f>Item_Enchant_Old!O1040</f>
        <v>1</v>
      </c>
      <c r="P1036" s="29">
        <f>Item_Enchant_Old!P1040</f>
        <v>1</v>
      </c>
      <c r="Q1036" s="29">
        <f>Item_Enchant_Old!Q1040</f>
        <v>1</v>
      </c>
      <c r="R1036" s="29">
        <f>Item_Enchant_Old!R1040</f>
        <v>1</v>
      </c>
    </row>
    <row r="1037" spans="1:18" s="29" customFormat="1" hidden="1">
      <c r="A1037" s="29">
        <f>Item_Enchant_Old!A1041</f>
        <v>1036</v>
      </c>
      <c r="B1037" s="29" t="str">
        <f>Item_Enchant_Old!B1041</f>
        <v>ACTIVE_POISON_DEFENCE</v>
      </c>
      <c r="C1037" s="29">
        <f>Item_Enchant_Old!C1041</f>
        <v>680</v>
      </c>
      <c r="D1037" s="29">
        <f>Item_Enchant_Old!D1041</f>
        <v>0</v>
      </c>
      <c r="E1037" s="29">
        <f>Item_Enchant_Old!E1041</f>
        <v>0</v>
      </c>
      <c r="F1037" s="29">
        <f>Item_Enchant_Old!F1041</f>
        <v>0</v>
      </c>
      <c r="G1037" s="29">
        <f>Item_Enchant_Old!G1041</f>
        <v>1</v>
      </c>
      <c r="H1037" s="29" t="str">
        <f>Item_Enchant_Old!H1041</f>
        <v>@</v>
      </c>
      <c r="I1037" s="29">
        <f>Item_Enchant_Old!I1041</f>
        <v>1</v>
      </c>
      <c r="J1037" s="29" t="str">
        <f>Item_Enchant_Old!J1041</f>
        <v>절대값/상대값(%) 가능</v>
      </c>
      <c r="K1037" s="29">
        <f>Item_Enchant_Old!K1041</f>
        <v>20</v>
      </c>
      <c r="L1037" s="29">
        <f>Item_Enchant_Old!L1041</f>
        <v>0</v>
      </c>
      <c r="M1037" s="29">
        <f>Item_Enchant_Old!M1041</f>
        <v>7</v>
      </c>
      <c r="N1037" s="29">
        <f>Item_Enchant_Old!N1041</f>
        <v>1350</v>
      </c>
      <c r="O1037" s="29">
        <f>Item_Enchant_Old!O1041</f>
        <v>1</v>
      </c>
      <c r="P1037" s="29">
        <f>Item_Enchant_Old!P1041</f>
        <v>1</v>
      </c>
      <c r="Q1037" s="29">
        <f>Item_Enchant_Old!Q1041</f>
        <v>1</v>
      </c>
      <c r="R1037" s="29">
        <f>Item_Enchant_Old!R1041</f>
        <v>1</v>
      </c>
    </row>
    <row r="1038" spans="1:18" s="29" customFormat="1" hidden="1">
      <c r="A1038" s="29">
        <f>Item_Enchant_Old!A1042</f>
        <v>1037</v>
      </c>
      <c r="B1038" s="29" t="str">
        <f>Item_Enchant_Old!B1042</f>
        <v>ACTIVE_BLEED_DEFENCE</v>
      </c>
      <c r="C1038" s="29">
        <f>Item_Enchant_Old!C1042</f>
        <v>681</v>
      </c>
      <c r="D1038" s="29">
        <f>Item_Enchant_Old!D1042</f>
        <v>0</v>
      </c>
      <c r="E1038" s="29">
        <f>Item_Enchant_Old!E1042</f>
        <v>0</v>
      </c>
      <c r="F1038" s="29">
        <f>Item_Enchant_Old!F1042</f>
        <v>0</v>
      </c>
      <c r="G1038" s="29">
        <f>Item_Enchant_Old!G1042</f>
        <v>1</v>
      </c>
      <c r="H1038" s="29" t="str">
        <f>Item_Enchant_Old!H1042</f>
        <v>@</v>
      </c>
      <c r="I1038" s="29">
        <f>Item_Enchant_Old!I1042</f>
        <v>1</v>
      </c>
      <c r="J1038" s="29" t="str">
        <f>Item_Enchant_Old!J1042</f>
        <v>절대값/상대값(%) 가능</v>
      </c>
      <c r="K1038" s="29">
        <f>Item_Enchant_Old!K1042</f>
        <v>20</v>
      </c>
      <c r="L1038" s="29">
        <f>Item_Enchant_Old!L1042</f>
        <v>0</v>
      </c>
      <c r="M1038" s="29">
        <f>Item_Enchant_Old!M1042</f>
        <v>7</v>
      </c>
      <c r="N1038" s="29">
        <f>Item_Enchant_Old!N1042</f>
        <v>1350</v>
      </c>
      <c r="O1038" s="29">
        <f>Item_Enchant_Old!O1042</f>
        <v>1</v>
      </c>
      <c r="P1038" s="29">
        <f>Item_Enchant_Old!P1042</f>
        <v>1</v>
      </c>
      <c r="Q1038" s="29">
        <f>Item_Enchant_Old!Q1042</f>
        <v>1</v>
      </c>
      <c r="R1038" s="29">
        <f>Item_Enchant_Old!R1042</f>
        <v>1</v>
      </c>
    </row>
    <row r="1039" spans="1:18" s="29" customFormat="1" hidden="1">
      <c r="A1039" s="29">
        <f>Item_Enchant_Old!A1043</f>
        <v>1038</v>
      </c>
      <c r="B1039" s="29" t="str">
        <f>Item_Enchant_Old!B1043</f>
        <v>ACTIVE_BURN_DEFENCE</v>
      </c>
      <c r="C1039" s="29">
        <f>Item_Enchant_Old!C1043</f>
        <v>682</v>
      </c>
      <c r="D1039" s="29">
        <f>Item_Enchant_Old!D1043</f>
        <v>0</v>
      </c>
      <c r="E1039" s="29">
        <f>Item_Enchant_Old!E1043</f>
        <v>0</v>
      </c>
      <c r="F1039" s="29">
        <f>Item_Enchant_Old!F1043</f>
        <v>0</v>
      </c>
      <c r="G1039" s="29">
        <f>Item_Enchant_Old!G1043</f>
        <v>1</v>
      </c>
      <c r="H1039" s="29" t="str">
        <f>Item_Enchant_Old!H1043</f>
        <v>@</v>
      </c>
      <c r="I1039" s="29">
        <f>Item_Enchant_Old!I1043</f>
        <v>1</v>
      </c>
      <c r="J1039" s="29" t="str">
        <f>Item_Enchant_Old!J1043</f>
        <v>절대값/상대값(%) 가능</v>
      </c>
      <c r="K1039" s="29">
        <f>Item_Enchant_Old!K1043</f>
        <v>20</v>
      </c>
      <c r="L1039" s="29">
        <f>Item_Enchant_Old!L1043</f>
        <v>0</v>
      </c>
      <c r="M1039" s="29">
        <f>Item_Enchant_Old!M1043</f>
        <v>7</v>
      </c>
      <c r="N1039" s="29">
        <f>Item_Enchant_Old!N1043</f>
        <v>1350</v>
      </c>
      <c r="O1039" s="29">
        <f>Item_Enchant_Old!O1043</f>
        <v>1</v>
      </c>
      <c r="P1039" s="29">
        <f>Item_Enchant_Old!P1043</f>
        <v>1</v>
      </c>
      <c r="Q1039" s="29">
        <f>Item_Enchant_Old!Q1043</f>
        <v>1</v>
      </c>
      <c r="R1039" s="29">
        <f>Item_Enchant_Old!R1043</f>
        <v>1</v>
      </c>
    </row>
    <row r="1040" spans="1:18" s="29" customFormat="1" hidden="1">
      <c r="A1040" s="29">
        <f>Item_Enchant_Old!A1044</f>
        <v>1039</v>
      </c>
      <c r="B1040" s="29" t="str">
        <f>Item_Enchant_Old!B1044</f>
        <v>ACTIVE_PHYSICAL_DEFENCE_UP</v>
      </c>
      <c r="C1040" s="29">
        <f>Item_Enchant_Old!C1044</f>
        <v>608</v>
      </c>
      <c r="D1040" s="29">
        <f>Item_Enchant_Old!D1044</f>
        <v>0</v>
      </c>
      <c r="E1040" s="29">
        <f>Item_Enchant_Old!E1044</f>
        <v>0</v>
      </c>
      <c r="F1040" s="29">
        <f>Item_Enchant_Old!F1044</f>
        <v>0</v>
      </c>
      <c r="G1040" s="29">
        <f>Item_Enchant_Old!G1044</f>
        <v>1</v>
      </c>
      <c r="H1040" s="29" t="str">
        <f>Item_Enchant_Old!H1044</f>
        <v>@</v>
      </c>
      <c r="I1040" s="29">
        <f>Item_Enchant_Old!I1044</f>
        <v>1</v>
      </c>
      <c r="J1040" s="29" t="str">
        <f>Item_Enchant_Old!J1044</f>
        <v>절대값/상대값(%) 가능</v>
      </c>
      <c r="K1040" s="29">
        <f>Item_Enchant_Old!K1044</f>
        <v>20</v>
      </c>
      <c r="L1040" s="29">
        <f>Item_Enchant_Old!L1044</f>
        <v>0</v>
      </c>
      <c r="M1040" s="29">
        <f>Item_Enchant_Old!M1044</f>
        <v>8</v>
      </c>
      <c r="N1040" s="29">
        <f>Item_Enchant_Old!N1044</f>
        <v>1350</v>
      </c>
      <c r="O1040" s="29">
        <f>Item_Enchant_Old!O1044</f>
        <v>1</v>
      </c>
      <c r="P1040" s="29">
        <f>Item_Enchant_Old!P1044</f>
        <v>1</v>
      </c>
      <c r="Q1040" s="29">
        <f>Item_Enchant_Old!Q1044</f>
        <v>1</v>
      </c>
      <c r="R1040" s="29">
        <f>Item_Enchant_Old!R1044</f>
        <v>1</v>
      </c>
    </row>
    <row r="1041" spans="1:18" s="29" customFormat="1" hidden="1">
      <c r="A1041" s="29">
        <f>Item_Enchant_Old!A1045</f>
        <v>1040</v>
      </c>
      <c r="B1041" s="29" t="str">
        <f>Item_Enchant_Old!B1045</f>
        <v>ACTIVE_ENERGY_DEFENCE_UP</v>
      </c>
      <c r="C1041" s="29">
        <f>Item_Enchant_Old!C1045</f>
        <v>609</v>
      </c>
      <c r="D1041" s="29">
        <f>Item_Enchant_Old!D1045</f>
        <v>0</v>
      </c>
      <c r="E1041" s="29">
        <f>Item_Enchant_Old!E1045</f>
        <v>0</v>
      </c>
      <c r="F1041" s="29">
        <f>Item_Enchant_Old!F1045</f>
        <v>0</v>
      </c>
      <c r="G1041" s="29">
        <f>Item_Enchant_Old!G1045</f>
        <v>1</v>
      </c>
      <c r="H1041" s="29" t="str">
        <f>Item_Enchant_Old!H1045</f>
        <v>@</v>
      </c>
      <c r="I1041" s="29">
        <f>Item_Enchant_Old!I1045</f>
        <v>1</v>
      </c>
      <c r="J1041" s="29" t="str">
        <f>Item_Enchant_Old!J1045</f>
        <v>절대값/상대값(%) 가능</v>
      </c>
      <c r="K1041" s="29">
        <f>Item_Enchant_Old!K1045</f>
        <v>20</v>
      </c>
      <c r="L1041" s="29">
        <f>Item_Enchant_Old!L1045</f>
        <v>0</v>
      </c>
      <c r="M1041" s="29">
        <f>Item_Enchant_Old!M1045</f>
        <v>8</v>
      </c>
      <c r="N1041" s="29">
        <f>Item_Enchant_Old!N1045</f>
        <v>1350</v>
      </c>
      <c r="O1041" s="29">
        <f>Item_Enchant_Old!O1045</f>
        <v>1</v>
      </c>
      <c r="P1041" s="29">
        <f>Item_Enchant_Old!P1045</f>
        <v>1</v>
      </c>
      <c r="Q1041" s="29">
        <f>Item_Enchant_Old!Q1045</f>
        <v>1</v>
      </c>
      <c r="R1041" s="29">
        <f>Item_Enchant_Old!R1045</f>
        <v>1</v>
      </c>
    </row>
    <row r="1042" spans="1:18" s="29" customFormat="1" hidden="1">
      <c r="A1042" s="29">
        <f>Item_Enchant_Old!A1046</f>
        <v>1041</v>
      </c>
      <c r="B1042" s="29" t="str">
        <f>Item_Enchant_Old!B1046</f>
        <v>ACTIVE_BLOCK_RATE_UP</v>
      </c>
      <c r="C1042" s="29">
        <f>Item_Enchant_Old!C1046</f>
        <v>620</v>
      </c>
      <c r="D1042" s="29">
        <f>Item_Enchant_Old!D1046</f>
        <v>0</v>
      </c>
      <c r="E1042" s="29">
        <f>Item_Enchant_Old!E1046</f>
        <v>0</v>
      </c>
      <c r="F1042" s="29">
        <f>Item_Enchant_Old!F1046</f>
        <v>0</v>
      </c>
      <c r="G1042" s="29">
        <f>Item_Enchant_Old!G1046</f>
        <v>1</v>
      </c>
      <c r="H1042" s="29" t="str">
        <f>Item_Enchant_Old!H1046</f>
        <v>@</v>
      </c>
      <c r="I1042" s="29">
        <f>Item_Enchant_Old!I1046</f>
        <v>1</v>
      </c>
      <c r="J1042" s="29" t="str">
        <f>Item_Enchant_Old!J1046</f>
        <v>절대값/상대값(%) 가능</v>
      </c>
      <c r="K1042" s="29">
        <f>Item_Enchant_Old!K1046</f>
        <v>20</v>
      </c>
      <c r="L1042" s="29">
        <f>Item_Enchant_Old!L1046</f>
        <v>0</v>
      </c>
      <c r="M1042" s="29">
        <f>Item_Enchant_Old!M1046</f>
        <v>8</v>
      </c>
      <c r="N1042" s="29">
        <f>Item_Enchant_Old!N1046</f>
        <v>352</v>
      </c>
      <c r="O1042" s="29">
        <f>Item_Enchant_Old!O1046</f>
        <v>1</v>
      </c>
      <c r="P1042" s="29">
        <f>Item_Enchant_Old!P1046</f>
        <v>1</v>
      </c>
      <c r="Q1042" s="29">
        <f>Item_Enchant_Old!Q1046</f>
        <v>1</v>
      </c>
      <c r="R1042" s="29">
        <f>Item_Enchant_Old!R1046</f>
        <v>1</v>
      </c>
    </row>
    <row r="1043" spans="1:18" s="29" customFormat="1" hidden="1">
      <c r="A1043" s="29">
        <f>Item_Enchant_Old!A1047</f>
        <v>1042</v>
      </c>
      <c r="B1043" s="29" t="str">
        <f>Item_Enchant_Old!B1047</f>
        <v>ACTIVE_HONEST_DEFENCE_UP</v>
      </c>
      <c r="C1043" s="29">
        <f>Item_Enchant_Old!C1047</f>
        <v>621</v>
      </c>
      <c r="D1043" s="29">
        <f>Item_Enchant_Old!D1047</f>
        <v>0</v>
      </c>
      <c r="E1043" s="29">
        <f>Item_Enchant_Old!E1047</f>
        <v>0</v>
      </c>
      <c r="F1043" s="29">
        <f>Item_Enchant_Old!F1047</f>
        <v>0</v>
      </c>
      <c r="G1043" s="29">
        <f>Item_Enchant_Old!G1047</f>
        <v>5</v>
      </c>
      <c r="H1043" s="29" t="str">
        <f>Item_Enchant_Old!H1047</f>
        <v>@</v>
      </c>
      <c r="I1043" s="29">
        <f>Item_Enchant_Old!I1047</f>
        <v>1</v>
      </c>
      <c r="J1043" s="29" t="str">
        <f>Item_Enchant_Old!J1047</f>
        <v>절대값만 가능</v>
      </c>
      <c r="K1043" s="29">
        <f>Item_Enchant_Old!K1047</f>
        <v>20</v>
      </c>
      <c r="L1043" s="29">
        <f>Item_Enchant_Old!L1047</f>
        <v>0</v>
      </c>
      <c r="M1043" s="29">
        <f>Item_Enchant_Old!M1047</f>
        <v>8</v>
      </c>
      <c r="N1043" s="29">
        <f>Item_Enchant_Old!N1047</f>
        <v>20</v>
      </c>
      <c r="O1043" s="29">
        <f>Item_Enchant_Old!O1047</f>
        <v>1</v>
      </c>
      <c r="P1043" s="29">
        <f>Item_Enchant_Old!P1047</f>
        <v>1</v>
      </c>
      <c r="Q1043" s="29">
        <f>Item_Enchant_Old!Q1047</f>
        <v>1</v>
      </c>
      <c r="R1043" s="29">
        <f>Item_Enchant_Old!R1047</f>
        <v>1</v>
      </c>
    </row>
    <row r="1044" spans="1:18" s="29" customFormat="1" hidden="1">
      <c r="A1044" s="29">
        <f>Item_Enchant_Old!A1048</f>
        <v>1043</v>
      </c>
      <c r="B1044" s="29" t="str">
        <f>Item_Enchant_Old!B1048</f>
        <v>ACTIVE_STRANGE_DEFENCE_UP</v>
      </c>
      <c r="C1044" s="29">
        <f>Item_Enchant_Old!C1048</f>
        <v>622</v>
      </c>
      <c r="D1044" s="29">
        <f>Item_Enchant_Old!D1048</f>
        <v>0</v>
      </c>
      <c r="E1044" s="29">
        <f>Item_Enchant_Old!E1048</f>
        <v>0</v>
      </c>
      <c r="F1044" s="29">
        <f>Item_Enchant_Old!F1048</f>
        <v>0</v>
      </c>
      <c r="G1044" s="29">
        <f>Item_Enchant_Old!G1048</f>
        <v>5</v>
      </c>
      <c r="H1044" s="29" t="str">
        <f>Item_Enchant_Old!H1048</f>
        <v>@</v>
      </c>
      <c r="I1044" s="29">
        <f>Item_Enchant_Old!I1048</f>
        <v>1</v>
      </c>
      <c r="J1044" s="29" t="str">
        <f>Item_Enchant_Old!J1048</f>
        <v>절대값만 가능</v>
      </c>
      <c r="K1044" s="29">
        <f>Item_Enchant_Old!K1048</f>
        <v>20</v>
      </c>
      <c r="L1044" s="29">
        <f>Item_Enchant_Old!L1048</f>
        <v>0</v>
      </c>
      <c r="M1044" s="29">
        <f>Item_Enchant_Old!M1048</f>
        <v>8</v>
      </c>
      <c r="N1044" s="29">
        <f>Item_Enchant_Old!N1048</f>
        <v>20</v>
      </c>
      <c r="O1044" s="29">
        <f>Item_Enchant_Old!O1048</f>
        <v>1</v>
      </c>
      <c r="P1044" s="29">
        <f>Item_Enchant_Old!P1048</f>
        <v>1</v>
      </c>
      <c r="Q1044" s="29">
        <f>Item_Enchant_Old!Q1048</f>
        <v>1</v>
      </c>
      <c r="R1044" s="29">
        <f>Item_Enchant_Old!R1048</f>
        <v>1</v>
      </c>
    </row>
    <row r="1045" spans="1:18" s="29" customFormat="1" hidden="1">
      <c r="A1045" s="29">
        <f>Item_Enchant_Old!A1049</f>
        <v>1044</v>
      </c>
      <c r="B1045" s="29" t="str">
        <f>Item_Enchant_Old!B1049</f>
        <v>ACTIVE_WILD_DEFENCE_UP</v>
      </c>
      <c r="C1045" s="29">
        <f>Item_Enchant_Old!C1049</f>
        <v>623</v>
      </c>
      <c r="D1045" s="29">
        <f>Item_Enchant_Old!D1049</f>
        <v>0</v>
      </c>
      <c r="E1045" s="29">
        <f>Item_Enchant_Old!E1049</f>
        <v>0</v>
      </c>
      <c r="F1045" s="29">
        <f>Item_Enchant_Old!F1049</f>
        <v>0</v>
      </c>
      <c r="G1045" s="29">
        <f>Item_Enchant_Old!G1049</f>
        <v>5</v>
      </c>
      <c r="H1045" s="29" t="str">
        <f>Item_Enchant_Old!H1049</f>
        <v>@</v>
      </c>
      <c r="I1045" s="29">
        <f>Item_Enchant_Old!I1049</f>
        <v>1</v>
      </c>
      <c r="J1045" s="29" t="str">
        <f>Item_Enchant_Old!J1049</f>
        <v>절대값만 가능</v>
      </c>
      <c r="K1045" s="29">
        <f>Item_Enchant_Old!K1049</f>
        <v>20</v>
      </c>
      <c r="L1045" s="29">
        <f>Item_Enchant_Old!L1049</f>
        <v>0</v>
      </c>
      <c r="M1045" s="29">
        <f>Item_Enchant_Old!M1049</f>
        <v>8</v>
      </c>
      <c r="N1045" s="29">
        <f>Item_Enchant_Old!N1049</f>
        <v>20</v>
      </c>
      <c r="O1045" s="29">
        <f>Item_Enchant_Old!O1049</f>
        <v>1</v>
      </c>
      <c r="P1045" s="29">
        <f>Item_Enchant_Old!P1049</f>
        <v>1</v>
      </c>
      <c r="Q1045" s="29">
        <f>Item_Enchant_Old!Q1049</f>
        <v>1</v>
      </c>
      <c r="R1045" s="29">
        <f>Item_Enchant_Old!R1049</f>
        <v>1</v>
      </c>
    </row>
    <row r="1046" spans="1:18" s="29" customFormat="1" hidden="1">
      <c r="A1046" s="29">
        <f>Item_Enchant_Old!A1050</f>
        <v>1045</v>
      </c>
      <c r="B1046" s="29" t="str">
        <f>Item_Enchant_Old!B1050</f>
        <v>ACTIVE_ELEGANCE_DEFENCE_UP</v>
      </c>
      <c r="C1046" s="29">
        <f>Item_Enchant_Old!C1050</f>
        <v>624</v>
      </c>
      <c r="D1046" s="29">
        <f>Item_Enchant_Old!D1050</f>
        <v>0</v>
      </c>
      <c r="E1046" s="29">
        <f>Item_Enchant_Old!E1050</f>
        <v>0</v>
      </c>
      <c r="F1046" s="29">
        <f>Item_Enchant_Old!F1050</f>
        <v>0</v>
      </c>
      <c r="G1046" s="29">
        <f>Item_Enchant_Old!G1050</f>
        <v>5</v>
      </c>
      <c r="H1046" s="29" t="str">
        <f>Item_Enchant_Old!H1050</f>
        <v>@</v>
      </c>
      <c r="I1046" s="29">
        <f>Item_Enchant_Old!I1050</f>
        <v>1</v>
      </c>
      <c r="J1046" s="29" t="str">
        <f>Item_Enchant_Old!J1050</f>
        <v>절대값만 가능</v>
      </c>
      <c r="K1046" s="29">
        <f>Item_Enchant_Old!K1050</f>
        <v>20</v>
      </c>
      <c r="L1046" s="29">
        <f>Item_Enchant_Old!L1050</f>
        <v>0</v>
      </c>
      <c r="M1046" s="29">
        <f>Item_Enchant_Old!M1050</f>
        <v>8</v>
      </c>
      <c r="N1046" s="29">
        <f>Item_Enchant_Old!N1050</f>
        <v>20</v>
      </c>
      <c r="O1046" s="29">
        <f>Item_Enchant_Old!O1050</f>
        <v>1</v>
      </c>
      <c r="P1046" s="29">
        <f>Item_Enchant_Old!P1050</f>
        <v>1</v>
      </c>
      <c r="Q1046" s="29">
        <f>Item_Enchant_Old!Q1050</f>
        <v>1</v>
      </c>
      <c r="R1046" s="29">
        <f>Item_Enchant_Old!R1050</f>
        <v>1</v>
      </c>
    </row>
    <row r="1047" spans="1:18" s="29" customFormat="1" hidden="1">
      <c r="A1047" s="29">
        <f>Item_Enchant_Old!A1051</f>
        <v>1046</v>
      </c>
      <c r="B1047" s="29" t="str">
        <f>Item_Enchant_Old!B1051</f>
        <v>ACTIVE_FUNNY_DEFENCE_UP</v>
      </c>
      <c r="C1047" s="29">
        <f>Item_Enchant_Old!C1051</f>
        <v>625</v>
      </c>
      <c r="D1047" s="29">
        <f>Item_Enchant_Old!D1051</f>
        <v>0</v>
      </c>
      <c r="E1047" s="29">
        <f>Item_Enchant_Old!E1051</f>
        <v>0</v>
      </c>
      <c r="F1047" s="29">
        <f>Item_Enchant_Old!F1051</f>
        <v>0</v>
      </c>
      <c r="G1047" s="29">
        <f>Item_Enchant_Old!G1051</f>
        <v>5</v>
      </c>
      <c r="H1047" s="29" t="str">
        <f>Item_Enchant_Old!H1051</f>
        <v>@</v>
      </c>
      <c r="I1047" s="29">
        <f>Item_Enchant_Old!I1051</f>
        <v>1</v>
      </c>
      <c r="J1047" s="29" t="str">
        <f>Item_Enchant_Old!J1051</f>
        <v>절대값만 가능</v>
      </c>
      <c r="K1047" s="29">
        <f>Item_Enchant_Old!K1051</f>
        <v>20</v>
      </c>
      <c r="L1047" s="29">
        <f>Item_Enchant_Old!L1051</f>
        <v>0</v>
      </c>
      <c r="M1047" s="29">
        <f>Item_Enchant_Old!M1051</f>
        <v>8</v>
      </c>
      <c r="N1047" s="29">
        <f>Item_Enchant_Old!N1051</f>
        <v>20</v>
      </c>
      <c r="O1047" s="29">
        <f>Item_Enchant_Old!O1051</f>
        <v>1</v>
      </c>
      <c r="P1047" s="29">
        <f>Item_Enchant_Old!P1051</f>
        <v>1</v>
      </c>
      <c r="Q1047" s="29">
        <f>Item_Enchant_Old!Q1051</f>
        <v>1</v>
      </c>
      <c r="R1047" s="29">
        <f>Item_Enchant_Old!R1051</f>
        <v>1</v>
      </c>
    </row>
    <row r="1048" spans="1:18" s="29" customFormat="1" hidden="1">
      <c r="A1048" s="29">
        <f>Item_Enchant_Old!A1052</f>
        <v>1047</v>
      </c>
      <c r="B1048" s="29" t="str">
        <f>Item_Enchant_Old!B1052</f>
        <v>ACTIVE_PHYSICAL_OFFENCE_UP</v>
      </c>
      <c r="C1048" s="29">
        <f>Item_Enchant_Old!C1052</f>
        <v>606</v>
      </c>
      <c r="D1048" s="29">
        <f>Item_Enchant_Old!D1052</f>
        <v>0</v>
      </c>
      <c r="E1048" s="29">
        <f>Item_Enchant_Old!E1052</f>
        <v>0</v>
      </c>
      <c r="F1048" s="29">
        <f>Item_Enchant_Old!F1052</f>
        <v>0</v>
      </c>
      <c r="G1048" s="29">
        <f>Item_Enchant_Old!G1052</f>
        <v>1</v>
      </c>
      <c r="H1048" s="29" t="str">
        <f>Item_Enchant_Old!H1052</f>
        <v>@</v>
      </c>
      <c r="I1048" s="29">
        <f>Item_Enchant_Old!I1052</f>
        <v>1</v>
      </c>
      <c r="J1048" s="29" t="str">
        <f>Item_Enchant_Old!J1052</f>
        <v>절대값/상대값(%) 가능</v>
      </c>
      <c r="K1048" s="29">
        <f>Item_Enchant_Old!K1052</f>
        <v>20</v>
      </c>
      <c r="L1048" s="29">
        <f>Item_Enchant_Old!L1052</f>
        <v>0</v>
      </c>
      <c r="M1048" s="29">
        <f>Item_Enchant_Old!M1052</f>
        <v>9</v>
      </c>
      <c r="N1048" s="29">
        <f>Item_Enchant_Old!N1052</f>
        <v>125</v>
      </c>
      <c r="O1048" s="29">
        <f>Item_Enchant_Old!O1052</f>
        <v>1</v>
      </c>
      <c r="P1048" s="29">
        <f>Item_Enchant_Old!P1052</f>
        <v>1</v>
      </c>
      <c r="Q1048" s="29">
        <f>Item_Enchant_Old!Q1052</f>
        <v>1</v>
      </c>
      <c r="R1048" s="29">
        <f>Item_Enchant_Old!R1052</f>
        <v>1</v>
      </c>
    </row>
    <row r="1049" spans="1:18" s="29" customFormat="1" hidden="1">
      <c r="A1049" s="29">
        <f>Item_Enchant_Old!A1053</f>
        <v>1048</v>
      </c>
      <c r="B1049" s="29" t="str">
        <f>Item_Enchant_Old!B1053</f>
        <v>ACTIVE_STR_UP</v>
      </c>
      <c r="C1049" s="29">
        <f>Item_Enchant_Old!C1053</f>
        <v>610</v>
      </c>
      <c r="D1049" s="29">
        <f>Item_Enchant_Old!D1053</f>
        <v>0</v>
      </c>
      <c r="E1049" s="29">
        <f>Item_Enchant_Old!E1053</f>
        <v>0</v>
      </c>
      <c r="F1049" s="29">
        <f>Item_Enchant_Old!F1053</f>
        <v>0</v>
      </c>
      <c r="G1049" s="29">
        <f>Item_Enchant_Old!G1053</f>
        <v>2</v>
      </c>
      <c r="H1049" s="29" t="str">
        <f>Item_Enchant_Old!H1053</f>
        <v>@</v>
      </c>
      <c r="I1049" s="29">
        <f>Item_Enchant_Old!I1053</f>
        <v>1</v>
      </c>
      <c r="J1049" s="29" t="str">
        <f>Item_Enchant_Old!J1053</f>
        <v>절대값/상대값(%) 가능</v>
      </c>
      <c r="K1049" s="29">
        <f>Item_Enchant_Old!K1053</f>
        <v>20</v>
      </c>
      <c r="L1049" s="29">
        <f>Item_Enchant_Old!L1053</f>
        <v>0</v>
      </c>
      <c r="M1049" s="29">
        <f>Item_Enchant_Old!M1053</f>
        <v>9</v>
      </c>
      <c r="N1049" s="29">
        <f>Item_Enchant_Old!N1053</f>
        <v>57</v>
      </c>
      <c r="O1049" s="29">
        <f>Item_Enchant_Old!O1053</f>
        <v>1</v>
      </c>
      <c r="P1049" s="29">
        <f>Item_Enchant_Old!P1053</f>
        <v>1</v>
      </c>
      <c r="Q1049" s="29">
        <f>Item_Enchant_Old!Q1053</f>
        <v>1</v>
      </c>
      <c r="R1049" s="29">
        <f>Item_Enchant_Old!R1053</f>
        <v>1</v>
      </c>
    </row>
    <row r="1050" spans="1:18" s="29" customFormat="1" hidden="1">
      <c r="A1050" s="29">
        <f>Item_Enchant_Old!A1054</f>
        <v>1049</v>
      </c>
      <c r="B1050" s="29" t="str">
        <f>Item_Enchant_Old!B1054</f>
        <v>ACTIVE_CON_UP</v>
      </c>
      <c r="C1050" s="29">
        <f>Item_Enchant_Old!C1054</f>
        <v>611</v>
      </c>
      <c r="D1050" s="29">
        <f>Item_Enchant_Old!D1054</f>
        <v>0</v>
      </c>
      <c r="E1050" s="29">
        <f>Item_Enchant_Old!E1054</f>
        <v>0</v>
      </c>
      <c r="F1050" s="29">
        <f>Item_Enchant_Old!F1054</f>
        <v>0</v>
      </c>
      <c r="G1050" s="29">
        <f>Item_Enchant_Old!G1054</f>
        <v>3</v>
      </c>
      <c r="H1050" s="29" t="str">
        <f>Item_Enchant_Old!H1054</f>
        <v>@</v>
      </c>
      <c r="I1050" s="29">
        <f>Item_Enchant_Old!I1054</f>
        <v>1</v>
      </c>
      <c r="J1050" s="29" t="str">
        <f>Item_Enchant_Old!J1054</f>
        <v>절대값/상대값(%) 가능</v>
      </c>
      <c r="K1050" s="29">
        <f>Item_Enchant_Old!K1054</f>
        <v>20</v>
      </c>
      <c r="L1050" s="29">
        <f>Item_Enchant_Old!L1054</f>
        <v>0</v>
      </c>
      <c r="M1050" s="29">
        <f>Item_Enchant_Old!M1054</f>
        <v>9</v>
      </c>
      <c r="N1050" s="29">
        <f>Item_Enchant_Old!N1054</f>
        <v>48</v>
      </c>
      <c r="O1050" s="29">
        <f>Item_Enchant_Old!O1054</f>
        <v>1</v>
      </c>
      <c r="P1050" s="29">
        <f>Item_Enchant_Old!P1054</f>
        <v>1</v>
      </c>
      <c r="Q1050" s="29">
        <f>Item_Enchant_Old!Q1054</f>
        <v>1</v>
      </c>
      <c r="R1050" s="29">
        <f>Item_Enchant_Old!R1054</f>
        <v>1</v>
      </c>
    </row>
    <row r="1051" spans="1:18" s="29" customFormat="1" hidden="1">
      <c r="A1051" s="29">
        <f>Item_Enchant_Old!A1055</f>
        <v>1050</v>
      </c>
      <c r="B1051" s="29" t="str">
        <f>Item_Enchant_Old!B1055</f>
        <v>ACTIVE_FOC_UP</v>
      </c>
      <c r="C1051" s="29">
        <f>Item_Enchant_Old!C1055</f>
        <v>612</v>
      </c>
      <c r="D1051" s="29">
        <f>Item_Enchant_Old!D1055</f>
        <v>0</v>
      </c>
      <c r="E1051" s="29">
        <f>Item_Enchant_Old!E1055</f>
        <v>0</v>
      </c>
      <c r="F1051" s="29">
        <f>Item_Enchant_Old!F1055</f>
        <v>0</v>
      </c>
      <c r="G1051" s="29">
        <f>Item_Enchant_Old!G1055</f>
        <v>2</v>
      </c>
      <c r="H1051" s="29" t="str">
        <f>Item_Enchant_Old!H1055</f>
        <v>@</v>
      </c>
      <c r="I1051" s="29">
        <f>Item_Enchant_Old!I1055</f>
        <v>1</v>
      </c>
      <c r="J1051" s="29" t="str">
        <f>Item_Enchant_Old!J1055</f>
        <v>절대값/상대값(%) 가능</v>
      </c>
      <c r="K1051" s="29">
        <f>Item_Enchant_Old!K1055</f>
        <v>20</v>
      </c>
      <c r="L1051" s="29">
        <f>Item_Enchant_Old!L1055</f>
        <v>0</v>
      </c>
      <c r="M1051" s="29">
        <f>Item_Enchant_Old!M1055</f>
        <v>9</v>
      </c>
      <c r="N1051" s="29">
        <f>Item_Enchant_Old!N1055</f>
        <v>53</v>
      </c>
      <c r="O1051" s="29">
        <f>Item_Enchant_Old!O1055</f>
        <v>1</v>
      </c>
      <c r="P1051" s="29">
        <f>Item_Enchant_Old!P1055</f>
        <v>1</v>
      </c>
      <c r="Q1051" s="29">
        <f>Item_Enchant_Old!Q1055</f>
        <v>1</v>
      </c>
      <c r="R1051" s="29">
        <f>Item_Enchant_Old!R1055</f>
        <v>1</v>
      </c>
    </row>
    <row r="1052" spans="1:18" s="29" customFormat="1" hidden="1">
      <c r="A1052" s="29">
        <f>Item_Enchant_Old!A1056</f>
        <v>1051</v>
      </c>
      <c r="B1052" s="29" t="str">
        <f>Item_Enchant_Old!B1056</f>
        <v>ACTIVE_DEX_UP</v>
      </c>
      <c r="C1052" s="29">
        <f>Item_Enchant_Old!C1056</f>
        <v>613</v>
      </c>
      <c r="D1052" s="29">
        <f>Item_Enchant_Old!D1056</f>
        <v>0</v>
      </c>
      <c r="E1052" s="29">
        <f>Item_Enchant_Old!E1056</f>
        <v>0</v>
      </c>
      <c r="F1052" s="29">
        <f>Item_Enchant_Old!F1056</f>
        <v>0</v>
      </c>
      <c r="G1052" s="29">
        <f>Item_Enchant_Old!G1056</f>
        <v>3</v>
      </c>
      <c r="H1052" s="29" t="str">
        <f>Item_Enchant_Old!H1056</f>
        <v>@</v>
      </c>
      <c r="I1052" s="29">
        <f>Item_Enchant_Old!I1056</f>
        <v>1</v>
      </c>
      <c r="J1052" s="29" t="str">
        <f>Item_Enchant_Old!J1056</f>
        <v>절대값/상대값(%) 가능</v>
      </c>
      <c r="K1052" s="29">
        <f>Item_Enchant_Old!K1056</f>
        <v>20</v>
      </c>
      <c r="L1052" s="29">
        <f>Item_Enchant_Old!L1056</f>
        <v>0</v>
      </c>
      <c r="M1052" s="29">
        <f>Item_Enchant_Old!M1056</f>
        <v>9</v>
      </c>
      <c r="N1052" s="29">
        <f>Item_Enchant_Old!N1056</f>
        <v>44</v>
      </c>
      <c r="O1052" s="29">
        <f>Item_Enchant_Old!O1056</f>
        <v>1</v>
      </c>
      <c r="P1052" s="29">
        <f>Item_Enchant_Old!P1056</f>
        <v>1</v>
      </c>
      <c r="Q1052" s="29">
        <f>Item_Enchant_Old!Q1056</f>
        <v>1</v>
      </c>
      <c r="R1052" s="29">
        <f>Item_Enchant_Old!R1056</f>
        <v>1</v>
      </c>
    </row>
    <row r="1053" spans="1:18" s="29" customFormat="1" hidden="1">
      <c r="A1053" s="29">
        <f>Item_Enchant_Old!A1057</f>
        <v>1052</v>
      </c>
      <c r="B1053" s="29" t="str">
        <f>Item_Enchant_Old!B1057</f>
        <v>ACTIVE_SOL_UP</v>
      </c>
      <c r="C1053" s="29">
        <f>Item_Enchant_Old!C1057</f>
        <v>614</v>
      </c>
      <c r="D1053" s="29">
        <f>Item_Enchant_Old!D1057</f>
        <v>0</v>
      </c>
      <c r="E1053" s="29">
        <f>Item_Enchant_Old!E1057</f>
        <v>0</v>
      </c>
      <c r="F1053" s="29">
        <f>Item_Enchant_Old!F1057</f>
        <v>0</v>
      </c>
      <c r="G1053" s="29">
        <f>Item_Enchant_Old!G1057</f>
        <v>2</v>
      </c>
      <c r="H1053" s="29" t="str">
        <f>Item_Enchant_Old!H1057</f>
        <v>@</v>
      </c>
      <c r="I1053" s="29">
        <f>Item_Enchant_Old!I1057</f>
        <v>1</v>
      </c>
      <c r="J1053" s="29" t="str">
        <f>Item_Enchant_Old!J1057</f>
        <v>절대값/상대값(%) 가능</v>
      </c>
      <c r="K1053" s="29">
        <f>Item_Enchant_Old!K1057</f>
        <v>20</v>
      </c>
      <c r="L1053" s="29">
        <f>Item_Enchant_Old!L1057</f>
        <v>0</v>
      </c>
      <c r="M1053" s="29">
        <f>Item_Enchant_Old!M1057</f>
        <v>9</v>
      </c>
      <c r="N1053" s="29">
        <f>Item_Enchant_Old!N1057</f>
        <v>53</v>
      </c>
      <c r="O1053" s="29">
        <f>Item_Enchant_Old!O1057</f>
        <v>1</v>
      </c>
      <c r="P1053" s="29">
        <f>Item_Enchant_Old!P1057</f>
        <v>1</v>
      </c>
      <c r="Q1053" s="29">
        <f>Item_Enchant_Old!Q1057</f>
        <v>1</v>
      </c>
      <c r="R1053" s="29">
        <f>Item_Enchant_Old!R1057</f>
        <v>1</v>
      </c>
    </row>
    <row r="1054" spans="1:18" s="29" customFormat="1" hidden="1">
      <c r="A1054" s="29">
        <f>Item_Enchant_Old!A1058</f>
        <v>1053</v>
      </c>
      <c r="B1054" s="29" t="str">
        <f>Item_Enchant_Old!B1058</f>
        <v>ACTIVE_ENG_UP</v>
      </c>
      <c r="C1054" s="29">
        <f>Item_Enchant_Old!C1058</f>
        <v>615</v>
      </c>
      <c r="D1054" s="29">
        <f>Item_Enchant_Old!D1058</f>
        <v>0</v>
      </c>
      <c r="E1054" s="29">
        <f>Item_Enchant_Old!E1058</f>
        <v>0</v>
      </c>
      <c r="F1054" s="29">
        <f>Item_Enchant_Old!F1058</f>
        <v>0</v>
      </c>
      <c r="G1054" s="29">
        <f>Item_Enchant_Old!G1058</f>
        <v>2</v>
      </c>
      <c r="H1054" s="29" t="str">
        <f>Item_Enchant_Old!H1058</f>
        <v>@</v>
      </c>
      <c r="I1054" s="29">
        <f>Item_Enchant_Old!I1058</f>
        <v>1</v>
      </c>
      <c r="J1054" s="29" t="str">
        <f>Item_Enchant_Old!J1058</f>
        <v>절대값/상대값(%) 가능</v>
      </c>
      <c r="K1054" s="29">
        <f>Item_Enchant_Old!K1058</f>
        <v>20</v>
      </c>
      <c r="L1054" s="29">
        <f>Item_Enchant_Old!L1058</f>
        <v>0</v>
      </c>
      <c r="M1054" s="29">
        <f>Item_Enchant_Old!M1058</f>
        <v>9</v>
      </c>
      <c r="N1054" s="29">
        <f>Item_Enchant_Old!N1058</f>
        <v>62</v>
      </c>
      <c r="O1054" s="29">
        <f>Item_Enchant_Old!O1058</f>
        <v>1</v>
      </c>
      <c r="P1054" s="29">
        <f>Item_Enchant_Old!P1058</f>
        <v>1</v>
      </c>
      <c r="Q1054" s="29">
        <f>Item_Enchant_Old!Q1058</f>
        <v>1</v>
      </c>
      <c r="R1054" s="29">
        <f>Item_Enchant_Old!R1058</f>
        <v>1</v>
      </c>
    </row>
    <row r="1055" spans="1:18" s="29" customFormat="1" hidden="1">
      <c r="A1055" s="29">
        <f>Item_Enchant_Old!A1059</f>
        <v>1054</v>
      </c>
      <c r="B1055" s="29" t="str">
        <f>Item_Enchant_Old!B1059</f>
        <v>ACTIVE_MOVE_SPEED_UP</v>
      </c>
      <c r="C1055" s="29">
        <f>Item_Enchant_Old!C1059</f>
        <v>616</v>
      </c>
      <c r="D1055" s="29">
        <f>Item_Enchant_Old!D1059</f>
        <v>1</v>
      </c>
      <c r="E1055" s="29">
        <f>Item_Enchant_Old!E1059</f>
        <v>0</v>
      </c>
      <c r="F1055" s="29">
        <f>Item_Enchant_Old!F1059</f>
        <v>0</v>
      </c>
      <c r="G1055" s="29">
        <f>Item_Enchant_Old!G1059</f>
        <v>5</v>
      </c>
      <c r="H1055" s="29" t="str">
        <f>Item_Enchant_Old!H1059</f>
        <v>@</v>
      </c>
      <c r="I1055" s="29">
        <f>Item_Enchant_Old!I1059</f>
        <v>1</v>
      </c>
      <c r="J1055" s="29" t="str">
        <f>Item_Enchant_Old!J1059</f>
        <v>절대값/상대값(%) 가능</v>
      </c>
      <c r="K1055" s="29">
        <f>Item_Enchant_Old!K1059</f>
        <v>20</v>
      </c>
      <c r="L1055" s="29">
        <f>Item_Enchant_Old!L1059</f>
        <v>0</v>
      </c>
      <c r="M1055" s="29">
        <f>Item_Enchant_Old!M1059</f>
        <v>10</v>
      </c>
      <c r="N1055" s="29">
        <f>Item_Enchant_Old!N1059</f>
        <v>20</v>
      </c>
      <c r="O1055" s="29">
        <f>Item_Enchant_Old!O1059</f>
        <v>1</v>
      </c>
      <c r="P1055" s="29">
        <f>Item_Enchant_Old!P1059</f>
        <v>1</v>
      </c>
      <c r="Q1055" s="29">
        <f>Item_Enchant_Old!Q1059</f>
        <v>1</v>
      </c>
      <c r="R1055" s="29">
        <f>Item_Enchant_Old!R1059</f>
        <v>1</v>
      </c>
    </row>
    <row r="1056" spans="1:18" s="29" customFormat="1" hidden="1">
      <c r="A1056" s="29">
        <f>Item_Enchant_Old!A1060</f>
        <v>1055</v>
      </c>
      <c r="B1056" s="29" t="str">
        <f>Item_Enchant_Old!B1060</f>
        <v>ACTIVE_DEX_UP</v>
      </c>
      <c r="C1056" s="29">
        <f>Item_Enchant_Old!C1060</f>
        <v>613</v>
      </c>
      <c r="D1056" s="29">
        <f>Item_Enchant_Old!D1060</f>
        <v>0</v>
      </c>
      <c r="E1056" s="29">
        <f>Item_Enchant_Old!E1060</f>
        <v>0</v>
      </c>
      <c r="F1056" s="29">
        <f>Item_Enchant_Old!F1060</f>
        <v>0</v>
      </c>
      <c r="G1056" s="29">
        <f>Item_Enchant_Old!G1060</f>
        <v>3</v>
      </c>
      <c r="H1056" s="29" t="str">
        <f>Item_Enchant_Old!H1060</f>
        <v>@</v>
      </c>
      <c r="I1056" s="29">
        <f>Item_Enchant_Old!I1060</f>
        <v>1</v>
      </c>
      <c r="J1056" s="29" t="str">
        <f>Item_Enchant_Old!J1060</f>
        <v>절대값/상대값(%) 가능</v>
      </c>
      <c r="K1056" s="29">
        <f>Item_Enchant_Old!K1060</f>
        <v>20</v>
      </c>
      <c r="L1056" s="29">
        <f>Item_Enchant_Old!L1060</f>
        <v>0</v>
      </c>
      <c r="M1056" s="29">
        <f>Item_Enchant_Old!M1060</f>
        <v>10</v>
      </c>
      <c r="N1056" s="29">
        <f>Item_Enchant_Old!N1060</f>
        <v>44</v>
      </c>
      <c r="O1056" s="29">
        <f>Item_Enchant_Old!O1060</f>
        <v>1</v>
      </c>
      <c r="P1056" s="29">
        <f>Item_Enchant_Old!P1060</f>
        <v>1</v>
      </c>
      <c r="Q1056" s="29">
        <f>Item_Enchant_Old!Q1060</f>
        <v>1</v>
      </c>
      <c r="R1056" s="29">
        <f>Item_Enchant_Old!R1060</f>
        <v>1</v>
      </c>
    </row>
    <row r="1057" spans="1:18" s="29" customFormat="1" hidden="1">
      <c r="A1057" s="29">
        <f>Item_Enchant_Old!A1061</f>
        <v>1056</v>
      </c>
      <c r="B1057" s="29" t="str">
        <f>Item_Enchant_Old!B1061</f>
        <v>ACTIVE_PARALYZE_TOLERANCE_UP</v>
      </c>
      <c r="C1057" s="29">
        <f>Item_Enchant_Old!C1061</f>
        <v>638</v>
      </c>
      <c r="D1057" s="29">
        <f>Item_Enchant_Old!D1061</f>
        <v>1</v>
      </c>
      <c r="E1057" s="29">
        <f>Item_Enchant_Old!E1061</f>
        <v>0</v>
      </c>
      <c r="F1057" s="29">
        <f>Item_Enchant_Old!F1061</f>
        <v>0</v>
      </c>
      <c r="G1057" s="29">
        <f>Item_Enchant_Old!G1061</f>
        <v>1</v>
      </c>
      <c r="H1057" s="29" t="str">
        <f>Item_Enchant_Old!H1061</f>
        <v>@</v>
      </c>
      <c r="I1057" s="29">
        <f>Item_Enchant_Old!I1061</f>
        <v>1</v>
      </c>
      <c r="J1057" s="29" t="str">
        <f>Item_Enchant_Old!J1061</f>
        <v>절대값/상대값(%) 가능</v>
      </c>
      <c r="K1057" s="29">
        <f>Item_Enchant_Old!K1061</f>
        <v>20</v>
      </c>
      <c r="L1057" s="29">
        <f>Item_Enchant_Old!L1061</f>
        <v>0</v>
      </c>
      <c r="M1057" s="29">
        <f>Item_Enchant_Old!M1061</f>
        <v>10</v>
      </c>
      <c r="N1057" s="29">
        <f>Item_Enchant_Old!N1061</f>
        <v>220</v>
      </c>
      <c r="O1057" s="29">
        <f>Item_Enchant_Old!O1061</f>
        <v>1</v>
      </c>
      <c r="P1057" s="29">
        <f>Item_Enchant_Old!P1061</f>
        <v>1</v>
      </c>
      <c r="Q1057" s="29">
        <f>Item_Enchant_Old!Q1061</f>
        <v>1</v>
      </c>
      <c r="R1057" s="29">
        <f>Item_Enchant_Old!R1061</f>
        <v>1</v>
      </c>
    </row>
    <row r="1058" spans="1:18" s="29" customFormat="1" hidden="1">
      <c r="A1058" s="29">
        <f>Item_Enchant_Old!A1062</f>
        <v>1057</v>
      </c>
      <c r="B1058" s="29" t="str">
        <f>Item_Enchant_Old!B1062</f>
        <v>ACTIVE_TERROR_TOLERANCE_UP</v>
      </c>
      <c r="C1058" s="29">
        <f>Item_Enchant_Old!C1062</f>
        <v>639</v>
      </c>
      <c r="D1058" s="29">
        <f>Item_Enchant_Old!D1062</f>
        <v>1</v>
      </c>
      <c r="E1058" s="29">
        <f>Item_Enchant_Old!E1062</f>
        <v>0</v>
      </c>
      <c r="F1058" s="29">
        <f>Item_Enchant_Old!F1062</f>
        <v>0</v>
      </c>
      <c r="G1058" s="29">
        <f>Item_Enchant_Old!G1062</f>
        <v>1</v>
      </c>
      <c r="H1058" s="29" t="str">
        <f>Item_Enchant_Old!H1062</f>
        <v>@</v>
      </c>
      <c r="I1058" s="29">
        <f>Item_Enchant_Old!I1062</f>
        <v>1</v>
      </c>
      <c r="J1058" s="29" t="str">
        <f>Item_Enchant_Old!J1062</f>
        <v>절대값/상대값(%) 가능</v>
      </c>
      <c r="K1058" s="29">
        <f>Item_Enchant_Old!K1062</f>
        <v>20</v>
      </c>
      <c r="L1058" s="29">
        <f>Item_Enchant_Old!L1062</f>
        <v>0</v>
      </c>
      <c r="M1058" s="29">
        <f>Item_Enchant_Old!M1062</f>
        <v>10</v>
      </c>
      <c r="N1058" s="29">
        <f>Item_Enchant_Old!N1062</f>
        <v>220</v>
      </c>
      <c r="O1058" s="29">
        <f>Item_Enchant_Old!O1062</f>
        <v>1</v>
      </c>
      <c r="P1058" s="29">
        <f>Item_Enchant_Old!P1062</f>
        <v>1</v>
      </c>
      <c r="Q1058" s="29">
        <f>Item_Enchant_Old!Q1062</f>
        <v>1</v>
      </c>
      <c r="R1058" s="29">
        <f>Item_Enchant_Old!R1062</f>
        <v>1</v>
      </c>
    </row>
    <row r="1059" spans="1:18" s="29" customFormat="1" hidden="1">
      <c r="A1059" s="29">
        <f>Item_Enchant_Old!A1063</f>
        <v>1058</v>
      </c>
      <c r="B1059" s="29" t="str">
        <f>Item_Enchant_Old!B1063</f>
        <v>ACTIVE_CONFUSE_TOLERANCE_UP</v>
      </c>
      <c r="C1059" s="29">
        <f>Item_Enchant_Old!C1063</f>
        <v>640</v>
      </c>
      <c r="D1059" s="29">
        <f>Item_Enchant_Old!D1063</f>
        <v>1</v>
      </c>
      <c r="E1059" s="29">
        <f>Item_Enchant_Old!E1063</f>
        <v>0</v>
      </c>
      <c r="F1059" s="29">
        <f>Item_Enchant_Old!F1063</f>
        <v>0</v>
      </c>
      <c r="G1059" s="29">
        <f>Item_Enchant_Old!G1063</f>
        <v>1</v>
      </c>
      <c r="H1059" s="29" t="str">
        <f>Item_Enchant_Old!H1063</f>
        <v>@</v>
      </c>
      <c r="I1059" s="29">
        <f>Item_Enchant_Old!I1063</f>
        <v>1</v>
      </c>
      <c r="J1059" s="29" t="str">
        <f>Item_Enchant_Old!J1063</f>
        <v>절대값/상대값(%) 가능</v>
      </c>
      <c r="K1059" s="29">
        <f>Item_Enchant_Old!K1063</f>
        <v>20</v>
      </c>
      <c r="L1059" s="29">
        <f>Item_Enchant_Old!L1063</f>
        <v>0</v>
      </c>
      <c r="M1059" s="29">
        <f>Item_Enchant_Old!M1063</f>
        <v>10</v>
      </c>
      <c r="N1059" s="29">
        <f>Item_Enchant_Old!N1063</f>
        <v>220</v>
      </c>
      <c r="O1059" s="29">
        <f>Item_Enchant_Old!O1063</f>
        <v>1</v>
      </c>
      <c r="P1059" s="29">
        <f>Item_Enchant_Old!P1063</f>
        <v>1</v>
      </c>
      <c r="Q1059" s="29">
        <f>Item_Enchant_Old!Q1063</f>
        <v>1</v>
      </c>
      <c r="R1059" s="29">
        <f>Item_Enchant_Old!R1063</f>
        <v>1</v>
      </c>
    </row>
    <row r="1060" spans="1:18" s="29" customFormat="1" hidden="1">
      <c r="A1060" s="29">
        <f>Item_Enchant_Old!A1064</f>
        <v>1059</v>
      </c>
      <c r="B1060" s="29" t="str">
        <f>Item_Enchant_Old!B1064</f>
        <v>ACTIVE_STONE_TOLERANCE_UP</v>
      </c>
      <c r="C1060" s="29">
        <f>Item_Enchant_Old!C1064</f>
        <v>641</v>
      </c>
      <c r="D1060" s="29">
        <f>Item_Enchant_Old!D1064</f>
        <v>1</v>
      </c>
      <c r="E1060" s="29">
        <f>Item_Enchant_Old!E1064</f>
        <v>0</v>
      </c>
      <c r="F1060" s="29">
        <f>Item_Enchant_Old!F1064</f>
        <v>0</v>
      </c>
      <c r="G1060" s="29">
        <f>Item_Enchant_Old!G1064</f>
        <v>1</v>
      </c>
      <c r="H1060" s="29" t="str">
        <f>Item_Enchant_Old!H1064</f>
        <v>@</v>
      </c>
      <c r="I1060" s="29">
        <f>Item_Enchant_Old!I1064</f>
        <v>1</v>
      </c>
      <c r="J1060" s="29" t="str">
        <f>Item_Enchant_Old!J1064</f>
        <v>절대값/상대값(%) 가능</v>
      </c>
      <c r="K1060" s="29">
        <f>Item_Enchant_Old!K1064</f>
        <v>20</v>
      </c>
      <c r="L1060" s="29">
        <f>Item_Enchant_Old!L1064</f>
        <v>0</v>
      </c>
      <c r="M1060" s="29">
        <f>Item_Enchant_Old!M1064</f>
        <v>10</v>
      </c>
      <c r="N1060" s="29">
        <f>Item_Enchant_Old!N1064</f>
        <v>220</v>
      </c>
      <c r="O1060" s="29">
        <f>Item_Enchant_Old!O1064</f>
        <v>1</v>
      </c>
      <c r="P1060" s="29">
        <f>Item_Enchant_Old!P1064</f>
        <v>1</v>
      </c>
      <c r="Q1060" s="29">
        <f>Item_Enchant_Old!Q1064</f>
        <v>1</v>
      </c>
      <c r="R1060" s="29">
        <f>Item_Enchant_Old!R1064</f>
        <v>1</v>
      </c>
    </row>
    <row r="1061" spans="1:18" s="29" customFormat="1" hidden="1">
      <c r="A1061" s="29">
        <f>Item_Enchant_Old!A1065</f>
        <v>1060</v>
      </c>
      <c r="B1061" s="29" t="str">
        <f>Item_Enchant_Old!B1065</f>
        <v>ACTIVE_CANDY_TOLERANCE_UP</v>
      </c>
      <c r="C1061" s="29">
        <f>Item_Enchant_Old!C1065</f>
        <v>642</v>
      </c>
      <c r="D1061" s="29">
        <f>Item_Enchant_Old!D1065</f>
        <v>1</v>
      </c>
      <c r="E1061" s="29">
        <f>Item_Enchant_Old!E1065</f>
        <v>0</v>
      </c>
      <c r="F1061" s="29">
        <f>Item_Enchant_Old!F1065</f>
        <v>0</v>
      </c>
      <c r="G1061" s="29">
        <f>Item_Enchant_Old!G1065</f>
        <v>1</v>
      </c>
      <c r="H1061" s="29" t="str">
        <f>Item_Enchant_Old!H1065</f>
        <v>@</v>
      </c>
      <c r="I1061" s="29">
        <f>Item_Enchant_Old!I1065</f>
        <v>1</v>
      </c>
      <c r="J1061" s="29" t="str">
        <f>Item_Enchant_Old!J1065</f>
        <v>절대값/상대값(%) 가능</v>
      </c>
      <c r="K1061" s="29">
        <f>Item_Enchant_Old!K1065</f>
        <v>20</v>
      </c>
      <c r="L1061" s="29">
        <f>Item_Enchant_Old!L1065</f>
        <v>0</v>
      </c>
      <c r="M1061" s="29">
        <f>Item_Enchant_Old!M1065</f>
        <v>10</v>
      </c>
      <c r="N1061" s="29">
        <f>Item_Enchant_Old!N1065</f>
        <v>220</v>
      </c>
      <c r="O1061" s="29">
        <f>Item_Enchant_Old!O1065</f>
        <v>1</v>
      </c>
      <c r="P1061" s="29">
        <f>Item_Enchant_Old!P1065</f>
        <v>1</v>
      </c>
      <c r="Q1061" s="29">
        <f>Item_Enchant_Old!Q1065</f>
        <v>1</v>
      </c>
      <c r="R1061" s="29">
        <f>Item_Enchant_Old!R1065</f>
        <v>1</v>
      </c>
    </row>
    <row r="1062" spans="1:18" s="29" customFormat="1" hidden="1">
      <c r="A1062" s="29">
        <f>Item_Enchant_Old!A1066</f>
        <v>1061</v>
      </c>
      <c r="B1062" s="29" t="str">
        <f>Item_Enchant_Old!B1066</f>
        <v>ACTIVE_STR_UP</v>
      </c>
      <c r="C1062" s="29">
        <f>Item_Enchant_Old!C1066</f>
        <v>610</v>
      </c>
      <c r="D1062" s="29">
        <f>Item_Enchant_Old!D1066</f>
        <v>0</v>
      </c>
      <c r="E1062" s="29">
        <f>Item_Enchant_Old!E1066</f>
        <v>0</v>
      </c>
      <c r="F1062" s="29">
        <f>Item_Enchant_Old!F1066</f>
        <v>0</v>
      </c>
      <c r="G1062" s="29">
        <f>Item_Enchant_Old!G1066</f>
        <v>2</v>
      </c>
      <c r="H1062" s="29" t="str">
        <f>Item_Enchant_Old!H1066</f>
        <v>@</v>
      </c>
      <c r="I1062" s="29">
        <f>Item_Enchant_Old!I1066</f>
        <v>1</v>
      </c>
      <c r="J1062" s="29" t="str">
        <f>Item_Enchant_Old!J1066</f>
        <v>절대값/상대값(%) 가능</v>
      </c>
      <c r="K1062" s="29">
        <f>Item_Enchant_Old!K1066</f>
        <v>21</v>
      </c>
      <c r="L1062" s="29">
        <f>Item_Enchant_Old!L1066</f>
        <v>0</v>
      </c>
      <c r="M1062" s="29">
        <f>Item_Enchant_Old!M1066</f>
        <v>1</v>
      </c>
      <c r="N1062" s="29">
        <f>Item_Enchant_Old!N1066</f>
        <v>57</v>
      </c>
      <c r="O1062" s="29">
        <f>Item_Enchant_Old!O1066</f>
        <v>1</v>
      </c>
      <c r="P1062" s="29">
        <f>Item_Enchant_Old!P1066</f>
        <v>1</v>
      </c>
      <c r="Q1062" s="29">
        <f>Item_Enchant_Old!Q1066</f>
        <v>1</v>
      </c>
      <c r="R1062" s="29">
        <f>Item_Enchant_Old!R1066</f>
        <v>1</v>
      </c>
    </row>
    <row r="1063" spans="1:18" s="29" customFormat="1" hidden="1">
      <c r="A1063" s="29">
        <f>Item_Enchant_Old!A1067</f>
        <v>1062</v>
      </c>
      <c r="B1063" s="29" t="str">
        <f>Item_Enchant_Old!B1067</f>
        <v>ACTIVE_CON_UP</v>
      </c>
      <c r="C1063" s="29">
        <f>Item_Enchant_Old!C1067</f>
        <v>611</v>
      </c>
      <c r="D1063" s="29">
        <f>Item_Enchant_Old!D1067</f>
        <v>0</v>
      </c>
      <c r="E1063" s="29">
        <f>Item_Enchant_Old!E1067</f>
        <v>0</v>
      </c>
      <c r="F1063" s="29">
        <f>Item_Enchant_Old!F1067</f>
        <v>0</v>
      </c>
      <c r="G1063" s="29">
        <f>Item_Enchant_Old!G1067</f>
        <v>3</v>
      </c>
      <c r="H1063" s="29" t="str">
        <f>Item_Enchant_Old!H1067</f>
        <v>@</v>
      </c>
      <c r="I1063" s="29">
        <f>Item_Enchant_Old!I1067</f>
        <v>1</v>
      </c>
      <c r="J1063" s="29" t="str">
        <f>Item_Enchant_Old!J1067</f>
        <v>절대값/상대값(%) 가능</v>
      </c>
      <c r="K1063" s="29">
        <f>Item_Enchant_Old!K1067</f>
        <v>21</v>
      </c>
      <c r="L1063" s="29">
        <f>Item_Enchant_Old!L1067</f>
        <v>0</v>
      </c>
      <c r="M1063" s="29">
        <f>Item_Enchant_Old!M1067</f>
        <v>1</v>
      </c>
      <c r="N1063" s="29">
        <f>Item_Enchant_Old!N1067</f>
        <v>48</v>
      </c>
      <c r="O1063" s="29">
        <f>Item_Enchant_Old!O1067</f>
        <v>1</v>
      </c>
      <c r="P1063" s="29">
        <f>Item_Enchant_Old!P1067</f>
        <v>1</v>
      </c>
      <c r="Q1063" s="29">
        <f>Item_Enchant_Old!Q1067</f>
        <v>1</v>
      </c>
      <c r="R1063" s="29">
        <f>Item_Enchant_Old!R1067</f>
        <v>1</v>
      </c>
    </row>
    <row r="1064" spans="1:18" s="29" customFormat="1" hidden="1">
      <c r="A1064" s="29">
        <f>Item_Enchant_Old!A1068</f>
        <v>1063</v>
      </c>
      <c r="B1064" s="29" t="str">
        <f>Item_Enchant_Old!B1068</f>
        <v>ACTIVE_FOC_UP</v>
      </c>
      <c r="C1064" s="29">
        <f>Item_Enchant_Old!C1068</f>
        <v>612</v>
      </c>
      <c r="D1064" s="29">
        <f>Item_Enchant_Old!D1068</f>
        <v>0</v>
      </c>
      <c r="E1064" s="29">
        <f>Item_Enchant_Old!E1068</f>
        <v>0</v>
      </c>
      <c r="F1064" s="29">
        <f>Item_Enchant_Old!F1068</f>
        <v>0</v>
      </c>
      <c r="G1064" s="29">
        <f>Item_Enchant_Old!G1068</f>
        <v>2</v>
      </c>
      <c r="H1064" s="29" t="str">
        <f>Item_Enchant_Old!H1068</f>
        <v>@</v>
      </c>
      <c r="I1064" s="29">
        <f>Item_Enchant_Old!I1068</f>
        <v>1</v>
      </c>
      <c r="J1064" s="29" t="str">
        <f>Item_Enchant_Old!J1068</f>
        <v>절대값/상대값(%) 가능</v>
      </c>
      <c r="K1064" s="29">
        <f>Item_Enchant_Old!K1068</f>
        <v>21</v>
      </c>
      <c r="L1064" s="29">
        <f>Item_Enchant_Old!L1068</f>
        <v>0</v>
      </c>
      <c r="M1064" s="29">
        <f>Item_Enchant_Old!M1068</f>
        <v>1</v>
      </c>
      <c r="N1064" s="29">
        <f>Item_Enchant_Old!N1068</f>
        <v>53</v>
      </c>
      <c r="O1064" s="29">
        <f>Item_Enchant_Old!O1068</f>
        <v>1</v>
      </c>
      <c r="P1064" s="29">
        <f>Item_Enchant_Old!P1068</f>
        <v>1</v>
      </c>
      <c r="Q1064" s="29">
        <f>Item_Enchant_Old!Q1068</f>
        <v>1</v>
      </c>
      <c r="R1064" s="29">
        <f>Item_Enchant_Old!R1068</f>
        <v>1</v>
      </c>
    </row>
    <row r="1065" spans="1:18" s="29" customFormat="1" hidden="1">
      <c r="A1065" s="29">
        <f>Item_Enchant_Old!A1069</f>
        <v>1064</v>
      </c>
      <c r="B1065" s="29" t="str">
        <f>Item_Enchant_Old!B1069</f>
        <v>ACTIVE_DEX_UP</v>
      </c>
      <c r="C1065" s="29">
        <f>Item_Enchant_Old!C1069</f>
        <v>613</v>
      </c>
      <c r="D1065" s="29">
        <f>Item_Enchant_Old!D1069</f>
        <v>0</v>
      </c>
      <c r="E1065" s="29">
        <f>Item_Enchant_Old!E1069</f>
        <v>0</v>
      </c>
      <c r="F1065" s="29">
        <f>Item_Enchant_Old!F1069</f>
        <v>0</v>
      </c>
      <c r="G1065" s="29">
        <f>Item_Enchant_Old!G1069</f>
        <v>3</v>
      </c>
      <c r="H1065" s="29" t="str">
        <f>Item_Enchant_Old!H1069</f>
        <v>@</v>
      </c>
      <c r="I1065" s="29">
        <f>Item_Enchant_Old!I1069</f>
        <v>1</v>
      </c>
      <c r="J1065" s="29" t="str">
        <f>Item_Enchant_Old!J1069</f>
        <v>절대값/상대값(%) 가능</v>
      </c>
      <c r="K1065" s="29">
        <f>Item_Enchant_Old!K1069</f>
        <v>21</v>
      </c>
      <c r="L1065" s="29">
        <f>Item_Enchant_Old!L1069</f>
        <v>0</v>
      </c>
      <c r="M1065" s="29">
        <f>Item_Enchant_Old!M1069</f>
        <v>1</v>
      </c>
      <c r="N1065" s="29">
        <f>Item_Enchant_Old!N1069</f>
        <v>44</v>
      </c>
      <c r="O1065" s="29">
        <f>Item_Enchant_Old!O1069</f>
        <v>1</v>
      </c>
      <c r="P1065" s="29">
        <f>Item_Enchant_Old!P1069</f>
        <v>1</v>
      </c>
      <c r="Q1065" s="29">
        <f>Item_Enchant_Old!Q1069</f>
        <v>1</v>
      </c>
      <c r="R1065" s="29">
        <f>Item_Enchant_Old!R1069</f>
        <v>1</v>
      </c>
    </row>
    <row r="1066" spans="1:18" s="29" customFormat="1" hidden="1">
      <c r="A1066" s="29">
        <f>Item_Enchant_Old!A1070</f>
        <v>1065</v>
      </c>
      <c r="B1066" s="29" t="str">
        <f>Item_Enchant_Old!B1070</f>
        <v>ACTIVE_SOL_UP</v>
      </c>
      <c r="C1066" s="29">
        <f>Item_Enchant_Old!C1070</f>
        <v>614</v>
      </c>
      <c r="D1066" s="29">
        <f>Item_Enchant_Old!D1070</f>
        <v>0</v>
      </c>
      <c r="E1066" s="29">
        <f>Item_Enchant_Old!E1070</f>
        <v>0</v>
      </c>
      <c r="F1066" s="29">
        <f>Item_Enchant_Old!F1070</f>
        <v>0</v>
      </c>
      <c r="G1066" s="29">
        <f>Item_Enchant_Old!G1070</f>
        <v>2</v>
      </c>
      <c r="H1066" s="29" t="str">
        <f>Item_Enchant_Old!H1070</f>
        <v>@</v>
      </c>
      <c r="I1066" s="29">
        <f>Item_Enchant_Old!I1070</f>
        <v>1</v>
      </c>
      <c r="J1066" s="29" t="str">
        <f>Item_Enchant_Old!J1070</f>
        <v>절대값/상대값(%) 가능</v>
      </c>
      <c r="K1066" s="29">
        <f>Item_Enchant_Old!K1070</f>
        <v>21</v>
      </c>
      <c r="L1066" s="29">
        <f>Item_Enchant_Old!L1070</f>
        <v>0</v>
      </c>
      <c r="M1066" s="29">
        <f>Item_Enchant_Old!M1070</f>
        <v>1</v>
      </c>
      <c r="N1066" s="29">
        <f>Item_Enchant_Old!N1070</f>
        <v>53</v>
      </c>
      <c r="O1066" s="29">
        <f>Item_Enchant_Old!O1070</f>
        <v>1</v>
      </c>
      <c r="P1066" s="29">
        <f>Item_Enchant_Old!P1070</f>
        <v>1</v>
      </c>
      <c r="Q1066" s="29">
        <f>Item_Enchant_Old!Q1070</f>
        <v>1</v>
      </c>
      <c r="R1066" s="29">
        <f>Item_Enchant_Old!R1070</f>
        <v>1</v>
      </c>
    </row>
    <row r="1067" spans="1:18" s="29" customFormat="1" hidden="1">
      <c r="A1067" s="29">
        <f>Item_Enchant_Old!A1071</f>
        <v>1066</v>
      </c>
      <c r="B1067" s="29" t="str">
        <f>Item_Enchant_Old!B1071</f>
        <v>ACTIVE_ENG_UP</v>
      </c>
      <c r="C1067" s="29">
        <f>Item_Enchant_Old!C1071</f>
        <v>615</v>
      </c>
      <c r="D1067" s="29">
        <f>Item_Enchant_Old!D1071</f>
        <v>0</v>
      </c>
      <c r="E1067" s="29">
        <f>Item_Enchant_Old!E1071</f>
        <v>0</v>
      </c>
      <c r="F1067" s="29">
        <f>Item_Enchant_Old!F1071</f>
        <v>0</v>
      </c>
      <c r="G1067" s="29">
        <f>Item_Enchant_Old!G1071</f>
        <v>2</v>
      </c>
      <c r="H1067" s="29" t="str">
        <f>Item_Enchant_Old!H1071</f>
        <v>@</v>
      </c>
      <c r="I1067" s="29">
        <f>Item_Enchant_Old!I1071</f>
        <v>1</v>
      </c>
      <c r="J1067" s="29" t="str">
        <f>Item_Enchant_Old!J1071</f>
        <v>절대값/상대값(%) 가능</v>
      </c>
      <c r="K1067" s="29">
        <f>Item_Enchant_Old!K1071</f>
        <v>21</v>
      </c>
      <c r="L1067" s="29">
        <f>Item_Enchant_Old!L1071</f>
        <v>0</v>
      </c>
      <c r="M1067" s="29">
        <f>Item_Enchant_Old!M1071</f>
        <v>1</v>
      </c>
      <c r="N1067" s="29">
        <f>Item_Enchant_Old!N1071</f>
        <v>62</v>
      </c>
      <c r="O1067" s="29">
        <f>Item_Enchant_Old!O1071</f>
        <v>1</v>
      </c>
      <c r="P1067" s="29">
        <f>Item_Enchant_Old!P1071</f>
        <v>1</v>
      </c>
      <c r="Q1067" s="29">
        <f>Item_Enchant_Old!Q1071</f>
        <v>1</v>
      </c>
      <c r="R1067" s="29">
        <f>Item_Enchant_Old!R1071</f>
        <v>1</v>
      </c>
    </row>
    <row r="1068" spans="1:18" s="29" customFormat="1" hidden="1">
      <c r="A1068" s="29">
        <f>Item_Enchant_Old!A1072</f>
        <v>1067</v>
      </c>
      <c r="B1068" s="29" t="str">
        <f>Item_Enchant_Old!B1072</f>
        <v>ACTIVE_HONEST_OFFENCE_UP</v>
      </c>
      <c r="C1068" s="29">
        <f>Item_Enchant_Old!C1072</f>
        <v>672</v>
      </c>
      <c r="D1068" s="29">
        <f>Item_Enchant_Old!D1072</f>
        <v>0</v>
      </c>
      <c r="E1068" s="29">
        <f>Item_Enchant_Old!E1072</f>
        <v>0</v>
      </c>
      <c r="F1068" s="29">
        <f>Item_Enchant_Old!F1072</f>
        <v>0</v>
      </c>
      <c r="G1068" s="29">
        <f>Item_Enchant_Old!G1072</f>
        <v>3</v>
      </c>
      <c r="H1068" s="29" t="str">
        <f>Item_Enchant_Old!H1072</f>
        <v>@</v>
      </c>
      <c r="I1068" s="29">
        <f>Item_Enchant_Old!I1072</f>
        <v>1</v>
      </c>
      <c r="J1068" s="29" t="str">
        <f>Item_Enchant_Old!J1072</f>
        <v>절대값만 가능</v>
      </c>
      <c r="K1068" s="29">
        <f>Item_Enchant_Old!K1072</f>
        <v>21</v>
      </c>
      <c r="L1068" s="29">
        <f>Item_Enchant_Old!L1072</f>
        <v>0</v>
      </c>
      <c r="M1068" s="29">
        <f>Item_Enchant_Old!M1072</f>
        <v>1</v>
      </c>
      <c r="N1068" s="29">
        <f>Item_Enchant_Old!N1072</f>
        <v>41</v>
      </c>
      <c r="O1068" s="29">
        <f>Item_Enchant_Old!O1072</f>
        <v>1</v>
      </c>
      <c r="P1068" s="29">
        <f>Item_Enchant_Old!P1072</f>
        <v>1</v>
      </c>
      <c r="Q1068" s="29">
        <f>Item_Enchant_Old!Q1072</f>
        <v>1</v>
      </c>
      <c r="R1068" s="29">
        <f>Item_Enchant_Old!R1072</f>
        <v>1</v>
      </c>
    </row>
    <row r="1069" spans="1:18" s="29" customFormat="1" hidden="1">
      <c r="A1069" s="29">
        <f>Item_Enchant_Old!A1073</f>
        <v>1068</v>
      </c>
      <c r="B1069" s="29" t="str">
        <f>Item_Enchant_Old!B1073</f>
        <v>ACTIVE_STRANGE_OFFENCE_UP</v>
      </c>
      <c r="C1069" s="29">
        <f>Item_Enchant_Old!C1073</f>
        <v>673</v>
      </c>
      <c r="D1069" s="29">
        <f>Item_Enchant_Old!D1073</f>
        <v>0</v>
      </c>
      <c r="E1069" s="29">
        <f>Item_Enchant_Old!E1073</f>
        <v>0</v>
      </c>
      <c r="F1069" s="29">
        <f>Item_Enchant_Old!F1073</f>
        <v>0</v>
      </c>
      <c r="G1069" s="29">
        <f>Item_Enchant_Old!G1073</f>
        <v>3</v>
      </c>
      <c r="H1069" s="29" t="str">
        <f>Item_Enchant_Old!H1073</f>
        <v>@</v>
      </c>
      <c r="I1069" s="29">
        <f>Item_Enchant_Old!I1073</f>
        <v>1</v>
      </c>
      <c r="J1069" s="29" t="str">
        <f>Item_Enchant_Old!J1073</f>
        <v>절대값만 가능</v>
      </c>
      <c r="K1069" s="29">
        <f>Item_Enchant_Old!K1073</f>
        <v>21</v>
      </c>
      <c r="L1069" s="29">
        <f>Item_Enchant_Old!L1073</f>
        <v>0</v>
      </c>
      <c r="M1069" s="29">
        <f>Item_Enchant_Old!M1073</f>
        <v>1</v>
      </c>
      <c r="N1069" s="29">
        <f>Item_Enchant_Old!N1073</f>
        <v>41</v>
      </c>
      <c r="O1069" s="29">
        <f>Item_Enchant_Old!O1073</f>
        <v>1</v>
      </c>
      <c r="P1069" s="29">
        <f>Item_Enchant_Old!P1073</f>
        <v>1</v>
      </c>
      <c r="Q1069" s="29">
        <f>Item_Enchant_Old!Q1073</f>
        <v>1</v>
      </c>
      <c r="R1069" s="29">
        <f>Item_Enchant_Old!R1073</f>
        <v>1</v>
      </c>
    </row>
    <row r="1070" spans="1:18" s="29" customFormat="1" hidden="1">
      <c r="A1070" s="29">
        <f>Item_Enchant_Old!A1074</f>
        <v>1069</v>
      </c>
      <c r="B1070" s="29" t="str">
        <f>Item_Enchant_Old!B1074</f>
        <v>ACTIVE_WILD_OFFENCE_UP</v>
      </c>
      <c r="C1070" s="29">
        <f>Item_Enchant_Old!C1074</f>
        <v>674</v>
      </c>
      <c r="D1070" s="29">
        <f>Item_Enchant_Old!D1074</f>
        <v>0</v>
      </c>
      <c r="E1070" s="29">
        <f>Item_Enchant_Old!E1074</f>
        <v>0</v>
      </c>
      <c r="F1070" s="29">
        <f>Item_Enchant_Old!F1074</f>
        <v>0</v>
      </c>
      <c r="G1070" s="29">
        <f>Item_Enchant_Old!G1074</f>
        <v>3</v>
      </c>
      <c r="H1070" s="29" t="str">
        <f>Item_Enchant_Old!H1074</f>
        <v>@</v>
      </c>
      <c r="I1070" s="29">
        <f>Item_Enchant_Old!I1074</f>
        <v>1</v>
      </c>
      <c r="J1070" s="29" t="str">
        <f>Item_Enchant_Old!J1074</f>
        <v>절대값만 가능</v>
      </c>
      <c r="K1070" s="29">
        <f>Item_Enchant_Old!K1074</f>
        <v>21</v>
      </c>
      <c r="L1070" s="29">
        <f>Item_Enchant_Old!L1074</f>
        <v>0</v>
      </c>
      <c r="M1070" s="29">
        <f>Item_Enchant_Old!M1074</f>
        <v>1</v>
      </c>
      <c r="N1070" s="29">
        <f>Item_Enchant_Old!N1074</f>
        <v>41</v>
      </c>
      <c r="O1070" s="29">
        <f>Item_Enchant_Old!O1074</f>
        <v>1</v>
      </c>
      <c r="P1070" s="29">
        <f>Item_Enchant_Old!P1074</f>
        <v>1</v>
      </c>
      <c r="Q1070" s="29">
        <f>Item_Enchant_Old!Q1074</f>
        <v>1</v>
      </c>
      <c r="R1070" s="29">
        <f>Item_Enchant_Old!R1074</f>
        <v>1</v>
      </c>
    </row>
    <row r="1071" spans="1:18" s="29" customFormat="1" hidden="1">
      <c r="A1071" s="29">
        <f>Item_Enchant_Old!A1075</f>
        <v>1070</v>
      </c>
      <c r="B1071" s="29" t="str">
        <f>Item_Enchant_Old!B1075</f>
        <v>ACTIVE_ELEGANCE_OFFENCE_UP</v>
      </c>
      <c r="C1071" s="29">
        <f>Item_Enchant_Old!C1075</f>
        <v>675</v>
      </c>
      <c r="D1071" s="29">
        <f>Item_Enchant_Old!D1075</f>
        <v>0</v>
      </c>
      <c r="E1071" s="29">
        <f>Item_Enchant_Old!E1075</f>
        <v>0</v>
      </c>
      <c r="F1071" s="29">
        <f>Item_Enchant_Old!F1075</f>
        <v>0</v>
      </c>
      <c r="G1071" s="29">
        <f>Item_Enchant_Old!G1075</f>
        <v>3</v>
      </c>
      <c r="H1071" s="29" t="str">
        <f>Item_Enchant_Old!H1075</f>
        <v>@</v>
      </c>
      <c r="I1071" s="29">
        <f>Item_Enchant_Old!I1075</f>
        <v>1</v>
      </c>
      <c r="J1071" s="29" t="str">
        <f>Item_Enchant_Old!J1075</f>
        <v>절대값만 가능</v>
      </c>
      <c r="K1071" s="29">
        <f>Item_Enchant_Old!K1075</f>
        <v>21</v>
      </c>
      <c r="L1071" s="29">
        <f>Item_Enchant_Old!L1075</f>
        <v>0</v>
      </c>
      <c r="M1071" s="29">
        <f>Item_Enchant_Old!M1075</f>
        <v>1</v>
      </c>
      <c r="N1071" s="29">
        <f>Item_Enchant_Old!N1075</f>
        <v>41</v>
      </c>
      <c r="O1071" s="29">
        <f>Item_Enchant_Old!O1075</f>
        <v>1</v>
      </c>
      <c r="P1071" s="29">
        <f>Item_Enchant_Old!P1075</f>
        <v>1</v>
      </c>
      <c r="Q1071" s="29">
        <f>Item_Enchant_Old!Q1075</f>
        <v>1</v>
      </c>
      <c r="R1071" s="29">
        <f>Item_Enchant_Old!R1075</f>
        <v>1</v>
      </c>
    </row>
    <row r="1072" spans="1:18" s="29" customFormat="1" hidden="1">
      <c r="A1072" s="29">
        <f>Item_Enchant_Old!A1076</f>
        <v>1071</v>
      </c>
      <c r="B1072" s="29" t="str">
        <f>Item_Enchant_Old!B1076</f>
        <v>ACTIVE_FUNNY_OFFENCE_UP</v>
      </c>
      <c r="C1072" s="29">
        <f>Item_Enchant_Old!C1076</f>
        <v>676</v>
      </c>
      <c r="D1072" s="29">
        <f>Item_Enchant_Old!D1076</f>
        <v>0</v>
      </c>
      <c r="E1072" s="29">
        <f>Item_Enchant_Old!E1076</f>
        <v>0</v>
      </c>
      <c r="F1072" s="29">
        <f>Item_Enchant_Old!F1076</f>
        <v>0</v>
      </c>
      <c r="G1072" s="29">
        <f>Item_Enchant_Old!G1076</f>
        <v>3</v>
      </c>
      <c r="H1072" s="29" t="str">
        <f>Item_Enchant_Old!H1076</f>
        <v>@</v>
      </c>
      <c r="I1072" s="29">
        <f>Item_Enchant_Old!I1076</f>
        <v>1</v>
      </c>
      <c r="J1072" s="29" t="str">
        <f>Item_Enchant_Old!J1076</f>
        <v>절대값만 가능</v>
      </c>
      <c r="K1072" s="29">
        <f>Item_Enchant_Old!K1076</f>
        <v>21</v>
      </c>
      <c r="L1072" s="29">
        <f>Item_Enchant_Old!L1076</f>
        <v>0</v>
      </c>
      <c r="M1072" s="29">
        <f>Item_Enchant_Old!M1076</f>
        <v>1</v>
      </c>
      <c r="N1072" s="29">
        <f>Item_Enchant_Old!N1076</f>
        <v>41</v>
      </c>
      <c r="O1072" s="29">
        <f>Item_Enchant_Old!O1076</f>
        <v>1</v>
      </c>
      <c r="P1072" s="29">
        <f>Item_Enchant_Old!P1076</f>
        <v>1</v>
      </c>
      <c r="Q1072" s="29">
        <f>Item_Enchant_Old!Q1076</f>
        <v>1</v>
      </c>
      <c r="R1072" s="29">
        <f>Item_Enchant_Old!R1076</f>
        <v>1</v>
      </c>
    </row>
    <row r="1073" spans="1:18" s="29" customFormat="1" hidden="1">
      <c r="A1073" s="29">
        <f>Item_Enchant_Old!A1077</f>
        <v>1072</v>
      </c>
      <c r="B1073" s="29" t="str">
        <f>Item_Enchant_Old!B1077</f>
        <v>ACTIVE_PHYSICAL_OFFENCE_UP</v>
      </c>
      <c r="C1073" s="29">
        <f>Item_Enchant_Old!C1077</f>
        <v>606</v>
      </c>
      <c r="D1073" s="29">
        <f>Item_Enchant_Old!D1077</f>
        <v>0</v>
      </c>
      <c r="E1073" s="29">
        <f>Item_Enchant_Old!E1077</f>
        <v>0</v>
      </c>
      <c r="F1073" s="29">
        <f>Item_Enchant_Old!F1077</f>
        <v>0</v>
      </c>
      <c r="G1073" s="29">
        <f>Item_Enchant_Old!G1077</f>
        <v>1</v>
      </c>
      <c r="H1073" s="29" t="str">
        <f>Item_Enchant_Old!H1077</f>
        <v>@</v>
      </c>
      <c r="I1073" s="29">
        <f>Item_Enchant_Old!I1077</f>
        <v>1</v>
      </c>
      <c r="J1073" s="29" t="str">
        <f>Item_Enchant_Old!J1077</f>
        <v>절대값/상대값(%) 가능</v>
      </c>
      <c r="K1073" s="29">
        <f>Item_Enchant_Old!K1077</f>
        <v>21</v>
      </c>
      <c r="L1073" s="29">
        <f>Item_Enchant_Old!L1077</f>
        <v>0</v>
      </c>
      <c r="M1073" s="29">
        <f>Item_Enchant_Old!M1077</f>
        <v>2</v>
      </c>
      <c r="N1073" s="29">
        <f>Item_Enchant_Old!N1077</f>
        <v>125</v>
      </c>
      <c r="O1073" s="29">
        <f>Item_Enchant_Old!O1077</f>
        <v>1</v>
      </c>
      <c r="P1073" s="29">
        <f>Item_Enchant_Old!P1077</f>
        <v>1</v>
      </c>
      <c r="Q1073" s="29">
        <f>Item_Enchant_Old!Q1077</f>
        <v>1</v>
      </c>
      <c r="R1073" s="29">
        <f>Item_Enchant_Old!R1077</f>
        <v>1</v>
      </c>
    </row>
    <row r="1074" spans="1:18" s="29" customFormat="1" hidden="1">
      <c r="A1074" s="29">
        <f>Item_Enchant_Old!A1078</f>
        <v>1073</v>
      </c>
      <c r="B1074" s="29" t="str">
        <f>Item_Enchant_Old!B1078</f>
        <v>ACTIVE_ENERGY_OFFENCE_UP</v>
      </c>
      <c r="C1074" s="29">
        <f>Item_Enchant_Old!C1078</f>
        <v>607</v>
      </c>
      <c r="D1074" s="29">
        <f>Item_Enchant_Old!D1078</f>
        <v>0</v>
      </c>
      <c r="E1074" s="29">
        <f>Item_Enchant_Old!E1078</f>
        <v>0</v>
      </c>
      <c r="F1074" s="29">
        <f>Item_Enchant_Old!F1078</f>
        <v>0</v>
      </c>
      <c r="G1074" s="29">
        <f>Item_Enchant_Old!G1078</f>
        <v>1</v>
      </c>
      <c r="H1074" s="29" t="str">
        <f>Item_Enchant_Old!H1078</f>
        <v>@</v>
      </c>
      <c r="I1074" s="29">
        <f>Item_Enchant_Old!I1078</f>
        <v>1</v>
      </c>
      <c r="J1074" s="29" t="str">
        <f>Item_Enchant_Old!J1078</f>
        <v>절대값/상대값(%) 가능</v>
      </c>
      <c r="K1074" s="29">
        <f>Item_Enchant_Old!K1078</f>
        <v>21</v>
      </c>
      <c r="L1074" s="29">
        <f>Item_Enchant_Old!L1078</f>
        <v>0</v>
      </c>
      <c r="M1074" s="29">
        <f>Item_Enchant_Old!M1078</f>
        <v>2</v>
      </c>
      <c r="N1074" s="29">
        <f>Item_Enchant_Old!N1078</f>
        <v>104</v>
      </c>
      <c r="O1074" s="29">
        <f>Item_Enchant_Old!O1078</f>
        <v>1</v>
      </c>
      <c r="P1074" s="29">
        <f>Item_Enchant_Old!P1078</f>
        <v>1</v>
      </c>
      <c r="Q1074" s="29">
        <f>Item_Enchant_Old!Q1078</f>
        <v>1</v>
      </c>
      <c r="R1074" s="29">
        <f>Item_Enchant_Old!R1078</f>
        <v>1</v>
      </c>
    </row>
    <row r="1075" spans="1:18" s="29" customFormat="1" hidden="1">
      <c r="A1075" s="29">
        <f>Item_Enchant_Old!A1079</f>
        <v>1074</v>
      </c>
      <c r="B1075" s="29" t="str">
        <f>Item_Enchant_Old!B1079</f>
        <v>ACTIVE_PHYSICAL_DEFENCE_UP</v>
      </c>
      <c r="C1075" s="29">
        <f>Item_Enchant_Old!C1079</f>
        <v>608</v>
      </c>
      <c r="D1075" s="29">
        <f>Item_Enchant_Old!D1079</f>
        <v>0</v>
      </c>
      <c r="E1075" s="29">
        <f>Item_Enchant_Old!E1079</f>
        <v>0</v>
      </c>
      <c r="F1075" s="29">
        <f>Item_Enchant_Old!F1079</f>
        <v>0</v>
      </c>
      <c r="G1075" s="29">
        <f>Item_Enchant_Old!G1079</f>
        <v>1</v>
      </c>
      <c r="H1075" s="29" t="str">
        <f>Item_Enchant_Old!H1079</f>
        <v>@</v>
      </c>
      <c r="I1075" s="29">
        <f>Item_Enchant_Old!I1079</f>
        <v>1</v>
      </c>
      <c r="J1075" s="29" t="str">
        <f>Item_Enchant_Old!J1079</f>
        <v>절대값/상대값(%) 가능</v>
      </c>
      <c r="K1075" s="29">
        <f>Item_Enchant_Old!K1079</f>
        <v>21</v>
      </c>
      <c r="L1075" s="29">
        <f>Item_Enchant_Old!L1079</f>
        <v>0</v>
      </c>
      <c r="M1075" s="29">
        <f>Item_Enchant_Old!M1079</f>
        <v>2</v>
      </c>
      <c r="N1075" s="29">
        <f>Item_Enchant_Old!N1079</f>
        <v>1350</v>
      </c>
      <c r="O1075" s="29">
        <f>Item_Enchant_Old!O1079</f>
        <v>1</v>
      </c>
      <c r="P1075" s="29">
        <f>Item_Enchant_Old!P1079</f>
        <v>1</v>
      </c>
      <c r="Q1075" s="29">
        <f>Item_Enchant_Old!Q1079</f>
        <v>1</v>
      </c>
      <c r="R1075" s="29">
        <f>Item_Enchant_Old!R1079</f>
        <v>1</v>
      </c>
    </row>
    <row r="1076" spans="1:18" s="29" customFormat="1" hidden="1">
      <c r="A1076" s="29">
        <f>Item_Enchant_Old!A1080</f>
        <v>1075</v>
      </c>
      <c r="B1076" s="29" t="str">
        <f>Item_Enchant_Old!B1080</f>
        <v>ACTIVE_ENERGY_DEFENCE_UP</v>
      </c>
      <c r="C1076" s="29">
        <f>Item_Enchant_Old!C1080</f>
        <v>609</v>
      </c>
      <c r="D1076" s="29">
        <f>Item_Enchant_Old!D1080</f>
        <v>0</v>
      </c>
      <c r="E1076" s="29">
        <f>Item_Enchant_Old!E1080</f>
        <v>0</v>
      </c>
      <c r="F1076" s="29">
        <f>Item_Enchant_Old!F1080</f>
        <v>0</v>
      </c>
      <c r="G1076" s="29">
        <f>Item_Enchant_Old!G1080</f>
        <v>1</v>
      </c>
      <c r="H1076" s="29" t="str">
        <f>Item_Enchant_Old!H1080</f>
        <v>@</v>
      </c>
      <c r="I1076" s="29">
        <f>Item_Enchant_Old!I1080</f>
        <v>1</v>
      </c>
      <c r="J1076" s="29" t="str">
        <f>Item_Enchant_Old!J1080</f>
        <v>절대값/상대값(%) 가능</v>
      </c>
      <c r="K1076" s="29">
        <f>Item_Enchant_Old!K1080</f>
        <v>21</v>
      </c>
      <c r="L1076" s="29">
        <f>Item_Enchant_Old!L1080</f>
        <v>0</v>
      </c>
      <c r="M1076" s="29">
        <f>Item_Enchant_Old!M1080</f>
        <v>2</v>
      </c>
      <c r="N1076" s="29">
        <f>Item_Enchant_Old!N1080</f>
        <v>1350</v>
      </c>
      <c r="O1076" s="29">
        <f>Item_Enchant_Old!O1080</f>
        <v>1</v>
      </c>
      <c r="P1076" s="29">
        <f>Item_Enchant_Old!P1080</f>
        <v>1</v>
      </c>
      <c r="Q1076" s="29">
        <f>Item_Enchant_Old!Q1080</f>
        <v>1</v>
      </c>
      <c r="R1076" s="29">
        <f>Item_Enchant_Old!R1080</f>
        <v>1</v>
      </c>
    </row>
    <row r="1077" spans="1:18" s="29" customFormat="1" hidden="1">
      <c r="A1077" s="29">
        <f>Item_Enchant_Old!A1081</f>
        <v>1076</v>
      </c>
      <c r="B1077" s="29" t="str">
        <f>Item_Enchant_Old!B1081</f>
        <v>ACTIVE_ATTACK_RATE_UP</v>
      </c>
      <c r="C1077" s="29">
        <f>Item_Enchant_Old!C1081</f>
        <v>618</v>
      </c>
      <c r="D1077" s="29">
        <f>Item_Enchant_Old!D1081</f>
        <v>0</v>
      </c>
      <c r="E1077" s="29">
        <f>Item_Enchant_Old!E1081</f>
        <v>0</v>
      </c>
      <c r="F1077" s="29">
        <f>Item_Enchant_Old!F1081</f>
        <v>0</v>
      </c>
      <c r="G1077" s="29">
        <f>Item_Enchant_Old!G1081</f>
        <v>1</v>
      </c>
      <c r="H1077" s="29" t="str">
        <f>Item_Enchant_Old!H1081</f>
        <v>@</v>
      </c>
      <c r="I1077" s="29">
        <f>Item_Enchant_Old!I1081</f>
        <v>1</v>
      </c>
      <c r="J1077" s="29" t="str">
        <f>Item_Enchant_Old!J1081</f>
        <v>절대값/상대값(%) 가능</v>
      </c>
      <c r="K1077" s="29">
        <f>Item_Enchant_Old!K1081</f>
        <v>21</v>
      </c>
      <c r="L1077" s="29">
        <f>Item_Enchant_Old!L1081</f>
        <v>0</v>
      </c>
      <c r="M1077" s="29">
        <f>Item_Enchant_Old!M1081</f>
        <v>2</v>
      </c>
      <c r="N1077" s="29">
        <f>Item_Enchant_Old!N1081</f>
        <v>528</v>
      </c>
      <c r="O1077" s="29">
        <f>Item_Enchant_Old!O1081</f>
        <v>1</v>
      </c>
      <c r="P1077" s="29">
        <f>Item_Enchant_Old!P1081</f>
        <v>1</v>
      </c>
      <c r="Q1077" s="29">
        <f>Item_Enchant_Old!Q1081</f>
        <v>1</v>
      </c>
      <c r="R1077" s="29">
        <f>Item_Enchant_Old!R1081</f>
        <v>1</v>
      </c>
    </row>
    <row r="1078" spans="1:18" s="29" customFormat="1" hidden="1">
      <c r="A1078" s="29">
        <f>Item_Enchant_Old!A1082</f>
        <v>1077</v>
      </c>
      <c r="B1078" s="29" t="str">
        <f>Item_Enchant_Old!B1082</f>
        <v>ACTIVE_DODGE_RATE_UP</v>
      </c>
      <c r="C1078" s="29">
        <f>Item_Enchant_Old!C1082</f>
        <v>619</v>
      </c>
      <c r="D1078" s="29">
        <f>Item_Enchant_Old!D1082</f>
        <v>0</v>
      </c>
      <c r="E1078" s="29">
        <f>Item_Enchant_Old!E1082</f>
        <v>0</v>
      </c>
      <c r="F1078" s="29">
        <f>Item_Enchant_Old!F1082</f>
        <v>0</v>
      </c>
      <c r="G1078" s="29">
        <f>Item_Enchant_Old!G1082</f>
        <v>1</v>
      </c>
      <c r="H1078" s="29" t="str">
        <f>Item_Enchant_Old!H1082</f>
        <v>@</v>
      </c>
      <c r="I1078" s="29">
        <f>Item_Enchant_Old!I1082</f>
        <v>1</v>
      </c>
      <c r="J1078" s="29" t="str">
        <f>Item_Enchant_Old!J1082</f>
        <v>절대값/상대값(%) 가능</v>
      </c>
      <c r="K1078" s="29">
        <f>Item_Enchant_Old!K1082</f>
        <v>21</v>
      </c>
      <c r="L1078" s="29">
        <f>Item_Enchant_Old!L1082</f>
        <v>0</v>
      </c>
      <c r="M1078" s="29">
        <f>Item_Enchant_Old!M1082</f>
        <v>2</v>
      </c>
      <c r="N1078" s="29">
        <f>Item_Enchant_Old!N1082</f>
        <v>275</v>
      </c>
      <c r="O1078" s="29">
        <f>Item_Enchant_Old!O1082</f>
        <v>1</v>
      </c>
      <c r="P1078" s="29">
        <f>Item_Enchant_Old!P1082</f>
        <v>1</v>
      </c>
      <c r="Q1078" s="29">
        <f>Item_Enchant_Old!Q1082</f>
        <v>1</v>
      </c>
      <c r="R1078" s="29">
        <f>Item_Enchant_Old!R1082</f>
        <v>1</v>
      </c>
    </row>
    <row r="1079" spans="1:18" s="29" customFormat="1" hidden="1">
      <c r="A1079" s="29">
        <f>Item_Enchant_Old!A1083</f>
        <v>1078</v>
      </c>
      <c r="B1079" s="29" t="str">
        <f>Item_Enchant_Old!B1083</f>
        <v>ACTIVE_BLOCK_RATE_UP</v>
      </c>
      <c r="C1079" s="29">
        <f>Item_Enchant_Old!C1083</f>
        <v>620</v>
      </c>
      <c r="D1079" s="29">
        <f>Item_Enchant_Old!D1083</f>
        <v>0</v>
      </c>
      <c r="E1079" s="29">
        <f>Item_Enchant_Old!E1083</f>
        <v>0</v>
      </c>
      <c r="F1079" s="29">
        <f>Item_Enchant_Old!F1083</f>
        <v>0</v>
      </c>
      <c r="G1079" s="29">
        <f>Item_Enchant_Old!G1083</f>
        <v>1</v>
      </c>
      <c r="H1079" s="29" t="str">
        <f>Item_Enchant_Old!H1083</f>
        <v>@</v>
      </c>
      <c r="I1079" s="29">
        <f>Item_Enchant_Old!I1083</f>
        <v>1</v>
      </c>
      <c r="J1079" s="29" t="str">
        <f>Item_Enchant_Old!J1083</f>
        <v>절대값/상대값(%) 가능</v>
      </c>
      <c r="K1079" s="29">
        <f>Item_Enchant_Old!K1083</f>
        <v>21</v>
      </c>
      <c r="L1079" s="29">
        <f>Item_Enchant_Old!L1083</f>
        <v>0</v>
      </c>
      <c r="M1079" s="29">
        <f>Item_Enchant_Old!M1083</f>
        <v>2</v>
      </c>
      <c r="N1079" s="29">
        <f>Item_Enchant_Old!N1083</f>
        <v>352</v>
      </c>
      <c r="O1079" s="29">
        <f>Item_Enchant_Old!O1083</f>
        <v>1</v>
      </c>
      <c r="P1079" s="29">
        <f>Item_Enchant_Old!P1083</f>
        <v>1</v>
      </c>
      <c r="Q1079" s="29">
        <f>Item_Enchant_Old!Q1083</f>
        <v>1</v>
      </c>
      <c r="R1079" s="29">
        <f>Item_Enchant_Old!R1083</f>
        <v>1</v>
      </c>
    </row>
    <row r="1080" spans="1:18" s="29" customFormat="1" hidden="1">
      <c r="A1080" s="29">
        <f>Item_Enchant_Old!A1084</f>
        <v>1079</v>
      </c>
      <c r="B1080" s="29" t="str">
        <f>Item_Enchant_Old!B1084</f>
        <v>ACTIVE_HONEST_OFFENCE_UP</v>
      </c>
      <c r="C1080" s="29">
        <f>Item_Enchant_Old!C1084</f>
        <v>672</v>
      </c>
      <c r="D1080" s="29">
        <f>Item_Enchant_Old!D1084</f>
        <v>0</v>
      </c>
      <c r="E1080" s="29">
        <f>Item_Enchant_Old!E1084</f>
        <v>0</v>
      </c>
      <c r="F1080" s="29">
        <f>Item_Enchant_Old!F1084</f>
        <v>0</v>
      </c>
      <c r="G1080" s="29">
        <f>Item_Enchant_Old!G1084</f>
        <v>3</v>
      </c>
      <c r="H1080" s="29" t="str">
        <f>Item_Enchant_Old!H1084</f>
        <v>@</v>
      </c>
      <c r="I1080" s="29">
        <f>Item_Enchant_Old!I1084</f>
        <v>1</v>
      </c>
      <c r="J1080" s="29" t="str">
        <f>Item_Enchant_Old!J1084</f>
        <v>절대값만 가능</v>
      </c>
      <c r="K1080" s="29">
        <f>Item_Enchant_Old!K1084</f>
        <v>21</v>
      </c>
      <c r="L1080" s="29">
        <f>Item_Enchant_Old!L1084</f>
        <v>0</v>
      </c>
      <c r="M1080" s="29">
        <f>Item_Enchant_Old!M1084</f>
        <v>2</v>
      </c>
      <c r="N1080" s="29">
        <f>Item_Enchant_Old!N1084</f>
        <v>41</v>
      </c>
      <c r="O1080" s="29">
        <f>Item_Enchant_Old!O1084</f>
        <v>1</v>
      </c>
      <c r="P1080" s="29">
        <f>Item_Enchant_Old!P1084</f>
        <v>1</v>
      </c>
      <c r="Q1080" s="29">
        <f>Item_Enchant_Old!Q1084</f>
        <v>1</v>
      </c>
      <c r="R1080" s="29">
        <f>Item_Enchant_Old!R1084</f>
        <v>1</v>
      </c>
    </row>
    <row r="1081" spans="1:18" s="29" customFormat="1" hidden="1">
      <c r="A1081" s="29">
        <f>Item_Enchant_Old!A1085</f>
        <v>1080</v>
      </c>
      <c r="B1081" s="29" t="str">
        <f>Item_Enchant_Old!B1085</f>
        <v>ACTIVE_STRANGE_OFFENCE_UP</v>
      </c>
      <c r="C1081" s="29">
        <f>Item_Enchant_Old!C1085</f>
        <v>673</v>
      </c>
      <c r="D1081" s="29">
        <f>Item_Enchant_Old!D1085</f>
        <v>0</v>
      </c>
      <c r="E1081" s="29">
        <f>Item_Enchant_Old!E1085</f>
        <v>0</v>
      </c>
      <c r="F1081" s="29">
        <f>Item_Enchant_Old!F1085</f>
        <v>0</v>
      </c>
      <c r="G1081" s="29">
        <f>Item_Enchant_Old!G1085</f>
        <v>3</v>
      </c>
      <c r="H1081" s="29" t="str">
        <f>Item_Enchant_Old!H1085</f>
        <v>@</v>
      </c>
      <c r="I1081" s="29">
        <f>Item_Enchant_Old!I1085</f>
        <v>1</v>
      </c>
      <c r="J1081" s="29" t="str">
        <f>Item_Enchant_Old!J1085</f>
        <v>절대값만 가능</v>
      </c>
      <c r="K1081" s="29">
        <f>Item_Enchant_Old!K1085</f>
        <v>21</v>
      </c>
      <c r="L1081" s="29">
        <f>Item_Enchant_Old!L1085</f>
        <v>0</v>
      </c>
      <c r="M1081" s="29">
        <f>Item_Enchant_Old!M1085</f>
        <v>2</v>
      </c>
      <c r="N1081" s="29">
        <f>Item_Enchant_Old!N1085</f>
        <v>41</v>
      </c>
      <c r="O1081" s="29">
        <f>Item_Enchant_Old!O1085</f>
        <v>1</v>
      </c>
      <c r="P1081" s="29">
        <f>Item_Enchant_Old!P1085</f>
        <v>1</v>
      </c>
      <c r="Q1081" s="29">
        <f>Item_Enchant_Old!Q1085</f>
        <v>1</v>
      </c>
      <c r="R1081" s="29">
        <f>Item_Enchant_Old!R1085</f>
        <v>1</v>
      </c>
    </row>
    <row r="1082" spans="1:18" s="29" customFormat="1" hidden="1">
      <c r="A1082" s="29">
        <f>Item_Enchant_Old!A1086</f>
        <v>1081</v>
      </c>
      <c r="B1082" s="29" t="str">
        <f>Item_Enchant_Old!B1086</f>
        <v>ACTIVE_WILD_OFFENCE_UP</v>
      </c>
      <c r="C1082" s="29">
        <f>Item_Enchant_Old!C1086</f>
        <v>674</v>
      </c>
      <c r="D1082" s="29">
        <f>Item_Enchant_Old!D1086</f>
        <v>0</v>
      </c>
      <c r="E1082" s="29">
        <f>Item_Enchant_Old!E1086</f>
        <v>0</v>
      </c>
      <c r="F1082" s="29">
        <f>Item_Enchant_Old!F1086</f>
        <v>0</v>
      </c>
      <c r="G1082" s="29">
        <f>Item_Enchant_Old!G1086</f>
        <v>3</v>
      </c>
      <c r="H1082" s="29" t="str">
        <f>Item_Enchant_Old!H1086</f>
        <v>@</v>
      </c>
      <c r="I1082" s="29">
        <f>Item_Enchant_Old!I1086</f>
        <v>1</v>
      </c>
      <c r="J1082" s="29" t="str">
        <f>Item_Enchant_Old!J1086</f>
        <v>절대값만 가능</v>
      </c>
      <c r="K1082" s="29">
        <f>Item_Enchant_Old!K1086</f>
        <v>21</v>
      </c>
      <c r="L1082" s="29">
        <f>Item_Enchant_Old!L1086</f>
        <v>0</v>
      </c>
      <c r="M1082" s="29">
        <f>Item_Enchant_Old!M1086</f>
        <v>2</v>
      </c>
      <c r="N1082" s="29">
        <f>Item_Enchant_Old!N1086</f>
        <v>41</v>
      </c>
      <c r="O1082" s="29">
        <f>Item_Enchant_Old!O1086</f>
        <v>1</v>
      </c>
      <c r="P1082" s="29">
        <f>Item_Enchant_Old!P1086</f>
        <v>1</v>
      </c>
      <c r="Q1082" s="29">
        <f>Item_Enchant_Old!Q1086</f>
        <v>1</v>
      </c>
      <c r="R1082" s="29">
        <f>Item_Enchant_Old!R1086</f>
        <v>1</v>
      </c>
    </row>
    <row r="1083" spans="1:18" s="29" customFormat="1" hidden="1">
      <c r="A1083" s="29">
        <f>Item_Enchant_Old!A1087</f>
        <v>1082</v>
      </c>
      <c r="B1083" s="29" t="str">
        <f>Item_Enchant_Old!B1087</f>
        <v>ACTIVE_ELEGANCE_OFFENCE_UP</v>
      </c>
      <c r="C1083" s="29">
        <f>Item_Enchant_Old!C1087</f>
        <v>675</v>
      </c>
      <c r="D1083" s="29">
        <f>Item_Enchant_Old!D1087</f>
        <v>0</v>
      </c>
      <c r="E1083" s="29">
        <f>Item_Enchant_Old!E1087</f>
        <v>0</v>
      </c>
      <c r="F1083" s="29">
        <f>Item_Enchant_Old!F1087</f>
        <v>0</v>
      </c>
      <c r="G1083" s="29">
        <f>Item_Enchant_Old!G1087</f>
        <v>3</v>
      </c>
      <c r="H1083" s="29" t="str">
        <f>Item_Enchant_Old!H1087</f>
        <v>@</v>
      </c>
      <c r="I1083" s="29">
        <f>Item_Enchant_Old!I1087</f>
        <v>1</v>
      </c>
      <c r="J1083" s="29" t="str">
        <f>Item_Enchant_Old!J1087</f>
        <v>절대값만 가능</v>
      </c>
      <c r="K1083" s="29">
        <f>Item_Enchant_Old!K1087</f>
        <v>21</v>
      </c>
      <c r="L1083" s="29">
        <f>Item_Enchant_Old!L1087</f>
        <v>0</v>
      </c>
      <c r="M1083" s="29">
        <f>Item_Enchant_Old!M1087</f>
        <v>2</v>
      </c>
      <c r="N1083" s="29">
        <f>Item_Enchant_Old!N1087</f>
        <v>41</v>
      </c>
      <c r="O1083" s="29">
        <f>Item_Enchant_Old!O1087</f>
        <v>1</v>
      </c>
      <c r="P1083" s="29">
        <f>Item_Enchant_Old!P1087</f>
        <v>1</v>
      </c>
      <c r="Q1083" s="29">
        <f>Item_Enchant_Old!Q1087</f>
        <v>1</v>
      </c>
      <c r="R1083" s="29">
        <f>Item_Enchant_Old!R1087</f>
        <v>1</v>
      </c>
    </row>
    <row r="1084" spans="1:18" s="29" customFormat="1" hidden="1">
      <c r="A1084" s="29">
        <f>Item_Enchant_Old!A1088</f>
        <v>1083</v>
      </c>
      <c r="B1084" s="29" t="str">
        <f>Item_Enchant_Old!B1088</f>
        <v>ACTIVE_FUNNY_OFFENCE_UP</v>
      </c>
      <c r="C1084" s="29">
        <f>Item_Enchant_Old!C1088</f>
        <v>676</v>
      </c>
      <c r="D1084" s="29">
        <f>Item_Enchant_Old!D1088</f>
        <v>0</v>
      </c>
      <c r="E1084" s="29">
        <f>Item_Enchant_Old!E1088</f>
        <v>0</v>
      </c>
      <c r="F1084" s="29">
        <f>Item_Enchant_Old!F1088</f>
        <v>0</v>
      </c>
      <c r="G1084" s="29">
        <f>Item_Enchant_Old!G1088</f>
        <v>3</v>
      </c>
      <c r="H1084" s="29" t="str">
        <f>Item_Enchant_Old!H1088</f>
        <v>@</v>
      </c>
      <c r="I1084" s="29">
        <f>Item_Enchant_Old!I1088</f>
        <v>1</v>
      </c>
      <c r="J1084" s="29" t="str">
        <f>Item_Enchant_Old!J1088</f>
        <v>절대값만 가능</v>
      </c>
      <c r="K1084" s="29">
        <f>Item_Enchant_Old!K1088</f>
        <v>21</v>
      </c>
      <c r="L1084" s="29">
        <f>Item_Enchant_Old!L1088</f>
        <v>0</v>
      </c>
      <c r="M1084" s="29">
        <f>Item_Enchant_Old!M1088</f>
        <v>2</v>
      </c>
      <c r="N1084" s="29">
        <f>Item_Enchant_Old!N1088</f>
        <v>41</v>
      </c>
      <c r="O1084" s="29">
        <f>Item_Enchant_Old!O1088</f>
        <v>1</v>
      </c>
      <c r="P1084" s="29">
        <f>Item_Enchant_Old!P1088</f>
        <v>1</v>
      </c>
      <c r="Q1084" s="29">
        <f>Item_Enchant_Old!Q1088</f>
        <v>1</v>
      </c>
      <c r="R1084" s="29">
        <f>Item_Enchant_Old!R1088</f>
        <v>1</v>
      </c>
    </row>
    <row r="1085" spans="1:18" s="29" customFormat="1" hidden="1">
      <c r="A1085" s="29">
        <f>Item_Enchant_Old!A1089</f>
        <v>1084</v>
      </c>
      <c r="B1085" s="29" t="str">
        <f>Item_Enchant_Old!B1089</f>
        <v>ACTIVE_PARALYZE_TOLERANCE_UP</v>
      </c>
      <c r="C1085" s="29">
        <f>Item_Enchant_Old!C1089</f>
        <v>638</v>
      </c>
      <c r="D1085" s="29">
        <f>Item_Enchant_Old!D1089</f>
        <v>1</v>
      </c>
      <c r="E1085" s="29">
        <f>Item_Enchant_Old!E1089</f>
        <v>0</v>
      </c>
      <c r="F1085" s="29">
        <f>Item_Enchant_Old!F1089</f>
        <v>0</v>
      </c>
      <c r="G1085" s="29">
        <f>Item_Enchant_Old!G1089</f>
        <v>1</v>
      </c>
      <c r="H1085" s="29" t="str">
        <f>Item_Enchant_Old!H1089</f>
        <v>@</v>
      </c>
      <c r="I1085" s="29">
        <f>Item_Enchant_Old!I1089</f>
        <v>1</v>
      </c>
      <c r="J1085" s="29" t="str">
        <f>Item_Enchant_Old!J1089</f>
        <v>절대값/상대값(%) 가능</v>
      </c>
      <c r="K1085" s="29">
        <f>Item_Enchant_Old!K1089</f>
        <v>22</v>
      </c>
      <c r="L1085" s="29">
        <f>Item_Enchant_Old!L1089</f>
        <v>0</v>
      </c>
      <c r="M1085" s="29">
        <f>Item_Enchant_Old!M1089</f>
        <v>1</v>
      </c>
      <c r="N1085" s="29">
        <f>Item_Enchant_Old!N1089</f>
        <v>220</v>
      </c>
      <c r="O1085" s="29">
        <f>Item_Enchant_Old!O1089</f>
        <v>1</v>
      </c>
      <c r="P1085" s="29">
        <f>Item_Enchant_Old!P1089</f>
        <v>1</v>
      </c>
      <c r="Q1085" s="29">
        <f>Item_Enchant_Old!Q1089</f>
        <v>1</v>
      </c>
      <c r="R1085" s="29">
        <f>Item_Enchant_Old!R1089</f>
        <v>1</v>
      </c>
    </row>
    <row r="1086" spans="1:18" s="29" customFormat="1" hidden="1">
      <c r="A1086" s="29">
        <f>Item_Enchant_Old!A1090</f>
        <v>1085</v>
      </c>
      <c r="B1086" s="29" t="str">
        <f>Item_Enchant_Old!B1090</f>
        <v>ACTIVE_TERROR_TOLERANCE_UP</v>
      </c>
      <c r="C1086" s="29">
        <f>Item_Enchant_Old!C1090</f>
        <v>639</v>
      </c>
      <c r="D1086" s="29">
        <f>Item_Enchant_Old!D1090</f>
        <v>1</v>
      </c>
      <c r="E1086" s="29">
        <f>Item_Enchant_Old!E1090</f>
        <v>0</v>
      </c>
      <c r="F1086" s="29">
        <f>Item_Enchant_Old!F1090</f>
        <v>0</v>
      </c>
      <c r="G1086" s="29">
        <f>Item_Enchant_Old!G1090</f>
        <v>1</v>
      </c>
      <c r="H1086" s="29" t="str">
        <f>Item_Enchant_Old!H1090</f>
        <v>@</v>
      </c>
      <c r="I1086" s="29">
        <f>Item_Enchant_Old!I1090</f>
        <v>1</v>
      </c>
      <c r="J1086" s="29" t="str">
        <f>Item_Enchant_Old!J1090</f>
        <v>절대값/상대값(%) 가능</v>
      </c>
      <c r="K1086" s="29">
        <f>Item_Enchant_Old!K1090</f>
        <v>22</v>
      </c>
      <c r="L1086" s="29">
        <f>Item_Enchant_Old!L1090</f>
        <v>0</v>
      </c>
      <c r="M1086" s="29">
        <f>Item_Enchant_Old!M1090</f>
        <v>1</v>
      </c>
      <c r="N1086" s="29">
        <f>Item_Enchant_Old!N1090</f>
        <v>220</v>
      </c>
      <c r="O1086" s="29">
        <f>Item_Enchant_Old!O1090</f>
        <v>1</v>
      </c>
      <c r="P1086" s="29">
        <f>Item_Enchant_Old!P1090</f>
        <v>1</v>
      </c>
      <c r="Q1086" s="29">
        <f>Item_Enchant_Old!Q1090</f>
        <v>1</v>
      </c>
      <c r="R1086" s="29">
        <f>Item_Enchant_Old!R1090</f>
        <v>1</v>
      </c>
    </row>
    <row r="1087" spans="1:18" s="29" customFormat="1" hidden="1">
      <c r="A1087" s="29">
        <f>Item_Enchant_Old!A1091</f>
        <v>1086</v>
      </c>
      <c r="B1087" s="29" t="str">
        <f>Item_Enchant_Old!B1091</f>
        <v>ACTIVE_CONFUSE_TOLERANCE_UP</v>
      </c>
      <c r="C1087" s="29">
        <f>Item_Enchant_Old!C1091</f>
        <v>640</v>
      </c>
      <c r="D1087" s="29">
        <f>Item_Enchant_Old!D1091</f>
        <v>1</v>
      </c>
      <c r="E1087" s="29">
        <f>Item_Enchant_Old!E1091</f>
        <v>0</v>
      </c>
      <c r="F1087" s="29">
        <f>Item_Enchant_Old!F1091</f>
        <v>0</v>
      </c>
      <c r="G1087" s="29">
        <f>Item_Enchant_Old!G1091</f>
        <v>1</v>
      </c>
      <c r="H1087" s="29" t="str">
        <f>Item_Enchant_Old!H1091</f>
        <v>@</v>
      </c>
      <c r="I1087" s="29">
        <f>Item_Enchant_Old!I1091</f>
        <v>1</v>
      </c>
      <c r="J1087" s="29" t="str">
        <f>Item_Enchant_Old!J1091</f>
        <v>절대값/상대값(%) 가능</v>
      </c>
      <c r="K1087" s="29">
        <f>Item_Enchant_Old!K1091</f>
        <v>22</v>
      </c>
      <c r="L1087" s="29">
        <f>Item_Enchant_Old!L1091</f>
        <v>0</v>
      </c>
      <c r="M1087" s="29">
        <f>Item_Enchant_Old!M1091</f>
        <v>1</v>
      </c>
      <c r="N1087" s="29">
        <f>Item_Enchant_Old!N1091</f>
        <v>220</v>
      </c>
      <c r="O1087" s="29">
        <f>Item_Enchant_Old!O1091</f>
        <v>1</v>
      </c>
      <c r="P1087" s="29">
        <f>Item_Enchant_Old!P1091</f>
        <v>1</v>
      </c>
      <c r="Q1087" s="29">
        <f>Item_Enchant_Old!Q1091</f>
        <v>1</v>
      </c>
      <c r="R1087" s="29">
        <f>Item_Enchant_Old!R1091</f>
        <v>1</v>
      </c>
    </row>
    <row r="1088" spans="1:18" s="29" customFormat="1" hidden="1">
      <c r="A1088" s="29">
        <f>Item_Enchant_Old!A1092</f>
        <v>1087</v>
      </c>
      <c r="B1088" s="29" t="str">
        <f>Item_Enchant_Old!B1092</f>
        <v>ACTIVE_STONE_TOLERANCE_UP</v>
      </c>
      <c r="C1088" s="29">
        <f>Item_Enchant_Old!C1092</f>
        <v>641</v>
      </c>
      <c r="D1088" s="29">
        <f>Item_Enchant_Old!D1092</f>
        <v>1</v>
      </c>
      <c r="E1088" s="29">
        <f>Item_Enchant_Old!E1092</f>
        <v>0</v>
      </c>
      <c r="F1088" s="29">
        <f>Item_Enchant_Old!F1092</f>
        <v>0</v>
      </c>
      <c r="G1088" s="29">
        <f>Item_Enchant_Old!G1092</f>
        <v>1</v>
      </c>
      <c r="H1088" s="29" t="str">
        <f>Item_Enchant_Old!H1092</f>
        <v>@</v>
      </c>
      <c r="I1088" s="29">
        <f>Item_Enchant_Old!I1092</f>
        <v>1</v>
      </c>
      <c r="J1088" s="29" t="str">
        <f>Item_Enchant_Old!J1092</f>
        <v>절대값/상대값(%) 가능</v>
      </c>
      <c r="K1088" s="29">
        <f>Item_Enchant_Old!K1092</f>
        <v>22</v>
      </c>
      <c r="L1088" s="29">
        <f>Item_Enchant_Old!L1092</f>
        <v>0</v>
      </c>
      <c r="M1088" s="29">
        <f>Item_Enchant_Old!M1092</f>
        <v>1</v>
      </c>
      <c r="N1088" s="29">
        <f>Item_Enchant_Old!N1092</f>
        <v>220</v>
      </c>
      <c r="O1088" s="29">
        <f>Item_Enchant_Old!O1092</f>
        <v>1</v>
      </c>
      <c r="P1088" s="29">
        <f>Item_Enchant_Old!P1092</f>
        <v>1</v>
      </c>
      <c r="Q1088" s="29">
        <f>Item_Enchant_Old!Q1092</f>
        <v>1</v>
      </c>
      <c r="R1088" s="29">
        <f>Item_Enchant_Old!R1092</f>
        <v>1</v>
      </c>
    </row>
    <row r="1089" spans="1:18" s="29" customFormat="1" hidden="1">
      <c r="A1089" s="29">
        <f>Item_Enchant_Old!A1093</f>
        <v>1088</v>
      </c>
      <c r="B1089" s="29" t="str">
        <f>Item_Enchant_Old!B1093</f>
        <v>ACTIVE_CANDY_TOLERANCE_UP</v>
      </c>
      <c r="C1089" s="29">
        <f>Item_Enchant_Old!C1093</f>
        <v>642</v>
      </c>
      <c r="D1089" s="29">
        <f>Item_Enchant_Old!D1093</f>
        <v>1</v>
      </c>
      <c r="E1089" s="29">
        <f>Item_Enchant_Old!E1093</f>
        <v>0</v>
      </c>
      <c r="F1089" s="29">
        <f>Item_Enchant_Old!F1093</f>
        <v>0</v>
      </c>
      <c r="G1089" s="29">
        <f>Item_Enchant_Old!G1093</f>
        <v>1</v>
      </c>
      <c r="H1089" s="29" t="str">
        <f>Item_Enchant_Old!H1093</f>
        <v>@</v>
      </c>
      <c r="I1089" s="29">
        <f>Item_Enchant_Old!I1093</f>
        <v>1</v>
      </c>
      <c r="J1089" s="29" t="str">
        <f>Item_Enchant_Old!J1093</f>
        <v>절대값/상대값(%) 가능</v>
      </c>
      <c r="K1089" s="29">
        <f>Item_Enchant_Old!K1093</f>
        <v>22</v>
      </c>
      <c r="L1089" s="29">
        <f>Item_Enchant_Old!L1093</f>
        <v>0</v>
      </c>
      <c r="M1089" s="29">
        <f>Item_Enchant_Old!M1093</f>
        <v>1</v>
      </c>
      <c r="N1089" s="29">
        <f>Item_Enchant_Old!N1093</f>
        <v>220</v>
      </c>
      <c r="O1089" s="29">
        <f>Item_Enchant_Old!O1093</f>
        <v>1</v>
      </c>
      <c r="P1089" s="29">
        <f>Item_Enchant_Old!P1093</f>
        <v>1</v>
      </c>
      <c r="Q1089" s="29">
        <f>Item_Enchant_Old!Q1093</f>
        <v>1</v>
      </c>
      <c r="R1089" s="29">
        <f>Item_Enchant_Old!R1093</f>
        <v>1</v>
      </c>
    </row>
    <row r="1090" spans="1:18" s="29" customFormat="1" hidden="1">
      <c r="A1090" s="29">
        <f>Item_Enchant_Old!A1094</f>
        <v>1089</v>
      </c>
      <c r="B1090" s="29" t="str">
        <f>Item_Enchant_Old!B1094</f>
        <v>ACTIVE_HONEST_OFFENCE_UP</v>
      </c>
      <c r="C1090" s="29">
        <f>Item_Enchant_Old!C1094</f>
        <v>672</v>
      </c>
      <c r="D1090" s="29">
        <f>Item_Enchant_Old!D1094</f>
        <v>0</v>
      </c>
      <c r="E1090" s="29">
        <f>Item_Enchant_Old!E1094</f>
        <v>0</v>
      </c>
      <c r="F1090" s="29">
        <f>Item_Enchant_Old!F1094</f>
        <v>0</v>
      </c>
      <c r="G1090" s="29">
        <f>Item_Enchant_Old!G1094</f>
        <v>3</v>
      </c>
      <c r="H1090" s="29" t="str">
        <f>Item_Enchant_Old!H1094</f>
        <v>@</v>
      </c>
      <c r="I1090" s="29">
        <f>Item_Enchant_Old!I1094</f>
        <v>1</v>
      </c>
      <c r="J1090" s="29" t="str">
        <f>Item_Enchant_Old!J1094</f>
        <v>절대값만 가능</v>
      </c>
      <c r="K1090" s="29">
        <f>Item_Enchant_Old!K1094</f>
        <v>22</v>
      </c>
      <c r="L1090" s="29">
        <f>Item_Enchant_Old!L1094</f>
        <v>0</v>
      </c>
      <c r="M1090" s="29">
        <f>Item_Enchant_Old!M1094</f>
        <v>1</v>
      </c>
      <c r="N1090" s="29">
        <f>Item_Enchant_Old!N1094</f>
        <v>41</v>
      </c>
      <c r="O1090" s="29">
        <f>Item_Enchant_Old!O1094</f>
        <v>1</v>
      </c>
      <c r="P1090" s="29">
        <f>Item_Enchant_Old!P1094</f>
        <v>1</v>
      </c>
      <c r="Q1090" s="29">
        <f>Item_Enchant_Old!Q1094</f>
        <v>1</v>
      </c>
      <c r="R1090" s="29">
        <f>Item_Enchant_Old!R1094</f>
        <v>1</v>
      </c>
    </row>
    <row r="1091" spans="1:18" s="29" customFormat="1" hidden="1">
      <c r="A1091" s="29">
        <f>Item_Enchant_Old!A1095</f>
        <v>1090</v>
      </c>
      <c r="B1091" s="29" t="str">
        <f>Item_Enchant_Old!B1095</f>
        <v>ACTIVE_PARALYZE_KEEPTIME_DOWN</v>
      </c>
      <c r="C1091" s="29">
        <f>Item_Enchant_Old!C1095</f>
        <v>643</v>
      </c>
      <c r="D1091" s="29">
        <f>Item_Enchant_Old!D1095</f>
        <v>1</v>
      </c>
      <c r="E1091" s="29">
        <f>Item_Enchant_Old!E1095</f>
        <v>0</v>
      </c>
      <c r="F1091" s="29">
        <f>Item_Enchant_Old!F1095</f>
        <v>0</v>
      </c>
      <c r="G1091" s="29">
        <f>Item_Enchant_Old!G1095</f>
        <v>5</v>
      </c>
      <c r="H1091" s="29" t="str">
        <f>Item_Enchant_Old!H1095</f>
        <v>@</v>
      </c>
      <c r="I1091" s="29">
        <f>Item_Enchant_Old!I1095</f>
        <v>1</v>
      </c>
      <c r="J1091" s="29" t="str">
        <f>Item_Enchant_Old!J1095</f>
        <v>상대값(%)값만 가능</v>
      </c>
      <c r="K1091" s="29">
        <f>Item_Enchant_Old!K1095</f>
        <v>22</v>
      </c>
      <c r="L1091" s="29">
        <f>Item_Enchant_Old!L1095</f>
        <v>0</v>
      </c>
      <c r="M1091" s="29">
        <f>Item_Enchant_Old!M1095</f>
        <v>2</v>
      </c>
      <c r="N1091" s="29">
        <f>Item_Enchant_Old!N1095</f>
        <v>20</v>
      </c>
      <c r="O1091" s="29">
        <f>Item_Enchant_Old!O1095</f>
        <v>1</v>
      </c>
      <c r="P1091" s="29">
        <f>Item_Enchant_Old!P1095</f>
        <v>1</v>
      </c>
      <c r="Q1091" s="29">
        <f>Item_Enchant_Old!Q1095</f>
        <v>1</v>
      </c>
      <c r="R1091" s="29">
        <f>Item_Enchant_Old!R1095</f>
        <v>1</v>
      </c>
    </row>
    <row r="1092" spans="1:18" s="29" customFormat="1" hidden="1">
      <c r="A1092" s="29">
        <f>Item_Enchant_Old!A1096</f>
        <v>1091</v>
      </c>
      <c r="B1092" s="29" t="str">
        <f>Item_Enchant_Old!B1096</f>
        <v>ACTIVE_TERROR_KEEPTIME_DOWN</v>
      </c>
      <c r="C1092" s="29">
        <f>Item_Enchant_Old!C1096</f>
        <v>644</v>
      </c>
      <c r="D1092" s="29">
        <f>Item_Enchant_Old!D1096</f>
        <v>1</v>
      </c>
      <c r="E1092" s="29">
        <f>Item_Enchant_Old!E1096</f>
        <v>0</v>
      </c>
      <c r="F1092" s="29">
        <f>Item_Enchant_Old!F1096</f>
        <v>0</v>
      </c>
      <c r="G1092" s="29">
        <f>Item_Enchant_Old!G1096</f>
        <v>5</v>
      </c>
      <c r="H1092" s="29" t="str">
        <f>Item_Enchant_Old!H1096</f>
        <v>@</v>
      </c>
      <c r="I1092" s="29">
        <f>Item_Enchant_Old!I1096</f>
        <v>1</v>
      </c>
      <c r="J1092" s="29" t="str">
        <f>Item_Enchant_Old!J1096</f>
        <v>상대값(%)값만 가능</v>
      </c>
      <c r="K1092" s="29">
        <f>Item_Enchant_Old!K1096</f>
        <v>22</v>
      </c>
      <c r="L1092" s="29">
        <f>Item_Enchant_Old!L1096</f>
        <v>0</v>
      </c>
      <c r="M1092" s="29">
        <f>Item_Enchant_Old!M1096</f>
        <v>2</v>
      </c>
      <c r="N1092" s="29">
        <f>Item_Enchant_Old!N1096</f>
        <v>20</v>
      </c>
      <c r="O1092" s="29">
        <f>Item_Enchant_Old!O1096</f>
        <v>1</v>
      </c>
      <c r="P1092" s="29">
        <f>Item_Enchant_Old!P1096</f>
        <v>1</v>
      </c>
      <c r="Q1092" s="29">
        <f>Item_Enchant_Old!Q1096</f>
        <v>1</v>
      </c>
      <c r="R1092" s="29">
        <f>Item_Enchant_Old!R1096</f>
        <v>1</v>
      </c>
    </row>
    <row r="1093" spans="1:18" s="29" customFormat="1" hidden="1">
      <c r="A1093" s="29">
        <f>Item_Enchant_Old!A1097</f>
        <v>1092</v>
      </c>
      <c r="B1093" s="29" t="str">
        <f>Item_Enchant_Old!B1097</f>
        <v>ACTIVE_CONFUSE_KEEPTIME_DOWN</v>
      </c>
      <c r="C1093" s="29">
        <f>Item_Enchant_Old!C1097</f>
        <v>645</v>
      </c>
      <c r="D1093" s="29">
        <f>Item_Enchant_Old!D1097</f>
        <v>1</v>
      </c>
      <c r="E1093" s="29">
        <f>Item_Enchant_Old!E1097</f>
        <v>0</v>
      </c>
      <c r="F1093" s="29">
        <f>Item_Enchant_Old!F1097</f>
        <v>0</v>
      </c>
      <c r="G1093" s="29">
        <f>Item_Enchant_Old!G1097</f>
        <v>5</v>
      </c>
      <c r="H1093" s="29" t="str">
        <f>Item_Enchant_Old!H1097</f>
        <v>@</v>
      </c>
      <c r="I1093" s="29">
        <f>Item_Enchant_Old!I1097</f>
        <v>1</v>
      </c>
      <c r="J1093" s="29" t="str">
        <f>Item_Enchant_Old!J1097</f>
        <v>상대값(%)값만 가능</v>
      </c>
      <c r="K1093" s="29">
        <f>Item_Enchant_Old!K1097</f>
        <v>22</v>
      </c>
      <c r="L1093" s="29">
        <f>Item_Enchant_Old!L1097</f>
        <v>0</v>
      </c>
      <c r="M1093" s="29">
        <f>Item_Enchant_Old!M1097</f>
        <v>2</v>
      </c>
      <c r="N1093" s="29">
        <f>Item_Enchant_Old!N1097</f>
        <v>20</v>
      </c>
      <c r="O1093" s="29">
        <f>Item_Enchant_Old!O1097</f>
        <v>1</v>
      </c>
      <c r="P1093" s="29">
        <f>Item_Enchant_Old!P1097</f>
        <v>1</v>
      </c>
      <c r="Q1093" s="29">
        <f>Item_Enchant_Old!Q1097</f>
        <v>1</v>
      </c>
      <c r="R1093" s="29">
        <f>Item_Enchant_Old!R1097</f>
        <v>1</v>
      </c>
    </row>
    <row r="1094" spans="1:18" s="29" customFormat="1" hidden="1">
      <c r="A1094" s="29">
        <f>Item_Enchant_Old!A1098</f>
        <v>1093</v>
      </c>
      <c r="B1094" s="29" t="str">
        <f>Item_Enchant_Old!B1098</f>
        <v>ACTIVE_STONE_KEEPTIME_DOWN</v>
      </c>
      <c r="C1094" s="29">
        <f>Item_Enchant_Old!C1098</f>
        <v>646</v>
      </c>
      <c r="D1094" s="29">
        <f>Item_Enchant_Old!D1098</f>
        <v>1</v>
      </c>
      <c r="E1094" s="29">
        <f>Item_Enchant_Old!E1098</f>
        <v>0</v>
      </c>
      <c r="F1094" s="29">
        <f>Item_Enchant_Old!F1098</f>
        <v>0</v>
      </c>
      <c r="G1094" s="29">
        <f>Item_Enchant_Old!G1098</f>
        <v>5</v>
      </c>
      <c r="H1094" s="29" t="str">
        <f>Item_Enchant_Old!H1098</f>
        <v>@</v>
      </c>
      <c r="I1094" s="29">
        <f>Item_Enchant_Old!I1098</f>
        <v>1</v>
      </c>
      <c r="J1094" s="29" t="str">
        <f>Item_Enchant_Old!J1098</f>
        <v>상대값(%)값만 가능</v>
      </c>
      <c r="K1094" s="29">
        <f>Item_Enchant_Old!K1098</f>
        <v>22</v>
      </c>
      <c r="L1094" s="29">
        <f>Item_Enchant_Old!L1098</f>
        <v>0</v>
      </c>
      <c r="M1094" s="29">
        <f>Item_Enchant_Old!M1098</f>
        <v>2</v>
      </c>
      <c r="N1094" s="29">
        <f>Item_Enchant_Old!N1098</f>
        <v>20</v>
      </c>
      <c r="O1094" s="29">
        <f>Item_Enchant_Old!O1098</f>
        <v>1</v>
      </c>
      <c r="P1094" s="29">
        <f>Item_Enchant_Old!P1098</f>
        <v>1</v>
      </c>
      <c r="Q1094" s="29">
        <f>Item_Enchant_Old!Q1098</f>
        <v>1</v>
      </c>
      <c r="R1094" s="29">
        <f>Item_Enchant_Old!R1098</f>
        <v>1</v>
      </c>
    </row>
    <row r="1095" spans="1:18" s="29" customFormat="1" hidden="1">
      <c r="A1095" s="29">
        <f>Item_Enchant_Old!A1099</f>
        <v>1094</v>
      </c>
      <c r="B1095" s="29" t="str">
        <f>Item_Enchant_Old!B1099</f>
        <v>ACTIVE_CANDY_KEEPTIME_DOWN</v>
      </c>
      <c r="C1095" s="29">
        <f>Item_Enchant_Old!C1099</f>
        <v>647</v>
      </c>
      <c r="D1095" s="29">
        <f>Item_Enchant_Old!D1099</f>
        <v>1</v>
      </c>
      <c r="E1095" s="29">
        <f>Item_Enchant_Old!E1099</f>
        <v>0</v>
      </c>
      <c r="F1095" s="29">
        <f>Item_Enchant_Old!F1099</f>
        <v>0</v>
      </c>
      <c r="G1095" s="29">
        <f>Item_Enchant_Old!G1099</f>
        <v>5</v>
      </c>
      <c r="H1095" s="29" t="str">
        <f>Item_Enchant_Old!H1099</f>
        <v>@</v>
      </c>
      <c r="I1095" s="29">
        <f>Item_Enchant_Old!I1099</f>
        <v>1</v>
      </c>
      <c r="J1095" s="29" t="str">
        <f>Item_Enchant_Old!J1099</f>
        <v>상대값(%)값만 가능</v>
      </c>
      <c r="K1095" s="29">
        <f>Item_Enchant_Old!K1099</f>
        <v>22</v>
      </c>
      <c r="L1095" s="29">
        <f>Item_Enchant_Old!L1099</f>
        <v>0</v>
      </c>
      <c r="M1095" s="29">
        <f>Item_Enchant_Old!M1099</f>
        <v>2</v>
      </c>
      <c r="N1095" s="29">
        <f>Item_Enchant_Old!N1099</f>
        <v>20</v>
      </c>
      <c r="O1095" s="29">
        <f>Item_Enchant_Old!O1099</f>
        <v>1</v>
      </c>
      <c r="P1095" s="29">
        <f>Item_Enchant_Old!P1099</f>
        <v>1</v>
      </c>
      <c r="Q1095" s="29">
        <f>Item_Enchant_Old!Q1099</f>
        <v>1</v>
      </c>
      <c r="R1095" s="29">
        <f>Item_Enchant_Old!R1099</f>
        <v>1</v>
      </c>
    </row>
    <row r="1096" spans="1:18" s="29" customFormat="1" hidden="1">
      <c r="A1096" s="29">
        <f>Item_Enchant_Old!A1100</f>
        <v>1095</v>
      </c>
      <c r="B1096" s="29" t="str">
        <f>Item_Enchant_Old!B1100</f>
        <v>ACTIVE_STRANGE_OFFENCE_UP</v>
      </c>
      <c r="C1096" s="29">
        <f>Item_Enchant_Old!C1100</f>
        <v>673</v>
      </c>
      <c r="D1096" s="29">
        <f>Item_Enchant_Old!D1100</f>
        <v>0</v>
      </c>
      <c r="E1096" s="29">
        <f>Item_Enchant_Old!E1100</f>
        <v>0</v>
      </c>
      <c r="F1096" s="29">
        <f>Item_Enchant_Old!F1100</f>
        <v>0</v>
      </c>
      <c r="G1096" s="29">
        <f>Item_Enchant_Old!G1100</f>
        <v>3</v>
      </c>
      <c r="H1096" s="29" t="str">
        <f>Item_Enchant_Old!H1100</f>
        <v>@</v>
      </c>
      <c r="I1096" s="29">
        <f>Item_Enchant_Old!I1100</f>
        <v>1</v>
      </c>
      <c r="J1096" s="29" t="str">
        <f>Item_Enchant_Old!J1100</f>
        <v>절대값만 가능</v>
      </c>
      <c r="K1096" s="29">
        <f>Item_Enchant_Old!K1100</f>
        <v>22</v>
      </c>
      <c r="L1096" s="29">
        <f>Item_Enchant_Old!L1100</f>
        <v>0</v>
      </c>
      <c r="M1096" s="29">
        <f>Item_Enchant_Old!M1100</f>
        <v>2</v>
      </c>
      <c r="N1096" s="29">
        <f>Item_Enchant_Old!N1100</f>
        <v>41</v>
      </c>
      <c r="O1096" s="29">
        <f>Item_Enchant_Old!O1100</f>
        <v>1</v>
      </c>
      <c r="P1096" s="29">
        <f>Item_Enchant_Old!P1100</f>
        <v>1</v>
      </c>
      <c r="Q1096" s="29">
        <f>Item_Enchant_Old!Q1100</f>
        <v>1</v>
      </c>
      <c r="R1096" s="29">
        <f>Item_Enchant_Old!R1100</f>
        <v>1</v>
      </c>
    </row>
    <row r="1097" spans="1:18" s="29" customFormat="1" hidden="1">
      <c r="A1097" s="29">
        <f>Item_Enchant_Old!A1101</f>
        <v>1096</v>
      </c>
      <c r="B1097" s="29" t="str">
        <f>Item_Enchant_Old!B1101</f>
        <v>ACTIVE_BLEEDING_KEEPTIME_DOWN</v>
      </c>
      <c r="C1097" s="29">
        <f>Item_Enchant_Old!C1101</f>
        <v>648</v>
      </c>
      <c r="D1097" s="29">
        <f>Item_Enchant_Old!D1101</f>
        <v>1</v>
      </c>
      <c r="E1097" s="29">
        <f>Item_Enchant_Old!E1101</f>
        <v>0</v>
      </c>
      <c r="F1097" s="29">
        <f>Item_Enchant_Old!F1101</f>
        <v>0</v>
      </c>
      <c r="G1097" s="29">
        <f>Item_Enchant_Old!G1101</f>
        <v>5</v>
      </c>
      <c r="H1097" s="29" t="str">
        <f>Item_Enchant_Old!H1101</f>
        <v>@</v>
      </c>
      <c r="I1097" s="29">
        <f>Item_Enchant_Old!I1101</f>
        <v>1</v>
      </c>
      <c r="J1097" s="29" t="str">
        <f>Item_Enchant_Old!J1101</f>
        <v>상대값(%)값만 가능</v>
      </c>
      <c r="K1097" s="29">
        <f>Item_Enchant_Old!K1101</f>
        <v>22</v>
      </c>
      <c r="L1097" s="29">
        <f>Item_Enchant_Old!L1101</f>
        <v>0</v>
      </c>
      <c r="M1097" s="29">
        <f>Item_Enchant_Old!M1101</f>
        <v>3</v>
      </c>
      <c r="N1097" s="29">
        <f>Item_Enchant_Old!N1101</f>
        <v>20</v>
      </c>
      <c r="O1097" s="29">
        <f>Item_Enchant_Old!O1101</f>
        <v>1</v>
      </c>
      <c r="P1097" s="29">
        <f>Item_Enchant_Old!P1101</f>
        <v>1</v>
      </c>
      <c r="Q1097" s="29">
        <f>Item_Enchant_Old!Q1101</f>
        <v>1</v>
      </c>
      <c r="R1097" s="29">
        <f>Item_Enchant_Old!R1101</f>
        <v>1</v>
      </c>
    </row>
    <row r="1098" spans="1:18" s="29" customFormat="1" hidden="1">
      <c r="A1098" s="29">
        <f>Item_Enchant_Old!A1102</f>
        <v>1097</v>
      </c>
      <c r="B1098" s="29" t="str">
        <f>Item_Enchant_Old!B1102</f>
        <v>ACTIVE_POISON_KEEPTIME_DOWN</v>
      </c>
      <c r="C1098" s="29">
        <f>Item_Enchant_Old!C1102</f>
        <v>649</v>
      </c>
      <c r="D1098" s="29">
        <f>Item_Enchant_Old!D1102</f>
        <v>1</v>
      </c>
      <c r="E1098" s="29">
        <f>Item_Enchant_Old!E1102</f>
        <v>0</v>
      </c>
      <c r="F1098" s="29">
        <f>Item_Enchant_Old!F1102</f>
        <v>0</v>
      </c>
      <c r="G1098" s="29">
        <f>Item_Enchant_Old!G1102</f>
        <v>5</v>
      </c>
      <c r="H1098" s="29" t="str">
        <f>Item_Enchant_Old!H1102</f>
        <v>@</v>
      </c>
      <c r="I1098" s="29">
        <f>Item_Enchant_Old!I1102</f>
        <v>1</v>
      </c>
      <c r="J1098" s="29" t="str">
        <f>Item_Enchant_Old!J1102</f>
        <v>상대값(%)값만 가능</v>
      </c>
      <c r="K1098" s="29">
        <f>Item_Enchant_Old!K1102</f>
        <v>22</v>
      </c>
      <c r="L1098" s="29">
        <f>Item_Enchant_Old!L1102</f>
        <v>0</v>
      </c>
      <c r="M1098" s="29">
        <f>Item_Enchant_Old!M1102</f>
        <v>3</v>
      </c>
      <c r="N1098" s="29">
        <f>Item_Enchant_Old!N1102</f>
        <v>20</v>
      </c>
      <c r="O1098" s="29">
        <f>Item_Enchant_Old!O1102</f>
        <v>1</v>
      </c>
      <c r="P1098" s="29">
        <f>Item_Enchant_Old!P1102</f>
        <v>1</v>
      </c>
      <c r="Q1098" s="29">
        <f>Item_Enchant_Old!Q1102</f>
        <v>1</v>
      </c>
      <c r="R1098" s="29">
        <f>Item_Enchant_Old!R1102</f>
        <v>1</v>
      </c>
    </row>
    <row r="1099" spans="1:18" s="29" customFormat="1" hidden="1">
      <c r="A1099" s="29">
        <f>Item_Enchant_Old!A1103</f>
        <v>1098</v>
      </c>
      <c r="B1099" s="29" t="str">
        <f>Item_Enchant_Old!B1103</f>
        <v>ACTIVE_STOMACHACHE_KEEPTIME_DOWN</v>
      </c>
      <c r="C1099" s="29">
        <f>Item_Enchant_Old!C1103</f>
        <v>650</v>
      </c>
      <c r="D1099" s="29">
        <f>Item_Enchant_Old!D1103</f>
        <v>1</v>
      </c>
      <c r="E1099" s="29">
        <f>Item_Enchant_Old!E1103</f>
        <v>0</v>
      </c>
      <c r="F1099" s="29">
        <f>Item_Enchant_Old!F1103</f>
        <v>0</v>
      </c>
      <c r="G1099" s="29">
        <f>Item_Enchant_Old!G1103</f>
        <v>5</v>
      </c>
      <c r="H1099" s="29" t="str">
        <f>Item_Enchant_Old!H1103</f>
        <v>@</v>
      </c>
      <c r="I1099" s="29">
        <f>Item_Enchant_Old!I1103</f>
        <v>1</v>
      </c>
      <c r="J1099" s="29" t="str">
        <f>Item_Enchant_Old!J1103</f>
        <v>상대값(%)값만 가능</v>
      </c>
      <c r="K1099" s="29">
        <f>Item_Enchant_Old!K1103</f>
        <v>22</v>
      </c>
      <c r="L1099" s="29">
        <f>Item_Enchant_Old!L1103</f>
        <v>0</v>
      </c>
      <c r="M1099" s="29">
        <f>Item_Enchant_Old!M1103</f>
        <v>3</v>
      </c>
      <c r="N1099" s="29">
        <f>Item_Enchant_Old!N1103</f>
        <v>20</v>
      </c>
      <c r="O1099" s="29">
        <f>Item_Enchant_Old!O1103</f>
        <v>1</v>
      </c>
      <c r="P1099" s="29">
        <f>Item_Enchant_Old!P1103</f>
        <v>1</v>
      </c>
      <c r="Q1099" s="29">
        <f>Item_Enchant_Old!Q1103</f>
        <v>1</v>
      </c>
      <c r="R1099" s="29">
        <f>Item_Enchant_Old!R1103</f>
        <v>1</v>
      </c>
    </row>
    <row r="1100" spans="1:18" s="29" customFormat="1" hidden="1">
      <c r="A1100" s="29">
        <f>Item_Enchant_Old!A1104</f>
        <v>1099</v>
      </c>
      <c r="B1100" s="29" t="str">
        <f>Item_Enchant_Old!B1104</f>
        <v>ACTIVE_WILD_OFFENCE_UP</v>
      </c>
      <c r="C1100" s="29">
        <f>Item_Enchant_Old!C1104</f>
        <v>674</v>
      </c>
      <c r="D1100" s="29">
        <f>Item_Enchant_Old!D1104</f>
        <v>0</v>
      </c>
      <c r="E1100" s="29">
        <f>Item_Enchant_Old!E1104</f>
        <v>0</v>
      </c>
      <c r="F1100" s="29">
        <f>Item_Enchant_Old!F1104</f>
        <v>0</v>
      </c>
      <c r="G1100" s="29">
        <f>Item_Enchant_Old!G1104</f>
        <v>3</v>
      </c>
      <c r="H1100" s="29" t="str">
        <f>Item_Enchant_Old!H1104</f>
        <v>@</v>
      </c>
      <c r="I1100" s="29">
        <f>Item_Enchant_Old!I1104</f>
        <v>1</v>
      </c>
      <c r="J1100" s="29" t="str">
        <f>Item_Enchant_Old!J1104</f>
        <v>절대값만 가능</v>
      </c>
      <c r="K1100" s="29">
        <f>Item_Enchant_Old!K1104</f>
        <v>22</v>
      </c>
      <c r="L1100" s="29">
        <f>Item_Enchant_Old!L1104</f>
        <v>0</v>
      </c>
      <c r="M1100" s="29">
        <f>Item_Enchant_Old!M1104</f>
        <v>3</v>
      </c>
      <c r="N1100" s="29">
        <f>Item_Enchant_Old!N1104</f>
        <v>41</v>
      </c>
      <c r="O1100" s="29">
        <f>Item_Enchant_Old!O1104</f>
        <v>1</v>
      </c>
      <c r="P1100" s="29">
        <f>Item_Enchant_Old!P1104</f>
        <v>1</v>
      </c>
      <c r="Q1100" s="29">
        <f>Item_Enchant_Old!Q1104</f>
        <v>1</v>
      </c>
      <c r="R1100" s="29">
        <f>Item_Enchant_Old!R1104</f>
        <v>1</v>
      </c>
    </row>
    <row r="1101" spans="1:18" s="29" customFormat="1" hidden="1">
      <c r="A1101" s="29">
        <f>Item_Enchant_Old!A1105</f>
        <v>1100</v>
      </c>
      <c r="B1101" s="29" t="str">
        <f>Item_Enchant_Old!B1105</f>
        <v>ACTIVE_ELEGANCE_OFFENCE_UP</v>
      </c>
      <c r="C1101" s="29">
        <f>Item_Enchant_Old!C1105</f>
        <v>675</v>
      </c>
      <c r="D1101" s="29">
        <f>Item_Enchant_Old!D1105</f>
        <v>0</v>
      </c>
      <c r="E1101" s="29">
        <f>Item_Enchant_Old!E1105</f>
        <v>0</v>
      </c>
      <c r="F1101" s="29">
        <f>Item_Enchant_Old!F1105</f>
        <v>0</v>
      </c>
      <c r="G1101" s="29">
        <f>Item_Enchant_Old!G1105</f>
        <v>3</v>
      </c>
      <c r="H1101" s="29" t="str">
        <f>Item_Enchant_Old!H1105</f>
        <v>@</v>
      </c>
      <c r="I1101" s="29">
        <f>Item_Enchant_Old!I1105</f>
        <v>1</v>
      </c>
      <c r="J1101" s="29" t="str">
        <f>Item_Enchant_Old!J1105</f>
        <v>절대값만 가능</v>
      </c>
      <c r="K1101" s="29">
        <f>Item_Enchant_Old!K1105</f>
        <v>22</v>
      </c>
      <c r="L1101" s="29">
        <f>Item_Enchant_Old!L1105</f>
        <v>0</v>
      </c>
      <c r="M1101" s="29">
        <f>Item_Enchant_Old!M1105</f>
        <v>3</v>
      </c>
      <c r="N1101" s="29">
        <f>Item_Enchant_Old!N1105</f>
        <v>41</v>
      </c>
      <c r="O1101" s="29">
        <f>Item_Enchant_Old!O1105</f>
        <v>1</v>
      </c>
      <c r="P1101" s="29">
        <f>Item_Enchant_Old!P1105</f>
        <v>1</v>
      </c>
      <c r="Q1101" s="29">
        <f>Item_Enchant_Old!Q1105</f>
        <v>1</v>
      </c>
      <c r="R1101" s="29">
        <f>Item_Enchant_Old!R1105</f>
        <v>1</v>
      </c>
    </row>
    <row r="1102" spans="1:18" s="29" customFormat="1" hidden="1">
      <c r="A1102" s="29">
        <f>Item_Enchant_Old!A1106</f>
        <v>1101</v>
      </c>
      <c r="B1102" s="29" t="str">
        <f>Item_Enchant_Old!B1106</f>
        <v>ACTIVE_STOMACHACHE_DEFENCE</v>
      </c>
      <c r="C1102" s="29">
        <f>Item_Enchant_Old!C1106</f>
        <v>679</v>
      </c>
      <c r="D1102" s="29">
        <f>Item_Enchant_Old!D1106</f>
        <v>0</v>
      </c>
      <c r="E1102" s="29">
        <f>Item_Enchant_Old!E1106</f>
        <v>0</v>
      </c>
      <c r="F1102" s="29">
        <f>Item_Enchant_Old!F1106</f>
        <v>0</v>
      </c>
      <c r="G1102" s="29">
        <f>Item_Enchant_Old!G1106</f>
        <v>1</v>
      </c>
      <c r="H1102" s="29" t="str">
        <f>Item_Enchant_Old!H1106</f>
        <v>@</v>
      </c>
      <c r="I1102" s="29">
        <f>Item_Enchant_Old!I1106</f>
        <v>1</v>
      </c>
      <c r="J1102" s="29" t="str">
        <f>Item_Enchant_Old!J1106</f>
        <v>절대값/상대값(%) 가능</v>
      </c>
      <c r="K1102" s="29">
        <f>Item_Enchant_Old!K1106</f>
        <v>22</v>
      </c>
      <c r="L1102" s="29">
        <f>Item_Enchant_Old!L1106</f>
        <v>0</v>
      </c>
      <c r="M1102" s="29">
        <f>Item_Enchant_Old!M1106</f>
        <v>4</v>
      </c>
      <c r="N1102" s="29">
        <f>Item_Enchant_Old!N1106</f>
        <v>1350</v>
      </c>
      <c r="O1102" s="29">
        <f>Item_Enchant_Old!O1106</f>
        <v>1</v>
      </c>
      <c r="P1102" s="29">
        <f>Item_Enchant_Old!P1106</f>
        <v>1</v>
      </c>
      <c r="Q1102" s="29">
        <f>Item_Enchant_Old!Q1106</f>
        <v>1</v>
      </c>
      <c r="R1102" s="29">
        <f>Item_Enchant_Old!R1106</f>
        <v>1</v>
      </c>
    </row>
    <row r="1103" spans="1:18" s="29" customFormat="1" hidden="1">
      <c r="A1103" s="29">
        <f>Item_Enchant_Old!A1107</f>
        <v>1102</v>
      </c>
      <c r="B1103" s="29" t="str">
        <f>Item_Enchant_Old!B1107</f>
        <v>ACTIVE_POISON_DEFENCE</v>
      </c>
      <c r="C1103" s="29">
        <f>Item_Enchant_Old!C1107</f>
        <v>680</v>
      </c>
      <c r="D1103" s="29">
        <f>Item_Enchant_Old!D1107</f>
        <v>0</v>
      </c>
      <c r="E1103" s="29">
        <f>Item_Enchant_Old!E1107</f>
        <v>0</v>
      </c>
      <c r="F1103" s="29">
        <f>Item_Enchant_Old!F1107</f>
        <v>0</v>
      </c>
      <c r="G1103" s="29">
        <f>Item_Enchant_Old!G1107</f>
        <v>1</v>
      </c>
      <c r="H1103" s="29" t="str">
        <f>Item_Enchant_Old!H1107</f>
        <v>@</v>
      </c>
      <c r="I1103" s="29">
        <f>Item_Enchant_Old!I1107</f>
        <v>1</v>
      </c>
      <c r="J1103" s="29" t="str">
        <f>Item_Enchant_Old!J1107</f>
        <v>절대값/상대값(%) 가능</v>
      </c>
      <c r="K1103" s="29">
        <f>Item_Enchant_Old!K1107</f>
        <v>22</v>
      </c>
      <c r="L1103" s="29">
        <f>Item_Enchant_Old!L1107</f>
        <v>0</v>
      </c>
      <c r="M1103" s="29">
        <f>Item_Enchant_Old!M1107</f>
        <v>4</v>
      </c>
      <c r="N1103" s="29">
        <f>Item_Enchant_Old!N1107</f>
        <v>1350</v>
      </c>
      <c r="O1103" s="29">
        <f>Item_Enchant_Old!O1107</f>
        <v>1</v>
      </c>
      <c r="P1103" s="29">
        <f>Item_Enchant_Old!P1107</f>
        <v>1</v>
      </c>
      <c r="Q1103" s="29">
        <f>Item_Enchant_Old!Q1107</f>
        <v>1</v>
      </c>
      <c r="R1103" s="29">
        <f>Item_Enchant_Old!R1107</f>
        <v>1</v>
      </c>
    </row>
    <row r="1104" spans="1:18" s="29" customFormat="1" hidden="1">
      <c r="A1104" s="29">
        <f>Item_Enchant_Old!A1108</f>
        <v>1103</v>
      </c>
      <c r="B1104" s="29" t="str">
        <f>Item_Enchant_Old!B1108</f>
        <v>ACTIVE_BLEED_DEFENCE</v>
      </c>
      <c r="C1104" s="29">
        <f>Item_Enchant_Old!C1108</f>
        <v>681</v>
      </c>
      <c r="D1104" s="29">
        <f>Item_Enchant_Old!D1108</f>
        <v>0</v>
      </c>
      <c r="E1104" s="29">
        <f>Item_Enchant_Old!E1108</f>
        <v>0</v>
      </c>
      <c r="F1104" s="29">
        <f>Item_Enchant_Old!F1108</f>
        <v>0</v>
      </c>
      <c r="G1104" s="29">
        <f>Item_Enchant_Old!G1108</f>
        <v>1</v>
      </c>
      <c r="H1104" s="29" t="str">
        <f>Item_Enchant_Old!H1108</f>
        <v>@</v>
      </c>
      <c r="I1104" s="29">
        <f>Item_Enchant_Old!I1108</f>
        <v>1</v>
      </c>
      <c r="J1104" s="29" t="str">
        <f>Item_Enchant_Old!J1108</f>
        <v>절대값/상대값(%) 가능</v>
      </c>
      <c r="K1104" s="29">
        <f>Item_Enchant_Old!K1108</f>
        <v>22</v>
      </c>
      <c r="L1104" s="29">
        <f>Item_Enchant_Old!L1108</f>
        <v>0</v>
      </c>
      <c r="M1104" s="29">
        <f>Item_Enchant_Old!M1108</f>
        <v>4</v>
      </c>
      <c r="N1104" s="29">
        <f>Item_Enchant_Old!N1108</f>
        <v>1350</v>
      </c>
      <c r="O1104" s="29">
        <f>Item_Enchant_Old!O1108</f>
        <v>1</v>
      </c>
      <c r="P1104" s="29">
        <f>Item_Enchant_Old!P1108</f>
        <v>1</v>
      </c>
      <c r="Q1104" s="29">
        <f>Item_Enchant_Old!Q1108</f>
        <v>1</v>
      </c>
      <c r="R1104" s="29">
        <f>Item_Enchant_Old!R1108</f>
        <v>1</v>
      </c>
    </row>
    <row r="1105" spans="1:18" s="29" customFormat="1" hidden="1">
      <c r="A1105" s="29">
        <f>Item_Enchant_Old!A1109</f>
        <v>1104</v>
      </c>
      <c r="B1105" s="29" t="str">
        <f>Item_Enchant_Old!B1109</f>
        <v>ACTIVE_BURN_DEFENCE</v>
      </c>
      <c r="C1105" s="29">
        <f>Item_Enchant_Old!C1109</f>
        <v>682</v>
      </c>
      <c r="D1105" s="29">
        <f>Item_Enchant_Old!D1109</f>
        <v>0</v>
      </c>
      <c r="E1105" s="29">
        <f>Item_Enchant_Old!E1109</f>
        <v>0</v>
      </c>
      <c r="F1105" s="29">
        <f>Item_Enchant_Old!F1109</f>
        <v>0</v>
      </c>
      <c r="G1105" s="29">
        <f>Item_Enchant_Old!G1109</f>
        <v>1</v>
      </c>
      <c r="H1105" s="29" t="str">
        <f>Item_Enchant_Old!H1109</f>
        <v>@</v>
      </c>
      <c r="I1105" s="29">
        <f>Item_Enchant_Old!I1109</f>
        <v>1</v>
      </c>
      <c r="J1105" s="29" t="str">
        <f>Item_Enchant_Old!J1109</f>
        <v>절대값/상대값(%) 가능</v>
      </c>
      <c r="K1105" s="29">
        <f>Item_Enchant_Old!K1109</f>
        <v>22</v>
      </c>
      <c r="L1105" s="29">
        <f>Item_Enchant_Old!L1109</f>
        <v>0</v>
      </c>
      <c r="M1105" s="29">
        <f>Item_Enchant_Old!M1109</f>
        <v>4</v>
      </c>
      <c r="N1105" s="29">
        <f>Item_Enchant_Old!N1109</f>
        <v>1350</v>
      </c>
      <c r="O1105" s="29">
        <f>Item_Enchant_Old!O1109</f>
        <v>1</v>
      </c>
      <c r="P1105" s="29">
        <f>Item_Enchant_Old!P1109</f>
        <v>1</v>
      </c>
      <c r="Q1105" s="29">
        <f>Item_Enchant_Old!Q1109</f>
        <v>1</v>
      </c>
      <c r="R1105" s="29">
        <f>Item_Enchant_Old!R1109</f>
        <v>1</v>
      </c>
    </row>
    <row r="1106" spans="1:18" s="29" customFormat="1" hidden="1">
      <c r="A1106" s="29">
        <f>Item_Enchant_Old!A1110</f>
        <v>1105</v>
      </c>
      <c r="B1106" s="29" t="str">
        <f>Item_Enchant_Old!B1110</f>
        <v>ACTIVE_FUNNY_OFFENCE_UP</v>
      </c>
      <c r="C1106" s="29">
        <f>Item_Enchant_Old!C1110</f>
        <v>676</v>
      </c>
      <c r="D1106" s="29">
        <f>Item_Enchant_Old!D1110</f>
        <v>0</v>
      </c>
      <c r="E1106" s="29">
        <f>Item_Enchant_Old!E1110</f>
        <v>0</v>
      </c>
      <c r="F1106" s="29">
        <f>Item_Enchant_Old!F1110</f>
        <v>0</v>
      </c>
      <c r="G1106" s="29">
        <f>Item_Enchant_Old!G1110</f>
        <v>3</v>
      </c>
      <c r="H1106" s="29" t="str">
        <f>Item_Enchant_Old!H1110</f>
        <v>@</v>
      </c>
      <c r="I1106" s="29">
        <f>Item_Enchant_Old!I1110</f>
        <v>1</v>
      </c>
      <c r="J1106" s="29" t="str">
        <f>Item_Enchant_Old!J1110</f>
        <v>절대값만 가능</v>
      </c>
      <c r="K1106" s="29">
        <f>Item_Enchant_Old!K1110</f>
        <v>22</v>
      </c>
      <c r="L1106" s="29">
        <f>Item_Enchant_Old!L1110</f>
        <v>0</v>
      </c>
      <c r="M1106" s="29">
        <f>Item_Enchant_Old!M1110</f>
        <v>4</v>
      </c>
      <c r="N1106" s="29">
        <f>Item_Enchant_Old!N1110</f>
        <v>41</v>
      </c>
      <c r="O1106" s="29">
        <f>Item_Enchant_Old!O1110</f>
        <v>1</v>
      </c>
      <c r="P1106" s="29">
        <f>Item_Enchant_Old!P1110</f>
        <v>1</v>
      </c>
      <c r="Q1106" s="29">
        <f>Item_Enchant_Old!Q1110</f>
        <v>1</v>
      </c>
      <c r="R1106" s="29">
        <f>Item_Enchant_Old!R1110</f>
        <v>1</v>
      </c>
    </row>
    <row r="1107" spans="1:18">
      <c r="A1107" s="25">
        <f>Item_Enchant_Old!A1111</f>
        <v>2000</v>
      </c>
      <c r="B1107" s="25" t="str">
        <f>Item_Enchant_Old!B1111</f>
        <v>최대 LP 상승</v>
      </c>
      <c r="C1107" s="25">
        <f>Item_Enchant_Old!C1111</f>
        <v>603</v>
      </c>
      <c r="D1107" s="25">
        <f>Item_Enchant_Old!D1111</f>
        <v>0</v>
      </c>
      <c r="E1107" s="25">
        <f>Item_Enchant_Old!E1111</f>
        <v>0</v>
      </c>
      <c r="F1107" s="25">
        <f>Item_Enchant_Old!F1111</f>
        <v>1</v>
      </c>
      <c r="G1107" s="25">
        <f>Item_Enchant_Old!G1111</f>
        <v>1</v>
      </c>
      <c r="H1107" s="25" t="str">
        <f>Item_Enchant_Old!H1111</f>
        <v>@</v>
      </c>
      <c r="I1107" s="25">
        <f>Item_Enchant_Old!I1111</f>
        <v>3</v>
      </c>
      <c r="J1107" s="25">
        <f>Item_Enchant_Old!J1111</f>
        <v>20</v>
      </c>
      <c r="K1107" s="25">
        <f>Item_Enchant_Old!K1111</f>
        <v>0</v>
      </c>
      <c r="L1107" s="25">
        <f>Item_Enchant_Old!L1111</f>
        <v>12</v>
      </c>
      <c r="M1107" s="25">
        <f>Item_Enchant_Old!M1111</f>
        <v>1</v>
      </c>
      <c r="N1107" s="25">
        <f>Item_Enchant_Old!N1111</f>
        <v>0</v>
      </c>
      <c r="O1107" s="25">
        <f>Item_Enchant_Old!O1111</f>
        <v>1</v>
      </c>
      <c r="P1107" s="25">
        <f>Item_Enchant_Old!P1111</f>
        <v>1</v>
      </c>
      <c r="Q1107" s="25">
        <f>Item_Enchant_Old!Q1111</f>
        <v>1</v>
      </c>
      <c r="R1107" s="25">
        <f>Item_Enchant_Old!R1111</f>
        <v>1</v>
      </c>
    </row>
    <row r="1108" spans="1:18">
      <c r="A1108" s="25">
        <f>Item_Enchant_Old!A1112</f>
        <v>2001</v>
      </c>
      <c r="B1108" s="25" t="str">
        <f>Item_Enchant_Old!B1112</f>
        <v>최대 EP 상승</v>
      </c>
      <c r="C1108" s="25">
        <f>Item_Enchant_Old!C1112</f>
        <v>604</v>
      </c>
      <c r="D1108" s="25">
        <f>Item_Enchant_Old!D1112</f>
        <v>0</v>
      </c>
      <c r="E1108" s="25">
        <f>Item_Enchant_Old!E1112</f>
        <v>0</v>
      </c>
      <c r="F1108" s="25">
        <f>Item_Enchant_Old!F1112</f>
        <v>2</v>
      </c>
      <c r="G1108" s="25">
        <f>Item_Enchant_Old!G1112</f>
        <v>1</v>
      </c>
      <c r="H1108" s="25" t="str">
        <f>Item_Enchant_Old!H1112</f>
        <v>@</v>
      </c>
      <c r="I1108" s="25">
        <f>Item_Enchant_Old!I1112</f>
        <v>3</v>
      </c>
      <c r="J1108" s="25">
        <f>Item_Enchant_Old!J1112</f>
        <v>27</v>
      </c>
      <c r="K1108" s="25">
        <f>Item_Enchant_Old!K1112</f>
        <v>0</v>
      </c>
      <c r="L1108" s="25">
        <f>Item_Enchant_Old!L1112</f>
        <v>12</v>
      </c>
      <c r="M1108" s="25">
        <f>Item_Enchant_Old!M1112</f>
        <v>1</v>
      </c>
      <c r="N1108" s="25">
        <f>Item_Enchant_Old!N1112</f>
        <v>0</v>
      </c>
      <c r="O1108" s="25">
        <f>Item_Enchant_Old!O1112</f>
        <v>1</v>
      </c>
      <c r="P1108" s="25">
        <f>Item_Enchant_Old!P1112</f>
        <v>1</v>
      </c>
      <c r="Q1108" s="25">
        <f>Item_Enchant_Old!Q1112</f>
        <v>1</v>
      </c>
      <c r="R1108" s="25">
        <f>Item_Enchant_Old!R1112</f>
        <v>1</v>
      </c>
    </row>
    <row r="1109" spans="1:18">
      <c r="A1109" s="25">
        <f>Item_Enchant_Old!A1113</f>
        <v>2002</v>
      </c>
      <c r="B1109" s="25" t="str">
        <f>Item_Enchant_Old!B1113</f>
        <v>타격 공격력 상승</v>
      </c>
      <c r="C1109" s="25">
        <f>Item_Enchant_Old!C1113</f>
        <v>606</v>
      </c>
      <c r="D1109" s="25">
        <f>Item_Enchant_Old!D1113</f>
        <v>0</v>
      </c>
      <c r="E1109" s="25">
        <f>Item_Enchant_Old!E1113</f>
        <v>0</v>
      </c>
      <c r="F1109" s="25">
        <f>Item_Enchant_Old!F1113</f>
        <v>3</v>
      </c>
      <c r="G1109" s="25">
        <f>Item_Enchant_Old!G1113</f>
        <v>1</v>
      </c>
      <c r="H1109" s="25" t="str">
        <f>Item_Enchant_Old!H1113</f>
        <v>@</v>
      </c>
      <c r="I1109" s="25">
        <f>Item_Enchant_Old!I1113</f>
        <v>3</v>
      </c>
      <c r="J1109" s="25">
        <f>Item_Enchant_Old!J1113</f>
        <v>409</v>
      </c>
      <c r="K1109" s="25">
        <f>Item_Enchant_Old!K1113</f>
        <v>0</v>
      </c>
      <c r="L1109" s="25">
        <f>Item_Enchant_Old!L1113</f>
        <v>8707</v>
      </c>
      <c r="M1109" s="25">
        <f>Item_Enchant_Old!M1113</f>
        <v>1</v>
      </c>
      <c r="N1109" s="25">
        <f>Item_Enchant_Old!N1113</f>
        <v>0</v>
      </c>
      <c r="O1109" s="25">
        <f>Item_Enchant_Old!O1113</f>
        <v>1</v>
      </c>
      <c r="P1109" s="25">
        <f>Item_Enchant_Old!P1113</f>
        <v>1</v>
      </c>
      <c r="Q1109" s="25">
        <f>Item_Enchant_Old!Q1113</f>
        <v>1</v>
      </c>
      <c r="R1109" s="25">
        <f>Item_Enchant_Old!R1113</f>
        <v>1</v>
      </c>
    </row>
    <row r="1110" spans="1:18">
      <c r="A1110" s="25">
        <f>Item_Enchant_Old!A1114</f>
        <v>2003</v>
      </c>
      <c r="B1110" s="25" t="str">
        <f>Item_Enchant_Old!B1114</f>
        <v>기공 공격력 상승</v>
      </c>
      <c r="C1110" s="25">
        <f>Item_Enchant_Old!C1114</f>
        <v>607</v>
      </c>
      <c r="D1110" s="25">
        <f>Item_Enchant_Old!D1114</f>
        <v>0</v>
      </c>
      <c r="E1110" s="25">
        <f>Item_Enchant_Old!E1114</f>
        <v>0</v>
      </c>
      <c r="F1110" s="25">
        <f>Item_Enchant_Old!F1114</f>
        <v>3</v>
      </c>
      <c r="G1110" s="25">
        <f>Item_Enchant_Old!G1114</f>
        <v>1</v>
      </c>
      <c r="H1110" s="25" t="str">
        <f>Item_Enchant_Old!H1114</f>
        <v>@</v>
      </c>
      <c r="I1110" s="25">
        <f>Item_Enchant_Old!I1114</f>
        <v>3</v>
      </c>
      <c r="J1110" s="25">
        <f>Item_Enchant_Old!J1114</f>
        <v>409</v>
      </c>
      <c r="K1110" s="25">
        <f>Item_Enchant_Old!K1114</f>
        <v>0</v>
      </c>
      <c r="L1110" s="25">
        <f>Item_Enchant_Old!L1114</f>
        <v>12291</v>
      </c>
      <c r="M1110" s="25">
        <f>Item_Enchant_Old!M1114</f>
        <v>1</v>
      </c>
      <c r="N1110" s="25">
        <f>Item_Enchant_Old!N1114</f>
        <v>0</v>
      </c>
      <c r="O1110" s="25">
        <f>Item_Enchant_Old!O1114</f>
        <v>1</v>
      </c>
      <c r="P1110" s="25">
        <f>Item_Enchant_Old!P1114</f>
        <v>1</v>
      </c>
      <c r="Q1110" s="25">
        <f>Item_Enchant_Old!Q1114</f>
        <v>1</v>
      </c>
      <c r="R1110" s="25">
        <f>Item_Enchant_Old!R1114</f>
        <v>1</v>
      </c>
    </row>
    <row r="1111" spans="1:18">
      <c r="A1111" s="25">
        <f>Item_Enchant_Old!A1115</f>
        <v>2004</v>
      </c>
      <c r="B1111" s="25" t="str">
        <f>Item_Enchant_Old!B1115</f>
        <v>타격 방어력 상승</v>
      </c>
      <c r="C1111" s="25">
        <f>Item_Enchant_Old!C1115</f>
        <v>608</v>
      </c>
      <c r="D1111" s="25">
        <f>Item_Enchant_Old!D1115</f>
        <v>0</v>
      </c>
      <c r="E1111" s="25">
        <f>Item_Enchant_Old!E1115</f>
        <v>0</v>
      </c>
      <c r="F1111" s="25">
        <f>Item_Enchant_Old!F1115</f>
        <v>4</v>
      </c>
      <c r="G1111" s="25">
        <f>Item_Enchant_Old!G1115</f>
        <v>1</v>
      </c>
      <c r="H1111" s="25" t="str">
        <f>Item_Enchant_Old!H1115</f>
        <v>@</v>
      </c>
      <c r="I1111" s="25">
        <f>Item_Enchant_Old!I1115</f>
        <v>3</v>
      </c>
      <c r="J1111" s="25">
        <f>Item_Enchant_Old!J1115</f>
        <v>204</v>
      </c>
      <c r="K1111" s="25">
        <f>Item_Enchant_Old!K1115</f>
        <v>0</v>
      </c>
      <c r="L1111" s="25">
        <f>Item_Enchant_Old!L1115</f>
        <v>29</v>
      </c>
      <c r="M1111" s="25">
        <f>Item_Enchant_Old!M1115</f>
        <v>1</v>
      </c>
      <c r="N1111" s="25">
        <f>Item_Enchant_Old!N1115</f>
        <v>0</v>
      </c>
      <c r="O1111" s="25">
        <f>Item_Enchant_Old!O1115</f>
        <v>1</v>
      </c>
      <c r="P1111" s="25">
        <f>Item_Enchant_Old!P1115</f>
        <v>1</v>
      </c>
      <c r="Q1111" s="25">
        <f>Item_Enchant_Old!Q1115</f>
        <v>1</v>
      </c>
      <c r="R1111" s="25">
        <f>Item_Enchant_Old!R1115</f>
        <v>1</v>
      </c>
    </row>
    <row r="1112" spans="1:18">
      <c r="A1112" s="25">
        <f>Item_Enchant_Old!A1116</f>
        <v>2005</v>
      </c>
      <c r="B1112" s="25" t="str">
        <f>Item_Enchant_Old!B1116</f>
        <v>기공 방어력 상승</v>
      </c>
      <c r="C1112" s="25">
        <f>Item_Enchant_Old!C1116</f>
        <v>609</v>
      </c>
      <c r="D1112" s="25">
        <f>Item_Enchant_Old!D1116</f>
        <v>0</v>
      </c>
      <c r="E1112" s="25">
        <f>Item_Enchant_Old!E1116</f>
        <v>0</v>
      </c>
      <c r="F1112" s="25">
        <f>Item_Enchant_Old!F1116</f>
        <v>4</v>
      </c>
      <c r="G1112" s="25">
        <f>Item_Enchant_Old!G1116</f>
        <v>1</v>
      </c>
      <c r="H1112" s="25" t="str">
        <f>Item_Enchant_Old!H1116</f>
        <v>@</v>
      </c>
      <c r="I1112" s="25">
        <f>Item_Enchant_Old!I1116</f>
        <v>3</v>
      </c>
      <c r="J1112" s="25">
        <f>Item_Enchant_Old!J1116</f>
        <v>204</v>
      </c>
      <c r="K1112" s="25">
        <f>Item_Enchant_Old!K1116</f>
        <v>0</v>
      </c>
      <c r="L1112" s="25">
        <f>Item_Enchant_Old!L1116</f>
        <v>30</v>
      </c>
      <c r="M1112" s="25">
        <f>Item_Enchant_Old!M1116</f>
        <v>1</v>
      </c>
      <c r="N1112" s="25">
        <f>Item_Enchant_Old!N1116</f>
        <v>0</v>
      </c>
      <c r="O1112" s="25">
        <f>Item_Enchant_Old!O1116</f>
        <v>1</v>
      </c>
      <c r="P1112" s="25">
        <f>Item_Enchant_Old!P1116</f>
        <v>1</v>
      </c>
      <c r="Q1112" s="25">
        <f>Item_Enchant_Old!Q1116</f>
        <v>1</v>
      </c>
      <c r="R1112" s="25">
        <f>Item_Enchant_Old!R1116</f>
        <v>1</v>
      </c>
    </row>
    <row r="1113" spans="1:18">
      <c r="A1113" s="25">
        <f>Item_Enchant_Old!A1117</f>
        <v>2006</v>
      </c>
      <c r="B1113" s="25" t="str">
        <f>Item_Enchant_Old!B1117</f>
        <v>근력 상승</v>
      </c>
      <c r="C1113" s="25">
        <f>Item_Enchant_Old!C1117</f>
        <v>610</v>
      </c>
      <c r="D1113" s="25">
        <f>Item_Enchant_Old!D1117</f>
        <v>0</v>
      </c>
      <c r="E1113" s="25">
        <f>Item_Enchant_Old!E1117</f>
        <v>0</v>
      </c>
      <c r="F1113" s="25">
        <f>Item_Enchant_Old!F1117</f>
        <v>5</v>
      </c>
      <c r="G1113" s="25">
        <f>Item_Enchant_Old!G1117</f>
        <v>1</v>
      </c>
      <c r="H1113" s="25" t="str">
        <f>Item_Enchant_Old!H1117</f>
        <v>@</v>
      </c>
      <c r="I1113" s="25">
        <f>Item_Enchant_Old!I1117</f>
        <v>3</v>
      </c>
      <c r="J1113" s="25">
        <f>Item_Enchant_Old!J1117</f>
        <v>800</v>
      </c>
      <c r="K1113" s="25">
        <f>Item_Enchant_Old!K1117</f>
        <v>0</v>
      </c>
      <c r="L1113" s="25">
        <f>Item_Enchant_Old!L1117</f>
        <v>12329</v>
      </c>
      <c r="M1113" s="25">
        <f>Item_Enchant_Old!M1117</f>
        <v>1</v>
      </c>
      <c r="N1113" s="25">
        <f>Item_Enchant_Old!N1117</f>
        <v>0</v>
      </c>
      <c r="O1113" s="25">
        <f>Item_Enchant_Old!O1117</f>
        <v>1</v>
      </c>
      <c r="P1113" s="25">
        <f>Item_Enchant_Old!P1117</f>
        <v>1</v>
      </c>
      <c r="Q1113" s="25">
        <f>Item_Enchant_Old!Q1117</f>
        <v>1</v>
      </c>
      <c r="R1113" s="25">
        <f>Item_Enchant_Old!R1117</f>
        <v>1</v>
      </c>
    </row>
    <row r="1114" spans="1:18">
      <c r="A1114" s="25">
        <f>Item_Enchant_Old!A1118</f>
        <v>2007</v>
      </c>
      <c r="B1114" s="25" t="str">
        <f>Item_Enchant_Old!B1118</f>
        <v>근성 상승</v>
      </c>
      <c r="C1114" s="25">
        <f>Item_Enchant_Old!C1118</f>
        <v>611</v>
      </c>
      <c r="D1114" s="25">
        <f>Item_Enchant_Old!D1118</f>
        <v>0</v>
      </c>
      <c r="E1114" s="25">
        <f>Item_Enchant_Old!E1118</f>
        <v>0</v>
      </c>
      <c r="F1114" s="25">
        <f>Item_Enchant_Old!F1118</f>
        <v>6</v>
      </c>
      <c r="G1114" s="25">
        <f>Item_Enchant_Old!G1118</f>
        <v>1</v>
      </c>
      <c r="H1114" s="25" t="str">
        <f>Item_Enchant_Old!H1118</f>
        <v>@</v>
      </c>
      <c r="I1114" s="25">
        <f>Item_Enchant_Old!I1118</f>
        <v>3</v>
      </c>
      <c r="J1114" s="25">
        <f>Item_Enchant_Old!J1118</f>
        <v>800</v>
      </c>
      <c r="K1114" s="25">
        <f>Item_Enchant_Old!K1118</f>
        <v>0</v>
      </c>
      <c r="L1114" s="25">
        <f>Item_Enchant_Old!L1118</f>
        <v>8476</v>
      </c>
      <c r="M1114" s="25">
        <f>Item_Enchant_Old!M1118</f>
        <v>1</v>
      </c>
      <c r="N1114" s="25">
        <f>Item_Enchant_Old!N1118</f>
        <v>0</v>
      </c>
      <c r="O1114" s="25">
        <f>Item_Enchant_Old!O1118</f>
        <v>1</v>
      </c>
      <c r="P1114" s="25">
        <f>Item_Enchant_Old!P1118</f>
        <v>1</v>
      </c>
      <c r="Q1114" s="25">
        <f>Item_Enchant_Old!Q1118</f>
        <v>1</v>
      </c>
      <c r="R1114" s="25">
        <f>Item_Enchant_Old!R1118</f>
        <v>1</v>
      </c>
    </row>
    <row r="1115" spans="1:18">
      <c r="A1115" s="25">
        <f>Item_Enchant_Old!A1119</f>
        <v>2008</v>
      </c>
      <c r="B1115" s="25" t="str">
        <f>Item_Enchant_Old!B1119</f>
        <v>집중 상승</v>
      </c>
      <c r="C1115" s="25">
        <f>Item_Enchant_Old!C1119</f>
        <v>612</v>
      </c>
      <c r="D1115" s="25">
        <f>Item_Enchant_Old!D1119</f>
        <v>0</v>
      </c>
      <c r="E1115" s="25">
        <f>Item_Enchant_Old!E1119</f>
        <v>0</v>
      </c>
      <c r="F1115" s="25">
        <f>Item_Enchant_Old!F1119</f>
        <v>7</v>
      </c>
      <c r="G1115" s="25">
        <f>Item_Enchant_Old!G1119</f>
        <v>1</v>
      </c>
      <c r="H1115" s="25" t="str">
        <f>Item_Enchant_Old!H1119</f>
        <v>@</v>
      </c>
      <c r="I1115" s="25">
        <f>Item_Enchant_Old!I1119</f>
        <v>3</v>
      </c>
      <c r="J1115" s="25">
        <f>Item_Enchant_Old!J1119</f>
        <v>800</v>
      </c>
      <c r="K1115" s="25">
        <f>Item_Enchant_Old!K1119</f>
        <v>0</v>
      </c>
      <c r="L1115" s="25">
        <f>Item_Enchant_Old!L1119</f>
        <v>9229</v>
      </c>
      <c r="M1115" s="25">
        <f>Item_Enchant_Old!M1119</f>
        <v>1</v>
      </c>
      <c r="N1115" s="25">
        <f>Item_Enchant_Old!N1119</f>
        <v>0</v>
      </c>
      <c r="O1115" s="25">
        <f>Item_Enchant_Old!O1119</f>
        <v>1</v>
      </c>
      <c r="P1115" s="25">
        <f>Item_Enchant_Old!P1119</f>
        <v>1</v>
      </c>
      <c r="Q1115" s="25">
        <f>Item_Enchant_Old!Q1119</f>
        <v>1</v>
      </c>
      <c r="R1115" s="25">
        <f>Item_Enchant_Old!R1119</f>
        <v>1</v>
      </c>
    </row>
    <row r="1116" spans="1:18">
      <c r="A1116" s="25">
        <f>Item_Enchant_Old!A1120</f>
        <v>2009</v>
      </c>
      <c r="B1116" s="25" t="str">
        <f>Item_Enchant_Old!B1120</f>
        <v>민첩 상승</v>
      </c>
      <c r="C1116" s="25">
        <f>Item_Enchant_Old!C1120</f>
        <v>613</v>
      </c>
      <c r="D1116" s="25">
        <f>Item_Enchant_Old!D1120</f>
        <v>0</v>
      </c>
      <c r="E1116" s="25">
        <f>Item_Enchant_Old!E1120</f>
        <v>0</v>
      </c>
      <c r="F1116" s="25">
        <f>Item_Enchant_Old!F1120</f>
        <v>8</v>
      </c>
      <c r="G1116" s="25">
        <f>Item_Enchant_Old!G1120</f>
        <v>1</v>
      </c>
      <c r="H1116" s="25" t="str">
        <f>Item_Enchant_Old!H1120</f>
        <v>@</v>
      </c>
      <c r="I1116" s="25">
        <f>Item_Enchant_Old!I1120</f>
        <v>3</v>
      </c>
      <c r="J1116" s="25">
        <f>Item_Enchant_Old!J1120</f>
        <v>800</v>
      </c>
      <c r="K1116" s="25">
        <f>Item_Enchant_Old!K1120</f>
        <v>0</v>
      </c>
      <c r="L1116" s="25">
        <f>Item_Enchant_Old!L1120</f>
        <v>10292</v>
      </c>
      <c r="M1116" s="25">
        <f>Item_Enchant_Old!M1120</f>
        <v>1</v>
      </c>
      <c r="N1116" s="25">
        <f>Item_Enchant_Old!N1120</f>
        <v>0</v>
      </c>
      <c r="O1116" s="25">
        <f>Item_Enchant_Old!O1120</f>
        <v>1</v>
      </c>
      <c r="P1116" s="25">
        <f>Item_Enchant_Old!P1120</f>
        <v>1</v>
      </c>
      <c r="Q1116" s="25">
        <f>Item_Enchant_Old!Q1120</f>
        <v>1</v>
      </c>
      <c r="R1116" s="25">
        <f>Item_Enchant_Old!R1120</f>
        <v>1</v>
      </c>
    </row>
    <row r="1117" spans="1:18">
      <c r="A1117" s="25">
        <f>Item_Enchant_Old!A1121</f>
        <v>2010</v>
      </c>
      <c r="B1117" s="25" t="str">
        <f>Item_Enchant_Old!B1121</f>
        <v>기합 상승</v>
      </c>
      <c r="C1117" s="25">
        <f>Item_Enchant_Old!C1121</f>
        <v>614</v>
      </c>
      <c r="D1117" s="25">
        <f>Item_Enchant_Old!D1121</f>
        <v>0</v>
      </c>
      <c r="E1117" s="25">
        <f>Item_Enchant_Old!E1121</f>
        <v>0</v>
      </c>
      <c r="F1117" s="25">
        <f>Item_Enchant_Old!F1121</f>
        <v>9</v>
      </c>
      <c r="G1117" s="25">
        <f>Item_Enchant_Old!G1121</f>
        <v>1</v>
      </c>
      <c r="H1117" s="25" t="str">
        <f>Item_Enchant_Old!H1121</f>
        <v>@</v>
      </c>
      <c r="I1117" s="25">
        <f>Item_Enchant_Old!I1121</f>
        <v>3</v>
      </c>
      <c r="J1117" s="25">
        <f>Item_Enchant_Old!J1121</f>
        <v>800</v>
      </c>
      <c r="K1117" s="25">
        <f>Item_Enchant_Old!K1121</f>
        <v>0</v>
      </c>
      <c r="L1117" s="25">
        <f>Item_Enchant_Old!L1121</f>
        <v>8729</v>
      </c>
      <c r="M1117" s="25">
        <f>Item_Enchant_Old!M1121</f>
        <v>1</v>
      </c>
      <c r="N1117" s="25">
        <f>Item_Enchant_Old!N1121</f>
        <v>0</v>
      </c>
      <c r="O1117" s="25">
        <f>Item_Enchant_Old!O1121</f>
        <v>1</v>
      </c>
      <c r="P1117" s="25">
        <f>Item_Enchant_Old!P1121</f>
        <v>1</v>
      </c>
      <c r="Q1117" s="25">
        <f>Item_Enchant_Old!Q1121</f>
        <v>1</v>
      </c>
      <c r="R1117" s="25">
        <f>Item_Enchant_Old!R1121</f>
        <v>1</v>
      </c>
    </row>
    <row r="1118" spans="1:18">
      <c r="A1118" s="25">
        <f>Item_Enchant_Old!A1122</f>
        <v>2011</v>
      </c>
      <c r="B1118" s="25" t="str">
        <f>Item_Enchant_Old!B1122</f>
        <v>기운 상승</v>
      </c>
      <c r="C1118" s="25">
        <f>Item_Enchant_Old!C1122</f>
        <v>615</v>
      </c>
      <c r="D1118" s="25">
        <f>Item_Enchant_Old!D1122</f>
        <v>0</v>
      </c>
      <c r="E1118" s="25">
        <f>Item_Enchant_Old!E1122</f>
        <v>0</v>
      </c>
      <c r="F1118" s="25">
        <f>Item_Enchant_Old!F1122</f>
        <v>10</v>
      </c>
      <c r="G1118" s="25">
        <f>Item_Enchant_Old!G1122</f>
        <v>1</v>
      </c>
      <c r="H1118" s="25" t="str">
        <f>Item_Enchant_Old!H1122</f>
        <v>@</v>
      </c>
      <c r="I1118" s="25">
        <f>Item_Enchant_Old!I1122</f>
        <v>3</v>
      </c>
      <c r="J1118" s="25">
        <f>Item_Enchant_Old!J1122</f>
        <v>800</v>
      </c>
      <c r="K1118" s="25">
        <f>Item_Enchant_Old!K1122</f>
        <v>0</v>
      </c>
      <c r="L1118" s="25">
        <f>Item_Enchant_Old!L1122</f>
        <v>52</v>
      </c>
      <c r="M1118" s="25">
        <f>Item_Enchant_Old!M1122</f>
        <v>1</v>
      </c>
      <c r="N1118" s="25">
        <f>Item_Enchant_Old!N1122</f>
        <v>0</v>
      </c>
      <c r="O1118" s="25">
        <f>Item_Enchant_Old!O1122</f>
        <v>1</v>
      </c>
      <c r="P1118" s="25">
        <f>Item_Enchant_Old!P1122</f>
        <v>1</v>
      </c>
      <c r="Q1118" s="25">
        <f>Item_Enchant_Old!Q1122</f>
        <v>1</v>
      </c>
      <c r="R1118" s="25">
        <f>Item_Enchant_Old!R1122</f>
        <v>1</v>
      </c>
    </row>
    <row r="1119" spans="1:18">
      <c r="A1119" s="25">
        <f>Item_Enchant_Old!A1123</f>
        <v>2012</v>
      </c>
      <c r="B1119" s="25" t="str">
        <f>Item_Enchant_Old!B1123</f>
        <v>이동속도 상승</v>
      </c>
      <c r="C1119" s="25">
        <f>Item_Enchant_Old!C1123</f>
        <v>616</v>
      </c>
      <c r="D1119" s="25">
        <f>Item_Enchant_Old!D1123</f>
        <v>1</v>
      </c>
      <c r="E1119" s="25">
        <f>Item_Enchant_Old!E1123</f>
        <v>0</v>
      </c>
      <c r="F1119" s="25">
        <f>Item_Enchant_Old!F1123</f>
        <v>11</v>
      </c>
      <c r="G1119" s="25">
        <f>Item_Enchant_Old!G1123</f>
        <v>1</v>
      </c>
      <c r="H1119" s="25" t="str">
        <f>Item_Enchant_Old!H1123</f>
        <v>@</v>
      </c>
      <c r="I1119" s="25">
        <f>Item_Enchant_Old!I1123</f>
        <v>3</v>
      </c>
      <c r="J1119" s="25">
        <f>Item_Enchant_Old!J1123</f>
        <v>1020</v>
      </c>
      <c r="K1119" s="25">
        <f>Item_Enchant_Old!K1123</f>
        <v>0</v>
      </c>
      <c r="L1119" s="25">
        <f>Item_Enchant_Old!L1123</f>
        <v>8464</v>
      </c>
      <c r="M1119" s="25">
        <f>Item_Enchant_Old!M1123</f>
        <v>1</v>
      </c>
      <c r="N1119" s="25">
        <f>Item_Enchant_Old!N1123</f>
        <v>0</v>
      </c>
      <c r="O1119" s="25">
        <f>Item_Enchant_Old!O1123</f>
        <v>1</v>
      </c>
      <c r="P1119" s="25">
        <f>Item_Enchant_Old!P1123</f>
        <v>1</v>
      </c>
      <c r="Q1119" s="25">
        <f>Item_Enchant_Old!Q1123</f>
        <v>1</v>
      </c>
      <c r="R1119" s="25">
        <f>Item_Enchant_Old!R1123</f>
        <v>1</v>
      </c>
    </row>
    <row r="1120" spans="1:18">
      <c r="A1120" s="25">
        <f>Item_Enchant_Old!A1124</f>
        <v>2013</v>
      </c>
      <c r="B1120" s="25" t="str">
        <f>Item_Enchant_Old!B1124</f>
        <v>공격속도 상승</v>
      </c>
      <c r="C1120" s="25">
        <f>Item_Enchant_Old!C1124</f>
        <v>617</v>
      </c>
      <c r="D1120" s="25">
        <f>Item_Enchant_Old!D1124</f>
        <v>1</v>
      </c>
      <c r="E1120" s="25">
        <f>Item_Enchant_Old!E1124</f>
        <v>0</v>
      </c>
      <c r="F1120" s="25">
        <f>Item_Enchant_Old!F1124</f>
        <v>12</v>
      </c>
      <c r="G1120" s="25">
        <f>Item_Enchant_Old!G1124</f>
        <v>1</v>
      </c>
      <c r="H1120" s="25" t="str">
        <f>Item_Enchant_Old!H1124</f>
        <v>@</v>
      </c>
      <c r="I1120" s="25">
        <f>Item_Enchant_Old!I1124</f>
        <v>3</v>
      </c>
      <c r="J1120" s="25">
        <f>Item_Enchant_Old!J1124</f>
        <v>1020</v>
      </c>
      <c r="K1120" s="25">
        <f>Item_Enchant_Old!K1124</f>
        <v>0</v>
      </c>
      <c r="L1120" s="25">
        <f>Item_Enchant_Old!L1124</f>
        <v>8707</v>
      </c>
      <c r="M1120" s="25">
        <f>Item_Enchant_Old!M1124</f>
        <v>1</v>
      </c>
      <c r="N1120" s="25">
        <f>Item_Enchant_Old!N1124</f>
        <v>0</v>
      </c>
      <c r="O1120" s="25">
        <f>Item_Enchant_Old!O1124</f>
        <v>1</v>
      </c>
      <c r="P1120" s="25">
        <f>Item_Enchant_Old!P1124</f>
        <v>1</v>
      </c>
      <c r="Q1120" s="25">
        <f>Item_Enchant_Old!Q1124</f>
        <v>1</v>
      </c>
      <c r="R1120" s="25">
        <f>Item_Enchant_Old!R1124</f>
        <v>1</v>
      </c>
    </row>
    <row r="1121" spans="1:18">
      <c r="A1121" s="25">
        <f>Item_Enchant_Old!A1125</f>
        <v>2014</v>
      </c>
      <c r="B1121" s="25" t="str">
        <f>Item_Enchant_Old!B1125</f>
        <v>명중률 상승</v>
      </c>
      <c r="C1121" s="25">
        <f>Item_Enchant_Old!C1125</f>
        <v>618</v>
      </c>
      <c r="D1121" s="25">
        <f>Item_Enchant_Old!D1125</f>
        <v>0</v>
      </c>
      <c r="E1121" s="25">
        <f>Item_Enchant_Old!E1125</f>
        <v>0</v>
      </c>
      <c r="F1121" s="25">
        <f>Item_Enchant_Old!F1125</f>
        <v>13</v>
      </c>
      <c r="G1121" s="25">
        <f>Item_Enchant_Old!G1125</f>
        <v>1</v>
      </c>
      <c r="H1121" s="25" t="str">
        <f>Item_Enchant_Old!H1125</f>
        <v>@</v>
      </c>
      <c r="I1121" s="25">
        <f>Item_Enchant_Old!I1125</f>
        <v>3</v>
      </c>
      <c r="J1121" s="25">
        <f>Item_Enchant_Old!J1125</f>
        <v>102</v>
      </c>
      <c r="K1121" s="25">
        <f>Item_Enchant_Old!K1125</f>
        <v>0</v>
      </c>
      <c r="L1121" s="25">
        <f>Item_Enchant_Old!L1125</f>
        <v>10243</v>
      </c>
      <c r="M1121" s="25">
        <f>Item_Enchant_Old!M1125</f>
        <v>1</v>
      </c>
      <c r="N1121" s="25">
        <f>Item_Enchant_Old!N1125</f>
        <v>0</v>
      </c>
      <c r="O1121" s="25">
        <f>Item_Enchant_Old!O1125</f>
        <v>1</v>
      </c>
      <c r="P1121" s="25">
        <f>Item_Enchant_Old!P1125</f>
        <v>1</v>
      </c>
      <c r="Q1121" s="25">
        <f>Item_Enchant_Old!Q1125</f>
        <v>1</v>
      </c>
      <c r="R1121" s="25">
        <f>Item_Enchant_Old!R1125</f>
        <v>1</v>
      </c>
    </row>
    <row r="1122" spans="1:18">
      <c r="A1122" s="25">
        <f>Item_Enchant_Old!A1126</f>
        <v>2015</v>
      </c>
      <c r="B1122" s="25" t="str">
        <f>Item_Enchant_Old!B1126</f>
        <v>회피율 상승</v>
      </c>
      <c r="C1122" s="25">
        <f>Item_Enchant_Old!C1126</f>
        <v>619</v>
      </c>
      <c r="D1122" s="25">
        <f>Item_Enchant_Old!D1126</f>
        <v>0</v>
      </c>
      <c r="E1122" s="25">
        <f>Item_Enchant_Old!E1126</f>
        <v>0</v>
      </c>
      <c r="F1122" s="25">
        <f>Item_Enchant_Old!F1126</f>
        <v>14</v>
      </c>
      <c r="G1122" s="25">
        <f>Item_Enchant_Old!G1126</f>
        <v>1</v>
      </c>
      <c r="H1122" s="25" t="str">
        <f>Item_Enchant_Old!H1126</f>
        <v>@</v>
      </c>
      <c r="I1122" s="25">
        <f>Item_Enchant_Old!I1126</f>
        <v>3</v>
      </c>
      <c r="J1122" s="25">
        <f>Item_Enchant_Old!J1126</f>
        <v>204</v>
      </c>
      <c r="K1122" s="25">
        <f>Item_Enchant_Old!K1126</f>
        <v>0</v>
      </c>
      <c r="L1122" s="25">
        <f>Item_Enchant_Old!L1126</f>
        <v>9219</v>
      </c>
      <c r="M1122" s="25">
        <f>Item_Enchant_Old!M1126</f>
        <v>1</v>
      </c>
      <c r="N1122" s="25">
        <f>Item_Enchant_Old!N1126</f>
        <v>0</v>
      </c>
      <c r="O1122" s="25">
        <f>Item_Enchant_Old!O1126</f>
        <v>1</v>
      </c>
      <c r="P1122" s="25">
        <f>Item_Enchant_Old!P1126</f>
        <v>1</v>
      </c>
      <c r="Q1122" s="25">
        <f>Item_Enchant_Old!Q1126</f>
        <v>1</v>
      </c>
      <c r="R1122" s="25">
        <f>Item_Enchant_Old!R1126</f>
        <v>1</v>
      </c>
    </row>
    <row r="1123" spans="1:18">
      <c r="A1123" s="25">
        <f>Item_Enchant_Old!A1127</f>
        <v>2016</v>
      </c>
      <c r="B1123" s="25" t="str">
        <f>Item_Enchant_Old!B1127</f>
        <v>방어율 상승</v>
      </c>
      <c r="C1123" s="25">
        <f>Item_Enchant_Old!C1127</f>
        <v>620</v>
      </c>
      <c r="D1123" s="25">
        <f>Item_Enchant_Old!D1127</f>
        <v>0</v>
      </c>
      <c r="E1123" s="25">
        <f>Item_Enchant_Old!E1127</f>
        <v>0</v>
      </c>
      <c r="F1123" s="25">
        <f>Item_Enchant_Old!F1127</f>
        <v>15</v>
      </c>
      <c r="G1123" s="25">
        <f>Item_Enchant_Old!G1127</f>
        <v>1</v>
      </c>
      <c r="H1123" s="25" t="str">
        <f>Item_Enchant_Old!H1127</f>
        <v>@</v>
      </c>
      <c r="I1123" s="25">
        <f>Item_Enchant_Old!I1127</f>
        <v>3</v>
      </c>
      <c r="J1123" s="25">
        <f>Item_Enchant_Old!J1127</f>
        <v>51</v>
      </c>
      <c r="K1123" s="25">
        <f>Item_Enchant_Old!K1127</f>
        <v>0</v>
      </c>
      <c r="L1123" s="25">
        <f>Item_Enchant_Old!L1127</f>
        <v>28</v>
      </c>
      <c r="M1123" s="25">
        <f>Item_Enchant_Old!M1127</f>
        <v>1</v>
      </c>
      <c r="N1123" s="25">
        <f>Item_Enchant_Old!N1127</f>
        <v>0</v>
      </c>
      <c r="O1123" s="25">
        <f>Item_Enchant_Old!O1127</f>
        <v>1</v>
      </c>
      <c r="P1123" s="25">
        <f>Item_Enchant_Old!P1127</f>
        <v>1</v>
      </c>
      <c r="Q1123" s="25">
        <f>Item_Enchant_Old!Q1127</f>
        <v>1</v>
      </c>
      <c r="R1123" s="25">
        <f>Item_Enchant_Old!R1127</f>
        <v>1</v>
      </c>
    </row>
    <row r="1124" spans="1:18">
      <c r="A1124" s="25">
        <f>Item_Enchant_Old!A1128</f>
        <v>2017</v>
      </c>
      <c r="B1124" s="25" t="str">
        <f>Item_Enchant_Old!B1128</f>
        <v>순수 속성방어 % 상승</v>
      </c>
      <c r="C1124" s="25">
        <f>Item_Enchant_Old!C1128</f>
        <v>621</v>
      </c>
      <c r="D1124" s="25">
        <f>Item_Enchant_Old!D1128</f>
        <v>0</v>
      </c>
      <c r="E1124" s="25">
        <f>Item_Enchant_Old!E1128</f>
        <v>0</v>
      </c>
      <c r="F1124" s="25">
        <f>Item_Enchant_Old!F1128</f>
        <v>16</v>
      </c>
      <c r="G1124" s="25">
        <f>Item_Enchant_Old!G1128</f>
        <v>1</v>
      </c>
      <c r="H1124" s="25" t="str">
        <f>Item_Enchant_Old!H1128</f>
        <v>@</v>
      </c>
      <c r="I1124" s="25">
        <f>Item_Enchant_Old!I1128</f>
        <v>3</v>
      </c>
      <c r="J1124" s="25">
        <f>Item_Enchant_Old!J1128</f>
        <v>2600</v>
      </c>
      <c r="K1124" s="25">
        <f>Item_Enchant_Old!K1128</f>
        <v>0</v>
      </c>
      <c r="L1124" s="25">
        <f>Item_Enchant_Old!L1128</f>
        <v>12512</v>
      </c>
      <c r="M1124" s="25">
        <f>Item_Enchant_Old!M1128</f>
        <v>1</v>
      </c>
      <c r="N1124" s="25">
        <f>Item_Enchant_Old!N1128</f>
        <v>0</v>
      </c>
      <c r="O1124" s="25">
        <f>Item_Enchant_Old!O1128</f>
        <v>1</v>
      </c>
      <c r="P1124" s="25">
        <f>Item_Enchant_Old!P1128</f>
        <v>1</v>
      </c>
      <c r="Q1124" s="25">
        <f>Item_Enchant_Old!Q1128</f>
        <v>1</v>
      </c>
      <c r="R1124" s="25">
        <f>Item_Enchant_Old!R1128</f>
        <v>1</v>
      </c>
    </row>
    <row r="1125" spans="1:18">
      <c r="A1125" s="25">
        <f>Item_Enchant_Old!A1129</f>
        <v>2018</v>
      </c>
      <c r="B1125" s="25" t="str">
        <f>Item_Enchant_Old!B1129</f>
        <v>기이 속성방어 % 상승</v>
      </c>
      <c r="C1125" s="25">
        <f>Item_Enchant_Old!C1129</f>
        <v>622</v>
      </c>
      <c r="D1125" s="25">
        <f>Item_Enchant_Old!D1129</f>
        <v>0</v>
      </c>
      <c r="E1125" s="25">
        <f>Item_Enchant_Old!E1129</f>
        <v>0</v>
      </c>
      <c r="F1125" s="25">
        <f>Item_Enchant_Old!F1129</f>
        <v>16</v>
      </c>
      <c r="G1125" s="25">
        <f>Item_Enchant_Old!G1129</f>
        <v>1</v>
      </c>
      <c r="H1125" s="25" t="str">
        <f>Item_Enchant_Old!H1129</f>
        <v>@</v>
      </c>
      <c r="I1125" s="25">
        <f>Item_Enchant_Old!I1129</f>
        <v>3</v>
      </c>
      <c r="J1125" s="25">
        <f>Item_Enchant_Old!J1129</f>
        <v>2600</v>
      </c>
      <c r="K1125" s="25">
        <f>Item_Enchant_Old!K1129</f>
        <v>0</v>
      </c>
      <c r="L1125" s="25">
        <f>Item_Enchant_Old!L1129</f>
        <v>8672</v>
      </c>
      <c r="M1125" s="25">
        <f>Item_Enchant_Old!M1129</f>
        <v>1</v>
      </c>
      <c r="N1125" s="25">
        <f>Item_Enchant_Old!N1129</f>
        <v>0</v>
      </c>
      <c r="O1125" s="25">
        <f>Item_Enchant_Old!O1129</f>
        <v>1</v>
      </c>
      <c r="P1125" s="25">
        <f>Item_Enchant_Old!P1129</f>
        <v>1</v>
      </c>
      <c r="Q1125" s="25">
        <f>Item_Enchant_Old!Q1129</f>
        <v>1</v>
      </c>
      <c r="R1125" s="25">
        <f>Item_Enchant_Old!R1129</f>
        <v>1</v>
      </c>
    </row>
    <row r="1126" spans="1:18">
      <c r="A1126" s="25">
        <f>Item_Enchant_Old!A1130</f>
        <v>2019</v>
      </c>
      <c r="B1126" s="25" t="str">
        <f>Item_Enchant_Old!B1130</f>
        <v>용맹 속성방어 % 상승</v>
      </c>
      <c r="C1126" s="25">
        <f>Item_Enchant_Old!C1130</f>
        <v>623</v>
      </c>
      <c r="D1126" s="25">
        <f>Item_Enchant_Old!D1130</f>
        <v>0</v>
      </c>
      <c r="E1126" s="25">
        <f>Item_Enchant_Old!E1130</f>
        <v>0</v>
      </c>
      <c r="F1126" s="25">
        <f>Item_Enchant_Old!F1130</f>
        <v>16</v>
      </c>
      <c r="G1126" s="25">
        <f>Item_Enchant_Old!G1130</f>
        <v>1</v>
      </c>
      <c r="H1126" s="25" t="str">
        <f>Item_Enchant_Old!H1130</f>
        <v>@</v>
      </c>
      <c r="I1126" s="25">
        <f>Item_Enchant_Old!I1130</f>
        <v>3</v>
      </c>
      <c r="J1126" s="25">
        <f>Item_Enchant_Old!J1130</f>
        <v>2600</v>
      </c>
      <c r="K1126" s="25">
        <f>Item_Enchant_Old!K1130</f>
        <v>0</v>
      </c>
      <c r="L1126" s="25">
        <f>Item_Enchant_Old!L1130</f>
        <v>9440</v>
      </c>
      <c r="M1126" s="25">
        <f>Item_Enchant_Old!M1130</f>
        <v>1</v>
      </c>
      <c r="N1126" s="25">
        <f>Item_Enchant_Old!N1130</f>
        <v>0</v>
      </c>
      <c r="O1126" s="25">
        <f>Item_Enchant_Old!O1130</f>
        <v>1</v>
      </c>
      <c r="P1126" s="25">
        <f>Item_Enchant_Old!P1130</f>
        <v>1</v>
      </c>
      <c r="Q1126" s="25">
        <f>Item_Enchant_Old!Q1130</f>
        <v>1</v>
      </c>
      <c r="R1126" s="25">
        <f>Item_Enchant_Old!R1130</f>
        <v>1</v>
      </c>
    </row>
    <row r="1127" spans="1:18">
      <c r="A1127" s="25">
        <f>Item_Enchant_Old!A1131</f>
        <v>2020</v>
      </c>
      <c r="B1127" s="25" t="str">
        <f>Item_Enchant_Old!B1131</f>
        <v>고상 속성방어 % 상승</v>
      </c>
      <c r="C1127" s="25">
        <f>Item_Enchant_Old!C1131</f>
        <v>624</v>
      </c>
      <c r="D1127" s="25">
        <f>Item_Enchant_Old!D1131</f>
        <v>0</v>
      </c>
      <c r="E1127" s="25">
        <f>Item_Enchant_Old!E1131</f>
        <v>0</v>
      </c>
      <c r="F1127" s="25">
        <f>Item_Enchant_Old!F1131</f>
        <v>16</v>
      </c>
      <c r="G1127" s="25">
        <f>Item_Enchant_Old!G1131</f>
        <v>1</v>
      </c>
      <c r="H1127" s="25" t="str">
        <f>Item_Enchant_Old!H1131</f>
        <v>@</v>
      </c>
      <c r="I1127" s="25">
        <f>Item_Enchant_Old!I1131</f>
        <v>3</v>
      </c>
      <c r="J1127" s="25">
        <f>Item_Enchant_Old!J1131</f>
        <v>2600</v>
      </c>
      <c r="K1127" s="25">
        <f>Item_Enchant_Old!K1131</f>
        <v>0</v>
      </c>
      <c r="L1127" s="25">
        <f>Item_Enchant_Old!L1131</f>
        <v>10464</v>
      </c>
      <c r="M1127" s="25">
        <f>Item_Enchant_Old!M1131</f>
        <v>1</v>
      </c>
      <c r="N1127" s="25">
        <f>Item_Enchant_Old!N1131</f>
        <v>0</v>
      </c>
      <c r="O1127" s="25">
        <f>Item_Enchant_Old!O1131</f>
        <v>1</v>
      </c>
      <c r="P1127" s="25">
        <f>Item_Enchant_Old!P1131</f>
        <v>1</v>
      </c>
      <c r="Q1127" s="25">
        <f>Item_Enchant_Old!Q1131</f>
        <v>1</v>
      </c>
      <c r="R1127" s="25">
        <f>Item_Enchant_Old!R1131</f>
        <v>1</v>
      </c>
    </row>
    <row r="1128" spans="1:18">
      <c r="A1128" s="25">
        <f>Item_Enchant_Old!A1132</f>
        <v>2021</v>
      </c>
      <c r="B1128" s="25" t="str">
        <f>Item_Enchant_Old!B1132</f>
        <v>유쾌 속성방어 % 상승</v>
      </c>
      <c r="C1128" s="25">
        <f>Item_Enchant_Old!C1132</f>
        <v>625</v>
      </c>
      <c r="D1128" s="25">
        <f>Item_Enchant_Old!D1132</f>
        <v>0</v>
      </c>
      <c r="E1128" s="25">
        <f>Item_Enchant_Old!E1132</f>
        <v>0</v>
      </c>
      <c r="F1128" s="25">
        <f>Item_Enchant_Old!F1132</f>
        <v>16</v>
      </c>
      <c r="G1128" s="25">
        <f>Item_Enchant_Old!G1132</f>
        <v>1</v>
      </c>
      <c r="H1128" s="25" t="str">
        <f>Item_Enchant_Old!H1132</f>
        <v>@</v>
      </c>
      <c r="I1128" s="25">
        <f>Item_Enchant_Old!I1132</f>
        <v>3</v>
      </c>
      <c r="J1128" s="25">
        <f>Item_Enchant_Old!J1132</f>
        <v>2600</v>
      </c>
      <c r="K1128" s="25">
        <f>Item_Enchant_Old!K1132</f>
        <v>0</v>
      </c>
      <c r="L1128" s="25">
        <f>Item_Enchant_Old!L1132</f>
        <v>8928</v>
      </c>
      <c r="M1128" s="25">
        <f>Item_Enchant_Old!M1132</f>
        <v>1</v>
      </c>
      <c r="N1128" s="25">
        <f>Item_Enchant_Old!N1132</f>
        <v>0</v>
      </c>
      <c r="O1128" s="25">
        <f>Item_Enchant_Old!O1132</f>
        <v>1</v>
      </c>
      <c r="P1128" s="25">
        <f>Item_Enchant_Old!P1132</f>
        <v>1</v>
      </c>
      <c r="Q1128" s="25">
        <f>Item_Enchant_Old!Q1132</f>
        <v>1</v>
      </c>
      <c r="R1128" s="25">
        <f>Item_Enchant_Old!R1132</f>
        <v>1</v>
      </c>
    </row>
    <row r="1129" spans="1:18">
      <c r="A1129" s="25">
        <f>Item_Enchant_Old!A1133</f>
        <v>2022</v>
      </c>
      <c r="B1129" s="25" t="str">
        <f>Item_Enchant_Old!B1133</f>
        <v>기공 데미지 반사</v>
      </c>
      <c r="C1129" s="25">
        <f>Item_Enchant_Old!C1133</f>
        <v>626</v>
      </c>
      <c r="D1129" s="25">
        <f>Item_Enchant_Old!D1133</f>
        <v>0</v>
      </c>
      <c r="E1129" s="25">
        <f>Item_Enchant_Old!E1133</f>
        <v>0</v>
      </c>
      <c r="F1129" s="25">
        <f>Item_Enchant_Old!F1133</f>
        <v>17</v>
      </c>
      <c r="G1129" s="25">
        <f>Item_Enchant_Old!G1133</f>
        <v>1</v>
      </c>
      <c r="H1129" s="25" t="str">
        <f>Item_Enchant_Old!H1133</f>
        <v>@</v>
      </c>
      <c r="I1129" s="25">
        <f>Item_Enchant_Old!I1133</f>
        <v>3</v>
      </c>
      <c r="J1129" s="25">
        <f>Item_Enchant_Old!J1133</f>
        <v>1360</v>
      </c>
      <c r="K1129" s="25">
        <f>Item_Enchant_Old!K1133</f>
        <v>0</v>
      </c>
      <c r="L1129" s="25">
        <f>Item_Enchant_Old!L1133</f>
        <v>144</v>
      </c>
      <c r="M1129" s="25">
        <f>Item_Enchant_Old!M1133</f>
        <v>1</v>
      </c>
      <c r="N1129" s="25">
        <f>Item_Enchant_Old!N1133</f>
        <v>0</v>
      </c>
      <c r="O1129" s="25">
        <f>Item_Enchant_Old!O1133</f>
        <v>1</v>
      </c>
      <c r="P1129" s="25">
        <f>Item_Enchant_Old!P1133</f>
        <v>1</v>
      </c>
      <c r="Q1129" s="25">
        <f>Item_Enchant_Old!Q1133</f>
        <v>1</v>
      </c>
      <c r="R1129" s="25">
        <f>Item_Enchant_Old!R1133</f>
        <v>1</v>
      </c>
    </row>
    <row r="1130" spans="1:18">
      <c r="A1130" s="25">
        <f>Item_Enchant_Old!A1134</f>
        <v>2023</v>
      </c>
      <c r="B1130" s="25" t="str">
        <f>Item_Enchant_Old!B1134</f>
        <v>LP 재생효과 상승</v>
      </c>
      <c r="C1130" s="25">
        <f>Item_Enchant_Old!C1134</f>
        <v>627</v>
      </c>
      <c r="D1130" s="25">
        <f>Item_Enchant_Old!D1134</f>
        <v>0</v>
      </c>
      <c r="E1130" s="25">
        <f>Item_Enchant_Old!E1134</f>
        <v>0</v>
      </c>
      <c r="F1130" s="25">
        <f>Item_Enchant_Old!F1134</f>
        <v>18</v>
      </c>
      <c r="G1130" s="25">
        <f>Item_Enchant_Old!G1134</f>
        <v>1</v>
      </c>
      <c r="H1130" s="25" t="str">
        <f>Item_Enchant_Old!H1134</f>
        <v>@</v>
      </c>
      <c r="I1130" s="25">
        <f>Item_Enchant_Old!I1134</f>
        <v>3</v>
      </c>
      <c r="J1130" s="25">
        <f>Item_Enchant_Old!J1134</f>
        <v>409</v>
      </c>
      <c r="K1130" s="25">
        <f>Item_Enchant_Old!K1134</f>
        <v>0</v>
      </c>
      <c r="L1130" s="25">
        <f>Item_Enchant_Old!L1134</f>
        <v>44</v>
      </c>
      <c r="M1130" s="25">
        <f>Item_Enchant_Old!M1134</f>
        <v>1</v>
      </c>
      <c r="N1130" s="25">
        <f>Item_Enchant_Old!N1134</f>
        <v>0</v>
      </c>
      <c r="O1130" s="25">
        <f>Item_Enchant_Old!O1134</f>
        <v>1</v>
      </c>
      <c r="P1130" s="25">
        <f>Item_Enchant_Old!P1134</f>
        <v>1</v>
      </c>
      <c r="Q1130" s="25">
        <f>Item_Enchant_Old!Q1134</f>
        <v>1</v>
      </c>
      <c r="R1130" s="25">
        <f>Item_Enchant_Old!R1134</f>
        <v>1</v>
      </c>
    </row>
    <row r="1131" spans="1:18">
      <c r="A1131" s="25">
        <f>Item_Enchant_Old!A1135</f>
        <v>2024</v>
      </c>
      <c r="B1131" s="25" t="str">
        <f>Item_Enchant_Old!B1135</f>
        <v>EP 재생효과 상승</v>
      </c>
      <c r="C1131" s="25">
        <f>Item_Enchant_Old!C1135</f>
        <v>628</v>
      </c>
      <c r="D1131" s="25">
        <f>Item_Enchant_Old!D1135</f>
        <v>0</v>
      </c>
      <c r="E1131" s="25">
        <f>Item_Enchant_Old!E1135</f>
        <v>0</v>
      </c>
      <c r="F1131" s="25">
        <f>Item_Enchant_Old!F1135</f>
        <v>19</v>
      </c>
      <c r="G1131" s="25">
        <f>Item_Enchant_Old!G1135</f>
        <v>1</v>
      </c>
      <c r="H1131" s="25" t="str">
        <f>Item_Enchant_Old!H1135</f>
        <v>@</v>
      </c>
      <c r="I1131" s="25">
        <f>Item_Enchant_Old!I1135</f>
        <v>3</v>
      </c>
      <c r="J1131" s="25">
        <f>Item_Enchant_Old!J1135</f>
        <v>1020</v>
      </c>
      <c r="K1131" s="25">
        <f>Item_Enchant_Old!K1135</f>
        <v>0</v>
      </c>
      <c r="L1131" s="25">
        <f>Item_Enchant_Old!L1135</f>
        <v>44</v>
      </c>
      <c r="M1131" s="25">
        <f>Item_Enchant_Old!M1135</f>
        <v>1</v>
      </c>
      <c r="N1131" s="25">
        <f>Item_Enchant_Old!N1135</f>
        <v>0</v>
      </c>
      <c r="O1131" s="25">
        <f>Item_Enchant_Old!O1135</f>
        <v>1</v>
      </c>
      <c r="P1131" s="25">
        <f>Item_Enchant_Old!P1135</f>
        <v>1</v>
      </c>
      <c r="Q1131" s="25">
        <f>Item_Enchant_Old!Q1135</f>
        <v>1</v>
      </c>
      <c r="R1131" s="25">
        <f>Item_Enchant_Old!R1135</f>
        <v>1</v>
      </c>
    </row>
    <row r="1132" spans="1:18">
      <c r="A1132" s="25">
        <f>Item_Enchant_Old!A1136</f>
        <v>2025</v>
      </c>
      <c r="B1132" s="25" t="str">
        <f>Item_Enchant_Old!B1136</f>
        <v>RP 재생속도 상승</v>
      </c>
      <c r="C1132" s="25">
        <f>Item_Enchant_Old!C1136</f>
        <v>629</v>
      </c>
      <c r="D1132" s="25">
        <f>Item_Enchant_Old!D1136</f>
        <v>0</v>
      </c>
      <c r="E1132" s="25">
        <f>Item_Enchant_Old!E1136</f>
        <v>0</v>
      </c>
      <c r="F1132" s="25">
        <f>Item_Enchant_Old!F1136</f>
        <v>20</v>
      </c>
      <c r="G1132" s="25">
        <f>Item_Enchant_Old!G1136</f>
        <v>1</v>
      </c>
      <c r="H1132" s="25" t="str">
        <f>Item_Enchant_Old!H1136</f>
        <v>@</v>
      </c>
      <c r="I1132" s="25">
        <f>Item_Enchant_Old!I1136</f>
        <v>3</v>
      </c>
      <c r="J1132" s="25">
        <f>Item_Enchant_Old!J1136</f>
        <v>2040</v>
      </c>
      <c r="K1132" s="25">
        <f>Item_Enchant_Old!K1136</f>
        <v>0</v>
      </c>
      <c r="L1132" s="25">
        <f>Item_Enchant_Old!L1136</f>
        <v>144</v>
      </c>
      <c r="M1132" s="25">
        <f>Item_Enchant_Old!M1136</f>
        <v>1</v>
      </c>
      <c r="N1132" s="25">
        <f>Item_Enchant_Old!N1136</f>
        <v>0</v>
      </c>
      <c r="O1132" s="25">
        <f>Item_Enchant_Old!O1136</f>
        <v>1</v>
      </c>
      <c r="P1132" s="25">
        <f>Item_Enchant_Old!P1136</f>
        <v>1</v>
      </c>
      <c r="Q1132" s="25">
        <f>Item_Enchant_Old!Q1136</f>
        <v>1</v>
      </c>
      <c r="R1132" s="25">
        <f>Item_Enchant_Old!R1136</f>
        <v>1</v>
      </c>
    </row>
    <row r="1133" spans="1:18">
      <c r="A1133" s="25">
        <f>Item_Enchant_Old!A1137</f>
        <v>2026</v>
      </c>
      <c r="B1133" s="25" t="str">
        <f>Item_Enchant_Old!B1137</f>
        <v>상태이상 성공 상승</v>
      </c>
      <c r="C1133" s="25">
        <f>Item_Enchant_Old!C1137</f>
        <v>630</v>
      </c>
      <c r="D1133" s="25">
        <f>Item_Enchant_Old!D1137</f>
        <v>0</v>
      </c>
      <c r="E1133" s="25">
        <f>Item_Enchant_Old!E1137</f>
        <v>0</v>
      </c>
      <c r="F1133" s="25">
        <f>Item_Enchant_Old!F1137</f>
        <v>21</v>
      </c>
      <c r="G1133" s="25">
        <f>Item_Enchant_Old!G1137</f>
        <v>1</v>
      </c>
      <c r="H1133" s="25" t="str">
        <f>Item_Enchant_Old!H1137</f>
        <v>@</v>
      </c>
      <c r="I1133" s="25">
        <f>Item_Enchant_Old!I1137</f>
        <v>3</v>
      </c>
      <c r="J1133" s="25">
        <f>Item_Enchant_Old!J1137</f>
        <v>102</v>
      </c>
      <c r="K1133" s="25">
        <f>Item_Enchant_Old!K1137</f>
        <v>0</v>
      </c>
      <c r="L1133" s="25">
        <f>Item_Enchant_Old!L1137</f>
        <v>9280</v>
      </c>
      <c r="M1133" s="25">
        <f>Item_Enchant_Old!M1137</f>
        <v>1</v>
      </c>
      <c r="N1133" s="25">
        <f>Item_Enchant_Old!N1137</f>
        <v>0</v>
      </c>
      <c r="O1133" s="25">
        <f>Item_Enchant_Old!O1137</f>
        <v>1</v>
      </c>
      <c r="P1133" s="25">
        <f>Item_Enchant_Old!P1137</f>
        <v>1</v>
      </c>
      <c r="Q1133" s="25">
        <f>Item_Enchant_Old!Q1137</f>
        <v>1</v>
      </c>
      <c r="R1133" s="25">
        <f>Item_Enchant_Old!R1137</f>
        <v>1</v>
      </c>
    </row>
    <row r="1134" spans="1:18">
      <c r="A1134" s="25">
        <f>Item_Enchant_Old!A1138</f>
        <v>2027</v>
      </c>
      <c r="B1134" s="25" t="str">
        <f>Item_Enchant_Old!B1138</f>
        <v>상태이상 저항 상승</v>
      </c>
      <c r="C1134" s="25">
        <f>Item_Enchant_Old!C1138</f>
        <v>631</v>
      </c>
      <c r="D1134" s="25">
        <f>Item_Enchant_Old!D1138</f>
        <v>0</v>
      </c>
      <c r="E1134" s="25">
        <f>Item_Enchant_Old!E1138</f>
        <v>0</v>
      </c>
      <c r="F1134" s="25">
        <f>Item_Enchant_Old!F1138</f>
        <v>21</v>
      </c>
      <c r="G1134" s="25">
        <f>Item_Enchant_Old!G1138</f>
        <v>1</v>
      </c>
      <c r="H1134" s="25" t="str">
        <f>Item_Enchant_Old!H1138</f>
        <v>@</v>
      </c>
      <c r="I1134" s="25">
        <f>Item_Enchant_Old!I1138</f>
        <v>3</v>
      </c>
      <c r="J1134" s="25">
        <f>Item_Enchant_Old!J1138</f>
        <v>204</v>
      </c>
      <c r="K1134" s="25">
        <f>Item_Enchant_Old!K1138</f>
        <v>0</v>
      </c>
      <c r="L1134" s="25">
        <f>Item_Enchant_Old!L1138</f>
        <v>8512</v>
      </c>
      <c r="M1134" s="25">
        <f>Item_Enchant_Old!M1138</f>
        <v>1</v>
      </c>
      <c r="N1134" s="25">
        <f>Item_Enchant_Old!N1138</f>
        <v>0</v>
      </c>
      <c r="O1134" s="25">
        <f>Item_Enchant_Old!O1138</f>
        <v>1</v>
      </c>
      <c r="P1134" s="25">
        <f>Item_Enchant_Old!P1138</f>
        <v>1</v>
      </c>
      <c r="Q1134" s="25">
        <f>Item_Enchant_Old!Q1138</f>
        <v>1</v>
      </c>
      <c r="R1134" s="25">
        <f>Item_Enchant_Old!R1138</f>
        <v>1</v>
      </c>
    </row>
    <row r="1135" spans="1:18">
      <c r="A1135" s="25">
        <f>Item_Enchant_Old!A1139</f>
        <v>2028</v>
      </c>
      <c r="B1135" s="25" t="str">
        <f>Item_Enchant_Old!B1139</f>
        <v>타격 크리티컬 확률 상승</v>
      </c>
      <c r="C1135" s="25">
        <f>Item_Enchant_Old!C1139</f>
        <v>632</v>
      </c>
      <c r="D1135" s="25">
        <f>Item_Enchant_Old!D1139</f>
        <v>0</v>
      </c>
      <c r="E1135" s="25">
        <f>Item_Enchant_Old!E1139</f>
        <v>0</v>
      </c>
      <c r="F1135" s="25">
        <f>Item_Enchant_Old!F1139</f>
        <v>22</v>
      </c>
      <c r="G1135" s="25">
        <f>Item_Enchant_Old!G1139</f>
        <v>1</v>
      </c>
      <c r="H1135" s="25" t="str">
        <f>Item_Enchant_Old!H1139</f>
        <v>@</v>
      </c>
      <c r="I1135" s="25">
        <f>Item_Enchant_Old!I1139</f>
        <v>3</v>
      </c>
      <c r="J1135" s="25">
        <f>Item_Enchant_Old!J1139</f>
        <v>2040</v>
      </c>
      <c r="K1135" s="25">
        <f>Item_Enchant_Old!K1139</f>
        <v>0</v>
      </c>
      <c r="L1135" s="25">
        <f>Item_Enchant_Old!L1139</f>
        <v>10243</v>
      </c>
      <c r="M1135" s="25">
        <f>Item_Enchant_Old!M1139</f>
        <v>1</v>
      </c>
      <c r="N1135" s="25">
        <f>Item_Enchant_Old!N1139</f>
        <v>0</v>
      </c>
      <c r="O1135" s="25">
        <f>Item_Enchant_Old!O1139</f>
        <v>1</v>
      </c>
      <c r="P1135" s="25">
        <f>Item_Enchant_Old!P1139</f>
        <v>1</v>
      </c>
      <c r="Q1135" s="25">
        <f>Item_Enchant_Old!Q1139</f>
        <v>1</v>
      </c>
      <c r="R1135" s="25">
        <f>Item_Enchant_Old!R1139</f>
        <v>1</v>
      </c>
    </row>
    <row r="1136" spans="1:18">
      <c r="A1136" s="25">
        <f>Item_Enchant_Old!A1140</f>
        <v>2029</v>
      </c>
      <c r="B1136" s="25" t="str">
        <f>Item_Enchant_Old!B1140</f>
        <v>기공 크리티컬 확률 상승</v>
      </c>
      <c r="C1136" s="25">
        <f>Item_Enchant_Old!C1140</f>
        <v>633</v>
      </c>
      <c r="D1136" s="25">
        <f>Item_Enchant_Old!D1140</f>
        <v>0</v>
      </c>
      <c r="E1136" s="25">
        <f>Item_Enchant_Old!E1140</f>
        <v>0</v>
      </c>
      <c r="F1136" s="25">
        <f>Item_Enchant_Old!F1140</f>
        <v>23</v>
      </c>
      <c r="G1136" s="25">
        <f>Item_Enchant_Old!G1140</f>
        <v>1</v>
      </c>
      <c r="H1136" s="25" t="str">
        <f>Item_Enchant_Old!H1140</f>
        <v>@</v>
      </c>
      <c r="I1136" s="25">
        <f>Item_Enchant_Old!I1140</f>
        <v>3</v>
      </c>
      <c r="J1136" s="25">
        <f>Item_Enchant_Old!J1140</f>
        <v>2040</v>
      </c>
      <c r="K1136" s="25">
        <f>Item_Enchant_Old!K1140</f>
        <v>0</v>
      </c>
      <c r="L1136" s="25">
        <f>Item_Enchant_Old!L1140</f>
        <v>10243</v>
      </c>
      <c r="M1136" s="25">
        <f>Item_Enchant_Old!M1140</f>
        <v>1</v>
      </c>
      <c r="N1136" s="25">
        <f>Item_Enchant_Old!N1140</f>
        <v>0</v>
      </c>
      <c r="O1136" s="25">
        <f>Item_Enchant_Old!O1140</f>
        <v>1</v>
      </c>
      <c r="P1136" s="25">
        <f>Item_Enchant_Old!P1140</f>
        <v>1</v>
      </c>
      <c r="Q1136" s="25">
        <f>Item_Enchant_Old!Q1140</f>
        <v>1</v>
      </c>
      <c r="R1136" s="25">
        <f>Item_Enchant_Old!R1140</f>
        <v>1</v>
      </c>
    </row>
    <row r="1137" spans="1:18">
      <c r="A1137" s="25">
        <f>Item_Enchant_Old!A1141</f>
        <v>2030</v>
      </c>
      <c r="B1137" s="25" t="str">
        <f>Item_Enchant_Old!B1141</f>
        <v>스킬 재사용 시간 % 감소</v>
      </c>
      <c r="C1137" s="25">
        <f>Item_Enchant_Old!C1141</f>
        <v>635</v>
      </c>
      <c r="D1137" s="25">
        <f>Item_Enchant_Old!D1141</f>
        <v>0</v>
      </c>
      <c r="E1137" s="25">
        <f>Item_Enchant_Old!E1141</f>
        <v>0</v>
      </c>
      <c r="F1137" s="25">
        <f>Item_Enchant_Old!F1141</f>
        <v>24</v>
      </c>
      <c r="G1137" s="25">
        <f>Item_Enchant_Old!G1141</f>
        <v>1</v>
      </c>
      <c r="H1137" s="25" t="str">
        <f>Item_Enchant_Old!H1141</f>
        <v>@</v>
      </c>
      <c r="I1137" s="25">
        <f>Item_Enchant_Old!I1141</f>
        <v>3</v>
      </c>
      <c r="J1137" s="25">
        <f>Item_Enchant_Old!J1141</f>
        <v>1020</v>
      </c>
      <c r="K1137" s="25">
        <f>Item_Enchant_Old!K1141</f>
        <v>0</v>
      </c>
      <c r="L1137" s="25">
        <f>Item_Enchant_Old!L1141</f>
        <v>9248</v>
      </c>
      <c r="M1137" s="25">
        <f>Item_Enchant_Old!M1141</f>
        <v>1</v>
      </c>
      <c r="N1137" s="25">
        <f>Item_Enchant_Old!N1141</f>
        <v>0</v>
      </c>
      <c r="O1137" s="25">
        <f>Item_Enchant_Old!O1141</f>
        <v>1</v>
      </c>
      <c r="P1137" s="25">
        <f>Item_Enchant_Old!P1141</f>
        <v>1</v>
      </c>
      <c r="Q1137" s="25">
        <f>Item_Enchant_Old!Q1141</f>
        <v>1</v>
      </c>
      <c r="R1137" s="25">
        <f>Item_Enchant_Old!R1141</f>
        <v>1</v>
      </c>
    </row>
    <row r="1138" spans="1:18">
      <c r="A1138" s="25">
        <f>Item_Enchant_Old!A1142</f>
        <v>2031</v>
      </c>
      <c r="B1138" s="25" t="str">
        <f>Item_Enchant_Old!B1142</f>
        <v>마비 저항력 강화</v>
      </c>
      <c r="C1138" s="25">
        <f>Item_Enchant_Old!C1142</f>
        <v>638</v>
      </c>
      <c r="D1138" s="25">
        <f>Item_Enchant_Old!D1142</f>
        <v>1</v>
      </c>
      <c r="E1138" s="25">
        <f>Item_Enchant_Old!E1142</f>
        <v>0</v>
      </c>
      <c r="F1138" s="25">
        <f>Item_Enchant_Old!F1142</f>
        <v>25</v>
      </c>
      <c r="G1138" s="25">
        <f>Item_Enchant_Old!G1142</f>
        <v>1</v>
      </c>
      <c r="H1138" s="25" t="str">
        <f>Item_Enchant_Old!H1142</f>
        <v>@</v>
      </c>
      <c r="I1138" s="25">
        <f>Item_Enchant_Old!I1142</f>
        <v>3</v>
      </c>
      <c r="J1138" s="25">
        <f>Item_Enchant_Old!J1142</f>
        <v>683</v>
      </c>
      <c r="K1138" s="25">
        <f>Item_Enchant_Old!K1142</f>
        <v>0</v>
      </c>
      <c r="L1138" s="25">
        <f>Item_Enchant_Old!L1142</f>
        <v>64</v>
      </c>
      <c r="M1138" s="25">
        <f>Item_Enchant_Old!M1142</f>
        <v>1</v>
      </c>
      <c r="N1138" s="25">
        <f>Item_Enchant_Old!N1142</f>
        <v>0</v>
      </c>
      <c r="O1138" s="25">
        <f>Item_Enchant_Old!O1142</f>
        <v>1</v>
      </c>
      <c r="P1138" s="25">
        <f>Item_Enchant_Old!P1142</f>
        <v>1</v>
      </c>
      <c r="Q1138" s="25">
        <f>Item_Enchant_Old!Q1142</f>
        <v>1</v>
      </c>
      <c r="R1138" s="25">
        <f>Item_Enchant_Old!R1142</f>
        <v>1</v>
      </c>
    </row>
    <row r="1139" spans="1:18">
      <c r="A1139" s="25">
        <f>Item_Enchant_Old!A1143</f>
        <v>2032</v>
      </c>
      <c r="B1139" s="25" t="str">
        <f>Item_Enchant_Old!B1143</f>
        <v>공포 저항력 강화</v>
      </c>
      <c r="C1139" s="25">
        <f>Item_Enchant_Old!C1143</f>
        <v>639</v>
      </c>
      <c r="D1139" s="25">
        <f>Item_Enchant_Old!D1143</f>
        <v>1</v>
      </c>
      <c r="E1139" s="25">
        <f>Item_Enchant_Old!E1143</f>
        <v>0</v>
      </c>
      <c r="F1139" s="25">
        <f>Item_Enchant_Old!F1143</f>
        <v>25</v>
      </c>
      <c r="G1139" s="25">
        <f>Item_Enchant_Old!G1143</f>
        <v>1</v>
      </c>
      <c r="H1139" s="25" t="str">
        <f>Item_Enchant_Old!H1143</f>
        <v>@</v>
      </c>
      <c r="I1139" s="25">
        <f>Item_Enchant_Old!I1143</f>
        <v>3</v>
      </c>
      <c r="J1139" s="25">
        <f>Item_Enchant_Old!J1143</f>
        <v>683</v>
      </c>
      <c r="K1139" s="25">
        <f>Item_Enchant_Old!K1143</f>
        <v>0</v>
      </c>
      <c r="L1139" s="25">
        <f>Item_Enchant_Old!L1143</f>
        <v>64</v>
      </c>
      <c r="M1139" s="25">
        <f>Item_Enchant_Old!M1143</f>
        <v>1</v>
      </c>
      <c r="N1139" s="25">
        <f>Item_Enchant_Old!N1143</f>
        <v>0</v>
      </c>
      <c r="O1139" s="25">
        <f>Item_Enchant_Old!O1143</f>
        <v>1</v>
      </c>
      <c r="P1139" s="25">
        <f>Item_Enchant_Old!P1143</f>
        <v>1</v>
      </c>
      <c r="Q1139" s="25">
        <f>Item_Enchant_Old!Q1143</f>
        <v>1</v>
      </c>
      <c r="R1139" s="25">
        <f>Item_Enchant_Old!R1143</f>
        <v>1</v>
      </c>
    </row>
    <row r="1140" spans="1:18">
      <c r="A1140" s="25">
        <f>Item_Enchant_Old!A1144</f>
        <v>2033</v>
      </c>
      <c r="B1140" s="25" t="str">
        <f>Item_Enchant_Old!B1144</f>
        <v>혼란 저항력 강화</v>
      </c>
      <c r="C1140" s="25">
        <f>Item_Enchant_Old!C1144</f>
        <v>640</v>
      </c>
      <c r="D1140" s="25">
        <f>Item_Enchant_Old!D1144</f>
        <v>1</v>
      </c>
      <c r="E1140" s="25">
        <f>Item_Enchant_Old!E1144</f>
        <v>0</v>
      </c>
      <c r="F1140" s="25">
        <f>Item_Enchant_Old!F1144</f>
        <v>25</v>
      </c>
      <c r="G1140" s="25">
        <f>Item_Enchant_Old!G1144</f>
        <v>1</v>
      </c>
      <c r="H1140" s="25" t="str">
        <f>Item_Enchant_Old!H1144</f>
        <v>@</v>
      </c>
      <c r="I1140" s="25">
        <f>Item_Enchant_Old!I1144</f>
        <v>3</v>
      </c>
      <c r="J1140" s="25">
        <f>Item_Enchant_Old!J1144</f>
        <v>683</v>
      </c>
      <c r="K1140" s="25">
        <f>Item_Enchant_Old!K1144</f>
        <v>0</v>
      </c>
      <c r="L1140" s="25">
        <f>Item_Enchant_Old!L1144</f>
        <v>64</v>
      </c>
      <c r="M1140" s="25">
        <f>Item_Enchant_Old!M1144</f>
        <v>1</v>
      </c>
      <c r="N1140" s="25">
        <f>Item_Enchant_Old!N1144</f>
        <v>0</v>
      </c>
      <c r="O1140" s="25">
        <f>Item_Enchant_Old!O1144</f>
        <v>1</v>
      </c>
      <c r="P1140" s="25">
        <f>Item_Enchant_Old!P1144</f>
        <v>1</v>
      </c>
      <c r="Q1140" s="25">
        <f>Item_Enchant_Old!Q1144</f>
        <v>1</v>
      </c>
      <c r="R1140" s="25">
        <f>Item_Enchant_Old!R1144</f>
        <v>1</v>
      </c>
    </row>
    <row r="1141" spans="1:18">
      <c r="A1141" s="25">
        <f>Item_Enchant_Old!A1145</f>
        <v>2034</v>
      </c>
      <c r="B1141" s="25" t="str">
        <f>Item_Enchant_Old!B1145</f>
        <v>석화 저항력 강화</v>
      </c>
      <c r="C1141" s="25">
        <f>Item_Enchant_Old!C1145</f>
        <v>641</v>
      </c>
      <c r="D1141" s="25">
        <f>Item_Enchant_Old!D1145</f>
        <v>1</v>
      </c>
      <c r="E1141" s="25">
        <f>Item_Enchant_Old!E1145</f>
        <v>0</v>
      </c>
      <c r="F1141" s="25">
        <f>Item_Enchant_Old!F1145</f>
        <v>25</v>
      </c>
      <c r="G1141" s="25">
        <f>Item_Enchant_Old!G1145</f>
        <v>1</v>
      </c>
      <c r="H1141" s="25" t="str">
        <f>Item_Enchant_Old!H1145</f>
        <v>@</v>
      </c>
      <c r="I1141" s="25">
        <f>Item_Enchant_Old!I1145</f>
        <v>3</v>
      </c>
      <c r="J1141" s="25">
        <f>Item_Enchant_Old!J1145</f>
        <v>683</v>
      </c>
      <c r="K1141" s="25">
        <f>Item_Enchant_Old!K1145</f>
        <v>0</v>
      </c>
      <c r="L1141" s="25">
        <f>Item_Enchant_Old!L1145</f>
        <v>64</v>
      </c>
      <c r="M1141" s="25">
        <f>Item_Enchant_Old!M1145</f>
        <v>1</v>
      </c>
      <c r="N1141" s="25">
        <f>Item_Enchant_Old!N1145</f>
        <v>0</v>
      </c>
      <c r="O1141" s="25">
        <f>Item_Enchant_Old!O1145</f>
        <v>1</v>
      </c>
      <c r="P1141" s="25">
        <f>Item_Enchant_Old!P1145</f>
        <v>1</v>
      </c>
      <c r="Q1141" s="25">
        <f>Item_Enchant_Old!Q1145</f>
        <v>1</v>
      </c>
      <c r="R1141" s="25">
        <f>Item_Enchant_Old!R1145</f>
        <v>1</v>
      </c>
    </row>
    <row r="1142" spans="1:18">
      <c r="A1142" s="25">
        <f>Item_Enchant_Old!A1146</f>
        <v>2035</v>
      </c>
      <c r="B1142" s="25" t="str">
        <f>Item_Enchant_Old!B1146</f>
        <v>캔디 저항력 강화</v>
      </c>
      <c r="C1142" s="25">
        <f>Item_Enchant_Old!C1146</f>
        <v>642</v>
      </c>
      <c r="D1142" s="25">
        <f>Item_Enchant_Old!D1146</f>
        <v>1</v>
      </c>
      <c r="E1142" s="25">
        <f>Item_Enchant_Old!E1146</f>
        <v>0</v>
      </c>
      <c r="F1142" s="25">
        <f>Item_Enchant_Old!F1146</f>
        <v>25</v>
      </c>
      <c r="G1142" s="25">
        <f>Item_Enchant_Old!G1146</f>
        <v>1</v>
      </c>
      <c r="H1142" s="25" t="str">
        <f>Item_Enchant_Old!H1146</f>
        <v>@</v>
      </c>
      <c r="I1142" s="25">
        <f>Item_Enchant_Old!I1146</f>
        <v>3</v>
      </c>
      <c r="J1142" s="25">
        <f>Item_Enchant_Old!J1146</f>
        <v>683</v>
      </c>
      <c r="K1142" s="25">
        <f>Item_Enchant_Old!K1146</f>
        <v>0</v>
      </c>
      <c r="L1142" s="25">
        <f>Item_Enchant_Old!L1146</f>
        <v>64</v>
      </c>
      <c r="M1142" s="25">
        <f>Item_Enchant_Old!M1146</f>
        <v>1</v>
      </c>
      <c r="N1142" s="25">
        <f>Item_Enchant_Old!N1146</f>
        <v>0</v>
      </c>
      <c r="O1142" s="25">
        <f>Item_Enchant_Old!O1146</f>
        <v>1</v>
      </c>
      <c r="P1142" s="25">
        <f>Item_Enchant_Old!P1146</f>
        <v>1</v>
      </c>
      <c r="Q1142" s="25">
        <f>Item_Enchant_Old!Q1146</f>
        <v>1</v>
      </c>
      <c r="R1142" s="25">
        <f>Item_Enchant_Old!R1146</f>
        <v>1</v>
      </c>
    </row>
    <row r="1143" spans="1:18">
      <c r="A1143" s="25">
        <f>Item_Enchant_Old!A1147</f>
        <v>2036</v>
      </c>
      <c r="B1143" s="25" t="str">
        <f>Item_Enchant_Old!B1147</f>
        <v>마비 지속 시간 감소</v>
      </c>
      <c r="C1143" s="25">
        <f>Item_Enchant_Old!C1147</f>
        <v>643</v>
      </c>
      <c r="D1143" s="25">
        <f>Item_Enchant_Old!D1147</f>
        <v>1</v>
      </c>
      <c r="E1143" s="25">
        <f>Item_Enchant_Old!E1147</f>
        <v>0</v>
      </c>
      <c r="F1143" s="25">
        <f>Item_Enchant_Old!F1147</f>
        <v>26</v>
      </c>
      <c r="G1143" s="25">
        <f>Item_Enchant_Old!G1147</f>
        <v>1</v>
      </c>
      <c r="H1143" s="25" t="str">
        <f>Item_Enchant_Old!H1147</f>
        <v>@</v>
      </c>
      <c r="I1143" s="25">
        <f>Item_Enchant_Old!I1147</f>
        <v>3</v>
      </c>
      <c r="J1143" s="25">
        <f>Item_Enchant_Old!J1147</f>
        <v>408</v>
      </c>
      <c r="K1143" s="25">
        <f>Item_Enchant_Old!K1147</f>
        <v>0</v>
      </c>
      <c r="L1143" s="25">
        <f>Item_Enchant_Old!L1147</f>
        <v>64</v>
      </c>
      <c r="M1143" s="25">
        <f>Item_Enchant_Old!M1147</f>
        <v>1</v>
      </c>
      <c r="N1143" s="25">
        <f>Item_Enchant_Old!N1147</f>
        <v>0</v>
      </c>
      <c r="O1143" s="25">
        <f>Item_Enchant_Old!O1147</f>
        <v>1</v>
      </c>
      <c r="P1143" s="25">
        <f>Item_Enchant_Old!P1147</f>
        <v>1</v>
      </c>
      <c r="Q1143" s="25">
        <f>Item_Enchant_Old!Q1147</f>
        <v>1</v>
      </c>
      <c r="R1143" s="25">
        <f>Item_Enchant_Old!R1147</f>
        <v>1</v>
      </c>
    </row>
    <row r="1144" spans="1:18">
      <c r="A1144" s="25">
        <f>Item_Enchant_Old!A1148</f>
        <v>2037</v>
      </c>
      <c r="B1144" s="25" t="str">
        <f>Item_Enchant_Old!B1148</f>
        <v>공포 지속 시간 감소</v>
      </c>
      <c r="C1144" s="25">
        <f>Item_Enchant_Old!C1148</f>
        <v>644</v>
      </c>
      <c r="D1144" s="25">
        <f>Item_Enchant_Old!D1148</f>
        <v>1</v>
      </c>
      <c r="E1144" s="25">
        <f>Item_Enchant_Old!E1148</f>
        <v>0</v>
      </c>
      <c r="F1144" s="25">
        <f>Item_Enchant_Old!F1148</f>
        <v>26</v>
      </c>
      <c r="G1144" s="25">
        <f>Item_Enchant_Old!G1148</f>
        <v>1</v>
      </c>
      <c r="H1144" s="25" t="str">
        <f>Item_Enchant_Old!H1148</f>
        <v>@</v>
      </c>
      <c r="I1144" s="25">
        <f>Item_Enchant_Old!I1148</f>
        <v>3</v>
      </c>
      <c r="J1144" s="25">
        <f>Item_Enchant_Old!J1148</f>
        <v>408</v>
      </c>
      <c r="K1144" s="25">
        <f>Item_Enchant_Old!K1148</f>
        <v>0</v>
      </c>
      <c r="L1144" s="25">
        <f>Item_Enchant_Old!L1148</f>
        <v>64</v>
      </c>
      <c r="M1144" s="25">
        <f>Item_Enchant_Old!M1148</f>
        <v>1</v>
      </c>
      <c r="N1144" s="25">
        <f>Item_Enchant_Old!N1148</f>
        <v>0</v>
      </c>
      <c r="O1144" s="25">
        <f>Item_Enchant_Old!O1148</f>
        <v>1</v>
      </c>
      <c r="P1144" s="25">
        <f>Item_Enchant_Old!P1148</f>
        <v>1</v>
      </c>
      <c r="Q1144" s="25">
        <f>Item_Enchant_Old!Q1148</f>
        <v>1</v>
      </c>
      <c r="R1144" s="25">
        <f>Item_Enchant_Old!R1148</f>
        <v>1</v>
      </c>
    </row>
    <row r="1145" spans="1:18">
      <c r="A1145" s="25">
        <f>Item_Enchant_Old!A1149</f>
        <v>2038</v>
      </c>
      <c r="B1145" s="25" t="str">
        <f>Item_Enchant_Old!B1149</f>
        <v>혼란 지속 시간 감소</v>
      </c>
      <c r="C1145" s="25">
        <f>Item_Enchant_Old!C1149</f>
        <v>645</v>
      </c>
      <c r="D1145" s="25">
        <f>Item_Enchant_Old!D1149</f>
        <v>1</v>
      </c>
      <c r="E1145" s="25">
        <f>Item_Enchant_Old!E1149</f>
        <v>0</v>
      </c>
      <c r="F1145" s="25">
        <f>Item_Enchant_Old!F1149</f>
        <v>26</v>
      </c>
      <c r="G1145" s="25">
        <f>Item_Enchant_Old!G1149</f>
        <v>1</v>
      </c>
      <c r="H1145" s="25" t="str">
        <f>Item_Enchant_Old!H1149</f>
        <v>@</v>
      </c>
      <c r="I1145" s="25">
        <f>Item_Enchant_Old!I1149</f>
        <v>3</v>
      </c>
      <c r="J1145" s="25">
        <f>Item_Enchant_Old!J1149</f>
        <v>408</v>
      </c>
      <c r="K1145" s="25">
        <f>Item_Enchant_Old!K1149</f>
        <v>0</v>
      </c>
      <c r="L1145" s="25">
        <f>Item_Enchant_Old!L1149</f>
        <v>64</v>
      </c>
      <c r="M1145" s="25">
        <f>Item_Enchant_Old!M1149</f>
        <v>1</v>
      </c>
      <c r="N1145" s="25">
        <f>Item_Enchant_Old!N1149</f>
        <v>0</v>
      </c>
      <c r="O1145" s="25">
        <f>Item_Enchant_Old!O1149</f>
        <v>1</v>
      </c>
      <c r="P1145" s="25">
        <f>Item_Enchant_Old!P1149</f>
        <v>1</v>
      </c>
      <c r="Q1145" s="25">
        <f>Item_Enchant_Old!Q1149</f>
        <v>1</v>
      </c>
      <c r="R1145" s="25">
        <f>Item_Enchant_Old!R1149</f>
        <v>1</v>
      </c>
    </row>
    <row r="1146" spans="1:18">
      <c r="A1146" s="25">
        <f>Item_Enchant_Old!A1150</f>
        <v>2039</v>
      </c>
      <c r="B1146" s="25" t="str">
        <f>Item_Enchant_Old!B1150</f>
        <v>석화 지속 시간 감소</v>
      </c>
      <c r="C1146" s="25">
        <f>Item_Enchant_Old!C1150</f>
        <v>646</v>
      </c>
      <c r="D1146" s="25">
        <f>Item_Enchant_Old!D1150</f>
        <v>1</v>
      </c>
      <c r="E1146" s="25">
        <f>Item_Enchant_Old!E1150</f>
        <v>0</v>
      </c>
      <c r="F1146" s="25">
        <f>Item_Enchant_Old!F1150</f>
        <v>26</v>
      </c>
      <c r="G1146" s="25">
        <f>Item_Enchant_Old!G1150</f>
        <v>1</v>
      </c>
      <c r="H1146" s="25" t="str">
        <f>Item_Enchant_Old!H1150</f>
        <v>@</v>
      </c>
      <c r="I1146" s="25">
        <f>Item_Enchant_Old!I1150</f>
        <v>3</v>
      </c>
      <c r="J1146" s="25">
        <f>Item_Enchant_Old!J1150</f>
        <v>408</v>
      </c>
      <c r="K1146" s="25">
        <f>Item_Enchant_Old!K1150</f>
        <v>0</v>
      </c>
      <c r="L1146" s="25">
        <f>Item_Enchant_Old!L1150</f>
        <v>64</v>
      </c>
      <c r="M1146" s="25">
        <f>Item_Enchant_Old!M1150</f>
        <v>1</v>
      </c>
      <c r="N1146" s="25">
        <f>Item_Enchant_Old!N1150</f>
        <v>0</v>
      </c>
      <c r="O1146" s="25">
        <f>Item_Enchant_Old!O1150</f>
        <v>1</v>
      </c>
      <c r="P1146" s="25">
        <f>Item_Enchant_Old!P1150</f>
        <v>1</v>
      </c>
      <c r="Q1146" s="25">
        <f>Item_Enchant_Old!Q1150</f>
        <v>1</v>
      </c>
      <c r="R1146" s="25">
        <f>Item_Enchant_Old!R1150</f>
        <v>1</v>
      </c>
    </row>
    <row r="1147" spans="1:18">
      <c r="A1147" s="25">
        <f>Item_Enchant_Old!A1151</f>
        <v>2040</v>
      </c>
      <c r="B1147" s="25" t="str">
        <f>Item_Enchant_Old!B1151</f>
        <v>캔디 지속 시간 감소</v>
      </c>
      <c r="C1147" s="25">
        <f>Item_Enchant_Old!C1151</f>
        <v>647</v>
      </c>
      <c r="D1147" s="25">
        <f>Item_Enchant_Old!D1151</f>
        <v>1</v>
      </c>
      <c r="E1147" s="25">
        <f>Item_Enchant_Old!E1151</f>
        <v>0</v>
      </c>
      <c r="F1147" s="25">
        <f>Item_Enchant_Old!F1151</f>
        <v>26</v>
      </c>
      <c r="G1147" s="25">
        <f>Item_Enchant_Old!G1151</f>
        <v>1</v>
      </c>
      <c r="H1147" s="25" t="str">
        <f>Item_Enchant_Old!H1151</f>
        <v>@</v>
      </c>
      <c r="I1147" s="25">
        <f>Item_Enchant_Old!I1151</f>
        <v>3</v>
      </c>
      <c r="J1147" s="25">
        <f>Item_Enchant_Old!J1151</f>
        <v>408</v>
      </c>
      <c r="K1147" s="25">
        <f>Item_Enchant_Old!K1151</f>
        <v>0</v>
      </c>
      <c r="L1147" s="25">
        <f>Item_Enchant_Old!L1151</f>
        <v>64</v>
      </c>
      <c r="M1147" s="25">
        <f>Item_Enchant_Old!M1151</f>
        <v>1</v>
      </c>
      <c r="N1147" s="25">
        <f>Item_Enchant_Old!N1151</f>
        <v>0</v>
      </c>
      <c r="O1147" s="25">
        <f>Item_Enchant_Old!O1151</f>
        <v>1</v>
      </c>
      <c r="P1147" s="25">
        <f>Item_Enchant_Old!P1151</f>
        <v>1</v>
      </c>
      <c r="Q1147" s="25">
        <f>Item_Enchant_Old!Q1151</f>
        <v>1</v>
      </c>
      <c r="R1147" s="25">
        <f>Item_Enchant_Old!R1151</f>
        <v>1</v>
      </c>
    </row>
    <row r="1148" spans="1:18">
      <c r="A1148" s="25">
        <f>Item_Enchant_Old!A1152</f>
        <v>2041</v>
      </c>
      <c r="B1148" s="25" t="str">
        <f>Item_Enchant_Old!B1152</f>
        <v>출혈 지속 시간 감소</v>
      </c>
      <c r="C1148" s="25">
        <f>Item_Enchant_Old!C1152</f>
        <v>648</v>
      </c>
      <c r="D1148" s="25">
        <f>Item_Enchant_Old!D1152</f>
        <v>1</v>
      </c>
      <c r="E1148" s="25">
        <f>Item_Enchant_Old!E1152</f>
        <v>0</v>
      </c>
      <c r="F1148" s="25">
        <f>Item_Enchant_Old!F1152</f>
        <v>26</v>
      </c>
      <c r="G1148" s="25">
        <f>Item_Enchant_Old!G1152</f>
        <v>1</v>
      </c>
      <c r="H1148" s="25" t="str">
        <f>Item_Enchant_Old!H1152</f>
        <v>@</v>
      </c>
      <c r="I1148" s="25">
        <f>Item_Enchant_Old!I1152</f>
        <v>3</v>
      </c>
      <c r="J1148" s="25">
        <f>Item_Enchant_Old!J1152</f>
        <v>408</v>
      </c>
      <c r="K1148" s="25">
        <f>Item_Enchant_Old!K1152</f>
        <v>0</v>
      </c>
      <c r="L1148" s="25">
        <f>Item_Enchant_Old!L1152</f>
        <v>64</v>
      </c>
      <c r="M1148" s="25">
        <f>Item_Enchant_Old!M1152</f>
        <v>1</v>
      </c>
      <c r="N1148" s="25">
        <f>Item_Enchant_Old!N1152</f>
        <v>0</v>
      </c>
      <c r="O1148" s="25">
        <f>Item_Enchant_Old!O1152</f>
        <v>1</v>
      </c>
      <c r="P1148" s="25">
        <f>Item_Enchant_Old!P1152</f>
        <v>1</v>
      </c>
      <c r="Q1148" s="25">
        <f>Item_Enchant_Old!Q1152</f>
        <v>1</v>
      </c>
      <c r="R1148" s="25">
        <f>Item_Enchant_Old!R1152</f>
        <v>1</v>
      </c>
    </row>
    <row r="1149" spans="1:18">
      <c r="A1149" s="25">
        <f>Item_Enchant_Old!A1153</f>
        <v>2042</v>
      </c>
      <c r="B1149" s="25" t="str">
        <f>Item_Enchant_Old!B1153</f>
        <v>중독 지속 시간 감소</v>
      </c>
      <c r="C1149" s="25">
        <f>Item_Enchant_Old!C1153</f>
        <v>649</v>
      </c>
      <c r="D1149" s="25">
        <f>Item_Enchant_Old!D1153</f>
        <v>1</v>
      </c>
      <c r="E1149" s="25">
        <f>Item_Enchant_Old!E1153</f>
        <v>0</v>
      </c>
      <c r="F1149" s="25">
        <f>Item_Enchant_Old!F1153</f>
        <v>26</v>
      </c>
      <c r="G1149" s="25">
        <f>Item_Enchant_Old!G1153</f>
        <v>1</v>
      </c>
      <c r="H1149" s="25" t="str">
        <f>Item_Enchant_Old!H1153</f>
        <v>@</v>
      </c>
      <c r="I1149" s="25">
        <f>Item_Enchant_Old!I1153</f>
        <v>3</v>
      </c>
      <c r="J1149" s="25">
        <f>Item_Enchant_Old!J1153</f>
        <v>408</v>
      </c>
      <c r="K1149" s="25">
        <f>Item_Enchant_Old!K1153</f>
        <v>0</v>
      </c>
      <c r="L1149" s="25">
        <f>Item_Enchant_Old!L1153</f>
        <v>64</v>
      </c>
      <c r="M1149" s="25">
        <f>Item_Enchant_Old!M1153</f>
        <v>1</v>
      </c>
      <c r="N1149" s="25">
        <f>Item_Enchant_Old!N1153</f>
        <v>0</v>
      </c>
      <c r="O1149" s="25">
        <f>Item_Enchant_Old!O1153</f>
        <v>1</v>
      </c>
      <c r="P1149" s="25">
        <f>Item_Enchant_Old!P1153</f>
        <v>1</v>
      </c>
      <c r="Q1149" s="25">
        <f>Item_Enchant_Old!Q1153</f>
        <v>1</v>
      </c>
      <c r="R1149" s="25">
        <f>Item_Enchant_Old!R1153</f>
        <v>1</v>
      </c>
    </row>
    <row r="1150" spans="1:18">
      <c r="A1150" s="25">
        <f>Item_Enchant_Old!A1154</f>
        <v>2043</v>
      </c>
      <c r="B1150" s="25" t="str">
        <f>Item_Enchant_Old!B1154</f>
        <v>복통 지속 시간 감소</v>
      </c>
      <c r="C1150" s="25">
        <f>Item_Enchant_Old!C1154</f>
        <v>650</v>
      </c>
      <c r="D1150" s="25">
        <f>Item_Enchant_Old!D1154</f>
        <v>1</v>
      </c>
      <c r="E1150" s="25">
        <f>Item_Enchant_Old!E1154</f>
        <v>0</v>
      </c>
      <c r="F1150" s="25">
        <f>Item_Enchant_Old!F1154</f>
        <v>26</v>
      </c>
      <c r="G1150" s="25">
        <f>Item_Enchant_Old!G1154</f>
        <v>1</v>
      </c>
      <c r="H1150" s="25" t="str">
        <f>Item_Enchant_Old!H1154</f>
        <v>@</v>
      </c>
      <c r="I1150" s="25">
        <f>Item_Enchant_Old!I1154</f>
        <v>3</v>
      </c>
      <c r="J1150" s="25">
        <f>Item_Enchant_Old!J1154</f>
        <v>408</v>
      </c>
      <c r="K1150" s="25">
        <f>Item_Enchant_Old!K1154</f>
        <v>0</v>
      </c>
      <c r="L1150" s="25">
        <f>Item_Enchant_Old!L1154</f>
        <v>64</v>
      </c>
      <c r="M1150" s="25">
        <f>Item_Enchant_Old!M1154</f>
        <v>1</v>
      </c>
      <c r="N1150" s="25">
        <f>Item_Enchant_Old!N1154</f>
        <v>0</v>
      </c>
      <c r="O1150" s="25">
        <f>Item_Enchant_Old!O1154</f>
        <v>1</v>
      </c>
      <c r="P1150" s="25">
        <f>Item_Enchant_Old!P1154</f>
        <v>1</v>
      </c>
      <c r="Q1150" s="25">
        <f>Item_Enchant_Old!Q1154</f>
        <v>1</v>
      </c>
      <c r="R1150" s="25">
        <f>Item_Enchant_Old!R1154</f>
        <v>1</v>
      </c>
    </row>
    <row r="1151" spans="1:18">
      <c r="A1151" s="25">
        <f>Item_Enchant_Old!A1155</f>
        <v>2044</v>
      </c>
      <c r="B1151" s="25" t="str">
        <f>Item_Enchant_Old!B1155</f>
        <v>상대의 크리티컬 공격 % 확률로 저지</v>
      </c>
      <c r="C1151" s="25">
        <f>Item_Enchant_Old!C1155</f>
        <v>651</v>
      </c>
      <c r="D1151" s="25">
        <f>Item_Enchant_Old!D1155</f>
        <v>0</v>
      </c>
      <c r="E1151" s="25">
        <f>Item_Enchant_Old!E1155</f>
        <v>0</v>
      </c>
      <c r="F1151" s="25">
        <f>Item_Enchant_Old!F1155</f>
        <v>27</v>
      </c>
      <c r="G1151" s="25">
        <f>Item_Enchant_Old!G1155</f>
        <v>1</v>
      </c>
      <c r="H1151" s="25" t="str">
        <f>Item_Enchant_Old!H1155</f>
        <v>@</v>
      </c>
      <c r="I1151" s="25">
        <f>Item_Enchant_Old!I1155</f>
        <v>3</v>
      </c>
      <c r="J1151" s="25">
        <f>Item_Enchant_Old!J1155</f>
        <v>683</v>
      </c>
      <c r="K1151" s="25">
        <f>Item_Enchant_Old!K1155</f>
        <v>0</v>
      </c>
      <c r="L1151" s="25">
        <f>Item_Enchant_Old!L1155</f>
        <v>4</v>
      </c>
      <c r="M1151" s="25">
        <f>Item_Enchant_Old!M1155</f>
        <v>1</v>
      </c>
      <c r="N1151" s="25">
        <f>Item_Enchant_Old!N1155</f>
        <v>0</v>
      </c>
      <c r="O1151" s="25">
        <f>Item_Enchant_Old!O1155</f>
        <v>1</v>
      </c>
      <c r="P1151" s="25">
        <f>Item_Enchant_Old!P1155</f>
        <v>1</v>
      </c>
      <c r="Q1151" s="25">
        <f>Item_Enchant_Old!Q1155</f>
        <v>1</v>
      </c>
      <c r="R1151" s="25">
        <f>Item_Enchant_Old!R1155</f>
        <v>1</v>
      </c>
    </row>
    <row r="1152" spans="1:18">
      <c r="A1152" s="25">
        <f>Item_Enchant_Old!A1156</f>
        <v>2045</v>
      </c>
      <c r="B1152" s="25" t="str">
        <f>Item_Enchant_Old!B1156</f>
        <v>타격 크리티컬 데미지 % 상승</v>
      </c>
      <c r="C1152" s="25">
        <f>Item_Enchant_Old!C1156</f>
        <v>658</v>
      </c>
      <c r="D1152" s="25">
        <f>Item_Enchant_Old!D1156</f>
        <v>0</v>
      </c>
      <c r="E1152" s="25">
        <f>Item_Enchant_Old!E1156</f>
        <v>0</v>
      </c>
      <c r="F1152" s="25">
        <f>Item_Enchant_Old!F1156</f>
        <v>28</v>
      </c>
      <c r="G1152" s="25">
        <f>Item_Enchant_Old!G1156</f>
        <v>1</v>
      </c>
      <c r="H1152" s="25" t="str">
        <f>Item_Enchant_Old!H1156</f>
        <v>@</v>
      </c>
      <c r="I1152" s="25">
        <f>Item_Enchant_Old!I1156</f>
        <v>3</v>
      </c>
      <c r="J1152" s="25">
        <f>Item_Enchant_Old!J1156</f>
        <v>819</v>
      </c>
      <c r="K1152" s="25">
        <f>Item_Enchant_Old!K1156</f>
        <v>0</v>
      </c>
      <c r="L1152" s="25">
        <f>Item_Enchant_Old!L1156</f>
        <v>8707</v>
      </c>
      <c r="M1152" s="25">
        <f>Item_Enchant_Old!M1156</f>
        <v>1</v>
      </c>
      <c r="N1152" s="25">
        <f>Item_Enchant_Old!N1156</f>
        <v>0</v>
      </c>
      <c r="O1152" s="25">
        <f>Item_Enchant_Old!O1156</f>
        <v>1</v>
      </c>
      <c r="P1152" s="25">
        <f>Item_Enchant_Old!P1156</f>
        <v>1</v>
      </c>
      <c r="Q1152" s="25">
        <f>Item_Enchant_Old!Q1156</f>
        <v>1</v>
      </c>
      <c r="R1152" s="25">
        <f>Item_Enchant_Old!R1156</f>
        <v>1</v>
      </c>
    </row>
    <row r="1153" spans="1:18">
      <c r="A1153" s="25">
        <f>Item_Enchant_Old!A1157</f>
        <v>2046</v>
      </c>
      <c r="B1153" s="25" t="str">
        <f>Item_Enchant_Old!B1157</f>
        <v>기공 크리티컬 데미지 % 상승</v>
      </c>
      <c r="C1153" s="25">
        <f>Item_Enchant_Old!C1157</f>
        <v>659</v>
      </c>
      <c r="D1153" s="25">
        <f>Item_Enchant_Old!D1157</f>
        <v>0</v>
      </c>
      <c r="E1153" s="25">
        <f>Item_Enchant_Old!E1157</f>
        <v>0</v>
      </c>
      <c r="F1153" s="25">
        <f>Item_Enchant_Old!F1157</f>
        <v>29</v>
      </c>
      <c r="G1153" s="25">
        <f>Item_Enchant_Old!G1157</f>
        <v>1</v>
      </c>
      <c r="H1153" s="25" t="str">
        <f>Item_Enchant_Old!H1157</f>
        <v>@</v>
      </c>
      <c r="I1153" s="25">
        <f>Item_Enchant_Old!I1157</f>
        <v>3</v>
      </c>
      <c r="J1153" s="25">
        <f>Item_Enchant_Old!J1157</f>
        <v>819</v>
      </c>
      <c r="K1153" s="25">
        <f>Item_Enchant_Old!K1157</f>
        <v>0</v>
      </c>
      <c r="L1153" s="25">
        <f>Item_Enchant_Old!L1157</f>
        <v>12291</v>
      </c>
      <c r="M1153" s="25">
        <f>Item_Enchant_Old!M1157</f>
        <v>1</v>
      </c>
      <c r="N1153" s="25">
        <f>Item_Enchant_Old!N1157</f>
        <v>0</v>
      </c>
      <c r="O1153" s="25">
        <f>Item_Enchant_Old!O1157</f>
        <v>1</v>
      </c>
      <c r="P1153" s="25">
        <f>Item_Enchant_Old!P1157</f>
        <v>1</v>
      </c>
      <c r="Q1153" s="25">
        <f>Item_Enchant_Old!Q1157</f>
        <v>1</v>
      </c>
      <c r="R1153" s="25">
        <f>Item_Enchant_Old!R1157</f>
        <v>1</v>
      </c>
    </row>
    <row r="1154" spans="1:18">
      <c r="A1154" s="25">
        <f>Item_Enchant_Old!A1158</f>
        <v>2047</v>
      </c>
      <c r="B1154" s="25" t="str">
        <f>Item_Enchant_Old!B1158</f>
        <v>속성 공격 능력, 방어 능력 상승</v>
      </c>
      <c r="C1154" s="25">
        <f>Item_Enchant_Old!C1158</f>
        <v>667</v>
      </c>
      <c r="D1154" s="25">
        <f>Item_Enchant_Old!D1158</f>
        <v>0</v>
      </c>
      <c r="E1154" s="25">
        <f>Item_Enchant_Old!E1158</f>
        <v>0</v>
      </c>
      <c r="F1154" s="25">
        <f>Item_Enchant_Old!F1158</f>
        <v>30</v>
      </c>
      <c r="G1154" s="25">
        <f>Item_Enchant_Old!G1158</f>
        <v>1</v>
      </c>
      <c r="H1154" s="25" t="str">
        <f>Item_Enchant_Old!H1158</f>
        <v>@</v>
      </c>
      <c r="I1154" s="25">
        <f>Item_Enchant_Old!I1158</f>
        <v>3</v>
      </c>
      <c r="J1154" s="25">
        <f>Item_Enchant_Old!J1158</f>
        <v>2040</v>
      </c>
      <c r="K1154" s="25">
        <f>Item_Enchant_Old!K1158</f>
        <v>0</v>
      </c>
      <c r="L1154" s="25">
        <f>Item_Enchant_Old!L1158</f>
        <v>32</v>
      </c>
      <c r="M1154" s="25">
        <f>Item_Enchant_Old!M1158</f>
        <v>1</v>
      </c>
      <c r="N1154" s="25">
        <f>Item_Enchant_Old!N1158</f>
        <v>0</v>
      </c>
      <c r="O1154" s="25">
        <f>Item_Enchant_Old!O1158</f>
        <v>1</v>
      </c>
      <c r="P1154" s="25">
        <f>Item_Enchant_Old!P1158</f>
        <v>1</v>
      </c>
      <c r="Q1154" s="25">
        <f>Item_Enchant_Old!Q1158</f>
        <v>1</v>
      </c>
      <c r="R1154" s="25">
        <f>Item_Enchant_Old!R1158</f>
        <v>1</v>
      </c>
    </row>
    <row r="1155" spans="1:18">
      <c r="A1155" s="25">
        <f>Item_Enchant_Old!A1159</f>
        <v>2048</v>
      </c>
      <c r="B1155" s="25" t="str">
        <f>Item_Enchant_Old!B1159</f>
        <v>타격 데미지 반사</v>
      </c>
      <c r="C1155" s="25">
        <f>Item_Enchant_Old!C1159</f>
        <v>668</v>
      </c>
      <c r="D1155" s="25">
        <f>Item_Enchant_Old!D1159</f>
        <v>0</v>
      </c>
      <c r="E1155" s="25">
        <f>Item_Enchant_Old!E1159</f>
        <v>0</v>
      </c>
      <c r="F1155" s="25">
        <f>Item_Enchant_Old!F1159</f>
        <v>31</v>
      </c>
      <c r="G1155" s="25">
        <f>Item_Enchant_Old!G1159</f>
        <v>1</v>
      </c>
      <c r="H1155" s="25" t="str">
        <f>Item_Enchant_Old!H1159</f>
        <v>@</v>
      </c>
      <c r="I1155" s="25">
        <f>Item_Enchant_Old!I1159</f>
        <v>3</v>
      </c>
      <c r="J1155" s="25">
        <f>Item_Enchant_Old!J1159</f>
        <v>2040</v>
      </c>
      <c r="K1155" s="25">
        <f>Item_Enchant_Old!K1159</f>
        <v>0</v>
      </c>
      <c r="L1155" s="25">
        <f>Item_Enchant_Old!L1159</f>
        <v>144</v>
      </c>
      <c r="M1155" s="25">
        <f>Item_Enchant_Old!M1159</f>
        <v>1</v>
      </c>
      <c r="N1155" s="25">
        <f>Item_Enchant_Old!N1159</f>
        <v>0</v>
      </c>
      <c r="O1155" s="25">
        <f>Item_Enchant_Old!O1159</f>
        <v>1</v>
      </c>
      <c r="P1155" s="25">
        <f>Item_Enchant_Old!P1159</f>
        <v>1</v>
      </c>
      <c r="Q1155" s="25">
        <f>Item_Enchant_Old!Q1159</f>
        <v>1</v>
      </c>
      <c r="R1155" s="25">
        <f>Item_Enchant_Old!R1159</f>
        <v>1</v>
      </c>
    </row>
    <row r="1156" spans="1:18">
      <c r="A1156" s="25">
        <f>Item_Enchant_Old!A1160</f>
        <v>2049</v>
      </c>
      <c r="B1156" s="25" t="str">
        <f>Item_Enchant_Old!B1160</f>
        <v>데미지를 받을 때 만큼 LP 회복</v>
      </c>
      <c r="C1156" s="25">
        <f>Item_Enchant_Old!C1160</f>
        <v>670</v>
      </c>
      <c r="D1156" s="25">
        <f>Item_Enchant_Old!D1160</f>
        <v>0</v>
      </c>
      <c r="E1156" s="25">
        <f>Item_Enchant_Old!E1160</f>
        <v>0</v>
      </c>
      <c r="F1156" s="25">
        <f>Item_Enchant_Old!F1160</f>
        <v>32</v>
      </c>
      <c r="G1156" s="25">
        <f>Item_Enchant_Old!G1160</f>
        <v>1</v>
      </c>
      <c r="H1156" s="25" t="str">
        <f>Item_Enchant_Old!H1160</f>
        <v>@</v>
      </c>
      <c r="I1156" s="25">
        <f>Item_Enchant_Old!I1160</f>
        <v>3</v>
      </c>
      <c r="J1156" s="25">
        <f>Item_Enchant_Old!J1160</f>
        <v>408</v>
      </c>
      <c r="K1156" s="25">
        <f>Item_Enchant_Old!K1160</f>
        <v>0</v>
      </c>
      <c r="L1156" s="25">
        <f>Item_Enchant_Old!L1160</f>
        <v>12</v>
      </c>
      <c r="M1156" s="25">
        <f>Item_Enchant_Old!M1160</f>
        <v>1</v>
      </c>
      <c r="N1156" s="25">
        <f>Item_Enchant_Old!N1160</f>
        <v>0</v>
      </c>
      <c r="O1156" s="25">
        <f>Item_Enchant_Old!O1160</f>
        <v>1</v>
      </c>
      <c r="P1156" s="25">
        <f>Item_Enchant_Old!P1160</f>
        <v>1</v>
      </c>
      <c r="Q1156" s="25">
        <f>Item_Enchant_Old!Q1160</f>
        <v>1</v>
      </c>
      <c r="R1156" s="25">
        <f>Item_Enchant_Old!R1160</f>
        <v>1</v>
      </c>
    </row>
    <row r="1157" spans="1:18">
      <c r="A1157" s="25">
        <f>Item_Enchant_Old!A1161</f>
        <v>2050</v>
      </c>
      <c r="B1157" s="25" t="str">
        <f>Item_Enchant_Old!B1161</f>
        <v>데미지를 받을 때 만큼 EP 회복</v>
      </c>
      <c r="C1157" s="25">
        <f>Item_Enchant_Old!C1161</f>
        <v>671</v>
      </c>
      <c r="D1157" s="25">
        <f>Item_Enchant_Old!D1161</f>
        <v>0</v>
      </c>
      <c r="E1157" s="25">
        <f>Item_Enchant_Old!E1161</f>
        <v>0</v>
      </c>
      <c r="F1157" s="25">
        <f>Item_Enchant_Old!F1161</f>
        <v>33</v>
      </c>
      <c r="G1157" s="25">
        <f>Item_Enchant_Old!G1161</f>
        <v>1</v>
      </c>
      <c r="H1157" s="25" t="str">
        <f>Item_Enchant_Old!H1161</f>
        <v>@</v>
      </c>
      <c r="I1157" s="25">
        <f>Item_Enchant_Old!I1161</f>
        <v>3</v>
      </c>
      <c r="J1157" s="25">
        <f>Item_Enchant_Old!J1161</f>
        <v>408</v>
      </c>
      <c r="K1157" s="25">
        <f>Item_Enchant_Old!K1161</f>
        <v>0</v>
      </c>
      <c r="L1157" s="25">
        <f>Item_Enchant_Old!L1161</f>
        <v>12</v>
      </c>
      <c r="M1157" s="25">
        <f>Item_Enchant_Old!M1161</f>
        <v>1</v>
      </c>
      <c r="N1157" s="25">
        <f>Item_Enchant_Old!N1161</f>
        <v>0</v>
      </c>
      <c r="O1157" s="25">
        <f>Item_Enchant_Old!O1161</f>
        <v>1</v>
      </c>
      <c r="P1157" s="25">
        <f>Item_Enchant_Old!P1161</f>
        <v>1</v>
      </c>
      <c r="Q1157" s="25">
        <f>Item_Enchant_Old!Q1161</f>
        <v>1</v>
      </c>
      <c r="R1157" s="25">
        <f>Item_Enchant_Old!R1161</f>
        <v>1</v>
      </c>
    </row>
    <row r="1158" spans="1:18">
      <c r="A1158" s="25">
        <f>Item_Enchant_Old!A1162</f>
        <v>2051</v>
      </c>
      <c r="B1158" s="25" t="str">
        <f>Item_Enchant_Old!B1162</f>
        <v>순수 속성공격 % 증가</v>
      </c>
      <c r="C1158" s="25">
        <f>Item_Enchant_Old!C1162</f>
        <v>672</v>
      </c>
      <c r="D1158" s="25">
        <f>Item_Enchant_Old!D1162</f>
        <v>0</v>
      </c>
      <c r="E1158" s="25">
        <f>Item_Enchant_Old!E1162</f>
        <v>0</v>
      </c>
      <c r="F1158" s="25">
        <f>Item_Enchant_Old!F1162</f>
        <v>34</v>
      </c>
      <c r="G1158" s="25">
        <f>Item_Enchant_Old!G1162</f>
        <v>1</v>
      </c>
      <c r="H1158" s="25" t="str">
        <f>Item_Enchant_Old!H1162</f>
        <v>@</v>
      </c>
      <c r="I1158" s="25">
        <f>Item_Enchant_Old!I1162</f>
        <v>3</v>
      </c>
      <c r="J1158" s="25">
        <f>Item_Enchant_Old!J1162</f>
        <v>2600</v>
      </c>
      <c r="K1158" s="25">
        <f>Item_Enchant_Old!K1162</f>
        <v>0</v>
      </c>
      <c r="L1158" s="25">
        <f>Item_Enchant_Old!L1162</f>
        <v>12512</v>
      </c>
      <c r="M1158" s="25">
        <f>Item_Enchant_Old!M1162</f>
        <v>1</v>
      </c>
      <c r="N1158" s="25">
        <f>Item_Enchant_Old!N1162</f>
        <v>0</v>
      </c>
      <c r="O1158" s="25">
        <f>Item_Enchant_Old!O1162</f>
        <v>1</v>
      </c>
      <c r="P1158" s="25">
        <f>Item_Enchant_Old!P1162</f>
        <v>1</v>
      </c>
      <c r="Q1158" s="25">
        <f>Item_Enchant_Old!Q1162</f>
        <v>1</v>
      </c>
      <c r="R1158" s="25">
        <f>Item_Enchant_Old!R1162</f>
        <v>1</v>
      </c>
    </row>
    <row r="1159" spans="1:18">
      <c r="A1159" s="25">
        <f>Item_Enchant_Old!A1163</f>
        <v>2052</v>
      </c>
      <c r="B1159" s="25" t="str">
        <f>Item_Enchant_Old!B1163</f>
        <v>기이 속성공격 % 증가</v>
      </c>
      <c r="C1159" s="25">
        <f>Item_Enchant_Old!C1163</f>
        <v>673</v>
      </c>
      <c r="D1159" s="25">
        <f>Item_Enchant_Old!D1163</f>
        <v>0</v>
      </c>
      <c r="E1159" s="25">
        <f>Item_Enchant_Old!E1163</f>
        <v>0</v>
      </c>
      <c r="F1159" s="25">
        <f>Item_Enchant_Old!F1163</f>
        <v>34</v>
      </c>
      <c r="G1159" s="25">
        <f>Item_Enchant_Old!G1163</f>
        <v>1</v>
      </c>
      <c r="H1159" s="25" t="str">
        <f>Item_Enchant_Old!H1163</f>
        <v>@</v>
      </c>
      <c r="I1159" s="25">
        <f>Item_Enchant_Old!I1163</f>
        <v>3</v>
      </c>
      <c r="J1159" s="25">
        <f>Item_Enchant_Old!J1163</f>
        <v>2600</v>
      </c>
      <c r="K1159" s="25">
        <f>Item_Enchant_Old!K1163</f>
        <v>0</v>
      </c>
      <c r="L1159" s="25">
        <f>Item_Enchant_Old!L1163</f>
        <v>8672</v>
      </c>
      <c r="M1159" s="25">
        <f>Item_Enchant_Old!M1163</f>
        <v>1</v>
      </c>
      <c r="N1159" s="25">
        <f>Item_Enchant_Old!N1163</f>
        <v>0</v>
      </c>
      <c r="O1159" s="25">
        <f>Item_Enchant_Old!O1163</f>
        <v>1</v>
      </c>
      <c r="P1159" s="25">
        <f>Item_Enchant_Old!P1163</f>
        <v>1</v>
      </c>
      <c r="Q1159" s="25">
        <f>Item_Enchant_Old!Q1163</f>
        <v>1</v>
      </c>
      <c r="R1159" s="25">
        <f>Item_Enchant_Old!R1163</f>
        <v>1</v>
      </c>
    </row>
    <row r="1160" spans="1:18">
      <c r="A1160" s="25">
        <f>Item_Enchant_Old!A1164</f>
        <v>2053</v>
      </c>
      <c r="B1160" s="25" t="str">
        <f>Item_Enchant_Old!B1164</f>
        <v>용맹 속성공격 % 증가</v>
      </c>
      <c r="C1160" s="25">
        <f>Item_Enchant_Old!C1164</f>
        <v>674</v>
      </c>
      <c r="D1160" s="25">
        <f>Item_Enchant_Old!D1164</f>
        <v>0</v>
      </c>
      <c r="E1160" s="25">
        <f>Item_Enchant_Old!E1164</f>
        <v>0</v>
      </c>
      <c r="F1160" s="25">
        <f>Item_Enchant_Old!F1164</f>
        <v>34</v>
      </c>
      <c r="G1160" s="25">
        <f>Item_Enchant_Old!G1164</f>
        <v>1</v>
      </c>
      <c r="H1160" s="25" t="str">
        <f>Item_Enchant_Old!H1164</f>
        <v>@</v>
      </c>
      <c r="I1160" s="25">
        <f>Item_Enchant_Old!I1164</f>
        <v>3</v>
      </c>
      <c r="J1160" s="25">
        <f>Item_Enchant_Old!J1164</f>
        <v>2600</v>
      </c>
      <c r="K1160" s="25">
        <f>Item_Enchant_Old!K1164</f>
        <v>0</v>
      </c>
      <c r="L1160" s="25">
        <f>Item_Enchant_Old!L1164</f>
        <v>9440</v>
      </c>
      <c r="M1160" s="25">
        <f>Item_Enchant_Old!M1164</f>
        <v>1</v>
      </c>
      <c r="N1160" s="25">
        <f>Item_Enchant_Old!N1164</f>
        <v>0</v>
      </c>
      <c r="O1160" s="25">
        <f>Item_Enchant_Old!O1164</f>
        <v>1</v>
      </c>
      <c r="P1160" s="25">
        <f>Item_Enchant_Old!P1164</f>
        <v>1</v>
      </c>
      <c r="Q1160" s="25">
        <f>Item_Enchant_Old!Q1164</f>
        <v>1</v>
      </c>
      <c r="R1160" s="25">
        <f>Item_Enchant_Old!R1164</f>
        <v>1</v>
      </c>
    </row>
    <row r="1161" spans="1:18">
      <c r="A1161" s="25">
        <f>Item_Enchant_Old!A1165</f>
        <v>2054</v>
      </c>
      <c r="B1161" s="25" t="str">
        <f>Item_Enchant_Old!B1165</f>
        <v>고상 속성공격 % 증가</v>
      </c>
      <c r="C1161" s="25">
        <f>Item_Enchant_Old!C1165</f>
        <v>675</v>
      </c>
      <c r="D1161" s="25">
        <f>Item_Enchant_Old!D1165</f>
        <v>0</v>
      </c>
      <c r="E1161" s="25">
        <f>Item_Enchant_Old!E1165</f>
        <v>0</v>
      </c>
      <c r="F1161" s="25">
        <f>Item_Enchant_Old!F1165</f>
        <v>34</v>
      </c>
      <c r="G1161" s="25">
        <f>Item_Enchant_Old!G1165</f>
        <v>1</v>
      </c>
      <c r="H1161" s="25" t="str">
        <f>Item_Enchant_Old!H1165</f>
        <v>@</v>
      </c>
      <c r="I1161" s="25">
        <f>Item_Enchant_Old!I1165</f>
        <v>3</v>
      </c>
      <c r="J1161" s="25">
        <f>Item_Enchant_Old!J1165</f>
        <v>2600</v>
      </c>
      <c r="K1161" s="25">
        <f>Item_Enchant_Old!K1165</f>
        <v>0</v>
      </c>
      <c r="L1161" s="25">
        <f>Item_Enchant_Old!L1165</f>
        <v>10464</v>
      </c>
      <c r="M1161" s="25">
        <f>Item_Enchant_Old!M1165</f>
        <v>1</v>
      </c>
      <c r="N1161" s="25">
        <f>Item_Enchant_Old!N1165</f>
        <v>0</v>
      </c>
      <c r="O1161" s="25">
        <f>Item_Enchant_Old!O1165</f>
        <v>1</v>
      </c>
      <c r="P1161" s="25">
        <f>Item_Enchant_Old!P1165</f>
        <v>1</v>
      </c>
      <c r="Q1161" s="25">
        <f>Item_Enchant_Old!Q1165</f>
        <v>1</v>
      </c>
      <c r="R1161" s="25">
        <f>Item_Enchant_Old!R1165</f>
        <v>1</v>
      </c>
    </row>
    <row r="1162" spans="1:18">
      <c r="A1162" s="25">
        <f>Item_Enchant_Old!A1166</f>
        <v>2055</v>
      </c>
      <c r="B1162" s="25" t="str">
        <f>Item_Enchant_Old!B1166</f>
        <v>유쾌 속성공격 % 증가</v>
      </c>
      <c r="C1162" s="25">
        <f>Item_Enchant_Old!C1166</f>
        <v>676</v>
      </c>
      <c r="D1162" s="25">
        <f>Item_Enchant_Old!D1166</f>
        <v>0</v>
      </c>
      <c r="E1162" s="25">
        <f>Item_Enchant_Old!E1166</f>
        <v>0</v>
      </c>
      <c r="F1162" s="25">
        <f>Item_Enchant_Old!F1166</f>
        <v>34</v>
      </c>
      <c r="G1162" s="25">
        <f>Item_Enchant_Old!G1166</f>
        <v>1</v>
      </c>
      <c r="H1162" s="25" t="str">
        <f>Item_Enchant_Old!H1166</f>
        <v>@</v>
      </c>
      <c r="I1162" s="25">
        <f>Item_Enchant_Old!I1166</f>
        <v>3</v>
      </c>
      <c r="J1162" s="25">
        <f>Item_Enchant_Old!J1166</f>
        <v>2600</v>
      </c>
      <c r="K1162" s="25">
        <f>Item_Enchant_Old!K1166</f>
        <v>0</v>
      </c>
      <c r="L1162" s="25">
        <f>Item_Enchant_Old!L1166</f>
        <v>8928</v>
      </c>
      <c r="M1162" s="25">
        <f>Item_Enchant_Old!M1166</f>
        <v>1</v>
      </c>
      <c r="N1162" s="25">
        <f>Item_Enchant_Old!N1166</f>
        <v>0</v>
      </c>
      <c r="O1162" s="25">
        <f>Item_Enchant_Old!O1166</f>
        <v>1</v>
      </c>
      <c r="P1162" s="25">
        <f>Item_Enchant_Old!P1166</f>
        <v>1</v>
      </c>
      <c r="Q1162" s="25">
        <f>Item_Enchant_Old!Q1166</f>
        <v>1</v>
      </c>
      <c r="R1162" s="25">
        <f>Item_Enchant_Old!R1166</f>
        <v>1</v>
      </c>
    </row>
    <row r="1163" spans="1:18">
      <c r="A1163" s="25">
        <f>Item_Enchant_Old!A1167</f>
        <v>2056</v>
      </c>
      <c r="B1163" s="25" t="str">
        <f>Item_Enchant_Old!B1167</f>
        <v>데미지를 받을 때 % 만큼 LP 회복</v>
      </c>
      <c r="C1163" s="25">
        <f>Item_Enchant_Old!C1167</f>
        <v>677</v>
      </c>
      <c r="D1163" s="25">
        <f>Item_Enchant_Old!D1167</f>
        <v>0</v>
      </c>
      <c r="E1163" s="25">
        <f>Item_Enchant_Old!E1167</f>
        <v>0</v>
      </c>
      <c r="F1163" s="25">
        <f>Item_Enchant_Old!F1167</f>
        <v>35</v>
      </c>
      <c r="G1163" s="25">
        <f>Item_Enchant_Old!G1167</f>
        <v>1</v>
      </c>
      <c r="H1163" s="25" t="str">
        <f>Item_Enchant_Old!H1167</f>
        <v>@</v>
      </c>
      <c r="I1163" s="25">
        <f>Item_Enchant_Old!I1167</f>
        <v>3</v>
      </c>
      <c r="J1163" s="25">
        <f>Item_Enchant_Old!J1167</f>
        <v>1020</v>
      </c>
      <c r="K1163" s="25">
        <f>Item_Enchant_Old!K1167</f>
        <v>0</v>
      </c>
      <c r="L1163" s="25">
        <f>Item_Enchant_Old!L1167</f>
        <v>8460</v>
      </c>
      <c r="M1163" s="25">
        <f>Item_Enchant_Old!M1167</f>
        <v>1</v>
      </c>
      <c r="N1163" s="25">
        <f>Item_Enchant_Old!N1167</f>
        <v>0</v>
      </c>
      <c r="O1163" s="25">
        <f>Item_Enchant_Old!O1167</f>
        <v>1</v>
      </c>
      <c r="P1163" s="25">
        <f>Item_Enchant_Old!P1167</f>
        <v>1</v>
      </c>
      <c r="Q1163" s="25">
        <f>Item_Enchant_Old!Q1167</f>
        <v>1</v>
      </c>
      <c r="R1163" s="25">
        <f>Item_Enchant_Old!R1167</f>
        <v>1</v>
      </c>
    </row>
    <row r="1164" spans="1:18">
      <c r="A1164" s="25">
        <f>Item_Enchant_Old!A1168</f>
        <v>2057</v>
      </c>
      <c r="B1164" s="25" t="str">
        <f>Item_Enchant_Old!B1168</f>
        <v>데미지를 받을 때 % 만큼 EP 회복</v>
      </c>
      <c r="C1164" s="25">
        <f>Item_Enchant_Old!C1168</f>
        <v>678</v>
      </c>
      <c r="D1164" s="25">
        <f>Item_Enchant_Old!D1168</f>
        <v>0</v>
      </c>
      <c r="E1164" s="25">
        <f>Item_Enchant_Old!E1168</f>
        <v>0</v>
      </c>
      <c r="F1164" s="25">
        <f>Item_Enchant_Old!F1168</f>
        <v>35</v>
      </c>
      <c r="G1164" s="25">
        <f>Item_Enchant_Old!G1168</f>
        <v>1</v>
      </c>
      <c r="H1164" s="25" t="str">
        <f>Item_Enchant_Old!H1168</f>
        <v>@</v>
      </c>
      <c r="I1164" s="25">
        <f>Item_Enchant_Old!I1168</f>
        <v>3</v>
      </c>
      <c r="J1164" s="25">
        <f>Item_Enchant_Old!J1168</f>
        <v>1020</v>
      </c>
      <c r="K1164" s="25">
        <f>Item_Enchant_Old!K1168</f>
        <v>0</v>
      </c>
      <c r="L1164" s="25">
        <f>Item_Enchant_Old!L1168</f>
        <v>12300</v>
      </c>
      <c r="M1164" s="25">
        <f>Item_Enchant_Old!M1168</f>
        <v>1</v>
      </c>
      <c r="N1164" s="25">
        <f>Item_Enchant_Old!N1168</f>
        <v>0</v>
      </c>
      <c r="O1164" s="25">
        <f>Item_Enchant_Old!O1168</f>
        <v>1</v>
      </c>
      <c r="P1164" s="25">
        <f>Item_Enchant_Old!P1168</f>
        <v>1</v>
      </c>
      <c r="Q1164" s="25">
        <f>Item_Enchant_Old!Q1168</f>
        <v>1</v>
      </c>
      <c r="R1164" s="25">
        <f>Item_Enchant_Old!R1168</f>
        <v>1</v>
      </c>
    </row>
    <row r="1165" spans="1:18">
      <c r="A1165" s="25">
        <f>Item_Enchant_Old!A1169</f>
        <v>2058</v>
      </c>
      <c r="B1165" s="25" t="str">
        <f>Item_Enchant_Old!B1169</f>
        <v>복통 방어력 증가</v>
      </c>
      <c r="C1165" s="25">
        <f>Item_Enchant_Old!C1169</f>
        <v>679</v>
      </c>
      <c r="D1165" s="25">
        <f>Item_Enchant_Old!D1169</f>
        <v>0</v>
      </c>
      <c r="E1165" s="25">
        <f>Item_Enchant_Old!E1169</f>
        <v>0</v>
      </c>
      <c r="F1165" s="25">
        <f>Item_Enchant_Old!F1169</f>
        <v>36</v>
      </c>
      <c r="G1165" s="25">
        <f>Item_Enchant_Old!G1169</f>
        <v>1</v>
      </c>
      <c r="H1165" s="25" t="str">
        <f>Item_Enchant_Old!H1169</f>
        <v>@</v>
      </c>
      <c r="I1165" s="25">
        <f>Item_Enchant_Old!I1169</f>
        <v>3</v>
      </c>
      <c r="J1165" s="25">
        <f>Item_Enchant_Old!J1169</f>
        <v>204</v>
      </c>
      <c r="K1165" s="25">
        <f>Item_Enchant_Old!K1169</f>
        <v>0</v>
      </c>
      <c r="L1165" s="25">
        <f>Item_Enchant_Old!L1169</f>
        <v>28</v>
      </c>
      <c r="M1165" s="25">
        <f>Item_Enchant_Old!M1169</f>
        <v>1</v>
      </c>
      <c r="N1165" s="25">
        <f>Item_Enchant_Old!N1169</f>
        <v>0</v>
      </c>
      <c r="O1165" s="25">
        <f>Item_Enchant_Old!O1169</f>
        <v>1</v>
      </c>
      <c r="P1165" s="25">
        <f>Item_Enchant_Old!P1169</f>
        <v>1</v>
      </c>
      <c r="Q1165" s="25">
        <f>Item_Enchant_Old!Q1169</f>
        <v>1</v>
      </c>
      <c r="R1165" s="25">
        <f>Item_Enchant_Old!R1169</f>
        <v>1</v>
      </c>
    </row>
    <row r="1166" spans="1:18">
      <c r="A1166" s="25">
        <f>Item_Enchant_Old!A1170</f>
        <v>2059</v>
      </c>
      <c r="B1166" s="25" t="str">
        <f>Item_Enchant_Old!B1170</f>
        <v>중독 방어력 증가</v>
      </c>
      <c r="C1166" s="25">
        <f>Item_Enchant_Old!C1170</f>
        <v>680</v>
      </c>
      <c r="D1166" s="25">
        <f>Item_Enchant_Old!D1170</f>
        <v>0</v>
      </c>
      <c r="E1166" s="25">
        <f>Item_Enchant_Old!E1170</f>
        <v>0</v>
      </c>
      <c r="F1166" s="25">
        <f>Item_Enchant_Old!F1170</f>
        <v>36</v>
      </c>
      <c r="G1166" s="25">
        <f>Item_Enchant_Old!G1170</f>
        <v>1</v>
      </c>
      <c r="H1166" s="25" t="str">
        <f>Item_Enchant_Old!H1170</f>
        <v>@</v>
      </c>
      <c r="I1166" s="25">
        <f>Item_Enchant_Old!I1170</f>
        <v>3</v>
      </c>
      <c r="J1166" s="25">
        <f>Item_Enchant_Old!J1170</f>
        <v>204</v>
      </c>
      <c r="K1166" s="25">
        <f>Item_Enchant_Old!K1170</f>
        <v>0</v>
      </c>
      <c r="L1166" s="25">
        <f>Item_Enchant_Old!L1170</f>
        <v>28</v>
      </c>
      <c r="M1166" s="25">
        <f>Item_Enchant_Old!M1170</f>
        <v>1</v>
      </c>
      <c r="N1166" s="25">
        <f>Item_Enchant_Old!N1170</f>
        <v>0</v>
      </c>
      <c r="O1166" s="25">
        <f>Item_Enchant_Old!O1170</f>
        <v>1</v>
      </c>
      <c r="P1166" s="25">
        <f>Item_Enchant_Old!P1170</f>
        <v>1</v>
      </c>
      <c r="Q1166" s="25">
        <f>Item_Enchant_Old!Q1170</f>
        <v>1</v>
      </c>
      <c r="R1166" s="25">
        <f>Item_Enchant_Old!R1170</f>
        <v>1</v>
      </c>
    </row>
    <row r="1167" spans="1:18">
      <c r="A1167" s="25">
        <f>Item_Enchant_Old!A1171</f>
        <v>2060</v>
      </c>
      <c r="B1167" s="25" t="str">
        <f>Item_Enchant_Old!B1171</f>
        <v>출혈 방어력 증가</v>
      </c>
      <c r="C1167" s="25">
        <f>Item_Enchant_Old!C1171</f>
        <v>681</v>
      </c>
      <c r="D1167" s="25">
        <f>Item_Enchant_Old!D1171</f>
        <v>0</v>
      </c>
      <c r="E1167" s="25">
        <f>Item_Enchant_Old!E1171</f>
        <v>0</v>
      </c>
      <c r="F1167" s="25">
        <f>Item_Enchant_Old!F1171</f>
        <v>36</v>
      </c>
      <c r="G1167" s="25">
        <f>Item_Enchant_Old!G1171</f>
        <v>1</v>
      </c>
      <c r="H1167" s="25" t="str">
        <f>Item_Enchant_Old!H1171</f>
        <v>@</v>
      </c>
      <c r="I1167" s="25">
        <f>Item_Enchant_Old!I1171</f>
        <v>3</v>
      </c>
      <c r="J1167" s="25">
        <f>Item_Enchant_Old!J1171</f>
        <v>204</v>
      </c>
      <c r="K1167" s="25">
        <f>Item_Enchant_Old!K1171</f>
        <v>0</v>
      </c>
      <c r="L1167" s="25">
        <f>Item_Enchant_Old!L1171</f>
        <v>28</v>
      </c>
      <c r="M1167" s="25">
        <f>Item_Enchant_Old!M1171</f>
        <v>1</v>
      </c>
      <c r="N1167" s="25">
        <f>Item_Enchant_Old!N1171</f>
        <v>0</v>
      </c>
      <c r="O1167" s="25">
        <f>Item_Enchant_Old!O1171</f>
        <v>1</v>
      </c>
      <c r="P1167" s="25">
        <f>Item_Enchant_Old!P1171</f>
        <v>1</v>
      </c>
      <c r="Q1167" s="25">
        <f>Item_Enchant_Old!Q1171</f>
        <v>1</v>
      </c>
      <c r="R1167" s="25">
        <f>Item_Enchant_Old!R1171</f>
        <v>1</v>
      </c>
    </row>
    <row r="1168" spans="1:18">
      <c r="A1168" s="25">
        <f>Item_Enchant_Old!A1172</f>
        <v>2061</v>
      </c>
      <c r="B1168" s="25" t="str">
        <f>Item_Enchant_Old!B1172</f>
        <v>화상 방어력 증가</v>
      </c>
      <c r="C1168" s="25">
        <f>Item_Enchant_Old!C1172</f>
        <v>682</v>
      </c>
      <c r="D1168" s="25">
        <f>Item_Enchant_Old!D1172</f>
        <v>0</v>
      </c>
      <c r="E1168" s="25">
        <f>Item_Enchant_Old!E1172</f>
        <v>0</v>
      </c>
      <c r="F1168" s="25">
        <f>Item_Enchant_Old!F1172</f>
        <v>36</v>
      </c>
      <c r="G1168" s="25">
        <f>Item_Enchant_Old!G1172</f>
        <v>1</v>
      </c>
      <c r="H1168" s="25" t="str">
        <f>Item_Enchant_Old!H1172</f>
        <v>@</v>
      </c>
      <c r="I1168" s="25">
        <f>Item_Enchant_Old!I1172</f>
        <v>3</v>
      </c>
      <c r="J1168" s="25">
        <f>Item_Enchant_Old!J1172</f>
        <v>204</v>
      </c>
      <c r="K1168" s="25">
        <f>Item_Enchant_Old!K1172</f>
        <v>0</v>
      </c>
      <c r="L1168" s="25">
        <f>Item_Enchant_Old!L1172</f>
        <v>28</v>
      </c>
      <c r="M1168" s="25">
        <f>Item_Enchant_Old!M1172</f>
        <v>1</v>
      </c>
      <c r="N1168" s="25">
        <f>Item_Enchant_Old!N1172</f>
        <v>0</v>
      </c>
      <c r="O1168" s="25">
        <f>Item_Enchant_Old!O1172</f>
        <v>1</v>
      </c>
      <c r="P1168" s="25">
        <f>Item_Enchant_Old!P1172</f>
        <v>1</v>
      </c>
      <c r="Q1168" s="25">
        <f>Item_Enchant_Old!Q1172</f>
        <v>1</v>
      </c>
      <c r="R1168" s="25">
        <f>Item_Enchant_Old!R1172</f>
        <v>1</v>
      </c>
    </row>
    <row r="1169" spans="1:18">
      <c r="A1169" s="25">
        <f>Item_Enchant_Old!A1173</f>
        <v>2064</v>
      </c>
      <c r="B1169" s="25" t="str">
        <f>Item_Enchant_Old!B1173</f>
        <v>최대 RP 감소</v>
      </c>
      <c r="C1169" s="25">
        <f>Item_Enchant_Old!C1173</f>
        <v>810</v>
      </c>
      <c r="D1169" s="25">
        <f>Item_Enchant_Old!D1173</f>
        <v>0</v>
      </c>
      <c r="E1169" s="25">
        <f>Item_Enchant_Old!E1173</f>
        <v>0</v>
      </c>
      <c r="F1169" s="25">
        <f>Item_Enchant_Old!F1173</f>
        <v>37</v>
      </c>
      <c r="G1169" s="25">
        <f>Item_Enchant_Old!G1173</f>
        <v>1</v>
      </c>
      <c r="H1169" s="25" t="str">
        <f>Item_Enchant_Old!H1173</f>
        <v>@</v>
      </c>
      <c r="I1169" s="25">
        <f>Item_Enchant_Old!I1173</f>
        <v>3</v>
      </c>
      <c r="J1169" s="25">
        <f>Item_Enchant_Old!J1173</f>
        <v>2040</v>
      </c>
      <c r="K1169" s="25">
        <f>Item_Enchant_Old!K1173</f>
        <v>0</v>
      </c>
      <c r="L1169" s="25">
        <f>Item_Enchant_Old!L1173</f>
        <v>12</v>
      </c>
      <c r="M1169" s="25">
        <f>Item_Enchant_Old!M1173</f>
        <v>1</v>
      </c>
      <c r="N1169" s="25">
        <f>Item_Enchant_Old!N1173</f>
        <v>0</v>
      </c>
      <c r="O1169" s="25">
        <f>Item_Enchant_Old!O1173</f>
        <v>1</v>
      </c>
      <c r="P1169" s="25">
        <f>Item_Enchant_Old!P1173</f>
        <v>1</v>
      </c>
      <c r="Q1169" s="25">
        <f>Item_Enchant_Old!Q1173</f>
        <v>1</v>
      </c>
      <c r="R1169" s="25">
        <f>Item_Enchant_Old!R1173</f>
        <v>1</v>
      </c>
    </row>
    <row r="1170" spans="1:18">
      <c r="A1170" s="25">
        <f>Item_Enchant_Old!A1174</f>
        <v>2065</v>
      </c>
      <c r="B1170" s="25" t="str">
        <f>Item_Enchant_Old!B1174</f>
        <v>드래곤볼 찾기</v>
      </c>
      <c r="C1170" s="25">
        <f>Item_Enchant_Old!C1174</f>
        <v>2000</v>
      </c>
      <c r="D1170" s="25">
        <f>Item_Enchant_Old!D1174</f>
        <v>0</v>
      </c>
      <c r="E1170" s="25">
        <f>Item_Enchant_Old!E1174</f>
        <v>0</v>
      </c>
      <c r="F1170" s="25">
        <f>Item_Enchant_Old!F1174</f>
        <v>38</v>
      </c>
      <c r="G1170" s="25">
        <f>Item_Enchant_Old!G1174</f>
        <v>1</v>
      </c>
      <c r="H1170" s="25" t="str">
        <f>Item_Enchant_Old!H1174</f>
        <v>@</v>
      </c>
      <c r="I1170" s="25">
        <f>Item_Enchant_Old!I1174</f>
        <v>3</v>
      </c>
      <c r="J1170" s="25">
        <f>Item_Enchant_Old!J1174</f>
        <v>3000</v>
      </c>
      <c r="K1170" s="25">
        <f>Item_Enchant_Old!K1174</f>
        <v>0</v>
      </c>
      <c r="L1170" s="25">
        <f>Item_Enchant_Old!L1174</f>
        <v>16384</v>
      </c>
      <c r="M1170" s="25">
        <f>Item_Enchant_Old!M1174</f>
        <v>1</v>
      </c>
      <c r="N1170" s="25">
        <f>Item_Enchant_Old!N1174</f>
        <v>0</v>
      </c>
      <c r="O1170" s="25">
        <f>Item_Enchant_Old!O1174</f>
        <v>1</v>
      </c>
      <c r="P1170" s="25">
        <f>Item_Enchant_Old!P1174</f>
        <v>1</v>
      </c>
      <c r="Q1170" s="25">
        <f>Item_Enchant_Old!Q1174</f>
        <v>1</v>
      </c>
      <c r="R1170" s="25">
        <f>Item_Enchant_Old!R1174</f>
        <v>1</v>
      </c>
    </row>
    <row r="1171" spans="1:18">
      <c r="A1171" s="25">
        <f>Item_Enchant_Old!A1175</f>
        <v>2066</v>
      </c>
      <c r="B1171" s="25" t="str">
        <f>Item_Enchant_Old!B1175</f>
        <v>공격력/방어력 측정, 명중률/회피율 측정</v>
      </c>
      <c r="C1171" s="25">
        <f>Item_Enchant_Old!C1175</f>
        <v>2001</v>
      </c>
      <c r="D1171" s="25">
        <f>Item_Enchant_Old!D1175</f>
        <v>0</v>
      </c>
      <c r="E1171" s="25">
        <f>Item_Enchant_Old!E1175</f>
        <v>0</v>
      </c>
      <c r="F1171" s="25">
        <f>Item_Enchant_Old!F1175</f>
        <v>39</v>
      </c>
      <c r="G1171" s="25">
        <f>Item_Enchant_Old!G1175</f>
        <v>1</v>
      </c>
      <c r="H1171" s="25" t="str">
        <f>Item_Enchant_Old!H1175</f>
        <v>@</v>
      </c>
      <c r="I1171" s="25">
        <f>Item_Enchant_Old!I1175</f>
        <v>3</v>
      </c>
      <c r="J1171" s="25">
        <f>Item_Enchant_Old!J1175</f>
        <v>3000</v>
      </c>
      <c r="K1171" s="25">
        <f>Item_Enchant_Old!K1175</f>
        <v>0</v>
      </c>
      <c r="L1171" s="25">
        <f>Item_Enchant_Old!L1175</f>
        <v>16384</v>
      </c>
      <c r="M1171" s="25">
        <f>Item_Enchant_Old!M1175</f>
        <v>1</v>
      </c>
      <c r="N1171" s="25">
        <f>Item_Enchant_Old!N1175</f>
        <v>0</v>
      </c>
      <c r="O1171" s="25">
        <f>Item_Enchant_Old!O1175</f>
        <v>1</v>
      </c>
      <c r="P1171" s="25">
        <f>Item_Enchant_Old!P1175</f>
        <v>1</v>
      </c>
      <c r="Q1171" s="25">
        <f>Item_Enchant_Old!Q1175</f>
        <v>1</v>
      </c>
      <c r="R1171" s="25">
        <f>Item_Enchant_Old!R1175</f>
        <v>1</v>
      </c>
    </row>
    <row r="1172" spans="1:18">
      <c r="A1172" s="25">
        <f>Item_Enchant_Old!A1176</f>
        <v>2067</v>
      </c>
      <c r="B1172" s="25" t="str">
        <f>Item_Enchant_Old!B1176</f>
        <v>AI/스킬/속성 측정</v>
      </c>
      <c r="C1172" s="25">
        <f>Item_Enchant_Old!C1176</f>
        <v>2002</v>
      </c>
      <c r="D1172" s="25">
        <f>Item_Enchant_Old!D1176</f>
        <v>0</v>
      </c>
      <c r="E1172" s="25">
        <f>Item_Enchant_Old!E1176</f>
        <v>0</v>
      </c>
      <c r="F1172" s="25">
        <f>Item_Enchant_Old!F1176</f>
        <v>40</v>
      </c>
      <c r="G1172" s="25">
        <f>Item_Enchant_Old!G1176</f>
        <v>1</v>
      </c>
      <c r="H1172" s="25" t="str">
        <f>Item_Enchant_Old!H1176</f>
        <v>@</v>
      </c>
      <c r="I1172" s="25">
        <f>Item_Enchant_Old!I1176</f>
        <v>3</v>
      </c>
      <c r="J1172" s="25">
        <f>Item_Enchant_Old!J1176</f>
        <v>3000</v>
      </c>
      <c r="K1172" s="25">
        <f>Item_Enchant_Old!K1176</f>
        <v>0</v>
      </c>
      <c r="L1172" s="25">
        <f>Item_Enchant_Old!L1176</f>
        <v>16384</v>
      </c>
      <c r="M1172" s="25">
        <f>Item_Enchant_Old!M1176</f>
        <v>1</v>
      </c>
      <c r="N1172" s="25">
        <f>Item_Enchant_Old!N1176</f>
        <v>0</v>
      </c>
      <c r="O1172" s="25">
        <f>Item_Enchant_Old!O1176</f>
        <v>1</v>
      </c>
      <c r="P1172" s="25">
        <f>Item_Enchant_Old!P1176</f>
        <v>1</v>
      </c>
      <c r="Q1172" s="25">
        <f>Item_Enchant_Old!Q1176</f>
        <v>1</v>
      </c>
      <c r="R1172" s="25">
        <f>Item_Enchant_Old!R1176</f>
        <v>1</v>
      </c>
    </row>
    <row r="1173" spans="1:18">
      <c r="A1173" s="25">
        <f>Item_Enchant_Old!A1177</f>
        <v>2068</v>
      </c>
      <c r="B1173" s="25" t="str">
        <f>Item_Enchant_Old!B1177</f>
        <v>타인 장비보기</v>
      </c>
      <c r="C1173" s="25">
        <f>Item_Enchant_Old!C1177</f>
        <v>2003</v>
      </c>
      <c r="D1173" s="25">
        <f>Item_Enchant_Old!D1177</f>
        <v>0</v>
      </c>
      <c r="E1173" s="25">
        <f>Item_Enchant_Old!E1177</f>
        <v>0</v>
      </c>
      <c r="F1173" s="25">
        <f>Item_Enchant_Old!F1177</f>
        <v>41</v>
      </c>
      <c r="G1173" s="25">
        <f>Item_Enchant_Old!G1177</f>
        <v>1</v>
      </c>
      <c r="H1173" s="25" t="str">
        <f>Item_Enchant_Old!H1177</f>
        <v>@</v>
      </c>
      <c r="I1173" s="25">
        <f>Item_Enchant_Old!I1177</f>
        <v>3</v>
      </c>
      <c r="J1173" s="25">
        <f>Item_Enchant_Old!J1177</f>
        <v>3000</v>
      </c>
      <c r="K1173" s="25">
        <f>Item_Enchant_Old!K1177</f>
        <v>0</v>
      </c>
      <c r="L1173" s="25">
        <f>Item_Enchant_Old!L1177</f>
        <v>16384</v>
      </c>
      <c r="M1173" s="25">
        <f>Item_Enchant_Old!M1177</f>
        <v>1</v>
      </c>
      <c r="N1173" s="25">
        <f>Item_Enchant_Old!N1177</f>
        <v>0</v>
      </c>
      <c r="O1173" s="25">
        <f>Item_Enchant_Old!O1177</f>
        <v>1</v>
      </c>
      <c r="P1173" s="25">
        <f>Item_Enchant_Old!P1177</f>
        <v>1</v>
      </c>
      <c r="Q1173" s="25">
        <f>Item_Enchant_Old!Q1177</f>
        <v>1</v>
      </c>
      <c r="R1173" s="25">
        <f>Item_Enchant_Old!R1177</f>
        <v>1</v>
      </c>
    </row>
  </sheetData>
  <phoneticPr fontId="92" type="noConversion"/>
  <dataValidations count="4">
    <dataValidation type="whole" errorStyle="warning" operator="greaterThanOrEqual" allowBlank="1" showInputMessage="1" showErrorMessage="1" errorTitle="잘못 된 값" error="'0' 이하의 값을 넣을 수 없습니다." sqref="I1">
      <formula1>1</formula1>
    </dataValidation>
    <dataValidation allowBlank="1" showInputMessage="1" showErrorMessage="1" promptTitle="더 이상 사용하지 않음" prompt="게임내에서 더 이상 사용하지 않습니다._x000a_하지만 삭제는 해서는 안됩니다._x000a_2000번 이후부터 사용합니다." sqref="A2:R1106"/>
    <dataValidation allowBlank="1" showInputMessage="1" showErrorMessage="1" promptTitle="                                " prompt="일련번호" sqref="A1"/>
    <dataValidation allowBlank="1" showInputMessage="1" showErrorMessage="1" promptTitle="                                " prompt="시스템 이펙트 인덱스" sqref="C1"/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D1177"/>
  <sheetViews>
    <sheetView zoomScaleNormal="100" workbookViewId="0">
      <pane xSplit="3" ySplit="3" topLeftCell="DC1150" activePane="bottomRight" state="frozen"/>
      <selection pane="topRight" activeCell="D1" sqref="D1"/>
      <selection pane="bottomLeft" activeCell="A4" sqref="A4"/>
      <selection pane="bottomRight" activeCell="B1179" sqref="B1179"/>
    </sheetView>
  </sheetViews>
  <sheetFormatPr defaultRowHeight="11.25"/>
  <cols>
    <col min="1" max="1" width="6.21875" style="25" bestFit="1" customWidth="1"/>
    <col min="2" max="2" width="26.44140625" style="25" bestFit="1" customWidth="1"/>
    <col min="3" max="3" width="11" style="25" bestFit="1" customWidth="1"/>
    <col min="4" max="4" width="28.33203125" style="25" bestFit="1" customWidth="1"/>
    <col min="5" max="5" width="8.6640625" style="25" bestFit="1" customWidth="1"/>
    <col min="6" max="6" width="10.88671875" style="25" bestFit="1" customWidth="1"/>
    <col min="7" max="8" width="12.21875" style="25" bestFit="1" customWidth="1"/>
    <col min="9" max="9" width="6.88671875" style="25" bestFit="1" customWidth="1"/>
    <col min="10" max="10" width="9.33203125" style="25" bestFit="1" customWidth="1"/>
    <col min="11" max="11" width="13.109375" style="25" bestFit="1" customWidth="1"/>
    <col min="12" max="12" width="9.5546875" style="25" bestFit="1" customWidth="1"/>
    <col min="13" max="13" width="8.6640625" style="25" bestFit="1" customWidth="1"/>
    <col min="14" max="14" width="7.88671875" style="25" bestFit="1" customWidth="1"/>
    <col min="15" max="16" width="11.21875" style="25" bestFit="1" customWidth="1"/>
    <col min="17" max="17" width="8.6640625" style="25" bestFit="1" customWidth="1"/>
    <col min="18" max="18" width="11.21875" style="25" bestFit="1" customWidth="1"/>
    <col min="19" max="19" width="9.33203125" style="25" customWidth="1"/>
    <col min="20" max="20" width="5" style="25" bestFit="1" customWidth="1"/>
    <col min="21" max="21" width="6.21875" style="25" bestFit="1" customWidth="1"/>
    <col min="22" max="24" width="3.77734375" style="25" bestFit="1" customWidth="1"/>
    <col min="25" max="26" width="5" style="25" bestFit="1" customWidth="1"/>
    <col min="27" max="27" width="3.77734375" style="25" bestFit="1" customWidth="1"/>
    <col min="28" max="33" width="6.5546875" style="25" customWidth="1"/>
    <col min="34" max="34" width="6.21875" style="25" bestFit="1" customWidth="1"/>
    <col min="35" max="35" width="7.44140625" style="25" bestFit="1" customWidth="1"/>
    <col min="36" max="36" width="6" style="25" bestFit="1" customWidth="1"/>
    <col min="37" max="37" width="8.33203125" style="25" bestFit="1" customWidth="1"/>
    <col min="38" max="38" width="9.33203125" style="25" customWidth="1"/>
    <col min="39" max="39" width="10.6640625" style="25" bestFit="1" customWidth="1"/>
    <col min="40" max="40" width="12.6640625" style="25" bestFit="1" customWidth="1"/>
    <col min="41" max="41" width="2.6640625" style="25" customWidth="1"/>
    <col min="42" max="42" width="12.6640625" style="25" bestFit="1" customWidth="1"/>
    <col min="43" max="43" width="25.88671875" style="25" bestFit="1" customWidth="1"/>
    <col min="44" max="44" width="3.6640625" style="25" customWidth="1"/>
    <col min="45" max="45" width="5" style="25" bestFit="1" customWidth="1"/>
    <col min="46" max="46" width="6.21875" style="25" bestFit="1" customWidth="1"/>
    <col min="47" max="49" width="3.77734375" style="25" bestFit="1" customWidth="1"/>
    <col min="50" max="51" width="5" style="25" bestFit="1" customWidth="1"/>
    <col min="52" max="52" width="3.77734375" style="25" bestFit="1" customWidth="1"/>
    <col min="53" max="53" width="6.21875" style="25" bestFit="1" customWidth="1"/>
    <col min="54" max="54" width="7.44140625" style="25" bestFit="1" customWidth="1"/>
    <col min="55" max="55" width="6" style="25" bestFit="1" customWidth="1"/>
    <col min="56" max="56" width="8.33203125" style="25" bestFit="1" customWidth="1"/>
    <col min="57" max="16384" width="8.88671875" style="25"/>
  </cols>
  <sheetData>
    <row r="1" spans="1:56">
      <c r="A1" s="25">
        <v>1</v>
      </c>
      <c r="C1" s="25">
        <v>2</v>
      </c>
      <c r="D1" s="25">
        <v>3</v>
      </c>
      <c r="E1" s="25">
        <v>4</v>
      </c>
      <c r="F1" s="25">
        <v>5</v>
      </c>
      <c r="G1" s="25">
        <v>6</v>
      </c>
      <c r="K1" s="25">
        <v>7</v>
      </c>
      <c r="N1" s="25">
        <v>8</v>
      </c>
      <c r="T1" s="25">
        <v>0</v>
      </c>
      <c r="U1" s="25">
        <v>1</v>
      </c>
      <c r="V1" s="25">
        <v>2</v>
      </c>
      <c r="W1" s="25">
        <v>3</v>
      </c>
      <c r="X1" s="25">
        <v>4</v>
      </c>
      <c r="Y1" s="25">
        <v>5</v>
      </c>
      <c r="Z1" s="25">
        <v>6</v>
      </c>
      <c r="AA1" s="25">
        <v>7</v>
      </c>
      <c r="AB1" s="25">
        <v>8</v>
      </c>
      <c r="AC1" s="25">
        <v>9</v>
      </c>
      <c r="AD1" s="25">
        <v>10</v>
      </c>
      <c r="AE1" s="25">
        <v>11</v>
      </c>
      <c r="AF1" s="25">
        <v>12</v>
      </c>
      <c r="AG1" s="25">
        <v>13</v>
      </c>
      <c r="AH1" s="25">
        <v>14</v>
      </c>
      <c r="AS1" s="25">
        <v>0</v>
      </c>
      <c r="AT1" s="25">
        <v>1</v>
      </c>
      <c r="AU1" s="25">
        <v>2</v>
      </c>
      <c r="AV1" s="25">
        <v>3</v>
      </c>
      <c r="AW1" s="25">
        <v>4</v>
      </c>
      <c r="AX1" s="25">
        <v>5</v>
      </c>
      <c r="AY1" s="25">
        <v>6</v>
      </c>
      <c r="AZ1" s="25">
        <v>7</v>
      </c>
    </row>
    <row r="2" spans="1:56">
      <c r="A2" s="25" t="s">
        <v>31</v>
      </c>
      <c r="C2" s="25" t="s">
        <v>33</v>
      </c>
      <c r="D2" s="25" t="s">
        <v>409</v>
      </c>
      <c r="E2" s="25" t="s">
        <v>408</v>
      </c>
      <c r="F2" s="25" t="s">
        <v>35</v>
      </c>
      <c r="G2" s="25" t="s">
        <v>407</v>
      </c>
      <c r="H2" s="25" t="s">
        <v>406</v>
      </c>
      <c r="I2" s="25" t="s">
        <v>225</v>
      </c>
      <c r="J2" s="25" t="s">
        <v>396</v>
      </c>
      <c r="K2" s="25" t="s">
        <v>405</v>
      </c>
      <c r="L2" s="25" t="s">
        <v>228</v>
      </c>
      <c r="M2" s="25" t="s">
        <v>404</v>
      </c>
      <c r="N2" s="25" t="s">
        <v>34</v>
      </c>
      <c r="O2" s="25" t="s">
        <v>403</v>
      </c>
      <c r="P2" s="25" t="s">
        <v>402</v>
      </c>
      <c r="Q2" s="25" t="s">
        <v>401</v>
      </c>
      <c r="R2" s="25" t="s">
        <v>400</v>
      </c>
      <c r="T2" s="25" t="s">
        <v>374</v>
      </c>
      <c r="U2" s="25" t="s">
        <v>375</v>
      </c>
      <c r="V2" s="25" t="s">
        <v>376</v>
      </c>
      <c r="W2" s="25" t="s">
        <v>377</v>
      </c>
      <c r="X2" s="25" t="s">
        <v>378</v>
      </c>
      <c r="Y2" s="25" t="s">
        <v>379</v>
      </c>
      <c r="Z2" s="25" t="s">
        <v>380</v>
      </c>
      <c r="AA2" s="25" t="s">
        <v>381</v>
      </c>
      <c r="AB2" s="25" t="s">
        <v>808</v>
      </c>
      <c r="AC2" s="25" t="s">
        <v>809</v>
      </c>
      <c r="AD2" s="25" t="s">
        <v>810</v>
      </c>
      <c r="AE2" s="25" t="s">
        <v>811</v>
      </c>
      <c r="AF2" s="25" t="s">
        <v>812</v>
      </c>
      <c r="AG2" s="25" t="s">
        <v>813</v>
      </c>
      <c r="AH2" s="25" t="s">
        <v>382</v>
      </c>
      <c r="AI2" s="25" t="s">
        <v>84</v>
      </c>
      <c r="AJ2" s="25" t="s">
        <v>73</v>
      </c>
      <c r="AK2" s="25" t="s">
        <v>7</v>
      </c>
      <c r="AM2" s="25" t="s">
        <v>399</v>
      </c>
      <c r="AN2" s="25" t="s">
        <v>78</v>
      </c>
      <c r="AP2" s="25" t="s">
        <v>398</v>
      </c>
      <c r="AQ2" s="25" t="s">
        <v>32</v>
      </c>
      <c r="AS2" s="25" t="s">
        <v>374</v>
      </c>
      <c r="AT2" s="25" t="s">
        <v>375</v>
      </c>
      <c r="AU2" s="25" t="s">
        <v>376</v>
      </c>
      <c r="AV2" s="25" t="s">
        <v>377</v>
      </c>
      <c r="AW2" s="25" t="s">
        <v>378</v>
      </c>
      <c r="AX2" s="25" t="s">
        <v>379</v>
      </c>
      <c r="AY2" s="25" t="s">
        <v>380</v>
      </c>
      <c r="AZ2" s="25" t="s">
        <v>381</v>
      </c>
      <c r="BA2" s="25" t="s">
        <v>382</v>
      </c>
      <c r="BB2" s="25" t="s">
        <v>84</v>
      </c>
      <c r="BC2" s="25" t="s">
        <v>73</v>
      </c>
      <c r="BD2" s="25" t="s">
        <v>7</v>
      </c>
    </row>
    <row r="3" spans="1:56">
      <c r="A3" s="25" t="s">
        <v>107</v>
      </c>
      <c r="B3" s="25" t="s">
        <v>13</v>
      </c>
      <c r="C3" s="25" t="s">
        <v>77</v>
      </c>
      <c r="D3" s="25" t="s">
        <v>110</v>
      </c>
      <c r="E3" s="25" t="s">
        <v>36</v>
      </c>
      <c r="F3" s="25" t="s">
        <v>39</v>
      </c>
      <c r="G3" s="25" t="s">
        <v>38</v>
      </c>
      <c r="H3" s="25" t="s">
        <v>224</v>
      </c>
      <c r="I3" s="25" t="s">
        <v>226</v>
      </c>
      <c r="J3" s="25" t="s">
        <v>227</v>
      </c>
      <c r="K3" s="25" t="s">
        <v>162</v>
      </c>
      <c r="L3" s="25" t="s">
        <v>393</v>
      </c>
      <c r="M3" s="25" t="s">
        <v>829</v>
      </c>
      <c r="N3" s="25" t="s">
        <v>37</v>
      </c>
      <c r="O3" s="25" t="s">
        <v>74</v>
      </c>
      <c r="P3" s="25" t="s">
        <v>75</v>
      </c>
      <c r="Q3" s="25" t="s">
        <v>9</v>
      </c>
      <c r="R3" s="25" t="s">
        <v>76</v>
      </c>
      <c r="T3" s="25">
        <f t="shared" ref="T3:AG18" si="0">2^T$1</f>
        <v>1</v>
      </c>
      <c r="U3" s="25">
        <f t="shared" si="0"/>
        <v>2</v>
      </c>
      <c r="V3" s="25">
        <f t="shared" si="0"/>
        <v>4</v>
      </c>
      <c r="W3" s="25">
        <f t="shared" si="0"/>
        <v>8</v>
      </c>
      <c r="X3" s="25">
        <f t="shared" si="0"/>
        <v>16</v>
      </c>
      <c r="Y3" s="25">
        <f t="shared" si="0"/>
        <v>32</v>
      </c>
      <c r="Z3" s="25">
        <f t="shared" si="0"/>
        <v>64</v>
      </c>
      <c r="AA3" s="25">
        <f t="shared" si="0"/>
        <v>128</v>
      </c>
      <c r="AB3" s="25">
        <f t="shared" si="0"/>
        <v>256</v>
      </c>
      <c r="AC3" s="25">
        <f t="shared" si="0"/>
        <v>512</v>
      </c>
      <c r="AD3" s="25">
        <f t="shared" si="0"/>
        <v>1024</v>
      </c>
      <c r="AE3" s="25">
        <f t="shared" si="0"/>
        <v>2048</v>
      </c>
      <c r="AF3" s="25">
        <f t="shared" si="0"/>
        <v>4096</v>
      </c>
      <c r="AG3" s="25">
        <f t="shared" si="0"/>
        <v>8192</v>
      </c>
      <c r="AH3" s="25">
        <v>16384</v>
      </c>
      <c r="AS3" s="25">
        <f t="shared" ref="AS3:AZ3" si="1">2^AS$1</f>
        <v>1</v>
      </c>
      <c r="AT3" s="25">
        <f t="shared" si="1"/>
        <v>2</v>
      </c>
      <c r="AU3" s="25">
        <f t="shared" si="1"/>
        <v>4</v>
      </c>
      <c r="AV3" s="25">
        <f t="shared" si="1"/>
        <v>8</v>
      </c>
      <c r="AW3" s="25">
        <f t="shared" si="1"/>
        <v>16</v>
      </c>
      <c r="AX3" s="25">
        <f t="shared" si="1"/>
        <v>32</v>
      </c>
      <c r="AY3" s="25">
        <f t="shared" si="1"/>
        <v>64</v>
      </c>
      <c r="AZ3" s="25">
        <f t="shared" si="1"/>
        <v>128</v>
      </c>
    </row>
    <row r="4" spans="1:56" hidden="1">
      <c r="AA4" s="25">
        <f t="shared" si="0"/>
        <v>128</v>
      </c>
    </row>
    <row r="5" spans="1:56" hidden="1">
      <c r="A5" s="25" t="s">
        <v>0</v>
      </c>
      <c r="B5" s="25" t="s">
        <v>13</v>
      </c>
      <c r="C5" s="25" t="s">
        <v>77</v>
      </c>
      <c r="D5" s="25" t="s">
        <v>110</v>
      </c>
      <c r="E5" s="25" t="s">
        <v>8</v>
      </c>
      <c r="F5" s="25" t="s">
        <v>39</v>
      </c>
      <c r="G5" s="25" t="s">
        <v>38</v>
      </c>
      <c r="H5" s="25" t="s">
        <v>224</v>
      </c>
      <c r="I5" s="25" t="s">
        <v>226</v>
      </c>
      <c r="J5" s="25" t="s">
        <v>227</v>
      </c>
      <c r="K5" s="25" t="s">
        <v>162</v>
      </c>
      <c r="L5" s="25" t="s">
        <v>392</v>
      </c>
      <c r="M5" s="25" t="s">
        <v>171</v>
      </c>
      <c r="N5" s="25" t="s">
        <v>37</v>
      </c>
      <c r="O5" s="25" t="s">
        <v>74</v>
      </c>
      <c r="P5" s="25" t="s">
        <v>75</v>
      </c>
      <c r="Q5" s="25" t="s">
        <v>9</v>
      </c>
      <c r="R5" s="25" t="s">
        <v>76</v>
      </c>
      <c r="T5" s="25">
        <v>1</v>
      </c>
      <c r="U5" s="25">
        <v>2</v>
      </c>
      <c r="V5" s="25">
        <v>4</v>
      </c>
      <c r="W5" s="25">
        <v>8</v>
      </c>
      <c r="X5" s="25">
        <v>16</v>
      </c>
      <c r="Y5" s="25">
        <v>32</v>
      </c>
      <c r="Z5" s="25">
        <v>64</v>
      </c>
      <c r="AA5" s="25">
        <f t="shared" si="0"/>
        <v>128</v>
      </c>
      <c r="AS5" s="25">
        <f t="shared" ref="AS5:AZ5" si="2">2^AS$1</f>
        <v>1</v>
      </c>
      <c r="AT5" s="25">
        <f t="shared" si="2"/>
        <v>2</v>
      </c>
      <c r="AU5" s="25">
        <f t="shared" si="2"/>
        <v>4</v>
      </c>
      <c r="AV5" s="25">
        <f t="shared" si="2"/>
        <v>8</v>
      </c>
      <c r="AW5" s="25">
        <f t="shared" si="2"/>
        <v>16</v>
      </c>
      <c r="AX5" s="25">
        <f t="shared" si="2"/>
        <v>32</v>
      </c>
      <c r="AY5" s="25">
        <f t="shared" si="2"/>
        <v>64</v>
      </c>
      <c r="AZ5" s="25">
        <f t="shared" si="2"/>
        <v>128</v>
      </c>
    </row>
    <row r="6" spans="1:56" hidden="1">
      <c r="A6" s="25">
        <v>1</v>
      </c>
      <c r="B6" s="25" t="str">
        <f>VLOOKUP(C6,'시스템이펙트 참고자료'!$A:$C,2,FALSE)</f>
        <v>ACTIVE_STR_UP</v>
      </c>
      <c r="C6" s="25">
        <v>610</v>
      </c>
      <c r="D6" s="25">
        <f>VLOOKUP(C6,'시스템이펙트 참고자료'!$A:$D,4,FALSE)</f>
        <v>0</v>
      </c>
      <c r="E6" s="25">
        <v>0</v>
      </c>
      <c r="F6" s="25">
        <v>1</v>
      </c>
      <c r="G6" s="25">
        <f>IF(N6&gt;0,INT(100/N6+0.99),0)</f>
        <v>6</v>
      </c>
      <c r="H6" s="25" t="s">
        <v>395</v>
      </c>
      <c r="I6" s="25">
        <v>1</v>
      </c>
      <c r="J6" s="25" t="str">
        <f>VLOOKUP(C6,'시스템이펙트 참고자료'!$A:$C,3,FALSE)</f>
        <v>절대값/상대값(%) 가능</v>
      </c>
      <c r="K6" s="25">
        <v>1</v>
      </c>
      <c r="M6" s="25">
        <v>0</v>
      </c>
      <c r="N6" s="25">
        <f>IF(BD6&gt;0,INT(AM6/AK6),0)</f>
        <v>19</v>
      </c>
      <c r="O6" s="25">
        <v>0</v>
      </c>
      <c r="P6" s="25">
        <v>0</v>
      </c>
      <c r="Q6" s="25">
        <v>0</v>
      </c>
      <c r="R6" s="25">
        <v>0</v>
      </c>
      <c r="AA6" s="25">
        <f t="shared" si="0"/>
        <v>128</v>
      </c>
      <c r="AK6" s="25">
        <v>3</v>
      </c>
      <c r="AM6" s="25">
        <v>57</v>
      </c>
      <c r="AN6" s="25">
        <v>100</v>
      </c>
      <c r="AP6" s="25">
        <f>INT(100/N6+0.99)</f>
        <v>6</v>
      </c>
      <c r="AQ6" s="25" t="s">
        <v>40</v>
      </c>
      <c r="BD6" s="25">
        <v>3</v>
      </c>
    </row>
    <row r="7" spans="1:56" hidden="1">
      <c r="A7" s="25">
        <v>2</v>
      </c>
      <c r="B7" s="25" t="str">
        <f>VLOOKUP(C7,'시스템이펙트 참고자료'!$A:$C,2,FALSE)</f>
        <v>ACTIVE_CON_UP</v>
      </c>
      <c r="C7" s="25">
        <v>611</v>
      </c>
      <c r="D7" s="25">
        <f>VLOOKUP(C7,'시스템이펙트 참고자료'!$A:$D,4,FALSE)</f>
        <v>0</v>
      </c>
      <c r="E7" s="25">
        <v>0</v>
      </c>
      <c r="F7" s="25">
        <v>2</v>
      </c>
      <c r="G7" s="25">
        <f t="shared" ref="G7:G70" si="3">IF(N7&gt;0,INT(100/N7+0.99),0)</f>
        <v>5</v>
      </c>
      <c r="H7" s="25" t="s">
        <v>395</v>
      </c>
      <c r="I7" s="25">
        <v>1</v>
      </c>
      <c r="J7" s="25" t="str">
        <f>VLOOKUP(C7,'시스템이펙트 참고자료'!$A:$C,3,FALSE)</f>
        <v>절대값/상대값(%) 가능</v>
      </c>
      <c r="K7" s="25">
        <v>1</v>
      </c>
      <c r="M7" s="25">
        <v>0</v>
      </c>
      <c r="N7" s="25">
        <f t="shared" ref="N7:N70" si="4">IF(BD7&gt;0,INT(AM7/AK7),0)</f>
        <v>24</v>
      </c>
      <c r="O7" s="25">
        <v>0</v>
      </c>
      <c r="P7" s="25">
        <v>0</v>
      </c>
      <c r="Q7" s="25">
        <v>0</v>
      </c>
      <c r="R7" s="25">
        <v>0</v>
      </c>
      <c r="AA7" s="25">
        <f t="shared" si="0"/>
        <v>128</v>
      </c>
      <c r="AK7" s="25">
        <v>2</v>
      </c>
      <c r="AM7" s="25">
        <v>48</v>
      </c>
      <c r="AN7" s="25">
        <v>100</v>
      </c>
      <c r="AP7" s="25">
        <f t="shared" ref="AP7:AP70" si="5">INT(100/N7+0.99)</f>
        <v>5</v>
      </c>
      <c r="AQ7" s="25" t="s">
        <v>82</v>
      </c>
      <c r="BD7" s="25">
        <v>2</v>
      </c>
    </row>
    <row r="8" spans="1:56" hidden="1">
      <c r="A8" s="25">
        <v>3</v>
      </c>
      <c r="B8" s="25" t="str">
        <f>VLOOKUP(C8,'시스템이펙트 참고자료'!$A:$C,2,FALSE)</f>
        <v>ACTIVE_FOC_UP</v>
      </c>
      <c r="C8" s="25">
        <v>612</v>
      </c>
      <c r="D8" s="25">
        <f>VLOOKUP(C8,'시스템이펙트 참고자료'!$A:$D,4,FALSE)</f>
        <v>0</v>
      </c>
      <c r="E8" s="25">
        <v>0</v>
      </c>
      <c r="F8" s="25">
        <v>3</v>
      </c>
      <c r="G8" s="25">
        <f t="shared" si="3"/>
        <v>4</v>
      </c>
      <c r="H8" s="25" t="s">
        <v>395</v>
      </c>
      <c r="I8" s="25">
        <v>1</v>
      </c>
      <c r="J8" s="25" t="str">
        <f>VLOOKUP(C8,'시스템이펙트 참고자료'!$A:$C,3,FALSE)</f>
        <v>절대값/상대값(%) 가능</v>
      </c>
      <c r="K8" s="25">
        <v>1</v>
      </c>
      <c r="M8" s="25">
        <v>0</v>
      </c>
      <c r="N8" s="25">
        <f t="shared" si="4"/>
        <v>26</v>
      </c>
      <c r="O8" s="25">
        <v>0</v>
      </c>
      <c r="P8" s="25">
        <v>0</v>
      </c>
      <c r="Q8" s="25">
        <v>0</v>
      </c>
      <c r="R8" s="25">
        <v>0</v>
      </c>
      <c r="AA8" s="25">
        <f t="shared" si="0"/>
        <v>128</v>
      </c>
      <c r="AK8" s="25">
        <v>2</v>
      </c>
      <c r="AM8" s="25">
        <v>53</v>
      </c>
      <c r="AN8" s="25">
        <v>100</v>
      </c>
      <c r="AP8" s="25">
        <f t="shared" si="5"/>
        <v>4</v>
      </c>
      <c r="AQ8" s="25" t="s">
        <v>83</v>
      </c>
      <c r="BD8" s="25">
        <v>2</v>
      </c>
    </row>
    <row r="9" spans="1:56" hidden="1">
      <c r="A9" s="25">
        <v>4</v>
      </c>
      <c r="B9" s="25" t="str">
        <f>VLOOKUP(C9,'시스템이펙트 참고자료'!$A:$C,2,FALSE)</f>
        <v>ACTIVE_DEX_UP</v>
      </c>
      <c r="C9" s="25">
        <v>613</v>
      </c>
      <c r="D9" s="25">
        <f>VLOOKUP(C9,'시스템이펙트 참고자료'!$A:$D,4,FALSE)</f>
        <v>0</v>
      </c>
      <c r="E9" s="25">
        <v>0</v>
      </c>
      <c r="F9" s="25">
        <v>4</v>
      </c>
      <c r="G9" s="25">
        <f t="shared" si="3"/>
        <v>5</v>
      </c>
      <c r="H9" s="25" t="s">
        <v>395</v>
      </c>
      <c r="I9" s="25">
        <v>1</v>
      </c>
      <c r="J9" s="25" t="str">
        <f>VLOOKUP(C9,'시스템이펙트 참고자료'!$A:$C,3,FALSE)</f>
        <v>절대값/상대값(%) 가능</v>
      </c>
      <c r="K9" s="25">
        <v>1</v>
      </c>
      <c r="M9" s="25">
        <v>0</v>
      </c>
      <c r="N9" s="25">
        <f t="shared" si="4"/>
        <v>22</v>
      </c>
      <c r="O9" s="25">
        <v>0</v>
      </c>
      <c r="P9" s="25">
        <v>0</v>
      </c>
      <c r="Q9" s="25">
        <v>0</v>
      </c>
      <c r="R9" s="25">
        <v>0</v>
      </c>
      <c r="AA9" s="25">
        <f t="shared" si="0"/>
        <v>128</v>
      </c>
      <c r="AK9" s="25">
        <v>2</v>
      </c>
      <c r="AM9" s="25">
        <v>44</v>
      </c>
      <c r="AN9" s="25">
        <v>100</v>
      </c>
      <c r="AP9" s="25">
        <f t="shared" si="5"/>
        <v>5</v>
      </c>
      <c r="AQ9" s="25" t="s">
        <v>41</v>
      </c>
      <c r="BD9" s="25">
        <v>2</v>
      </c>
    </row>
    <row r="10" spans="1:56" hidden="1">
      <c r="A10" s="25">
        <v>5</v>
      </c>
      <c r="B10" s="25" t="str">
        <f>VLOOKUP(C10,'시스템이펙트 참고자료'!$A:$C,2,FALSE)</f>
        <v>ACTIVE_SOL_UP</v>
      </c>
      <c r="C10" s="25">
        <v>614</v>
      </c>
      <c r="D10" s="25">
        <f>VLOOKUP(C10,'시스템이펙트 참고자료'!$A:$D,4,FALSE)</f>
        <v>0</v>
      </c>
      <c r="E10" s="25">
        <v>0</v>
      </c>
      <c r="F10" s="25">
        <v>5</v>
      </c>
      <c r="G10" s="25">
        <f t="shared" si="3"/>
        <v>6</v>
      </c>
      <c r="H10" s="25" t="s">
        <v>395</v>
      </c>
      <c r="I10" s="25">
        <v>1</v>
      </c>
      <c r="J10" s="25" t="str">
        <f>VLOOKUP(C10,'시스템이펙트 참고자료'!$A:$C,3,FALSE)</f>
        <v>절대값/상대값(%) 가능</v>
      </c>
      <c r="K10" s="25">
        <v>1</v>
      </c>
      <c r="M10" s="25">
        <v>0</v>
      </c>
      <c r="N10" s="25">
        <f t="shared" si="4"/>
        <v>17</v>
      </c>
      <c r="O10" s="25">
        <v>0</v>
      </c>
      <c r="P10" s="25">
        <v>0</v>
      </c>
      <c r="Q10" s="25">
        <v>0</v>
      </c>
      <c r="R10" s="25">
        <v>0</v>
      </c>
      <c r="AA10" s="25">
        <f t="shared" si="0"/>
        <v>128</v>
      </c>
      <c r="AK10" s="25">
        <v>3</v>
      </c>
      <c r="AM10" s="25">
        <v>53</v>
      </c>
      <c r="AN10" s="25">
        <v>100</v>
      </c>
      <c r="AP10" s="25">
        <f t="shared" si="5"/>
        <v>6</v>
      </c>
      <c r="AQ10" s="25" t="s">
        <v>42</v>
      </c>
      <c r="BD10" s="25">
        <v>3</v>
      </c>
    </row>
    <row r="11" spans="1:56" hidden="1">
      <c r="A11" s="25">
        <v>6</v>
      </c>
      <c r="B11" s="25" t="str">
        <f>VLOOKUP(C11,'시스템이펙트 참고자료'!$A:$C,2,FALSE)</f>
        <v>ACTIVE_ENG_UP</v>
      </c>
      <c r="C11" s="25">
        <v>615</v>
      </c>
      <c r="D11" s="25">
        <f>VLOOKUP(C11,'시스템이펙트 참고자료'!$A:$D,4,FALSE)</f>
        <v>0</v>
      </c>
      <c r="E11" s="25">
        <v>0</v>
      </c>
      <c r="F11" s="25">
        <v>6</v>
      </c>
      <c r="G11" s="25">
        <f t="shared" si="3"/>
        <v>4</v>
      </c>
      <c r="H11" s="25" t="s">
        <v>395</v>
      </c>
      <c r="I11" s="25">
        <v>1</v>
      </c>
      <c r="J11" s="25" t="str">
        <f>VLOOKUP(C11,'시스템이펙트 참고자료'!$A:$C,3,FALSE)</f>
        <v>절대값/상대값(%) 가능</v>
      </c>
      <c r="K11" s="25">
        <v>1</v>
      </c>
      <c r="M11" s="25">
        <v>0</v>
      </c>
      <c r="N11" s="25">
        <f t="shared" si="4"/>
        <v>31</v>
      </c>
      <c r="O11" s="25">
        <v>0</v>
      </c>
      <c r="P11" s="25">
        <v>0</v>
      </c>
      <c r="Q11" s="25">
        <v>0</v>
      </c>
      <c r="R11" s="25">
        <v>0</v>
      </c>
      <c r="AA11" s="25">
        <f t="shared" si="0"/>
        <v>128</v>
      </c>
      <c r="AK11" s="25">
        <v>2</v>
      </c>
      <c r="AM11" s="25">
        <v>62</v>
      </c>
      <c r="AN11" s="25">
        <v>100</v>
      </c>
      <c r="AP11" s="25">
        <f t="shared" si="5"/>
        <v>4</v>
      </c>
      <c r="AQ11" s="25" t="s">
        <v>43</v>
      </c>
      <c r="BD11" s="25">
        <v>2</v>
      </c>
    </row>
    <row r="12" spans="1:56" hidden="1">
      <c r="A12" s="25">
        <v>7</v>
      </c>
      <c r="B12" s="25" t="str">
        <f>VLOOKUP(C12,'시스템이펙트 참고자료'!$A:$C,2,FALSE)</f>
        <v>ACTIVE_PHYSICAL_OFFENCE_UP</v>
      </c>
      <c r="C12" s="25">
        <v>606</v>
      </c>
      <c r="D12" s="25">
        <f>VLOOKUP(C12,'시스템이펙트 참고자료'!$A:$D,4,FALSE)</f>
        <v>0</v>
      </c>
      <c r="E12" s="25">
        <v>1</v>
      </c>
      <c r="F12" s="25">
        <v>1</v>
      </c>
      <c r="G12" s="25">
        <f t="shared" si="3"/>
        <v>2</v>
      </c>
      <c r="H12" s="25" t="s">
        <v>395</v>
      </c>
      <c r="I12" s="25">
        <v>1</v>
      </c>
      <c r="J12" s="25" t="str">
        <f>VLOOKUP(C12,'시스템이펙트 참고자료'!$A:$C,3,FALSE)</f>
        <v>절대값/상대값(%) 가능</v>
      </c>
      <c r="K12" s="25">
        <v>1</v>
      </c>
      <c r="M12" s="25">
        <v>0</v>
      </c>
      <c r="N12" s="25">
        <f t="shared" si="4"/>
        <v>62</v>
      </c>
      <c r="O12" s="25">
        <v>0</v>
      </c>
      <c r="P12" s="25">
        <v>0</v>
      </c>
      <c r="Q12" s="25">
        <v>0</v>
      </c>
      <c r="R12" s="25">
        <v>0</v>
      </c>
      <c r="AA12" s="25">
        <f t="shared" si="0"/>
        <v>128</v>
      </c>
      <c r="AK12" s="25">
        <v>2</v>
      </c>
      <c r="AM12" s="25">
        <v>125</v>
      </c>
      <c r="AN12" s="25">
        <v>100</v>
      </c>
      <c r="AP12" s="25">
        <f t="shared" si="5"/>
        <v>2</v>
      </c>
      <c r="AQ12" s="25" t="s">
        <v>44</v>
      </c>
      <c r="BD12" s="25">
        <v>2</v>
      </c>
    </row>
    <row r="13" spans="1:56" hidden="1">
      <c r="A13" s="25">
        <v>8</v>
      </c>
      <c r="B13" s="25" t="str">
        <f>VLOOKUP(C13,'시스템이펙트 참고자료'!$A:$C,2,FALSE)</f>
        <v>ACTIVE_MAX_LP_UP</v>
      </c>
      <c r="C13" s="25">
        <v>603</v>
      </c>
      <c r="D13" s="25">
        <f>VLOOKUP(C13,'시스템이펙트 참고자료'!$A:$D,4,FALSE)</f>
        <v>0</v>
      </c>
      <c r="E13" s="25">
        <v>0</v>
      </c>
      <c r="F13" s="25">
        <v>2</v>
      </c>
      <c r="G13" s="25">
        <f t="shared" si="3"/>
        <v>1</v>
      </c>
      <c r="H13" s="25" t="s">
        <v>395</v>
      </c>
      <c r="I13" s="25">
        <v>1</v>
      </c>
      <c r="J13" s="25" t="str">
        <f>VLOOKUP(C13,'시스템이펙트 참고자료'!$A:$C,3,FALSE)</f>
        <v>절대값/상대값(%) 가능</v>
      </c>
      <c r="K13" s="25">
        <v>1</v>
      </c>
      <c r="M13" s="25">
        <v>0</v>
      </c>
      <c r="N13" s="25">
        <f t="shared" si="4"/>
        <v>1381</v>
      </c>
      <c r="O13" s="25">
        <v>0</v>
      </c>
      <c r="P13" s="25">
        <v>0</v>
      </c>
      <c r="Q13" s="25">
        <v>0</v>
      </c>
      <c r="R13" s="25">
        <v>0</v>
      </c>
      <c r="AA13" s="25">
        <f t="shared" si="0"/>
        <v>128</v>
      </c>
      <c r="AK13" s="25">
        <v>2</v>
      </c>
      <c r="AM13" s="25">
        <v>2762</v>
      </c>
      <c r="AN13" s="25">
        <v>100</v>
      </c>
      <c r="AP13" s="25">
        <f t="shared" si="5"/>
        <v>1</v>
      </c>
      <c r="AQ13" s="25" t="s">
        <v>45</v>
      </c>
      <c r="BD13" s="25">
        <v>2</v>
      </c>
    </row>
    <row r="14" spans="1:56" hidden="1">
      <c r="A14" s="25">
        <v>9</v>
      </c>
      <c r="B14" s="25" t="str">
        <f>VLOOKUP(C14,'시스템이펙트 참고자료'!$A:$C,2,FALSE)</f>
        <v>ACTIVE_LP_REGENERATION</v>
      </c>
      <c r="C14" s="25">
        <v>627</v>
      </c>
      <c r="D14" s="25">
        <f>VLOOKUP(C14,'시스템이펙트 참고자료'!$A:$D,4,FALSE)</f>
        <v>0</v>
      </c>
      <c r="E14" s="25">
        <v>0</v>
      </c>
      <c r="F14" s="25">
        <v>2</v>
      </c>
      <c r="G14" s="25">
        <f t="shared" si="3"/>
        <v>2</v>
      </c>
      <c r="H14" s="25" t="s">
        <v>395</v>
      </c>
      <c r="I14" s="25">
        <v>1</v>
      </c>
      <c r="J14" s="25" t="str">
        <f>VLOOKUP(C14,'시스템이펙트 참고자료'!$A:$C,3,FALSE)</f>
        <v>절대값/상대값(%) 가능</v>
      </c>
      <c r="K14" s="25">
        <v>1</v>
      </c>
      <c r="M14" s="25">
        <v>0</v>
      </c>
      <c r="N14" s="25">
        <f t="shared" si="4"/>
        <v>63</v>
      </c>
      <c r="O14" s="25">
        <v>0</v>
      </c>
      <c r="P14" s="25">
        <v>0</v>
      </c>
      <c r="Q14" s="25">
        <v>0</v>
      </c>
      <c r="R14" s="25">
        <v>0</v>
      </c>
      <c r="AA14" s="25">
        <f t="shared" si="0"/>
        <v>128</v>
      </c>
      <c r="AK14" s="25">
        <v>2</v>
      </c>
      <c r="AM14" s="25">
        <v>126</v>
      </c>
      <c r="AN14" s="25">
        <v>100</v>
      </c>
      <c r="AP14" s="25">
        <f t="shared" si="5"/>
        <v>2</v>
      </c>
      <c r="AQ14" s="25" t="s">
        <v>46</v>
      </c>
      <c r="BD14" s="25">
        <v>2</v>
      </c>
    </row>
    <row r="15" spans="1:56" hidden="1">
      <c r="A15" s="25">
        <v>10</v>
      </c>
      <c r="B15" s="25" t="str">
        <f>VLOOKUP(C15,'시스템이펙트 참고자료'!$A:$C,2,FALSE)</f>
        <v>ACTIVE_SIT_DOWN_LP_REGENERATION_UP</v>
      </c>
      <c r="C15" s="25">
        <v>656</v>
      </c>
      <c r="D15" s="25">
        <f>VLOOKUP(C15,'시스템이펙트 참고자료'!$A:$D,4,FALSE)</f>
        <v>0</v>
      </c>
      <c r="E15" s="25">
        <v>0</v>
      </c>
      <c r="F15" s="25">
        <v>2</v>
      </c>
      <c r="G15" s="25">
        <f t="shared" si="3"/>
        <v>4</v>
      </c>
      <c r="H15" s="25" t="s">
        <v>395</v>
      </c>
      <c r="I15" s="25">
        <v>1</v>
      </c>
      <c r="J15" s="25" t="str">
        <f>VLOOKUP(C15,'시스템이펙트 참고자료'!$A:$C,3,FALSE)</f>
        <v>절대값만 가능</v>
      </c>
      <c r="K15" s="25">
        <v>1</v>
      </c>
      <c r="M15" s="25">
        <v>0</v>
      </c>
      <c r="N15" s="25">
        <f t="shared" si="4"/>
        <v>27</v>
      </c>
      <c r="O15" s="25">
        <v>0</v>
      </c>
      <c r="P15" s="25">
        <v>0</v>
      </c>
      <c r="Q15" s="25">
        <v>0</v>
      </c>
      <c r="R15" s="25">
        <v>0</v>
      </c>
      <c r="AA15" s="25">
        <f t="shared" si="0"/>
        <v>128</v>
      </c>
      <c r="AK15" s="25">
        <v>5</v>
      </c>
      <c r="AM15" s="25">
        <v>139</v>
      </c>
      <c r="AN15" s="25">
        <v>100</v>
      </c>
      <c r="AP15" s="25">
        <f t="shared" si="5"/>
        <v>4</v>
      </c>
      <c r="AQ15" s="25" t="s">
        <v>47</v>
      </c>
      <c r="BD15" s="25">
        <v>5</v>
      </c>
    </row>
    <row r="16" spans="1:56" hidden="1">
      <c r="A16" s="25">
        <v>11</v>
      </c>
      <c r="B16" s="25" t="str">
        <f>VLOOKUP(C16,'시스템이펙트 참고자료'!$A:$C,2,FALSE)</f>
        <v>ACTIVE_ATTACK_RATE_UP</v>
      </c>
      <c r="C16" s="25">
        <v>618</v>
      </c>
      <c r="D16" s="25">
        <f>VLOOKUP(C16,'시스템이펙트 참고자료'!$A:$D,4,FALSE)</f>
        <v>0</v>
      </c>
      <c r="E16" s="25">
        <v>0</v>
      </c>
      <c r="F16" s="25">
        <v>3</v>
      </c>
      <c r="G16" s="25">
        <f t="shared" si="3"/>
        <v>1</v>
      </c>
      <c r="H16" s="25" t="s">
        <v>395</v>
      </c>
      <c r="I16" s="25">
        <v>1</v>
      </c>
      <c r="J16" s="25" t="str">
        <f>VLOOKUP(C16,'시스템이펙트 참고자료'!$A:$C,3,FALSE)</f>
        <v>절대값/상대값(%) 가능</v>
      </c>
      <c r="K16" s="25">
        <v>1</v>
      </c>
      <c r="M16" s="25">
        <v>0</v>
      </c>
      <c r="N16" s="25">
        <f t="shared" si="4"/>
        <v>264</v>
      </c>
      <c r="O16" s="25">
        <v>0</v>
      </c>
      <c r="P16" s="25">
        <v>0</v>
      </c>
      <c r="Q16" s="25">
        <v>0</v>
      </c>
      <c r="R16" s="25">
        <v>0</v>
      </c>
      <c r="AA16" s="25">
        <f t="shared" si="0"/>
        <v>128</v>
      </c>
      <c r="AK16" s="25">
        <v>2</v>
      </c>
      <c r="AM16" s="25">
        <v>528</v>
      </c>
      <c r="AN16" s="25">
        <v>100</v>
      </c>
      <c r="AP16" s="25">
        <f t="shared" si="5"/>
        <v>1</v>
      </c>
      <c r="AQ16" s="25" t="s">
        <v>48</v>
      </c>
      <c r="BD16" s="25">
        <v>2</v>
      </c>
    </row>
    <row r="17" spans="1:56" hidden="1">
      <c r="A17" s="25">
        <v>12</v>
      </c>
      <c r="B17" s="25" t="str">
        <f>VLOOKUP(C17,'시스템이펙트 참고자료'!$A:$C,2,FALSE)</f>
        <v>ACTIVE_CURSE_SUCCESS</v>
      </c>
      <c r="C17" s="25">
        <v>630</v>
      </c>
      <c r="D17" s="25">
        <f>VLOOKUP(C17,'시스템이펙트 참고자료'!$A:$D,4,FALSE)</f>
        <v>0</v>
      </c>
      <c r="E17" s="25">
        <v>0</v>
      </c>
      <c r="F17" s="25">
        <v>3</v>
      </c>
      <c r="G17" s="25">
        <f t="shared" si="3"/>
        <v>1</v>
      </c>
      <c r="H17" s="25" t="s">
        <v>395</v>
      </c>
      <c r="I17" s="25">
        <v>1</v>
      </c>
      <c r="J17" s="25" t="str">
        <f>VLOOKUP(C17,'시스템이펙트 참고자료'!$A:$C,3,FALSE)</f>
        <v>절대값/상대값(%) 가능</v>
      </c>
      <c r="K17" s="25">
        <v>1</v>
      </c>
      <c r="M17" s="25">
        <v>0</v>
      </c>
      <c r="N17" s="25">
        <f t="shared" si="4"/>
        <v>247</v>
      </c>
      <c r="O17" s="25">
        <v>0</v>
      </c>
      <c r="P17" s="25">
        <v>0</v>
      </c>
      <c r="Q17" s="25">
        <v>0</v>
      </c>
      <c r="R17" s="25">
        <v>0</v>
      </c>
      <c r="AA17" s="25">
        <f t="shared" si="0"/>
        <v>128</v>
      </c>
      <c r="AK17" s="25">
        <v>2</v>
      </c>
      <c r="AM17" s="25">
        <v>494</v>
      </c>
      <c r="AN17" s="25">
        <v>100</v>
      </c>
      <c r="AP17" s="25">
        <f t="shared" si="5"/>
        <v>1</v>
      </c>
      <c r="AQ17" s="25" t="s">
        <v>49</v>
      </c>
      <c r="BD17" s="25">
        <v>2</v>
      </c>
    </row>
    <row r="18" spans="1:56" hidden="1">
      <c r="A18" s="25">
        <v>13</v>
      </c>
      <c r="B18" s="25" t="str">
        <f>VLOOKUP(C18,'시스템이펙트 참고자료'!$A:$C,2,FALSE)</f>
        <v>ACTIVE_DODGE_RATE_UP</v>
      </c>
      <c r="C18" s="25">
        <v>619</v>
      </c>
      <c r="D18" s="25">
        <f>VLOOKUP(C18,'시스템이펙트 참고자료'!$A:$D,4,FALSE)</f>
        <v>0</v>
      </c>
      <c r="E18" s="25">
        <v>0</v>
      </c>
      <c r="F18" s="25">
        <v>4</v>
      </c>
      <c r="G18" s="25">
        <f t="shared" si="3"/>
        <v>1</v>
      </c>
      <c r="H18" s="25" t="s">
        <v>395</v>
      </c>
      <c r="I18" s="25">
        <v>1</v>
      </c>
      <c r="J18" s="25" t="str">
        <f>VLOOKUP(C18,'시스템이펙트 참고자료'!$A:$C,3,FALSE)</f>
        <v>절대값/상대값(%) 가능</v>
      </c>
      <c r="K18" s="25">
        <v>1</v>
      </c>
      <c r="M18" s="25">
        <v>0</v>
      </c>
      <c r="N18" s="25">
        <f t="shared" si="4"/>
        <v>137</v>
      </c>
      <c r="O18" s="25">
        <v>0</v>
      </c>
      <c r="P18" s="25">
        <v>0</v>
      </c>
      <c r="Q18" s="25">
        <v>0</v>
      </c>
      <c r="R18" s="25">
        <v>0</v>
      </c>
      <c r="AA18" s="25">
        <f t="shared" si="0"/>
        <v>128</v>
      </c>
      <c r="AK18" s="25">
        <v>1</v>
      </c>
      <c r="AM18" s="25">
        <v>137.5</v>
      </c>
      <c r="AN18" s="25">
        <v>100</v>
      </c>
      <c r="AP18" s="25">
        <f t="shared" si="5"/>
        <v>1</v>
      </c>
      <c r="AQ18" s="25" t="s">
        <v>121</v>
      </c>
      <c r="BD18" s="25">
        <v>1</v>
      </c>
    </row>
    <row r="19" spans="1:56" hidden="1">
      <c r="A19" s="25">
        <v>14</v>
      </c>
      <c r="B19" s="25" t="str">
        <f>VLOOKUP(C19,'시스템이펙트 참고자료'!$A:$C,2,FALSE)</f>
        <v>ACTIVE_DODGE_RATE_UP</v>
      </c>
      <c r="C19" s="25">
        <v>619</v>
      </c>
      <c r="D19" s="25">
        <f>VLOOKUP(C19,'시스템이펙트 참고자료'!$A:$D,4,FALSE)</f>
        <v>0</v>
      </c>
      <c r="E19" s="25">
        <v>0</v>
      </c>
      <c r="F19" s="25">
        <v>4</v>
      </c>
      <c r="G19" s="25">
        <f t="shared" si="3"/>
        <v>2</v>
      </c>
      <c r="H19" s="25" t="s">
        <v>395</v>
      </c>
      <c r="I19" s="25">
        <v>1</v>
      </c>
      <c r="J19" s="25" t="str">
        <f>VLOOKUP(C19,'시스템이펙트 참고자료'!$A:$C,3,FALSE)</f>
        <v>절대값/상대값(%) 가능</v>
      </c>
      <c r="K19" s="25">
        <v>1</v>
      </c>
      <c r="M19" s="25">
        <v>0</v>
      </c>
      <c r="N19" s="25">
        <f t="shared" si="4"/>
        <v>82</v>
      </c>
      <c r="O19" s="25">
        <v>0</v>
      </c>
      <c r="P19" s="25">
        <v>0</v>
      </c>
      <c r="Q19" s="25">
        <v>0</v>
      </c>
      <c r="R19" s="25">
        <v>0</v>
      </c>
      <c r="AA19" s="25">
        <f t="shared" ref="AA19:AA82" si="6">2^AA$1</f>
        <v>128</v>
      </c>
      <c r="AK19" s="25">
        <v>1</v>
      </c>
      <c r="AM19" s="25">
        <v>82.5</v>
      </c>
      <c r="AN19" s="25">
        <v>100</v>
      </c>
      <c r="AP19" s="25">
        <f t="shared" si="5"/>
        <v>2</v>
      </c>
      <c r="AQ19" s="25" t="s">
        <v>122</v>
      </c>
      <c r="BD19" s="25">
        <v>1</v>
      </c>
    </row>
    <row r="20" spans="1:56" hidden="1">
      <c r="A20" s="25">
        <v>15</v>
      </c>
      <c r="B20" s="25" t="str">
        <f>VLOOKUP(C20,'시스템이펙트 참고자료'!$A:$C,2,FALSE)</f>
        <v>ACTIVE_DODGE_RATE_UP</v>
      </c>
      <c r="C20" s="25">
        <v>619</v>
      </c>
      <c r="D20" s="25">
        <f>VLOOKUP(C20,'시스템이펙트 참고자료'!$A:$D,4,FALSE)</f>
        <v>0</v>
      </c>
      <c r="E20" s="25">
        <v>0</v>
      </c>
      <c r="F20" s="25">
        <v>4</v>
      </c>
      <c r="G20" s="25">
        <f t="shared" si="3"/>
        <v>2</v>
      </c>
      <c r="H20" s="25" t="s">
        <v>395</v>
      </c>
      <c r="I20" s="25">
        <v>1</v>
      </c>
      <c r="J20" s="25" t="str">
        <f>VLOOKUP(C20,'시스템이펙트 참고자료'!$A:$C,3,FALSE)</f>
        <v>절대값/상대값(%) 가능</v>
      </c>
      <c r="K20" s="25">
        <v>1</v>
      </c>
      <c r="M20" s="25">
        <v>0</v>
      </c>
      <c r="N20" s="25">
        <f t="shared" si="4"/>
        <v>55</v>
      </c>
      <c r="O20" s="25">
        <v>0</v>
      </c>
      <c r="P20" s="25">
        <v>0</v>
      </c>
      <c r="Q20" s="25">
        <v>0</v>
      </c>
      <c r="R20" s="25">
        <v>0</v>
      </c>
      <c r="AA20" s="25">
        <f t="shared" si="6"/>
        <v>128</v>
      </c>
      <c r="AK20" s="25">
        <v>1</v>
      </c>
      <c r="AM20" s="25">
        <v>55</v>
      </c>
      <c r="AN20" s="25">
        <v>100</v>
      </c>
      <c r="AP20" s="25">
        <f t="shared" si="5"/>
        <v>2</v>
      </c>
      <c r="AQ20" s="25" t="s">
        <v>123</v>
      </c>
      <c r="BD20" s="25">
        <v>1</v>
      </c>
    </row>
    <row r="21" spans="1:56" hidden="1">
      <c r="A21" s="25">
        <v>16</v>
      </c>
      <c r="B21" s="25" t="str">
        <f>VLOOKUP(C21,'시스템이펙트 참고자료'!$A:$C,2,FALSE)</f>
        <v>ACTIVE_BLOCK_RATE_UP</v>
      </c>
      <c r="C21" s="25">
        <v>620</v>
      </c>
      <c r="D21" s="25">
        <f>VLOOKUP(C21,'시스템이펙트 참고자료'!$A:$D,4,FALSE)</f>
        <v>0</v>
      </c>
      <c r="E21" s="25">
        <v>0</v>
      </c>
      <c r="F21" s="25">
        <v>4</v>
      </c>
      <c r="G21" s="25">
        <f t="shared" si="3"/>
        <v>1</v>
      </c>
      <c r="H21" s="25" t="s">
        <v>395</v>
      </c>
      <c r="I21" s="25">
        <v>1</v>
      </c>
      <c r="J21" s="25" t="str">
        <f>VLOOKUP(C21,'시스템이펙트 참고자료'!$A:$C,3,FALSE)</f>
        <v>절대값/상대값(%) 가능</v>
      </c>
      <c r="K21" s="25">
        <v>1</v>
      </c>
      <c r="M21" s="25">
        <v>0</v>
      </c>
      <c r="N21" s="25">
        <f t="shared" si="4"/>
        <v>176</v>
      </c>
      <c r="O21" s="25">
        <v>0</v>
      </c>
      <c r="P21" s="25">
        <v>0</v>
      </c>
      <c r="Q21" s="25">
        <v>0</v>
      </c>
      <c r="R21" s="25">
        <v>0</v>
      </c>
      <c r="AA21" s="25">
        <f t="shared" si="6"/>
        <v>128</v>
      </c>
      <c r="AK21" s="25">
        <v>1</v>
      </c>
      <c r="AM21" s="25">
        <v>176</v>
      </c>
      <c r="AN21" s="25">
        <v>100</v>
      </c>
      <c r="AP21" s="25">
        <f t="shared" si="5"/>
        <v>1</v>
      </c>
      <c r="AQ21" s="25" t="s">
        <v>124</v>
      </c>
      <c r="BD21" s="25">
        <v>1</v>
      </c>
    </row>
    <row r="22" spans="1:56" hidden="1">
      <c r="A22" s="25">
        <v>17</v>
      </c>
      <c r="B22" s="25" t="str">
        <f>VLOOKUP(C22,'시스템이펙트 참고자료'!$A:$C,2,FALSE)</f>
        <v>ACTIVE_BLOCK_RATE_UP</v>
      </c>
      <c r="C22" s="25">
        <v>620</v>
      </c>
      <c r="D22" s="25">
        <f>VLOOKUP(C22,'시스템이펙트 참고자료'!$A:$D,4,FALSE)</f>
        <v>0</v>
      </c>
      <c r="E22" s="25">
        <v>0</v>
      </c>
      <c r="F22" s="25">
        <v>4</v>
      </c>
      <c r="G22" s="25">
        <f t="shared" si="3"/>
        <v>1</v>
      </c>
      <c r="H22" s="25" t="s">
        <v>395</v>
      </c>
      <c r="I22" s="25">
        <v>1</v>
      </c>
      <c r="J22" s="25" t="str">
        <f>VLOOKUP(C22,'시스템이펙트 참고자료'!$A:$C,3,FALSE)</f>
        <v>절대값/상대값(%) 가능</v>
      </c>
      <c r="K22" s="25">
        <v>1</v>
      </c>
      <c r="M22" s="25">
        <v>0</v>
      </c>
      <c r="N22" s="25">
        <f t="shared" si="4"/>
        <v>105</v>
      </c>
      <c r="O22" s="25">
        <v>0</v>
      </c>
      <c r="P22" s="25">
        <v>0</v>
      </c>
      <c r="Q22" s="25">
        <v>0</v>
      </c>
      <c r="R22" s="25">
        <v>0</v>
      </c>
      <c r="AA22" s="25">
        <f t="shared" si="6"/>
        <v>128</v>
      </c>
      <c r="AK22" s="25">
        <v>1</v>
      </c>
      <c r="AM22" s="25">
        <v>105.6</v>
      </c>
      <c r="AN22" s="25">
        <v>100</v>
      </c>
      <c r="AP22" s="25">
        <f t="shared" si="5"/>
        <v>1</v>
      </c>
      <c r="AQ22" s="25" t="s">
        <v>125</v>
      </c>
      <c r="BD22" s="25">
        <v>1</v>
      </c>
    </row>
    <row r="23" spans="1:56" hidden="1">
      <c r="A23" s="25">
        <v>18</v>
      </c>
      <c r="B23" s="25" t="str">
        <f>VLOOKUP(C23,'시스템이펙트 참고자료'!$A:$C,2,FALSE)</f>
        <v>ACTIVE_BLOCK_RATE_UP</v>
      </c>
      <c r="C23" s="25">
        <v>620</v>
      </c>
      <c r="D23" s="25">
        <f>VLOOKUP(C23,'시스템이펙트 참고자료'!$A:$D,4,FALSE)</f>
        <v>0</v>
      </c>
      <c r="E23" s="25">
        <v>0</v>
      </c>
      <c r="F23" s="25">
        <v>4</v>
      </c>
      <c r="G23" s="25">
        <f t="shared" si="3"/>
        <v>2</v>
      </c>
      <c r="H23" s="25" t="s">
        <v>395</v>
      </c>
      <c r="I23" s="25">
        <v>1</v>
      </c>
      <c r="J23" s="25" t="str">
        <f>VLOOKUP(C23,'시스템이펙트 참고자료'!$A:$C,3,FALSE)</f>
        <v>절대값/상대값(%) 가능</v>
      </c>
      <c r="K23" s="25">
        <v>1</v>
      </c>
      <c r="M23" s="25">
        <v>0</v>
      </c>
      <c r="N23" s="25">
        <f t="shared" si="4"/>
        <v>70</v>
      </c>
      <c r="O23" s="25">
        <v>0</v>
      </c>
      <c r="P23" s="25">
        <v>0</v>
      </c>
      <c r="Q23" s="25">
        <v>0</v>
      </c>
      <c r="R23" s="25">
        <v>0</v>
      </c>
      <c r="AA23" s="25">
        <f t="shared" si="6"/>
        <v>128</v>
      </c>
      <c r="AK23" s="25">
        <v>1</v>
      </c>
      <c r="AM23" s="25">
        <v>70.400000000000006</v>
      </c>
      <c r="AN23" s="25">
        <v>100</v>
      </c>
      <c r="AP23" s="25">
        <f t="shared" si="5"/>
        <v>2</v>
      </c>
      <c r="AQ23" s="25" t="s">
        <v>126</v>
      </c>
      <c r="BD23" s="25">
        <v>1</v>
      </c>
    </row>
    <row r="24" spans="1:56" hidden="1">
      <c r="A24" s="25">
        <v>19</v>
      </c>
      <c r="B24" s="25" t="str">
        <f>VLOOKUP(C24,'시스템이펙트 참고자료'!$A:$C,2,FALSE)</f>
        <v>ACTIVE_NORMAL_SKILL_BLOCK_MODE_UP</v>
      </c>
      <c r="C24" s="25">
        <v>652</v>
      </c>
      <c r="D24" s="25">
        <f>VLOOKUP(C24,'시스템이펙트 참고자료'!$A:$D,4,FALSE)</f>
        <v>0</v>
      </c>
      <c r="E24" s="25">
        <v>0</v>
      </c>
      <c r="F24" s="25">
        <v>4</v>
      </c>
      <c r="G24" s="25">
        <f t="shared" si="3"/>
        <v>5</v>
      </c>
      <c r="H24" s="25" t="s">
        <v>395</v>
      </c>
      <c r="I24" s="25">
        <v>1</v>
      </c>
      <c r="J24" s="25">
        <f>VLOOKUP(C24,'시스템이펙트 참고자료'!$A:$C,3,FALSE)</f>
        <v>0</v>
      </c>
      <c r="K24" s="25">
        <v>1</v>
      </c>
      <c r="M24" s="25">
        <v>0</v>
      </c>
      <c r="N24" s="25">
        <f t="shared" si="4"/>
        <v>22</v>
      </c>
      <c r="O24" s="25">
        <v>0</v>
      </c>
      <c r="P24" s="25">
        <v>0</v>
      </c>
      <c r="Q24" s="25">
        <v>0</v>
      </c>
      <c r="R24" s="25">
        <v>0</v>
      </c>
      <c r="AA24" s="25">
        <f t="shared" si="6"/>
        <v>128</v>
      </c>
      <c r="AK24" s="25">
        <v>1</v>
      </c>
      <c r="AM24" s="25">
        <v>22.5</v>
      </c>
      <c r="AN24" s="25">
        <v>100</v>
      </c>
      <c r="AP24" s="25">
        <f t="shared" si="5"/>
        <v>5</v>
      </c>
      <c r="AQ24" s="25" t="s">
        <v>127</v>
      </c>
      <c r="BD24" s="25">
        <v>1</v>
      </c>
    </row>
    <row r="25" spans="1:56" hidden="1">
      <c r="A25" s="25">
        <v>20</v>
      </c>
      <c r="B25" s="25" t="str">
        <f>VLOOKUP(C25,'시스템이펙트 참고자료'!$A:$C,2,FALSE)</f>
        <v>ACTIVE_NORMAL_SKILL_BLOCK_MODE_UP</v>
      </c>
      <c r="C25" s="25">
        <v>652</v>
      </c>
      <c r="D25" s="25">
        <f>VLOOKUP(C25,'시스템이펙트 참고자료'!$A:$D,4,FALSE)</f>
        <v>0</v>
      </c>
      <c r="E25" s="25">
        <v>0</v>
      </c>
      <c r="F25" s="25">
        <v>4</v>
      </c>
      <c r="G25" s="25">
        <f t="shared" si="3"/>
        <v>8</v>
      </c>
      <c r="H25" s="25" t="s">
        <v>395</v>
      </c>
      <c r="I25" s="25">
        <v>1</v>
      </c>
      <c r="J25" s="25">
        <f>VLOOKUP(C25,'시스템이펙트 참고자료'!$A:$C,3,FALSE)</f>
        <v>0</v>
      </c>
      <c r="K25" s="25">
        <v>1</v>
      </c>
      <c r="M25" s="25">
        <v>0</v>
      </c>
      <c r="N25" s="25">
        <f t="shared" si="4"/>
        <v>13</v>
      </c>
      <c r="O25" s="25">
        <v>0</v>
      </c>
      <c r="P25" s="25">
        <v>0</v>
      </c>
      <c r="Q25" s="25">
        <v>0</v>
      </c>
      <c r="R25" s="25">
        <v>0</v>
      </c>
      <c r="AA25" s="25">
        <f t="shared" si="6"/>
        <v>128</v>
      </c>
      <c r="AK25" s="25">
        <v>1</v>
      </c>
      <c r="AM25" s="25">
        <v>13.5</v>
      </c>
      <c r="AN25" s="25">
        <v>100</v>
      </c>
      <c r="AP25" s="25">
        <f t="shared" si="5"/>
        <v>8</v>
      </c>
      <c r="AQ25" s="25" t="s">
        <v>128</v>
      </c>
      <c r="BD25" s="25">
        <v>1</v>
      </c>
    </row>
    <row r="26" spans="1:56" hidden="1">
      <c r="A26" s="25">
        <v>21</v>
      </c>
      <c r="B26" s="25" t="str">
        <f>VLOOKUP(C26,'시스템이펙트 참고자료'!$A:$C,2,FALSE)</f>
        <v>ACTIVE_NORMAL_SKILL_BLOCK_MODE_UP</v>
      </c>
      <c r="C26" s="25">
        <v>652</v>
      </c>
      <c r="D26" s="25">
        <f>VLOOKUP(C26,'시스템이펙트 참고자료'!$A:$D,4,FALSE)</f>
        <v>0</v>
      </c>
      <c r="E26" s="25">
        <v>0</v>
      </c>
      <c r="F26" s="25">
        <v>4</v>
      </c>
      <c r="G26" s="25">
        <f t="shared" si="3"/>
        <v>12</v>
      </c>
      <c r="H26" s="25" t="s">
        <v>395</v>
      </c>
      <c r="I26" s="25">
        <v>1</v>
      </c>
      <c r="J26" s="25">
        <f>VLOOKUP(C26,'시스템이펙트 참고자료'!$A:$C,3,FALSE)</f>
        <v>0</v>
      </c>
      <c r="K26" s="25">
        <v>1</v>
      </c>
      <c r="M26" s="25">
        <v>0</v>
      </c>
      <c r="N26" s="25">
        <f t="shared" si="4"/>
        <v>9</v>
      </c>
      <c r="O26" s="25">
        <v>0</v>
      </c>
      <c r="P26" s="25">
        <v>0</v>
      </c>
      <c r="Q26" s="25">
        <v>0</v>
      </c>
      <c r="R26" s="25">
        <v>0</v>
      </c>
      <c r="AA26" s="25">
        <f t="shared" si="6"/>
        <v>128</v>
      </c>
      <c r="AK26" s="25">
        <v>1</v>
      </c>
      <c r="AM26" s="25">
        <v>9</v>
      </c>
      <c r="AN26" s="25">
        <v>100</v>
      </c>
      <c r="AP26" s="25">
        <f t="shared" si="5"/>
        <v>12</v>
      </c>
      <c r="AQ26" s="25" t="s">
        <v>129</v>
      </c>
      <c r="BD26" s="25">
        <v>1</v>
      </c>
    </row>
    <row r="27" spans="1:56" hidden="1">
      <c r="A27" s="25">
        <v>22</v>
      </c>
      <c r="B27" s="25" t="str">
        <f>VLOOKUP(C27,'시스템이펙트 참고자료'!$A:$C,2,FALSE)</f>
        <v>ACTIVE_CURSE_SKILL_BLOCK_MODE_UP</v>
      </c>
      <c r="C27" s="25">
        <v>653</v>
      </c>
      <c r="D27" s="25">
        <f>VLOOKUP(C27,'시스템이펙트 참고자료'!$A:$D,4,FALSE)</f>
        <v>0</v>
      </c>
      <c r="E27" s="25">
        <v>0</v>
      </c>
      <c r="F27" s="25">
        <v>4</v>
      </c>
      <c r="G27" s="25">
        <f t="shared" si="3"/>
        <v>5</v>
      </c>
      <c r="H27" s="25" t="s">
        <v>395</v>
      </c>
      <c r="I27" s="25">
        <v>1</v>
      </c>
      <c r="J27" s="25">
        <f>VLOOKUP(C27,'시스템이펙트 참고자료'!$A:$C,3,FALSE)</f>
        <v>0</v>
      </c>
      <c r="K27" s="25">
        <v>1</v>
      </c>
      <c r="M27" s="25">
        <v>0</v>
      </c>
      <c r="N27" s="25">
        <f t="shared" si="4"/>
        <v>22</v>
      </c>
      <c r="O27" s="25">
        <v>0</v>
      </c>
      <c r="P27" s="25">
        <v>0</v>
      </c>
      <c r="Q27" s="25">
        <v>0</v>
      </c>
      <c r="R27" s="25">
        <v>0</v>
      </c>
      <c r="AA27" s="25">
        <f t="shared" si="6"/>
        <v>128</v>
      </c>
      <c r="AK27" s="25">
        <v>1</v>
      </c>
      <c r="AM27" s="25">
        <v>22.5</v>
      </c>
      <c r="AN27" s="25">
        <v>100</v>
      </c>
      <c r="AP27" s="25">
        <f t="shared" si="5"/>
        <v>5</v>
      </c>
      <c r="AQ27" s="25" t="s">
        <v>130</v>
      </c>
      <c r="BD27" s="25">
        <v>1</v>
      </c>
    </row>
    <row r="28" spans="1:56" hidden="1">
      <c r="A28" s="25">
        <v>23</v>
      </c>
      <c r="B28" s="25" t="str">
        <f>VLOOKUP(C28,'시스템이펙트 참고자료'!$A:$C,2,FALSE)</f>
        <v>ACTIVE_CURSE_SKILL_BLOCK_MODE_UP</v>
      </c>
      <c r="C28" s="25">
        <v>653</v>
      </c>
      <c r="D28" s="25">
        <f>VLOOKUP(C28,'시스템이펙트 참고자료'!$A:$D,4,FALSE)</f>
        <v>0</v>
      </c>
      <c r="E28" s="25">
        <v>0</v>
      </c>
      <c r="F28" s="25">
        <v>4</v>
      </c>
      <c r="G28" s="25">
        <f t="shared" si="3"/>
        <v>8</v>
      </c>
      <c r="H28" s="25" t="s">
        <v>395</v>
      </c>
      <c r="I28" s="25">
        <v>1</v>
      </c>
      <c r="J28" s="25">
        <f>VLOOKUP(C28,'시스템이펙트 참고자료'!$A:$C,3,FALSE)</f>
        <v>0</v>
      </c>
      <c r="K28" s="25">
        <v>1</v>
      </c>
      <c r="M28" s="25">
        <v>0</v>
      </c>
      <c r="N28" s="25">
        <f t="shared" si="4"/>
        <v>13</v>
      </c>
      <c r="O28" s="25">
        <v>0</v>
      </c>
      <c r="P28" s="25">
        <v>0</v>
      </c>
      <c r="Q28" s="25">
        <v>0</v>
      </c>
      <c r="R28" s="25">
        <v>0</v>
      </c>
      <c r="AA28" s="25">
        <f t="shared" si="6"/>
        <v>128</v>
      </c>
      <c r="AK28" s="25">
        <v>1</v>
      </c>
      <c r="AM28" s="25">
        <v>13.5</v>
      </c>
      <c r="AN28" s="25">
        <v>100</v>
      </c>
      <c r="AP28" s="25">
        <f t="shared" si="5"/>
        <v>8</v>
      </c>
      <c r="AQ28" s="25" t="s">
        <v>131</v>
      </c>
      <c r="BD28" s="25">
        <v>1</v>
      </c>
    </row>
    <row r="29" spans="1:56" hidden="1">
      <c r="A29" s="25">
        <v>24</v>
      </c>
      <c r="B29" s="25" t="str">
        <f>VLOOKUP(C29,'시스템이펙트 참고자료'!$A:$C,2,FALSE)</f>
        <v>ACTIVE_CURSE_SKILL_BLOCK_MODE_UP</v>
      </c>
      <c r="C29" s="25">
        <v>653</v>
      </c>
      <c r="D29" s="25">
        <f>VLOOKUP(C29,'시스템이펙트 참고자료'!$A:$D,4,FALSE)</f>
        <v>0</v>
      </c>
      <c r="E29" s="25">
        <v>0</v>
      </c>
      <c r="F29" s="25">
        <v>4</v>
      </c>
      <c r="G29" s="25">
        <f t="shared" si="3"/>
        <v>12</v>
      </c>
      <c r="H29" s="25" t="s">
        <v>395</v>
      </c>
      <c r="I29" s="25">
        <v>1</v>
      </c>
      <c r="J29" s="25">
        <f>VLOOKUP(C29,'시스템이펙트 참고자료'!$A:$C,3,FALSE)</f>
        <v>0</v>
      </c>
      <c r="K29" s="25">
        <v>1</v>
      </c>
      <c r="M29" s="25">
        <v>0</v>
      </c>
      <c r="N29" s="25">
        <f t="shared" si="4"/>
        <v>9</v>
      </c>
      <c r="O29" s="25">
        <v>0</v>
      </c>
      <c r="P29" s="25">
        <v>0</v>
      </c>
      <c r="Q29" s="25">
        <v>0</v>
      </c>
      <c r="R29" s="25">
        <v>0</v>
      </c>
      <c r="AA29" s="25">
        <f t="shared" si="6"/>
        <v>128</v>
      </c>
      <c r="AK29" s="25">
        <v>1</v>
      </c>
      <c r="AM29" s="25">
        <v>9</v>
      </c>
      <c r="AN29" s="25">
        <v>100</v>
      </c>
      <c r="AP29" s="25">
        <f t="shared" si="5"/>
        <v>12</v>
      </c>
      <c r="AQ29" s="25" t="s">
        <v>132</v>
      </c>
      <c r="BD29" s="25">
        <v>1</v>
      </c>
    </row>
    <row r="30" spans="1:56" hidden="1">
      <c r="A30" s="25">
        <v>25</v>
      </c>
      <c r="B30" s="25" t="str">
        <f>VLOOKUP(C30,'시스템이펙트 참고자료'!$A:$C,2,FALSE)</f>
        <v>ACTIVE_KNOCKDOWN_ATTACK_BLOCK_MODE_UP</v>
      </c>
      <c r="C30" s="25">
        <v>654</v>
      </c>
      <c r="D30" s="25">
        <f>VLOOKUP(C30,'시스템이펙트 참고자료'!$A:$D,4,FALSE)</f>
        <v>0</v>
      </c>
      <c r="E30" s="25">
        <v>0</v>
      </c>
      <c r="F30" s="25">
        <v>4</v>
      </c>
      <c r="G30" s="25">
        <f t="shared" si="3"/>
        <v>5</v>
      </c>
      <c r="H30" s="25" t="s">
        <v>395</v>
      </c>
      <c r="I30" s="25">
        <v>1</v>
      </c>
      <c r="J30" s="25" t="str">
        <f>VLOOKUP(C30,'시스템이펙트 참고자료'!$A:$C,3,FALSE)</f>
        <v>절대값</v>
      </c>
      <c r="K30" s="25">
        <v>1</v>
      </c>
      <c r="M30" s="25">
        <v>0</v>
      </c>
      <c r="N30" s="25">
        <f t="shared" si="4"/>
        <v>22</v>
      </c>
      <c r="O30" s="25">
        <v>0</v>
      </c>
      <c r="P30" s="25">
        <v>0</v>
      </c>
      <c r="Q30" s="25">
        <v>0</v>
      </c>
      <c r="R30" s="25">
        <v>0</v>
      </c>
      <c r="AA30" s="25">
        <f t="shared" si="6"/>
        <v>128</v>
      </c>
      <c r="AK30" s="25">
        <v>1</v>
      </c>
      <c r="AM30" s="25">
        <v>22.5</v>
      </c>
      <c r="AN30" s="25">
        <v>100</v>
      </c>
      <c r="AP30" s="25">
        <f t="shared" si="5"/>
        <v>5</v>
      </c>
      <c r="AQ30" s="25" t="s">
        <v>133</v>
      </c>
      <c r="BD30" s="25">
        <v>1</v>
      </c>
    </row>
    <row r="31" spans="1:56" hidden="1">
      <c r="A31" s="25">
        <v>26</v>
      </c>
      <c r="B31" s="25" t="str">
        <f>VLOOKUP(C31,'시스템이펙트 참고자료'!$A:$C,2,FALSE)</f>
        <v>ACTIVE_KNOCKDOWN_ATTACK_BLOCK_MODE_UP</v>
      </c>
      <c r="C31" s="25">
        <v>654</v>
      </c>
      <c r="D31" s="25">
        <f>VLOOKUP(C31,'시스템이펙트 참고자료'!$A:$D,4,FALSE)</f>
        <v>0</v>
      </c>
      <c r="E31" s="25">
        <v>0</v>
      </c>
      <c r="F31" s="25">
        <v>4</v>
      </c>
      <c r="G31" s="25">
        <f t="shared" si="3"/>
        <v>8</v>
      </c>
      <c r="H31" s="25" t="s">
        <v>395</v>
      </c>
      <c r="I31" s="25">
        <v>1</v>
      </c>
      <c r="J31" s="25" t="str">
        <f>VLOOKUP(C31,'시스템이펙트 참고자료'!$A:$C,3,FALSE)</f>
        <v>절대값</v>
      </c>
      <c r="K31" s="25">
        <v>1</v>
      </c>
      <c r="M31" s="25">
        <v>0</v>
      </c>
      <c r="N31" s="25">
        <f t="shared" si="4"/>
        <v>13</v>
      </c>
      <c r="O31" s="25">
        <v>0</v>
      </c>
      <c r="P31" s="25">
        <v>0</v>
      </c>
      <c r="Q31" s="25">
        <v>0</v>
      </c>
      <c r="R31" s="25">
        <v>0</v>
      </c>
      <c r="AA31" s="25">
        <f t="shared" si="6"/>
        <v>128</v>
      </c>
      <c r="AK31" s="25">
        <v>1</v>
      </c>
      <c r="AM31" s="25">
        <v>13.5</v>
      </c>
      <c r="AN31" s="25">
        <v>100</v>
      </c>
      <c r="AP31" s="25">
        <f t="shared" si="5"/>
        <v>8</v>
      </c>
      <c r="AQ31" s="25" t="s">
        <v>134</v>
      </c>
      <c r="BD31" s="25">
        <v>1</v>
      </c>
    </row>
    <row r="32" spans="1:56" hidden="1">
      <c r="A32" s="25">
        <v>27</v>
      </c>
      <c r="B32" s="25" t="str">
        <f>VLOOKUP(C32,'시스템이펙트 참고자료'!$A:$C,2,FALSE)</f>
        <v>ACTIVE_KNOCKDOWN_ATTACK_BLOCK_MODE_UP</v>
      </c>
      <c r="C32" s="25">
        <v>654</v>
      </c>
      <c r="D32" s="25">
        <f>VLOOKUP(C32,'시스템이펙트 참고자료'!$A:$D,4,FALSE)</f>
        <v>0</v>
      </c>
      <c r="E32" s="25">
        <v>0</v>
      </c>
      <c r="F32" s="25">
        <v>4</v>
      </c>
      <c r="G32" s="25">
        <f t="shared" si="3"/>
        <v>12</v>
      </c>
      <c r="H32" s="25" t="s">
        <v>395</v>
      </c>
      <c r="I32" s="25">
        <v>1</v>
      </c>
      <c r="J32" s="25" t="str">
        <f>VLOOKUP(C32,'시스템이펙트 참고자료'!$A:$C,3,FALSE)</f>
        <v>절대값</v>
      </c>
      <c r="K32" s="25">
        <v>1</v>
      </c>
      <c r="M32" s="25">
        <v>0</v>
      </c>
      <c r="N32" s="25">
        <f t="shared" si="4"/>
        <v>9</v>
      </c>
      <c r="O32" s="25">
        <v>0</v>
      </c>
      <c r="P32" s="25">
        <v>0</v>
      </c>
      <c r="Q32" s="25">
        <v>0</v>
      </c>
      <c r="R32" s="25">
        <v>0</v>
      </c>
      <c r="AA32" s="25">
        <f t="shared" si="6"/>
        <v>128</v>
      </c>
      <c r="AK32" s="25">
        <v>1</v>
      </c>
      <c r="AM32" s="25">
        <v>9</v>
      </c>
      <c r="AN32" s="25">
        <v>100</v>
      </c>
      <c r="AP32" s="25">
        <f t="shared" si="5"/>
        <v>12</v>
      </c>
      <c r="AQ32" s="25" t="s">
        <v>135</v>
      </c>
      <c r="BD32" s="25">
        <v>1</v>
      </c>
    </row>
    <row r="33" spans="1:56" hidden="1">
      <c r="A33" s="25">
        <v>28</v>
      </c>
      <c r="B33" s="25" t="str">
        <f>VLOOKUP(C33,'시스템이펙트 참고자료'!$A:$C,2,FALSE)</f>
        <v>ACTIVE_HTB_SKILL_BLOCK_MODE_UP</v>
      </c>
      <c r="C33" s="25">
        <v>655</v>
      </c>
      <c r="D33" s="25">
        <f>VLOOKUP(C33,'시스템이펙트 참고자료'!$A:$D,4,FALSE)</f>
        <v>0</v>
      </c>
      <c r="E33" s="25">
        <v>0</v>
      </c>
      <c r="F33" s="25">
        <v>4</v>
      </c>
      <c r="G33" s="25">
        <f t="shared" si="3"/>
        <v>5</v>
      </c>
      <c r="H33" s="25" t="s">
        <v>395</v>
      </c>
      <c r="I33" s="25">
        <v>1</v>
      </c>
      <c r="J33" s="25">
        <f>VLOOKUP(C33,'시스템이펙트 참고자료'!$A:$C,3,FALSE)</f>
        <v>0</v>
      </c>
      <c r="K33" s="25">
        <v>1</v>
      </c>
      <c r="M33" s="25">
        <v>0</v>
      </c>
      <c r="N33" s="25">
        <f t="shared" si="4"/>
        <v>22</v>
      </c>
      <c r="O33" s="25">
        <v>0</v>
      </c>
      <c r="P33" s="25">
        <v>0</v>
      </c>
      <c r="Q33" s="25">
        <v>0</v>
      </c>
      <c r="R33" s="25">
        <v>0</v>
      </c>
      <c r="AA33" s="25">
        <f t="shared" si="6"/>
        <v>128</v>
      </c>
      <c r="AK33" s="25">
        <v>1</v>
      </c>
      <c r="AM33" s="25">
        <v>22.5</v>
      </c>
      <c r="AN33" s="25">
        <v>100</v>
      </c>
      <c r="AP33" s="25">
        <f t="shared" si="5"/>
        <v>5</v>
      </c>
      <c r="AQ33" s="25" t="s">
        <v>136</v>
      </c>
      <c r="BD33" s="25">
        <v>1</v>
      </c>
    </row>
    <row r="34" spans="1:56" hidden="1">
      <c r="A34" s="25">
        <v>29</v>
      </c>
      <c r="B34" s="25" t="str">
        <f>VLOOKUP(C34,'시스템이펙트 참고자료'!$A:$C,2,FALSE)</f>
        <v>ACTIVE_HTB_SKILL_BLOCK_MODE_UP</v>
      </c>
      <c r="C34" s="25">
        <v>655</v>
      </c>
      <c r="D34" s="25">
        <f>VLOOKUP(C34,'시스템이펙트 참고자료'!$A:$D,4,FALSE)</f>
        <v>0</v>
      </c>
      <c r="E34" s="25">
        <v>0</v>
      </c>
      <c r="F34" s="25">
        <v>4</v>
      </c>
      <c r="G34" s="25">
        <f t="shared" si="3"/>
        <v>8</v>
      </c>
      <c r="H34" s="25" t="s">
        <v>395</v>
      </c>
      <c r="I34" s="25">
        <v>1</v>
      </c>
      <c r="J34" s="25">
        <f>VLOOKUP(C34,'시스템이펙트 참고자료'!$A:$C,3,FALSE)</f>
        <v>0</v>
      </c>
      <c r="K34" s="25">
        <v>1</v>
      </c>
      <c r="M34" s="25">
        <v>0</v>
      </c>
      <c r="N34" s="25">
        <f t="shared" si="4"/>
        <v>13</v>
      </c>
      <c r="O34" s="25">
        <v>0</v>
      </c>
      <c r="P34" s="25">
        <v>0</v>
      </c>
      <c r="Q34" s="25">
        <v>0</v>
      </c>
      <c r="R34" s="25">
        <v>0</v>
      </c>
      <c r="AA34" s="25">
        <f t="shared" si="6"/>
        <v>128</v>
      </c>
      <c r="AK34" s="25">
        <v>1</v>
      </c>
      <c r="AM34" s="25">
        <v>13.5</v>
      </c>
      <c r="AN34" s="25">
        <v>100</v>
      </c>
      <c r="AP34" s="25">
        <f t="shared" si="5"/>
        <v>8</v>
      </c>
      <c r="AQ34" s="25" t="s">
        <v>137</v>
      </c>
      <c r="BD34" s="25">
        <v>1</v>
      </c>
    </row>
    <row r="35" spans="1:56" hidden="1">
      <c r="A35" s="25">
        <v>30</v>
      </c>
      <c r="B35" s="25" t="str">
        <f>VLOOKUP(C35,'시스템이펙트 참고자료'!$A:$C,2,FALSE)</f>
        <v>ACTIVE_HTB_SKILL_BLOCK_MODE_UP</v>
      </c>
      <c r="C35" s="25">
        <v>655</v>
      </c>
      <c r="D35" s="25">
        <f>VLOOKUP(C35,'시스템이펙트 참고자료'!$A:$D,4,FALSE)</f>
        <v>0</v>
      </c>
      <c r="E35" s="25">
        <v>0</v>
      </c>
      <c r="F35" s="25">
        <v>4</v>
      </c>
      <c r="G35" s="25">
        <f t="shared" si="3"/>
        <v>12</v>
      </c>
      <c r="H35" s="25" t="s">
        <v>395</v>
      </c>
      <c r="I35" s="25">
        <v>1</v>
      </c>
      <c r="J35" s="25">
        <f>VLOOKUP(C35,'시스템이펙트 참고자료'!$A:$C,3,FALSE)</f>
        <v>0</v>
      </c>
      <c r="K35" s="25">
        <v>1</v>
      </c>
      <c r="M35" s="25">
        <v>0</v>
      </c>
      <c r="N35" s="25">
        <f t="shared" si="4"/>
        <v>9</v>
      </c>
      <c r="O35" s="25">
        <v>0</v>
      </c>
      <c r="P35" s="25">
        <v>0</v>
      </c>
      <c r="Q35" s="25">
        <v>0</v>
      </c>
      <c r="R35" s="25">
        <v>0</v>
      </c>
      <c r="AA35" s="25">
        <f t="shared" si="6"/>
        <v>128</v>
      </c>
      <c r="AK35" s="25">
        <v>1</v>
      </c>
      <c r="AM35" s="25">
        <v>9</v>
      </c>
      <c r="AN35" s="25">
        <v>100</v>
      </c>
      <c r="AP35" s="25">
        <f t="shared" si="5"/>
        <v>12</v>
      </c>
      <c r="AQ35" s="25" t="s">
        <v>138</v>
      </c>
      <c r="BD35" s="25">
        <v>1</v>
      </c>
    </row>
    <row r="36" spans="1:56" hidden="1">
      <c r="A36" s="25">
        <v>31</v>
      </c>
      <c r="B36" s="25" t="str">
        <f>VLOOKUP(C36,'시스템이펙트 참고자료'!$A:$C,2,FALSE)</f>
        <v>ACTIVE_ENERGY_OFFENCE_UP</v>
      </c>
      <c r="C36" s="25">
        <v>607</v>
      </c>
      <c r="D36" s="25">
        <f>VLOOKUP(C36,'시스템이펙트 참고자료'!$A:$D,4,FALSE)</f>
        <v>0</v>
      </c>
      <c r="E36" s="25">
        <v>2</v>
      </c>
      <c r="F36" s="25">
        <v>5</v>
      </c>
      <c r="G36" s="25">
        <f t="shared" si="3"/>
        <v>2</v>
      </c>
      <c r="H36" s="25" t="s">
        <v>395</v>
      </c>
      <c r="I36" s="25">
        <v>1</v>
      </c>
      <c r="J36" s="25" t="str">
        <f>VLOOKUP(C36,'시스템이펙트 참고자료'!$A:$C,3,FALSE)</f>
        <v>절대값/상대값(%) 가능</v>
      </c>
      <c r="K36" s="25">
        <v>1</v>
      </c>
      <c r="M36" s="25">
        <v>0</v>
      </c>
      <c r="N36" s="25">
        <f t="shared" si="4"/>
        <v>52</v>
      </c>
      <c r="O36" s="25">
        <v>0</v>
      </c>
      <c r="P36" s="25">
        <v>0</v>
      </c>
      <c r="Q36" s="25">
        <v>0</v>
      </c>
      <c r="R36" s="25">
        <v>0</v>
      </c>
      <c r="AA36" s="25">
        <f t="shared" si="6"/>
        <v>128</v>
      </c>
      <c r="AK36" s="25">
        <v>2</v>
      </c>
      <c r="AM36" s="25">
        <v>104</v>
      </c>
      <c r="AN36" s="25">
        <v>100</v>
      </c>
      <c r="AP36" s="25">
        <f t="shared" si="5"/>
        <v>2</v>
      </c>
      <c r="AQ36" s="25" t="s">
        <v>50</v>
      </c>
      <c r="BD36" s="25">
        <v>2</v>
      </c>
    </row>
    <row r="37" spans="1:56" hidden="1">
      <c r="A37" s="25">
        <v>32</v>
      </c>
      <c r="B37" s="25" t="str">
        <f>VLOOKUP(C37,'시스템이펙트 참고자료'!$A:$C,2,FALSE)</f>
        <v>ACTIVE_CURSE_TOLERANCE</v>
      </c>
      <c r="C37" s="25">
        <v>631</v>
      </c>
      <c r="D37" s="25">
        <f>VLOOKUP(C37,'시스템이펙트 참고자료'!$A:$D,4,FALSE)</f>
        <v>0</v>
      </c>
      <c r="E37" s="25">
        <v>0</v>
      </c>
      <c r="F37" s="25">
        <v>5</v>
      </c>
      <c r="G37" s="25">
        <f t="shared" si="3"/>
        <v>3</v>
      </c>
      <c r="H37" s="25" t="s">
        <v>395</v>
      </c>
      <c r="I37" s="25">
        <v>1</v>
      </c>
      <c r="J37" s="25" t="str">
        <f>VLOOKUP(C37,'시스템이펙트 참고자료'!$A:$C,3,FALSE)</f>
        <v>절대값/상대값(%) 가능</v>
      </c>
      <c r="K37" s="25">
        <v>1</v>
      </c>
      <c r="M37" s="25">
        <v>0</v>
      </c>
      <c r="N37" s="25">
        <f t="shared" si="4"/>
        <v>44</v>
      </c>
      <c r="O37" s="25">
        <v>0</v>
      </c>
      <c r="P37" s="25">
        <v>0</v>
      </c>
      <c r="Q37" s="25">
        <v>0</v>
      </c>
      <c r="R37" s="25">
        <v>0</v>
      </c>
      <c r="AA37" s="25">
        <f t="shared" si="6"/>
        <v>128</v>
      </c>
      <c r="AK37" s="25">
        <v>5</v>
      </c>
      <c r="AM37" s="25">
        <v>220</v>
      </c>
      <c r="AN37" s="25">
        <v>100</v>
      </c>
      <c r="AP37" s="25">
        <f t="shared" si="5"/>
        <v>3</v>
      </c>
      <c r="AQ37" s="25" t="s">
        <v>51</v>
      </c>
      <c r="BD37" s="25">
        <v>5</v>
      </c>
    </row>
    <row r="38" spans="1:56" hidden="1">
      <c r="A38" s="25">
        <v>33</v>
      </c>
      <c r="B38" s="25" t="str">
        <f>VLOOKUP(C38,'시스템이펙트 참고자료'!$A:$C,2,FALSE)</f>
        <v>ACTIVE_MAX_EP_UP</v>
      </c>
      <c r="C38" s="25">
        <v>604</v>
      </c>
      <c r="D38" s="25">
        <f>VLOOKUP(C38,'시스템이펙트 참고자료'!$A:$D,4,FALSE)</f>
        <v>0</v>
      </c>
      <c r="E38" s="25">
        <v>0</v>
      </c>
      <c r="F38" s="25">
        <v>6</v>
      </c>
      <c r="G38" s="25">
        <f t="shared" si="3"/>
        <v>1</v>
      </c>
      <c r="H38" s="25" t="s">
        <v>395</v>
      </c>
      <c r="I38" s="25">
        <v>1</v>
      </c>
      <c r="J38" s="25" t="str">
        <f>VLOOKUP(C38,'시스템이펙트 참고자료'!$A:$C,3,FALSE)</f>
        <v>절대값/상대값(%) 가능</v>
      </c>
      <c r="K38" s="25">
        <v>1</v>
      </c>
      <c r="M38" s="25">
        <v>0</v>
      </c>
      <c r="N38" s="25">
        <f t="shared" si="4"/>
        <v>1406</v>
      </c>
      <c r="O38" s="25">
        <v>0</v>
      </c>
      <c r="P38" s="25">
        <v>0</v>
      </c>
      <c r="Q38" s="25">
        <v>0</v>
      </c>
      <c r="R38" s="25">
        <v>0</v>
      </c>
      <c r="AA38" s="25">
        <f t="shared" si="6"/>
        <v>128</v>
      </c>
      <c r="AK38" s="25">
        <v>2</v>
      </c>
      <c r="AM38" s="25">
        <v>2812</v>
      </c>
      <c r="AN38" s="25">
        <v>100</v>
      </c>
      <c r="AP38" s="25">
        <f t="shared" si="5"/>
        <v>1</v>
      </c>
      <c r="AQ38" s="25" t="s">
        <v>52</v>
      </c>
      <c r="BD38" s="25">
        <v>2</v>
      </c>
    </row>
    <row r="39" spans="1:56" hidden="1">
      <c r="A39" s="25">
        <v>34</v>
      </c>
      <c r="B39" s="25" t="str">
        <f>VLOOKUP(C39,'시스템이펙트 참고자료'!$A:$C,2,FALSE)</f>
        <v>ACTIVE_EP_REGENERATION</v>
      </c>
      <c r="C39" s="25">
        <v>628</v>
      </c>
      <c r="D39" s="25">
        <f>VLOOKUP(C39,'시스템이펙트 참고자료'!$A:$D,4,FALSE)</f>
        <v>0</v>
      </c>
      <c r="E39" s="25">
        <v>0</v>
      </c>
      <c r="F39" s="25">
        <v>6</v>
      </c>
      <c r="G39" s="25">
        <f t="shared" si="3"/>
        <v>2</v>
      </c>
      <c r="H39" s="25" t="s">
        <v>395</v>
      </c>
      <c r="I39" s="25">
        <v>1</v>
      </c>
      <c r="J39" s="25" t="str">
        <f>VLOOKUP(C39,'시스템이펙트 참고자료'!$A:$C,3,FALSE)</f>
        <v>절대값/상대값(%) 가능</v>
      </c>
      <c r="K39" s="25">
        <v>1</v>
      </c>
      <c r="M39" s="25">
        <v>0</v>
      </c>
      <c r="N39" s="25">
        <f t="shared" si="4"/>
        <v>78</v>
      </c>
      <c r="O39" s="25">
        <v>0</v>
      </c>
      <c r="P39" s="25">
        <v>0</v>
      </c>
      <c r="Q39" s="25">
        <v>0</v>
      </c>
      <c r="R39" s="25">
        <v>0</v>
      </c>
      <c r="AA39" s="25">
        <f t="shared" si="6"/>
        <v>128</v>
      </c>
      <c r="AK39" s="25">
        <v>2</v>
      </c>
      <c r="AM39" s="25">
        <v>156</v>
      </c>
      <c r="AN39" s="25">
        <v>100</v>
      </c>
      <c r="AP39" s="25">
        <f t="shared" si="5"/>
        <v>2</v>
      </c>
      <c r="AQ39" s="25" t="s">
        <v>53</v>
      </c>
      <c r="BD39" s="25">
        <v>2</v>
      </c>
    </row>
    <row r="40" spans="1:56" hidden="1">
      <c r="A40" s="25">
        <v>35</v>
      </c>
      <c r="B40" s="25" t="str">
        <f>VLOOKUP(C40,'시스템이펙트 참고자료'!$A:$C,2,FALSE)</f>
        <v>ACTIVE_SIT_DOWN_EP_REGENERATION_UP</v>
      </c>
      <c r="C40" s="25">
        <v>657</v>
      </c>
      <c r="D40" s="25">
        <f>VLOOKUP(C40,'시스템이펙트 참고자료'!$A:$D,4,FALSE)</f>
        <v>0</v>
      </c>
      <c r="E40" s="25">
        <v>0</v>
      </c>
      <c r="F40" s="25">
        <v>6</v>
      </c>
      <c r="G40" s="25">
        <f t="shared" si="3"/>
        <v>3</v>
      </c>
      <c r="H40" s="25" t="s">
        <v>395</v>
      </c>
      <c r="I40" s="25">
        <v>1</v>
      </c>
      <c r="J40" s="25" t="str">
        <f>VLOOKUP(C40,'시스템이펙트 참고자료'!$A:$C,3,FALSE)</f>
        <v>절대값만 가능</v>
      </c>
      <c r="K40" s="25">
        <v>1</v>
      </c>
      <c r="M40" s="25">
        <v>0</v>
      </c>
      <c r="N40" s="25">
        <f t="shared" si="4"/>
        <v>34</v>
      </c>
      <c r="O40" s="25">
        <v>0</v>
      </c>
      <c r="P40" s="25">
        <v>0</v>
      </c>
      <c r="Q40" s="25">
        <v>0</v>
      </c>
      <c r="R40" s="25">
        <v>0</v>
      </c>
      <c r="AA40" s="25">
        <f t="shared" si="6"/>
        <v>128</v>
      </c>
      <c r="AK40" s="25">
        <v>5</v>
      </c>
      <c r="AM40" s="25">
        <v>172</v>
      </c>
      <c r="AN40" s="25">
        <v>100</v>
      </c>
      <c r="AP40" s="25">
        <f t="shared" si="5"/>
        <v>3</v>
      </c>
      <c r="AQ40" s="25" t="s">
        <v>54</v>
      </c>
      <c r="BD40" s="25">
        <v>5</v>
      </c>
    </row>
    <row r="41" spans="1:56" hidden="1">
      <c r="A41" s="25">
        <v>36</v>
      </c>
      <c r="B41" s="25" t="str">
        <f>VLOOKUP(C41,'시스템이펙트 참고자료'!$A:$C,2,FALSE)</f>
        <v>ACTIVE_PHYSICAL_DEFENCE_UP</v>
      </c>
      <c r="C41" s="25">
        <v>608</v>
      </c>
      <c r="D41" s="25">
        <f>VLOOKUP(C41,'시스템이펙트 참고자료'!$A:$D,4,FALSE)</f>
        <v>0</v>
      </c>
      <c r="E41" s="25">
        <v>3</v>
      </c>
      <c r="F41" s="25">
        <v>0</v>
      </c>
      <c r="G41" s="25">
        <f t="shared" si="3"/>
        <v>1</v>
      </c>
      <c r="H41" s="25" t="s">
        <v>395</v>
      </c>
      <c r="I41" s="25">
        <v>1</v>
      </c>
      <c r="J41" s="25" t="str">
        <f>VLOOKUP(C41,'시스템이펙트 참고자료'!$A:$C,3,FALSE)</f>
        <v>절대값/상대값(%) 가능</v>
      </c>
      <c r="K41" s="25">
        <v>1</v>
      </c>
      <c r="M41" s="25">
        <v>0</v>
      </c>
      <c r="N41" s="25">
        <f t="shared" si="4"/>
        <v>675</v>
      </c>
      <c r="O41" s="25">
        <v>0</v>
      </c>
      <c r="P41" s="25">
        <v>0</v>
      </c>
      <c r="Q41" s="25">
        <v>0</v>
      </c>
      <c r="R41" s="25">
        <v>0</v>
      </c>
      <c r="AA41" s="25">
        <f t="shared" si="6"/>
        <v>128</v>
      </c>
      <c r="AK41" s="25">
        <v>1</v>
      </c>
      <c r="AM41" s="25">
        <v>675</v>
      </c>
      <c r="AN41" s="25">
        <v>100</v>
      </c>
      <c r="AP41" s="25">
        <f t="shared" si="5"/>
        <v>1</v>
      </c>
      <c r="AQ41" s="25" t="s">
        <v>114</v>
      </c>
      <c r="BD41" s="25">
        <v>1</v>
      </c>
    </row>
    <row r="42" spans="1:56" hidden="1">
      <c r="A42" s="25">
        <v>37</v>
      </c>
      <c r="B42" s="25" t="str">
        <f>VLOOKUP(C42,'시스템이펙트 참고자료'!$A:$C,2,FALSE)</f>
        <v>ACTIVE_PHYSICAL_DEFENCE_UP</v>
      </c>
      <c r="C42" s="25">
        <v>608</v>
      </c>
      <c r="D42" s="25">
        <f>VLOOKUP(C42,'시스템이펙트 참고자료'!$A:$D,4,FALSE)</f>
        <v>0</v>
      </c>
      <c r="E42" s="25">
        <v>3</v>
      </c>
      <c r="F42" s="25">
        <v>0</v>
      </c>
      <c r="G42" s="25">
        <f t="shared" si="3"/>
        <v>1</v>
      </c>
      <c r="H42" s="25" t="s">
        <v>395</v>
      </c>
      <c r="I42" s="25">
        <v>1</v>
      </c>
      <c r="J42" s="25" t="str">
        <f>VLOOKUP(C42,'시스템이펙트 참고자료'!$A:$C,3,FALSE)</f>
        <v>절대값/상대값(%) 가능</v>
      </c>
      <c r="K42" s="25">
        <v>1</v>
      </c>
      <c r="M42" s="25">
        <v>0</v>
      </c>
      <c r="N42" s="25">
        <f t="shared" si="4"/>
        <v>405</v>
      </c>
      <c r="O42" s="25">
        <v>0</v>
      </c>
      <c r="P42" s="25">
        <v>0</v>
      </c>
      <c r="Q42" s="25">
        <v>0</v>
      </c>
      <c r="R42" s="25">
        <v>0</v>
      </c>
      <c r="AA42" s="25">
        <f t="shared" si="6"/>
        <v>128</v>
      </c>
      <c r="AK42" s="25">
        <v>1</v>
      </c>
      <c r="AM42" s="25">
        <v>405</v>
      </c>
      <c r="AN42" s="25">
        <v>100</v>
      </c>
      <c r="AP42" s="25">
        <f t="shared" si="5"/>
        <v>1</v>
      </c>
      <c r="AQ42" s="25" t="s">
        <v>115</v>
      </c>
      <c r="BD42" s="25">
        <v>1</v>
      </c>
    </row>
    <row r="43" spans="1:56" hidden="1">
      <c r="A43" s="25">
        <v>38</v>
      </c>
      <c r="B43" s="25" t="str">
        <f>VLOOKUP(C43,'시스템이펙트 참고자료'!$A:$C,2,FALSE)</f>
        <v>ACTIVE_PHYSICAL_DEFENCE_UP</v>
      </c>
      <c r="C43" s="25">
        <v>608</v>
      </c>
      <c r="D43" s="25">
        <f>VLOOKUP(C43,'시스템이펙트 참고자료'!$A:$D,4,FALSE)</f>
        <v>0</v>
      </c>
      <c r="E43" s="25">
        <v>3</v>
      </c>
      <c r="F43" s="25">
        <v>0</v>
      </c>
      <c r="G43" s="25">
        <f t="shared" si="3"/>
        <v>1</v>
      </c>
      <c r="H43" s="25" t="s">
        <v>395</v>
      </c>
      <c r="I43" s="25">
        <v>1</v>
      </c>
      <c r="J43" s="25" t="str">
        <f>VLOOKUP(C43,'시스템이펙트 참고자료'!$A:$C,3,FALSE)</f>
        <v>절대값/상대값(%) 가능</v>
      </c>
      <c r="K43" s="25">
        <v>1</v>
      </c>
      <c r="M43" s="25">
        <v>0</v>
      </c>
      <c r="N43" s="25">
        <f t="shared" si="4"/>
        <v>270</v>
      </c>
      <c r="O43" s="25">
        <v>0</v>
      </c>
      <c r="P43" s="25">
        <v>0</v>
      </c>
      <c r="Q43" s="25">
        <v>0</v>
      </c>
      <c r="R43" s="25">
        <v>0</v>
      </c>
      <c r="AA43" s="25">
        <f t="shared" si="6"/>
        <v>128</v>
      </c>
      <c r="AK43" s="25">
        <v>1</v>
      </c>
      <c r="AM43" s="25">
        <v>270</v>
      </c>
      <c r="AN43" s="25">
        <v>100</v>
      </c>
      <c r="AP43" s="25">
        <f t="shared" si="5"/>
        <v>1</v>
      </c>
      <c r="AQ43" s="25" t="s">
        <v>116</v>
      </c>
      <c r="BD43" s="25">
        <v>1</v>
      </c>
    </row>
    <row r="44" spans="1:56" hidden="1">
      <c r="A44" s="25">
        <v>39</v>
      </c>
      <c r="B44" s="25" t="str">
        <f>VLOOKUP(C44,'시스템이펙트 참고자료'!$A:$C,2,FALSE)</f>
        <v>ACTIVE_PHYSICAL_DEFENCE_UP</v>
      </c>
      <c r="C44" s="25">
        <v>608</v>
      </c>
      <c r="D44" s="25">
        <f>VLOOKUP(C44,'시스템이펙트 참고자료'!$A:$D,4,FALSE)</f>
        <v>0</v>
      </c>
      <c r="E44" s="25">
        <v>3</v>
      </c>
      <c r="F44" s="25">
        <v>0</v>
      </c>
      <c r="G44" s="25">
        <f t="shared" si="3"/>
        <v>1</v>
      </c>
      <c r="H44" s="25" t="s">
        <v>395</v>
      </c>
      <c r="I44" s="25">
        <v>1</v>
      </c>
      <c r="J44" s="25" t="str">
        <f>VLOOKUP(C44,'시스템이펙트 참고자료'!$A:$C,3,FALSE)</f>
        <v>절대값/상대값(%) 가능</v>
      </c>
      <c r="K44" s="25">
        <v>1</v>
      </c>
      <c r="M44" s="25">
        <v>0</v>
      </c>
      <c r="N44" s="25">
        <f t="shared" si="4"/>
        <v>1350</v>
      </c>
      <c r="O44" s="25">
        <v>0</v>
      </c>
      <c r="P44" s="25">
        <v>0</v>
      </c>
      <c r="Q44" s="25">
        <v>0</v>
      </c>
      <c r="R44" s="25">
        <v>0</v>
      </c>
      <c r="AA44" s="25">
        <f t="shared" si="6"/>
        <v>128</v>
      </c>
      <c r="AK44" s="25">
        <v>1</v>
      </c>
      <c r="AM44" s="25">
        <v>1350</v>
      </c>
      <c r="AN44" s="25">
        <v>100</v>
      </c>
      <c r="AP44" s="25">
        <f t="shared" si="5"/>
        <v>1</v>
      </c>
      <c r="AQ44" s="25" t="s">
        <v>119</v>
      </c>
      <c r="BD44" s="25">
        <v>1</v>
      </c>
    </row>
    <row r="45" spans="1:56" hidden="1">
      <c r="A45" s="25">
        <v>40</v>
      </c>
      <c r="B45" s="25" t="str">
        <f>VLOOKUP(C45,'시스템이펙트 참고자료'!$A:$C,2,FALSE)</f>
        <v>ACTIVE_ENERGY_DEFENCE_UP</v>
      </c>
      <c r="C45" s="25">
        <v>609</v>
      </c>
      <c r="D45" s="25">
        <f>VLOOKUP(C45,'시스템이펙트 참고자료'!$A:$D,4,FALSE)</f>
        <v>0</v>
      </c>
      <c r="E45" s="25">
        <v>4</v>
      </c>
      <c r="F45" s="25">
        <v>0</v>
      </c>
      <c r="G45" s="25">
        <f t="shared" si="3"/>
        <v>1</v>
      </c>
      <c r="H45" s="25" t="s">
        <v>395</v>
      </c>
      <c r="I45" s="25">
        <v>1</v>
      </c>
      <c r="J45" s="25" t="str">
        <f>VLOOKUP(C45,'시스템이펙트 참고자료'!$A:$C,3,FALSE)</f>
        <v>절대값/상대값(%) 가능</v>
      </c>
      <c r="K45" s="25">
        <v>1</v>
      </c>
      <c r="M45" s="25">
        <v>0</v>
      </c>
      <c r="N45" s="25">
        <f t="shared" si="4"/>
        <v>675</v>
      </c>
      <c r="O45" s="25">
        <v>0</v>
      </c>
      <c r="P45" s="25">
        <v>0</v>
      </c>
      <c r="Q45" s="25">
        <v>0</v>
      </c>
      <c r="R45" s="25">
        <v>0</v>
      </c>
      <c r="AA45" s="25">
        <f t="shared" si="6"/>
        <v>128</v>
      </c>
      <c r="AK45" s="25">
        <v>1</v>
      </c>
      <c r="AM45" s="25">
        <v>675</v>
      </c>
      <c r="AN45" s="25">
        <v>100</v>
      </c>
      <c r="AP45" s="25">
        <f t="shared" si="5"/>
        <v>1</v>
      </c>
      <c r="AQ45" s="25" t="s">
        <v>117</v>
      </c>
      <c r="BD45" s="25">
        <v>1</v>
      </c>
    </row>
    <row r="46" spans="1:56" hidden="1">
      <c r="A46" s="25">
        <v>41</v>
      </c>
      <c r="B46" s="25" t="str">
        <f>VLOOKUP(C46,'시스템이펙트 참고자료'!$A:$C,2,FALSE)</f>
        <v>ACTIVE_ENERGY_DEFENCE_UP</v>
      </c>
      <c r="C46" s="25">
        <v>609</v>
      </c>
      <c r="D46" s="25">
        <f>VLOOKUP(C46,'시스템이펙트 참고자료'!$A:$D,4,FALSE)</f>
        <v>0</v>
      </c>
      <c r="E46" s="25">
        <v>4</v>
      </c>
      <c r="F46" s="25">
        <v>0</v>
      </c>
      <c r="G46" s="25">
        <f t="shared" si="3"/>
        <v>1</v>
      </c>
      <c r="H46" s="25" t="s">
        <v>395</v>
      </c>
      <c r="I46" s="25">
        <v>1</v>
      </c>
      <c r="J46" s="25" t="str">
        <f>VLOOKUP(C46,'시스템이펙트 참고자료'!$A:$C,3,FALSE)</f>
        <v>절대값/상대값(%) 가능</v>
      </c>
      <c r="K46" s="25">
        <v>1</v>
      </c>
      <c r="M46" s="25">
        <v>0</v>
      </c>
      <c r="N46" s="25">
        <f t="shared" si="4"/>
        <v>405</v>
      </c>
      <c r="O46" s="25">
        <v>0</v>
      </c>
      <c r="P46" s="25">
        <v>0</v>
      </c>
      <c r="Q46" s="25">
        <v>0</v>
      </c>
      <c r="R46" s="25">
        <v>0</v>
      </c>
      <c r="AA46" s="25">
        <f t="shared" si="6"/>
        <v>128</v>
      </c>
      <c r="AK46" s="25">
        <v>1</v>
      </c>
      <c r="AM46" s="25">
        <v>405</v>
      </c>
      <c r="AN46" s="25">
        <v>100</v>
      </c>
      <c r="AP46" s="25">
        <f t="shared" si="5"/>
        <v>1</v>
      </c>
      <c r="AQ46" s="25" t="s">
        <v>118</v>
      </c>
      <c r="BD46" s="25">
        <v>1</v>
      </c>
    </row>
    <row r="47" spans="1:56" hidden="1">
      <c r="A47" s="25">
        <v>42</v>
      </c>
      <c r="B47" s="25" t="str">
        <f>VLOOKUP(C47,'시스템이펙트 참고자료'!$A:$C,2,FALSE)</f>
        <v>ACTIVE_ENERGY_DEFENCE_UP</v>
      </c>
      <c r="C47" s="25">
        <v>609</v>
      </c>
      <c r="D47" s="25">
        <f>VLOOKUP(C47,'시스템이펙트 참고자료'!$A:$D,4,FALSE)</f>
        <v>0</v>
      </c>
      <c r="E47" s="25">
        <v>4</v>
      </c>
      <c r="F47" s="25">
        <v>0</v>
      </c>
      <c r="G47" s="25">
        <f t="shared" si="3"/>
        <v>1</v>
      </c>
      <c r="H47" s="25" t="s">
        <v>395</v>
      </c>
      <c r="I47" s="25">
        <v>1</v>
      </c>
      <c r="J47" s="25" t="str">
        <f>VLOOKUP(C47,'시스템이펙트 참고자료'!$A:$C,3,FALSE)</f>
        <v>절대값/상대값(%) 가능</v>
      </c>
      <c r="K47" s="25">
        <v>1</v>
      </c>
      <c r="M47" s="25">
        <v>0</v>
      </c>
      <c r="N47" s="25">
        <f t="shared" si="4"/>
        <v>270</v>
      </c>
      <c r="O47" s="25">
        <v>0</v>
      </c>
      <c r="P47" s="25">
        <v>0</v>
      </c>
      <c r="Q47" s="25">
        <v>0</v>
      </c>
      <c r="R47" s="25">
        <v>0</v>
      </c>
      <c r="AA47" s="25">
        <f t="shared" si="6"/>
        <v>128</v>
      </c>
      <c r="AK47" s="25">
        <v>1</v>
      </c>
      <c r="AM47" s="25">
        <v>270</v>
      </c>
      <c r="AN47" s="25">
        <v>100</v>
      </c>
      <c r="AP47" s="25">
        <f t="shared" si="5"/>
        <v>1</v>
      </c>
      <c r="AQ47" s="25" t="s">
        <v>118</v>
      </c>
      <c r="BD47" s="25">
        <v>1</v>
      </c>
    </row>
    <row r="48" spans="1:56" hidden="1">
      <c r="A48" s="25">
        <v>43</v>
      </c>
      <c r="B48" s="25" t="str">
        <f>VLOOKUP(C48,'시스템이펙트 참고자료'!$A:$C,2,FALSE)</f>
        <v>ACTIVE_ENERGY_DEFENCE_UP</v>
      </c>
      <c r="C48" s="25">
        <v>609</v>
      </c>
      <c r="D48" s="25">
        <f>VLOOKUP(C48,'시스템이펙트 참고자료'!$A:$D,4,FALSE)</f>
        <v>0</v>
      </c>
      <c r="E48" s="25">
        <v>4</v>
      </c>
      <c r="F48" s="25">
        <v>0</v>
      </c>
      <c r="G48" s="25">
        <f t="shared" si="3"/>
        <v>1</v>
      </c>
      <c r="H48" s="25" t="s">
        <v>395</v>
      </c>
      <c r="I48" s="25">
        <v>1</v>
      </c>
      <c r="J48" s="25" t="str">
        <f>VLOOKUP(C48,'시스템이펙트 참고자료'!$A:$C,3,FALSE)</f>
        <v>절대값/상대값(%) 가능</v>
      </c>
      <c r="K48" s="25">
        <v>1</v>
      </c>
      <c r="M48" s="25">
        <v>0</v>
      </c>
      <c r="N48" s="25">
        <f t="shared" si="4"/>
        <v>1350</v>
      </c>
      <c r="O48" s="25">
        <v>0</v>
      </c>
      <c r="P48" s="25">
        <v>0</v>
      </c>
      <c r="Q48" s="25">
        <v>0</v>
      </c>
      <c r="R48" s="25">
        <v>0</v>
      </c>
      <c r="AA48" s="25">
        <f t="shared" si="6"/>
        <v>128</v>
      </c>
      <c r="AK48" s="25">
        <v>1</v>
      </c>
      <c r="AM48" s="25">
        <v>1350</v>
      </c>
      <c r="AN48" s="25">
        <v>100</v>
      </c>
      <c r="AP48" s="25">
        <f t="shared" si="5"/>
        <v>1</v>
      </c>
      <c r="AQ48" s="25" t="s">
        <v>120</v>
      </c>
      <c r="BD48" s="25">
        <v>1</v>
      </c>
    </row>
    <row r="49" spans="1:56" hidden="1">
      <c r="A49" s="25">
        <v>44</v>
      </c>
      <c r="B49" s="25" t="str">
        <f>VLOOKUP(C49,'시스템이펙트 참고자료'!$A:$C,2,FALSE)</f>
        <v>ACTIVE_HONEST_DEFENCE_UP</v>
      </c>
      <c r="C49" s="25">
        <v>621</v>
      </c>
      <c r="D49" s="25">
        <f>VLOOKUP(C49,'시스템이펙트 참고자료'!$A:$D,4,FALSE)</f>
        <v>0</v>
      </c>
      <c r="E49" s="25">
        <v>0</v>
      </c>
      <c r="F49" s="25">
        <v>0</v>
      </c>
      <c r="G49" s="25">
        <f t="shared" si="3"/>
        <v>10</v>
      </c>
      <c r="H49" s="25" t="s">
        <v>395</v>
      </c>
      <c r="I49" s="25">
        <v>1</v>
      </c>
      <c r="J49" s="25" t="str">
        <f>VLOOKUP(C49,'시스템이펙트 참고자료'!$A:$C,3,FALSE)</f>
        <v>절대값만 가능</v>
      </c>
      <c r="K49" s="25">
        <v>1</v>
      </c>
      <c r="M49" s="25">
        <v>0</v>
      </c>
      <c r="N49" s="25">
        <f t="shared" si="4"/>
        <v>10</v>
      </c>
      <c r="O49" s="25">
        <v>0</v>
      </c>
      <c r="P49" s="25">
        <v>0</v>
      </c>
      <c r="Q49" s="25">
        <v>0</v>
      </c>
      <c r="R49" s="25">
        <v>0</v>
      </c>
      <c r="AA49" s="25">
        <f t="shared" si="6"/>
        <v>128</v>
      </c>
      <c r="AK49" s="25">
        <v>1</v>
      </c>
      <c r="AM49" s="25">
        <v>10</v>
      </c>
      <c r="AN49" s="25">
        <v>100</v>
      </c>
      <c r="AP49" s="25">
        <f t="shared" si="5"/>
        <v>10</v>
      </c>
      <c r="AQ49" s="25" t="s">
        <v>139</v>
      </c>
      <c r="BD49" s="25">
        <v>1</v>
      </c>
    </row>
    <row r="50" spans="1:56" hidden="1">
      <c r="A50" s="25">
        <v>45</v>
      </c>
      <c r="B50" s="25" t="str">
        <f>VLOOKUP(C50,'시스템이펙트 참고자료'!$A:$C,2,FALSE)</f>
        <v>ACTIVE_STRANGE_DEFENCE_UP</v>
      </c>
      <c r="C50" s="25">
        <v>622</v>
      </c>
      <c r="D50" s="25">
        <f>VLOOKUP(C50,'시스템이펙트 참고자료'!$A:$D,4,FALSE)</f>
        <v>0</v>
      </c>
      <c r="E50" s="25">
        <v>0</v>
      </c>
      <c r="F50" s="25">
        <v>0</v>
      </c>
      <c r="G50" s="25">
        <f t="shared" si="3"/>
        <v>10</v>
      </c>
      <c r="H50" s="25" t="s">
        <v>395</v>
      </c>
      <c r="I50" s="25">
        <v>1</v>
      </c>
      <c r="J50" s="25" t="str">
        <f>VLOOKUP(C50,'시스템이펙트 참고자료'!$A:$C,3,FALSE)</f>
        <v>절대값만 가능</v>
      </c>
      <c r="K50" s="25">
        <v>1</v>
      </c>
      <c r="M50" s="25">
        <v>0</v>
      </c>
      <c r="N50" s="25">
        <f t="shared" si="4"/>
        <v>10</v>
      </c>
      <c r="O50" s="25">
        <v>0</v>
      </c>
      <c r="P50" s="25">
        <v>0</v>
      </c>
      <c r="Q50" s="25">
        <v>0</v>
      </c>
      <c r="R50" s="25">
        <v>0</v>
      </c>
      <c r="AA50" s="25">
        <f t="shared" si="6"/>
        <v>128</v>
      </c>
      <c r="AK50" s="25">
        <v>1</v>
      </c>
      <c r="AM50" s="25">
        <v>10</v>
      </c>
      <c r="AN50" s="25">
        <v>100</v>
      </c>
      <c r="AP50" s="25">
        <f t="shared" si="5"/>
        <v>10</v>
      </c>
      <c r="AQ50" s="25" t="s">
        <v>140</v>
      </c>
      <c r="BD50" s="25">
        <v>1</v>
      </c>
    </row>
    <row r="51" spans="1:56" hidden="1">
      <c r="A51" s="25">
        <v>46</v>
      </c>
      <c r="B51" s="25" t="str">
        <f>VLOOKUP(C51,'시스템이펙트 참고자료'!$A:$C,2,FALSE)</f>
        <v>ACTIVE_WILD_DEFENCE_UP</v>
      </c>
      <c r="C51" s="25">
        <v>623</v>
      </c>
      <c r="D51" s="25">
        <f>VLOOKUP(C51,'시스템이펙트 참고자료'!$A:$D,4,FALSE)</f>
        <v>0</v>
      </c>
      <c r="E51" s="25">
        <v>0</v>
      </c>
      <c r="F51" s="25">
        <v>0</v>
      </c>
      <c r="G51" s="25">
        <f t="shared" si="3"/>
        <v>10</v>
      </c>
      <c r="H51" s="25" t="s">
        <v>395</v>
      </c>
      <c r="I51" s="25">
        <v>1</v>
      </c>
      <c r="J51" s="25" t="str">
        <f>VLOOKUP(C51,'시스템이펙트 참고자료'!$A:$C,3,FALSE)</f>
        <v>절대값만 가능</v>
      </c>
      <c r="K51" s="25">
        <v>1</v>
      </c>
      <c r="M51" s="25">
        <v>0</v>
      </c>
      <c r="N51" s="25">
        <f t="shared" si="4"/>
        <v>10</v>
      </c>
      <c r="O51" s="25">
        <v>0</v>
      </c>
      <c r="P51" s="25">
        <v>0</v>
      </c>
      <c r="Q51" s="25">
        <v>0</v>
      </c>
      <c r="R51" s="25">
        <v>0</v>
      </c>
      <c r="AA51" s="25">
        <f t="shared" si="6"/>
        <v>128</v>
      </c>
      <c r="AK51" s="25">
        <v>1</v>
      </c>
      <c r="AM51" s="25">
        <v>10</v>
      </c>
      <c r="AN51" s="25">
        <v>100</v>
      </c>
      <c r="AP51" s="25">
        <f t="shared" si="5"/>
        <v>10</v>
      </c>
      <c r="AQ51" s="25" t="s">
        <v>141</v>
      </c>
      <c r="BD51" s="25">
        <v>1</v>
      </c>
    </row>
    <row r="52" spans="1:56" hidden="1">
      <c r="A52" s="25">
        <v>47</v>
      </c>
      <c r="B52" s="25" t="str">
        <f>VLOOKUP(C52,'시스템이펙트 참고자료'!$A:$C,2,FALSE)</f>
        <v>ACTIVE_ELEGANCE_DEFENCE_UP</v>
      </c>
      <c r="C52" s="25">
        <v>624</v>
      </c>
      <c r="D52" s="25">
        <f>VLOOKUP(C52,'시스템이펙트 참고자료'!$A:$D,4,FALSE)</f>
        <v>0</v>
      </c>
      <c r="E52" s="25">
        <v>0</v>
      </c>
      <c r="F52" s="25">
        <v>0</v>
      </c>
      <c r="G52" s="25">
        <f t="shared" si="3"/>
        <v>10</v>
      </c>
      <c r="H52" s="25" t="s">
        <v>395</v>
      </c>
      <c r="I52" s="25">
        <v>1</v>
      </c>
      <c r="J52" s="25" t="str">
        <f>VLOOKUP(C52,'시스템이펙트 참고자료'!$A:$C,3,FALSE)</f>
        <v>절대값만 가능</v>
      </c>
      <c r="K52" s="25">
        <v>1</v>
      </c>
      <c r="M52" s="25">
        <v>0</v>
      </c>
      <c r="N52" s="25">
        <f t="shared" si="4"/>
        <v>10</v>
      </c>
      <c r="O52" s="25">
        <v>0</v>
      </c>
      <c r="P52" s="25">
        <v>0</v>
      </c>
      <c r="Q52" s="25">
        <v>0</v>
      </c>
      <c r="R52" s="25">
        <v>0</v>
      </c>
      <c r="AA52" s="25">
        <f t="shared" si="6"/>
        <v>128</v>
      </c>
      <c r="AK52" s="25">
        <v>1</v>
      </c>
      <c r="AM52" s="25">
        <v>10</v>
      </c>
      <c r="AN52" s="25">
        <v>100</v>
      </c>
      <c r="AP52" s="25">
        <f t="shared" si="5"/>
        <v>10</v>
      </c>
      <c r="AQ52" s="25" t="s">
        <v>142</v>
      </c>
      <c r="BD52" s="25">
        <v>1</v>
      </c>
    </row>
    <row r="53" spans="1:56" hidden="1">
      <c r="A53" s="25">
        <v>48</v>
      </c>
      <c r="B53" s="25" t="str">
        <f>VLOOKUP(C53,'시스템이펙트 참고자료'!$A:$C,2,FALSE)</f>
        <v>ACTIVE_FUNNY_DEFENCE_UP</v>
      </c>
      <c r="C53" s="25">
        <v>625</v>
      </c>
      <c r="D53" s="25">
        <f>VLOOKUP(C53,'시스템이펙트 참고자료'!$A:$D,4,FALSE)</f>
        <v>0</v>
      </c>
      <c r="E53" s="25">
        <v>0</v>
      </c>
      <c r="F53" s="25">
        <v>0</v>
      </c>
      <c r="G53" s="25">
        <f t="shared" si="3"/>
        <v>10</v>
      </c>
      <c r="H53" s="25" t="s">
        <v>395</v>
      </c>
      <c r="I53" s="25">
        <v>1</v>
      </c>
      <c r="J53" s="25" t="str">
        <f>VLOOKUP(C53,'시스템이펙트 참고자료'!$A:$C,3,FALSE)</f>
        <v>절대값만 가능</v>
      </c>
      <c r="K53" s="25">
        <v>1</v>
      </c>
      <c r="M53" s="25">
        <v>0</v>
      </c>
      <c r="N53" s="25">
        <f t="shared" si="4"/>
        <v>10</v>
      </c>
      <c r="O53" s="25">
        <v>0</v>
      </c>
      <c r="P53" s="25">
        <v>0</v>
      </c>
      <c r="Q53" s="25">
        <v>0</v>
      </c>
      <c r="R53" s="25">
        <v>0</v>
      </c>
      <c r="AA53" s="25">
        <f t="shared" si="6"/>
        <v>128</v>
      </c>
      <c r="AK53" s="25">
        <v>1</v>
      </c>
      <c r="AM53" s="25">
        <v>10</v>
      </c>
      <c r="AN53" s="25">
        <v>100</v>
      </c>
      <c r="AP53" s="25">
        <f t="shared" si="5"/>
        <v>10</v>
      </c>
      <c r="AQ53" s="25" t="s">
        <v>143</v>
      </c>
      <c r="BD53" s="25">
        <v>1</v>
      </c>
    </row>
    <row r="54" spans="1:56" hidden="1">
      <c r="A54" s="25">
        <v>49</v>
      </c>
      <c r="B54" s="25" t="str">
        <f>VLOOKUP(C54,'시스템이펙트 참고자료'!$A:$C,2,FALSE)</f>
        <v>ACTIVE_HONEST_DEFENCE_UP</v>
      </c>
      <c r="C54" s="25">
        <v>621</v>
      </c>
      <c r="D54" s="25">
        <f>VLOOKUP(C54,'시스템이펙트 참고자료'!$A:$D,4,FALSE)</f>
        <v>0</v>
      </c>
      <c r="E54" s="25">
        <v>0</v>
      </c>
      <c r="F54" s="25">
        <v>0</v>
      </c>
      <c r="G54" s="25">
        <f t="shared" si="3"/>
        <v>17</v>
      </c>
      <c r="H54" s="25" t="s">
        <v>395</v>
      </c>
      <c r="I54" s="25">
        <v>1</v>
      </c>
      <c r="J54" s="25" t="str">
        <f>VLOOKUP(C54,'시스템이펙트 참고자료'!$A:$C,3,FALSE)</f>
        <v>절대값만 가능</v>
      </c>
      <c r="K54" s="25">
        <v>1</v>
      </c>
      <c r="M54" s="25">
        <v>0</v>
      </c>
      <c r="N54" s="25">
        <f t="shared" si="4"/>
        <v>6</v>
      </c>
      <c r="O54" s="25">
        <v>0</v>
      </c>
      <c r="P54" s="25">
        <v>0</v>
      </c>
      <c r="Q54" s="25">
        <v>0</v>
      </c>
      <c r="R54" s="25">
        <v>0</v>
      </c>
      <c r="AA54" s="25">
        <f t="shared" si="6"/>
        <v>128</v>
      </c>
      <c r="AK54" s="25">
        <v>1</v>
      </c>
      <c r="AM54" s="25">
        <v>6</v>
      </c>
      <c r="AN54" s="25">
        <v>100</v>
      </c>
      <c r="AP54" s="25">
        <f t="shared" si="5"/>
        <v>17</v>
      </c>
      <c r="AQ54" s="25" t="s">
        <v>144</v>
      </c>
      <c r="BD54" s="25">
        <v>1</v>
      </c>
    </row>
    <row r="55" spans="1:56" hidden="1">
      <c r="A55" s="25">
        <v>50</v>
      </c>
      <c r="B55" s="25" t="str">
        <f>VLOOKUP(C55,'시스템이펙트 참고자료'!$A:$C,2,FALSE)</f>
        <v>ACTIVE_STRANGE_DEFENCE_UP</v>
      </c>
      <c r="C55" s="25">
        <v>622</v>
      </c>
      <c r="D55" s="25">
        <f>VLOOKUP(C55,'시스템이펙트 참고자료'!$A:$D,4,FALSE)</f>
        <v>0</v>
      </c>
      <c r="E55" s="25">
        <v>0</v>
      </c>
      <c r="F55" s="25">
        <v>0</v>
      </c>
      <c r="G55" s="25">
        <f t="shared" si="3"/>
        <v>17</v>
      </c>
      <c r="H55" s="25" t="s">
        <v>395</v>
      </c>
      <c r="I55" s="25">
        <v>1</v>
      </c>
      <c r="J55" s="25" t="str">
        <f>VLOOKUP(C55,'시스템이펙트 참고자료'!$A:$C,3,FALSE)</f>
        <v>절대값만 가능</v>
      </c>
      <c r="K55" s="25">
        <v>1</v>
      </c>
      <c r="M55" s="25">
        <v>0</v>
      </c>
      <c r="N55" s="25">
        <f t="shared" si="4"/>
        <v>6</v>
      </c>
      <c r="O55" s="25">
        <v>0</v>
      </c>
      <c r="P55" s="25">
        <v>0</v>
      </c>
      <c r="Q55" s="25">
        <v>0</v>
      </c>
      <c r="R55" s="25">
        <v>0</v>
      </c>
      <c r="AA55" s="25">
        <f t="shared" si="6"/>
        <v>128</v>
      </c>
      <c r="AK55" s="25">
        <v>1</v>
      </c>
      <c r="AM55" s="25">
        <v>6</v>
      </c>
      <c r="AN55" s="25">
        <v>100</v>
      </c>
      <c r="AP55" s="25">
        <f t="shared" si="5"/>
        <v>17</v>
      </c>
      <c r="AQ55" s="25" t="s">
        <v>145</v>
      </c>
      <c r="BD55" s="25">
        <v>1</v>
      </c>
    </row>
    <row r="56" spans="1:56" hidden="1">
      <c r="A56" s="25">
        <v>51</v>
      </c>
      <c r="B56" s="25" t="str">
        <f>VLOOKUP(C56,'시스템이펙트 참고자료'!$A:$C,2,FALSE)</f>
        <v>ACTIVE_WILD_DEFENCE_UP</v>
      </c>
      <c r="C56" s="25">
        <v>623</v>
      </c>
      <c r="D56" s="25">
        <f>VLOOKUP(C56,'시스템이펙트 참고자료'!$A:$D,4,FALSE)</f>
        <v>0</v>
      </c>
      <c r="E56" s="25">
        <v>0</v>
      </c>
      <c r="F56" s="25">
        <v>0</v>
      </c>
      <c r="G56" s="25">
        <f t="shared" si="3"/>
        <v>17</v>
      </c>
      <c r="H56" s="25" t="s">
        <v>395</v>
      </c>
      <c r="I56" s="25">
        <v>1</v>
      </c>
      <c r="J56" s="25" t="str">
        <f>VLOOKUP(C56,'시스템이펙트 참고자료'!$A:$C,3,FALSE)</f>
        <v>절대값만 가능</v>
      </c>
      <c r="K56" s="25">
        <v>1</v>
      </c>
      <c r="M56" s="25">
        <v>0</v>
      </c>
      <c r="N56" s="25">
        <f t="shared" si="4"/>
        <v>6</v>
      </c>
      <c r="O56" s="25">
        <v>0</v>
      </c>
      <c r="P56" s="25">
        <v>0</v>
      </c>
      <c r="Q56" s="25">
        <v>0</v>
      </c>
      <c r="R56" s="25">
        <v>0</v>
      </c>
      <c r="AA56" s="25">
        <f t="shared" si="6"/>
        <v>128</v>
      </c>
      <c r="AK56" s="25">
        <v>1</v>
      </c>
      <c r="AM56" s="25">
        <v>6</v>
      </c>
      <c r="AN56" s="25">
        <v>100</v>
      </c>
      <c r="AP56" s="25">
        <f t="shared" si="5"/>
        <v>17</v>
      </c>
      <c r="AQ56" s="25" t="s">
        <v>146</v>
      </c>
      <c r="BD56" s="25">
        <v>1</v>
      </c>
    </row>
    <row r="57" spans="1:56" hidden="1">
      <c r="A57" s="25">
        <v>52</v>
      </c>
      <c r="B57" s="25" t="str">
        <f>VLOOKUP(C57,'시스템이펙트 참고자료'!$A:$C,2,FALSE)</f>
        <v>ACTIVE_ELEGANCE_DEFENCE_UP</v>
      </c>
      <c r="C57" s="25">
        <v>624</v>
      </c>
      <c r="D57" s="25">
        <f>VLOOKUP(C57,'시스템이펙트 참고자료'!$A:$D,4,FALSE)</f>
        <v>0</v>
      </c>
      <c r="E57" s="25">
        <v>0</v>
      </c>
      <c r="F57" s="25">
        <v>0</v>
      </c>
      <c r="G57" s="25">
        <f t="shared" si="3"/>
        <v>17</v>
      </c>
      <c r="H57" s="25" t="s">
        <v>395</v>
      </c>
      <c r="I57" s="25">
        <v>1</v>
      </c>
      <c r="J57" s="25" t="str">
        <f>VLOOKUP(C57,'시스템이펙트 참고자료'!$A:$C,3,FALSE)</f>
        <v>절대값만 가능</v>
      </c>
      <c r="K57" s="25">
        <v>1</v>
      </c>
      <c r="M57" s="25">
        <v>0</v>
      </c>
      <c r="N57" s="25">
        <f t="shared" si="4"/>
        <v>6</v>
      </c>
      <c r="O57" s="25">
        <v>0</v>
      </c>
      <c r="P57" s="25">
        <v>0</v>
      </c>
      <c r="Q57" s="25">
        <v>0</v>
      </c>
      <c r="R57" s="25">
        <v>0</v>
      </c>
      <c r="AA57" s="25">
        <f t="shared" si="6"/>
        <v>128</v>
      </c>
      <c r="AK57" s="25">
        <v>1</v>
      </c>
      <c r="AM57" s="25">
        <v>6</v>
      </c>
      <c r="AN57" s="25">
        <v>100</v>
      </c>
      <c r="AP57" s="25">
        <f t="shared" si="5"/>
        <v>17</v>
      </c>
      <c r="AQ57" s="25" t="s">
        <v>147</v>
      </c>
      <c r="BD57" s="25">
        <v>1</v>
      </c>
    </row>
    <row r="58" spans="1:56" hidden="1">
      <c r="A58" s="25">
        <v>53</v>
      </c>
      <c r="B58" s="25" t="str">
        <f>VLOOKUP(C58,'시스템이펙트 참고자료'!$A:$C,2,FALSE)</f>
        <v>ACTIVE_FUNNY_DEFENCE_UP</v>
      </c>
      <c r="C58" s="25">
        <v>625</v>
      </c>
      <c r="D58" s="25">
        <f>VLOOKUP(C58,'시스템이펙트 참고자료'!$A:$D,4,FALSE)</f>
        <v>0</v>
      </c>
      <c r="E58" s="25">
        <v>0</v>
      </c>
      <c r="F58" s="25">
        <v>0</v>
      </c>
      <c r="G58" s="25">
        <f t="shared" si="3"/>
        <v>17</v>
      </c>
      <c r="H58" s="25" t="s">
        <v>395</v>
      </c>
      <c r="I58" s="25">
        <v>1</v>
      </c>
      <c r="J58" s="25" t="str">
        <f>VLOOKUP(C58,'시스템이펙트 참고자료'!$A:$C,3,FALSE)</f>
        <v>절대값만 가능</v>
      </c>
      <c r="K58" s="25">
        <v>1</v>
      </c>
      <c r="M58" s="25">
        <v>0</v>
      </c>
      <c r="N58" s="25">
        <f t="shared" si="4"/>
        <v>6</v>
      </c>
      <c r="O58" s="25">
        <v>0</v>
      </c>
      <c r="P58" s="25">
        <v>0</v>
      </c>
      <c r="Q58" s="25">
        <v>0</v>
      </c>
      <c r="R58" s="25">
        <v>0</v>
      </c>
      <c r="AA58" s="25">
        <f t="shared" si="6"/>
        <v>128</v>
      </c>
      <c r="AK58" s="25">
        <v>1</v>
      </c>
      <c r="AM58" s="25">
        <v>6</v>
      </c>
      <c r="AN58" s="25">
        <v>100</v>
      </c>
      <c r="AP58" s="25">
        <f t="shared" si="5"/>
        <v>17</v>
      </c>
      <c r="AQ58" s="25" t="s">
        <v>148</v>
      </c>
      <c r="BD58" s="25">
        <v>1</v>
      </c>
    </row>
    <row r="59" spans="1:56" hidden="1">
      <c r="A59" s="25">
        <v>54</v>
      </c>
      <c r="B59" s="25" t="str">
        <f>VLOOKUP(C59,'시스템이펙트 참고자료'!$A:$C,2,FALSE)</f>
        <v>ACTIVE_HONEST_DEFENCE_UP</v>
      </c>
      <c r="C59" s="25">
        <v>621</v>
      </c>
      <c r="D59" s="25">
        <f>VLOOKUP(C59,'시스템이펙트 참고자료'!$A:$D,4,FALSE)</f>
        <v>0</v>
      </c>
      <c r="E59" s="25">
        <v>0</v>
      </c>
      <c r="F59" s="25">
        <v>0</v>
      </c>
      <c r="G59" s="25">
        <f t="shared" si="3"/>
        <v>25</v>
      </c>
      <c r="H59" s="25" t="s">
        <v>395</v>
      </c>
      <c r="I59" s="25">
        <v>1</v>
      </c>
      <c r="J59" s="25" t="str">
        <f>VLOOKUP(C59,'시스템이펙트 참고자료'!$A:$C,3,FALSE)</f>
        <v>절대값만 가능</v>
      </c>
      <c r="K59" s="25">
        <v>1</v>
      </c>
      <c r="M59" s="25">
        <v>0</v>
      </c>
      <c r="N59" s="25">
        <f t="shared" si="4"/>
        <v>4</v>
      </c>
      <c r="O59" s="25">
        <v>0</v>
      </c>
      <c r="P59" s="25">
        <v>0</v>
      </c>
      <c r="Q59" s="25">
        <v>0</v>
      </c>
      <c r="R59" s="25">
        <v>0</v>
      </c>
      <c r="AA59" s="25">
        <f t="shared" si="6"/>
        <v>128</v>
      </c>
      <c r="AK59" s="25">
        <v>1</v>
      </c>
      <c r="AM59" s="25">
        <v>4</v>
      </c>
      <c r="AN59" s="25">
        <v>100</v>
      </c>
      <c r="AP59" s="25">
        <f t="shared" si="5"/>
        <v>25</v>
      </c>
      <c r="AQ59" s="25" t="s">
        <v>149</v>
      </c>
      <c r="BD59" s="25">
        <v>1</v>
      </c>
    </row>
    <row r="60" spans="1:56" hidden="1">
      <c r="A60" s="25">
        <v>55</v>
      </c>
      <c r="B60" s="25" t="str">
        <f>VLOOKUP(C60,'시스템이펙트 참고자료'!$A:$C,2,FALSE)</f>
        <v>ACTIVE_STRANGE_DEFENCE_UP</v>
      </c>
      <c r="C60" s="25">
        <v>622</v>
      </c>
      <c r="D60" s="25">
        <f>VLOOKUP(C60,'시스템이펙트 참고자료'!$A:$D,4,FALSE)</f>
        <v>0</v>
      </c>
      <c r="E60" s="25">
        <v>0</v>
      </c>
      <c r="F60" s="25">
        <v>0</v>
      </c>
      <c r="G60" s="25">
        <f t="shared" si="3"/>
        <v>25</v>
      </c>
      <c r="H60" s="25" t="s">
        <v>395</v>
      </c>
      <c r="I60" s="25">
        <v>1</v>
      </c>
      <c r="J60" s="25" t="str">
        <f>VLOOKUP(C60,'시스템이펙트 참고자료'!$A:$C,3,FALSE)</f>
        <v>절대값만 가능</v>
      </c>
      <c r="K60" s="25">
        <v>1</v>
      </c>
      <c r="M60" s="25">
        <v>0</v>
      </c>
      <c r="N60" s="25">
        <f t="shared" si="4"/>
        <v>4</v>
      </c>
      <c r="O60" s="25">
        <v>0</v>
      </c>
      <c r="P60" s="25">
        <v>0</v>
      </c>
      <c r="Q60" s="25">
        <v>0</v>
      </c>
      <c r="R60" s="25">
        <v>0</v>
      </c>
      <c r="AA60" s="25">
        <f t="shared" si="6"/>
        <v>128</v>
      </c>
      <c r="AK60" s="25">
        <v>1</v>
      </c>
      <c r="AM60" s="25">
        <v>4</v>
      </c>
      <c r="AN60" s="25">
        <v>100</v>
      </c>
      <c r="AP60" s="25">
        <f t="shared" si="5"/>
        <v>25</v>
      </c>
      <c r="AQ60" s="25" t="s">
        <v>150</v>
      </c>
      <c r="BD60" s="25">
        <v>1</v>
      </c>
    </row>
    <row r="61" spans="1:56" hidden="1">
      <c r="A61" s="25">
        <v>56</v>
      </c>
      <c r="B61" s="25" t="str">
        <f>VLOOKUP(C61,'시스템이펙트 참고자료'!$A:$C,2,FALSE)</f>
        <v>ACTIVE_WILD_DEFENCE_UP</v>
      </c>
      <c r="C61" s="25">
        <v>623</v>
      </c>
      <c r="D61" s="25">
        <f>VLOOKUP(C61,'시스템이펙트 참고자료'!$A:$D,4,FALSE)</f>
        <v>0</v>
      </c>
      <c r="E61" s="25">
        <v>0</v>
      </c>
      <c r="F61" s="25">
        <v>0</v>
      </c>
      <c r="G61" s="25">
        <f t="shared" si="3"/>
        <v>25</v>
      </c>
      <c r="H61" s="25" t="s">
        <v>395</v>
      </c>
      <c r="I61" s="25">
        <v>1</v>
      </c>
      <c r="J61" s="25" t="str">
        <f>VLOOKUP(C61,'시스템이펙트 참고자료'!$A:$C,3,FALSE)</f>
        <v>절대값만 가능</v>
      </c>
      <c r="K61" s="25">
        <v>1</v>
      </c>
      <c r="M61" s="25">
        <v>0</v>
      </c>
      <c r="N61" s="25">
        <f t="shared" si="4"/>
        <v>4</v>
      </c>
      <c r="O61" s="25">
        <v>0</v>
      </c>
      <c r="P61" s="25">
        <v>0</v>
      </c>
      <c r="Q61" s="25">
        <v>0</v>
      </c>
      <c r="R61" s="25">
        <v>0</v>
      </c>
      <c r="AA61" s="25">
        <f t="shared" si="6"/>
        <v>128</v>
      </c>
      <c r="AK61" s="25">
        <v>1</v>
      </c>
      <c r="AM61" s="25">
        <v>4</v>
      </c>
      <c r="AN61" s="25">
        <v>100</v>
      </c>
      <c r="AP61" s="25">
        <f t="shared" si="5"/>
        <v>25</v>
      </c>
      <c r="AQ61" s="25" t="s">
        <v>151</v>
      </c>
      <c r="BD61" s="25">
        <v>1</v>
      </c>
    </row>
    <row r="62" spans="1:56" hidden="1">
      <c r="A62" s="25">
        <v>57</v>
      </c>
      <c r="B62" s="25" t="str">
        <f>VLOOKUP(C62,'시스템이펙트 참고자료'!$A:$C,2,FALSE)</f>
        <v>ACTIVE_ELEGANCE_DEFENCE_UP</v>
      </c>
      <c r="C62" s="25">
        <v>624</v>
      </c>
      <c r="D62" s="25">
        <f>VLOOKUP(C62,'시스템이펙트 참고자료'!$A:$D,4,FALSE)</f>
        <v>0</v>
      </c>
      <c r="E62" s="25">
        <v>0</v>
      </c>
      <c r="F62" s="25">
        <v>0</v>
      </c>
      <c r="G62" s="25">
        <f t="shared" si="3"/>
        <v>25</v>
      </c>
      <c r="H62" s="25" t="s">
        <v>395</v>
      </c>
      <c r="I62" s="25">
        <v>1</v>
      </c>
      <c r="J62" s="25" t="str">
        <f>VLOOKUP(C62,'시스템이펙트 참고자료'!$A:$C,3,FALSE)</f>
        <v>절대값만 가능</v>
      </c>
      <c r="K62" s="25">
        <v>1</v>
      </c>
      <c r="M62" s="25">
        <v>0</v>
      </c>
      <c r="N62" s="25">
        <f t="shared" si="4"/>
        <v>4</v>
      </c>
      <c r="O62" s="25">
        <v>0</v>
      </c>
      <c r="P62" s="25">
        <v>0</v>
      </c>
      <c r="Q62" s="25">
        <v>0</v>
      </c>
      <c r="R62" s="25">
        <v>0</v>
      </c>
      <c r="AA62" s="25">
        <f t="shared" si="6"/>
        <v>128</v>
      </c>
      <c r="AK62" s="25">
        <v>1</v>
      </c>
      <c r="AM62" s="25">
        <v>4</v>
      </c>
      <c r="AN62" s="25">
        <v>100</v>
      </c>
      <c r="AP62" s="25">
        <f t="shared" si="5"/>
        <v>25</v>
      </c>
      <c r="AQ62" s="25" t="s">
        <v>152</v>
      </c>
      <c r="BD62" s="25">
        <v>1</v>
      </c>
    </row>
    <row r="63" spans="1:56" hidden="1">
      <c r="A63" s="25">
        <v>58</v>
      </c>
      <c r="B63" s="25" t="str">
        <f>VLOOKUP(C63,'시스템이펙트 참고자료'!$A:$C,2,FALSE)</f>
        <v>ACTIVE_FUNNY_DEFENCE_UP</v>
      </c>
      <c r="C63" s="25">
        <v>625</v>
      </c>
      <c r="D63" s="25">
        <f>VLOOKUP(C63,'시스템이펙트 참고자료'!$A:$D,4,FALSE)</f>
        <v>0</v>
      </c>
      <c r="E63" s="25">
        <v>0</v>
      </c>
      <c r="F63" s="25">
        <v>0</v>
      </c>
      <c r="G63" s="25">
        <f t="shared" si="3"/>
        <v>25</v>
      </c>
      <c r="H63" s="25" t="s">
        <v>395</v>
      </c>
      <c r="I63" s="25">
        <v>1</v>
      </c>
      <c r="J63" s="25" t="str">
        <f>VLOOKUP(C63,'시스템이펙트 참고자료'!$A:$C,3,FALSE)</f>
        <v>절대값만 가능</v>
      </c>
      <c r="K63" s="25">
        <v>1</v>
      </c>
      <c r="M63" s="25">
        <v>0</v>
      </c>
      <c r="N63" s="25">
        <f t="shared" si="4"/>
        <v>4</v>
      </c>
      <c r="O63" s="25">
        <v>0</v>
      </c>
      <c r="P63" s="25">
        <v>0</v>
      </c>
      <c r="Q63" s="25">
        <v>0</v>
      </c>
      <c r="R63" s="25">
        <v>0</v>
      </c>
      <c r="AA63" s="25">
        <f t="shared" si="6"/>
        <v>128</v>
      </c>
      <c r="AK63" s="25">
        <v>1</v>
      </c>
      <c r="AM63" s="25">
        <v>4</v>
      </c>
      <c r="AN63" s="25">
        <v>100</v>
      </c>
      <c r="AP63" s="25">
        <f t="shared" si="5"/>
        <v>25</v>
      </c>
      <c r="AQ63" s="25" t="s">
        <v>153</v>
      </c>
      <c r="BD63" s="25">
        <v>1</v>
      </c>
    </row>
    <row r="64" spans="1:56" hidden="1">
      <c r="A64" s="25">
        <v>59</v>
      </c>
      <c r="B64" s="25" t="str">
        <f>VLOOKUP(C64,'시스템이펙트 참고자료'!$A:$C,2,FALSE)</f>
        <v>ACTIVE_ENERGY_REFLECTION</v>
      </c>
      <c r="C64" s="25">
        <v>626</v>
      </c>
      <c r="D64" s="25">
        <f>VLOOKUP(C64,'시스템이펙트 참고자료'!$A:$D,4,FALSE)</f>
        <v>0</v>
      </c>
      <c r="E64" s="25">
        <v>0</v>
      </c>
      <c r="F64" s="25">
        <v>0</v>
      </c>
      <c r="G64" s="25">
        <f t="shared" si="3"/>
        <v>4</v>
      </c>
      <c r="H64" s="25" t="s">
        <v>395</v>
      </c>
      <c r="I64" s="25">
        <v>1</v>
      </c>
      <c r="J64" s="25" t="str">
        <f>VLOOKUP(C64,'시스템이펙트 참고자료'!$A:$C,3,FALSE)</f>
        <v>절대값만 가능</v>
      </c>
      <c r="K64" s="25">
        <v>1</v>
      </c>
      <c r="M64" s="25">
        <v>0</v>
      </c>
      <c r="N64" s="25">
        <f t="shared" si="4"/>
        <v>25</v>
      </c>
      <c r="O64" s="25">
        <v>0</v>
      </c>
      <c r="P64" s="25">
        <v>0</v>
      </c>
      <c r="Q64" s="25">
        <v>0</v>
      </c>
      <c r="R64" s="25">
        <v>0</v>
      </c>
      <c r="AA64" s="25">
        <f t="shared" si="6"/>
        <v>128</v>
      </c>
      <c r="AK64" s="25">
        <v>2</v>
      </c>
      <c r="AM64" s="25">
        <v>50</v>
      </c>
      <c r="AN64" s="25">
        <v>100</v>
      </c>
      <c r="AP64" s="25">
        <f t="shared" si="5"/>
        <v>4</v>
      </c>
      <c r="AQ64" s="25" t="s">
        <v>79</v>
      </c>
      <c r="BD64" s="25">
        <v>2</v>
      </c>
    </row>
    <row r="65" spans="1:56" hidden="1">
      <c r="A65" s="25">
        <v>60</v>
      </c>
      <c r="B65" s="25" t="str">
        <f>VLOOKUP(C65,'시스템이펙트 참고자료'!$A:$C,2,FALSE)</f>
        <v>ACTIVE_RP_CHARGE_SPEED</v>
      </c>
      <c r="C65" s="25">
        <v>629</v>
      </c>
      <c r="D65" s="25">
        <f>VLOOKUP(C65,'시스템이펙트 참고자료'!$A:$D,4,FALSE)</f>
        <v>0</v>
      </c>
      <c r="E65" s="25">
        <v>0</v>
      </c>
      <c r="F65" s="25">
        <v>0</v>
      </c>
      <c r="G65" s="25">
        <f t="shared" si="3"/>
        <v>5</v>
      </c>
      <c r="H65" s="25" t="s">
        <v>395</v>
      </c>
      <c r="I65" s="25">
        <v>1</v>
      </c>
      <c r="J65" s="25" t="str">
        <f>VLOOKUP(C65,'시스템이펙트 참고자료'!$A:$C,3,FALSE)</f>
        <v>절대값/상대값(%) 가능</v>
      </c>
      <c r="K65" s="25">
        <v>1</v>
      </c>
      <c r="M65" s="25">
        <v>0</v>
      </c>
      <c r="N65" s="25">
        <f t="shared" si="4"/>
        <v>21</v>
      </c>
      <c r="O65" s="25">
        <v>0</v>
      </c>
      <c r="P65" s="25">
        <v>0</v>
      </c>
      <c r="Q65" s="25">
        <v>0</v>
      </c>
      <c r="R65" s="25">
        <v>0</v>
      </c>
      <c r="AA65" s="25">
        <f t="shared" si="6"/>
        <v>128</v>
      </c>
      <c r="AK65" s="25">
        <v>2</v>
      </c>
      <c r="AM65" s="25">
        <v>42</v>
      </c>
      <c r="AN65" s="25">
        <v>100</v>
      </c>
      <c r="AP65" s="25">
        <f t="shared" si="5"/>
        <v>5</v>
      </c>
      <c r="AQ65" s="25" t="s">
        <v>55</v>
      </c>
      <c r="BD65" s="25">
        <v>2</v>
      </c>
    </row>
    <row r="66" spans="1:56" hidden="1">
      <c r="A66" s="25">
        <v>61</v>
      </c>
      <c r="B66" s="25" t="str">
        <f>VLOOKUP(C66,'시스템이펙트 참고자료'!$A:$C,2,FALSE)</f>
        <v>ACTIVE_PHYSICAL_CRITICAL</v>
      </c>
      <c r="C66" s="25">
        <v>632</v>
      </c>
      <c r="D66" s="25">
        <f>VLOOKUP(C66,'시스템이펙트 참고자료'!$A:$D,4,FALSE)</f>
        <v>0</v>
      </c>
      <c r="E66" s="25">
        <v>0</v>
      </c>
      <c r="F66" s="25">
        <v>0</v>
      </c>
      <c r="G66" s="25">
        <f t="shared" si="3"/>
        <v>10</v>
      </c>
      <c r="H66" s="25" t="s">
        <v>395</v>
      </c>
      <c r="I66" s="25">
        <v>1</v>
      </c>
      <c r="J66" s="25" t="str">
        <f>VLOOKUP(C66,'시스템이펙트 참고자료'!$A:$C,3,FALSE)</f>
        <v>절대값/상대값(%) 가능</v>
      </c>
      <c r="K66" s="25">
        <v>1</v>
      </c>
      <c r="M66" s="25">
        <v>0</v>
      </c>
      <c r="N66" s="25">
        <f t="shared" si="4"/>
        <v>10</v>
      </c>
      <c r="O66" s="25">
        <v>0</v>
      </c>
      <c r="P66" s="25">
        <v>0</v>
      </c>
      <c r="Q66" s="25">
        <v>0</v>
      </c>
      <c r="R66" s="25">
        <v>0</v>
      </c>
      <c r="AA66" s="25">
        <f t="shared" si="6"/>
        <v>128</v>
      </c>
      <c r="AK66" s="25">
        <v>2</v>
      </c>
      <c r="AM66" s="25">
        <v>21</v>
      </c>
      <c r="AN66" s="25">
        <v>100</v>
      </c>
      <c r="AP66" s="25">
        <f t="shared" si="5"/>
        <v>10</v>
      </c>
      <c r="AQ66" s="25" t="s">
        <v>56</v>
      </c>
      <c r="BD66" s="25">
        <v>2</v>
      </c>
    </row>
    <row r="67" spans="1:56" hidden="1">
      <c r="A67" s="25">
        <v>62</v>
      </c>
      <c r="B67" s="25" t="str">
        <f>VLOOKUP(C67,'시스템이펙트 참고자료'!$A:$C,2,FALSE)</f>
        <v>ACTIVE_ENERGY_CRITICAL</v>
      </c>
      <c r="C67" s="25">
        <v>633</v>
      </c>
      <c r="D67" s="25">
        <f>VLOOKUP(C67,'시스템이펙트 참고자료'!$A:$D,4,FALSE)</f>
        <v>0</v>
      </c>
      <c r="E67" s="25">
        <v>0</v>
      </c>
      <c r="F67" s="25">
        <v>0</v>
      </c>
      <c r="G67" s="25">
        <f t="shared" si="3"/>
        <v>9</v>
      </c>
      <c r="H67" s="25" t="s">
        <v>395</v>
      </c>
      <c r="I67" s="25">
        <v>1</v>
      </c>
      <c r="J67" s="25" t="str">
        <f>VLOOKUP(C67,'시스템이펙트 참고자료'!$A:$C,3,FALSE)</f>
        <v>절대값/상대값(%) 가능</v>
      </c>
      <c r="K67" s="25">
        <v>1</v>
      </c>
      <c r="M67" s="25">
        <v>0</v>
      </c>
      <c r="N67" s="25">
        <f t="shared" si="4"/>
        <v>12</v>
      </c>
      <c r="O67" s="25">
        <v>0</v>
      </c>
      <c r="P67" s="25">
        <v>0</v>
      </c>
      <c r="Q67" s="25">
        <v>0</v>
      </c>
      <c r="R67" s="25">
        <v>0</v>
      </c>
      <c r="AA67" s="25">
        <f t="shared" si="6"/>
        <v>128</v>
      </c>
      <c r="AK67" s="25">
        <v>2</v>
      </c>
      <c r="AM67" s="25">
        <v>24</v>
      </c>
      <c r="AN67" s="25">
        <v>100</v>
      </c>
      <c r="AP67" s="25">
        <f t="shared" si="5"/>
        <v>9</v>
      </c>
      <c r="AQ67" s="25" t="s">
        <v>57</v>
      </c>
      <c r="BD67" s="25">
        <v>2</v>
      </c>
    </row>
    <row r="68" spans="1:56" hidden="1">
      <c r="A68" s="25">
        <v>63</v>
      </c>
      <c r="B68" s="25" t="str">
        <f>VLOOKUP(C68,'시스템이펙트 참고자료'!$A:$C,2,FALSE)</f>
        <v>ACTIVE_BARRIER</v>
      </c>
      <c r="C68" s="25">
        <v>637</v>
      </c>
      <c r="D68" s="25">
        <f>VLOOKUP(C68,'시스템이펙트 참고자료'!$A:$D,4,FALSE)</f>
        <v>0</v>
      </c>
      <c r="E68" s="25">
        <v>0</v>
      </c>
      <c r="F68" s="25">
        <v>0</v>
      </c>
      <c r="G68" s="25">
        <f t="shared" si="3"/>
        <v>1</v>
      </c>
      <c r="H68" s="25" t="s">
        <v>395</v>
      </c>
      <c r="I68" s="25">
        <v>1</v>
      </c>
      <c r="J68" s="25" t="str">
        <f>VLOOKUP(C68,'시스템이펙트 참고자료'!$A:$C,3,FALSE)</f>
        <v>절대값</v>
      </c>
      <c r="K68" s="25">
        <v>1</v>
      </c>
      <c r="M68" s="25">
        <v>0</v>
      </c>
      <c r="N68" s="25">
        <f t="shared" si="4"/>
        <v>125</v>
      </c>
      <c r="O68" s="25">
        <v>0</v>
      </c>
      <c r="P68" s="25">
        <v>0</v>
      </c>
      <c r="Q68" s="25">
        <v>0</v>
      </c>
      <c r="R68" s="25">
        <v>0</v>
      </c>
      <c r="AA68" s="25">
        <f t="shared" si="6"/>
        <v>128</v>
      </c>
      <c r="AK68" s="25">
        <v>1</v>
      </c>
      <c r="AM68" s="25">
        <v>125</v>
      </c>
      <c r="AN68" s="25">
        <v>100</v>
      </c>
      <c r="AP68" s="25">
        <f t="shared" si="5"/>
        <v>1</v>
      </c>
      <c r="AQ68" s="25" t="s">
        <v>154</v>
      </c>
      <c r="BD68" s="25">
        <v>1</v>
      </c>
    </row>
    <row r="69" spans="1:56" hidden="1">
      <c r="A69" s="25">
        <v>64</v>
      </c>
      <c r="B69" s="25" t="str">
        <f>VLOOKUP(C69,'시스템이펙트 참고자료'!$A:$C,2,FALSE)</f>
        <v>ACTIVE_BARRIER</v>
      </c>
      <c r="C69" s="25">
        <v>637</v>
      </c>
      <c r="D69" s="25">
        <f>VLOOKUP(C69,'시스템이펙트 참고자료'!$A:$D,4,FALSE)</f>
        <v>0</v>
      </c>
      <c r="E69" s="25">
        <v>0</v>
      </c>
      <c r="F69" s="25">
        <v>0</v>
      </c>
      <c r="G69" s="25">
        <f t="shared" si="3"/>
        <v>1</v>
      </c>
      <c r="H69" s="25" t="s">
        <v>395</v>
      </c>
      <c r="I69" s="25">
        <v>1</v>
      </c>
      <c r="J69" s="25" t="str">
        <f>VLOOKUP(C69,'시스템이펙트 참고자료'!$A:$C,3,FALSE)</f>
        <v>절대값</v>
      </c>
      <c r="K69" s="25">
        <v>1</v>
      </c>
      <c r="M69" s="25">
        <v>0</v>
      </c>
      <c r="N69" s="25">
        <f t="shared" si="4"/>
        <v>125</v>
      </c>
      <c r="O69" s="25">
        <v>0</v>
      </c>
      <c r="P69" s="25">
        <v>0</v>
      </c>
      <c r="Q69" s="25">
        <v>0</v>
      </c>
      <c r="R69" s="25">
        <v>0</v>
      </c>
      <c r="AA69" s="25">
        <f t="shared" si="6"/>
        <v>128</v>
      </c>
      <c r="AK69" s="25">
        <v>1</v>
      </c>
      <c r="AM69" s="25">
        <v>125</v>
      </c>
      <c r="AN69" s="25">
        <v>100</v>
      </c>
      <c r="AP69" s="25">
        <f t="shared" si="5"/>
        <v>1</v>
      </c>
      <c r="AQ69" s="25" t="s">
        <v>155</v>
      </c>
      <c r="BD69" s="25">
        <v>1</v>
      </c>
    </row>
    <row r="70" spans="1:56" hidden="1">
      <c r="A70" s="25">
        <v>65</v>
      </c>
      <c r="B70" s="25" t="str">
        <f>VLOOKUP(C70,'시스템이펙트 참고자료'!$A:$C,2,FALSE)</f>
        <v>ACTIVE_BARRIER</v>
      </c>
      <c r="C70" s="25">
        <v>637</v>
      </c>
      <c r="D70" s="25">
        <f>VLOOKUP(C70,'시스템이펙트 참고자료'!$A:$D,4,FALSE)</f>
        <v>0</v>
      </c>
      <c r="E70" s="25">
        <v>0</v>
      </c>
      <c r="F70" s="25">
        <v>0</v>
      </c>
      <c r="G70" s="25">
        <f t="shared" si="3"/>
        <v>1</v>
      </c>
      <c r="H70" s="25" t="s">
        <v>395</v>
      </c>
      <c r="I70" s="25">
        <v>1</v>
      </c>
      <c r="J70" s="25" t="str">
        <f>VLOOKUP(C70,'시스템이펙트 참고자료'!$A:$C,3,FALSE)</f>
        <v>절대값</v>
      </c>
      <c r="K70" s="25">
        <v>1</v>
      </c>
      <c r="M70" s="25">
        <v>0</v>
      </c>
      <c r="N70" s="25">
        <f t="shared" si="4"/>
        <v>125</v>
      </c>
      <c r="O70" s="25">
        <v>0</v>
      </c>
      <c r="P70" s="25">
        <v>0</v>
      </c>
      <c r="Q70" s="25">
        <v>0</v>
      </c>
      <c r="R70" s="25">
        <v>0</v>
      </c>
      <c r="AA70" s="25">
        <f t="shared" si="6"/>
        <v>128</v>
      </c>
      <c r="AK70" s="25">
        <v>1</v>
      </c>
      <c r="AM70" s="25">
        <v>125</v>
      </c>
      <c r="AN70" s="25">
        <v>100</v>
      </c>
      <c r="AP70" s="25">
        <f t="shared" si="5"/>
        <v>1</v>
      </c>
      <c r="AQ70" s="25" t="s">
        <v>156</v>
      </c>
      <c r="BD70" s="25">
        <v>1</v>
      </c>
    </row>
    <row r="71" spans="1:56" hidden="1">
      <c r="A71" s="25">
        <v>66</v>
      </c>
      <c r="B71" s="25" t="str">
        <f>VLOOKUP(C71,'시스템이펙트 참고자료'!$A:$C,2,FALSE)</f>
        <v>ACTIVE_PARALYZE_TOLERANCE_UP</v>
      </c>
      <c r="C71" s="25">
        <v>638</v>
      </c>
      <c r="D71" s="25">
        <f>VLOOKUP(C71,'시스템이펙트 참고자료'!$A:$D,4,FALSE)</f>
        <v>1</v>
      </c>
      <c r="E71" s="25">
        <v>0</v>
      </c>
      <c r="F71" s="25">
        <v>0</v>
      </c>
      <c r="G71" s="25">
        <f t="shared" ref="G71:G88" si="7">IF(N71&gt;0,INT(100/N71+0.99),0)</f>
        <v>3</v>
      </c>
      <c r="H71" s="25" t="s">
        <v>395</v>
      </c>
      <c r="I71" s="25">
        <v>1</v>
      </c>
      <c r="J71" s="25" t="str">
        <f>VLOOKUP(C71,'시스템이펙트 참고자료'!$A:$C,3,FALSE)</f>
        <v>절대값/상대값(%) 가능</v>
      </c>
      <c r="K71" s="25">
        <v>1</v>
      </c>
      <c r="M71" s="25">
        <v>0</v>
      </c>
      <c r="N71" s="25">
        <f t="shared" ref="N71:N134" si="8">IF(BD71&gt;0,INT(AM71/AK71),0)</f>
        <v>44</v>
      </c>
      <c r="O71" s="25">
        <v>0</v>
      </c>
      <c r="P71" s="25">
        <v>0</v>
      </c>
      <c r="Q71" s="25">
        <v>0</v>
      </c>
      <c r="R71" s="25">
        <v>0</v>
      </c>
      <c r="AA71" s="25">
        <f t="shared" si="6"/>
        <v>128</v>
      </c>
      <c r="AK71" s="25">
        <v>5</v>
      </c>
      <c r="AM71" s="25">
        <v>220</v>
      </c>
      <c r="AN71" s="25">
        <v>100</v>
      </c>
      <c r="AP71" s="25">
        <f t="shared" ref="AP71:AP88" si="9">INT(100/N71+0.99)</f>
        <v>3</v>
      </c>
      <c r="AQ71" s="25" t="s">
        <v>58</v>
      </c>
      <c r="BD71" s="25">
        <v>5</v>
      </c>
    </row>
    <row r="72" spans="1:56" hidden="1">
      <c r="A72" s="25">
        <v>67</v>
      </c>
      <c r="B72" s="25" t="str">
        <f>VLOOKUP(C72,'시스템이펙트 참고자료'!$A:$C,2,FALSE)</f>
        <v>ACTIVE_TERROR_TOLERANCE_UP</v>
      </c>
      <c r="C72" s="25">
        <v>639</v>
      </c>
      <c r="D72" s="25">
        <f>VLOOKUP(C72,'시스템이펙트 참고자료'!$A:$D,4,FALSE)</f>
        <v>1</v>
      </c>
      <c r="E72" s="25">
        <v>0</v>
      </c>
      <c r="F72" s="25">
        <v>0</v>
      </c>
      <c r="G72" s="25">
        <f t="shared" si="7"/>
        <v>3</v>
      </c>
      <c r="H72" s="25" t="s">
        <v>395</v>
      </c>
      <c r="I72" s="25">
        <v>1</v>
      </c>
      <c r="J72" s="25" t="str">
        <f>VLOOKUP(C72,'시스템이펙트 참고자료'!$A:$C,3,FALSE)</f>
        <v>절대값/상대값(%) 가능</v>
      </c>
      <c r="K72" s="25">
        <v>1</v>
      </c>
      <c r="M72" s="25">
        <v>0</v>
      </c>
      <c r="N72" s="25">
        <f t="shared" si="8"/>
        <v>44</v>
      </c>
      <c r="O72" s="25">
        <v>0</v>
      </c>
      <c r="P72" s="25">
        <v>0</v>
      </c>
      <c r="Q72" s="25">
        <v>0</v>
      </c>
      <c r="R72" s="25">
        <v>0</v>
      </c>
      <c r="AA72" s="25">
        <f t="shared" si="6"/>
        <v>128</v>
      </c>
      <c r="AK72" s="25">
        <v>5</v>
      </c>
      <c r="AM72" s="25">
        <v>220</v>
      </c>
      <c r="AN72" s="25">
        <v>100</v>
      </c>
      <c r="AP72" s="25">
        <f t="shared" si="9"/>
        <v>3</v>
      </c>
      <c r="AQ72" s="25" t="s">
        <v>59</v>
      </c>
      <c r="BD72" s="25">
        <v>5</v>
      </c>
    </row>
    <row r="73" spans="1:56" hidden="1">
      <c r="A73" s="25">
        <v>68</v>
      </c>
      <c r="B73" s="25" t="str">
        <f>VLOOKUP(C73,'시스템이펙트 참고자료'!$A:$C,2,FALSE)</f>
        <v>ACTIVE_CONFUSE_TOLERANCE_UP</v>
      </c>
      <c r="C73" s="25">
        <v>640</v>
      </c>
      <c r="D73" s="25">
        <f>VLOOKUP(C73,'시스템이펙트 참고자료'!$A:$D,4,FALSE)</f>
        <v>1</v>
      </c>
      <c r="E73" s="25">
        <v>0</v>
      </c>
      <c r="F73" s="25">
        <v>0</v>
      </c>
      <c r="G73" s="25">
        <f t="shared" si="7"/>
        <v>3</v>
      </c>
      <c r="H73" s="25" t="s">
        <v>395</v>
      </c>
      <c r="I73" s="25">
        <v>1</v>
      </c>
      <c r="J73" s="25" t="str">
        <f>VLOOKUP(C73,'시스템이펙트 참고자료'!$A:$C,3,FALSE)</f>
        <v>절대값/상대값(%) 가능</v>
      </c>
      <c r="K73" s="25">
        <v>1</v>
      </c>
      <c r="M73" s="25">
        <v>0</v>
      </c>
      <c r="N73" s="25">
        <f t="shared" si="8"/>
        <v>44</v>
      </c>
      <c r="O73" s="25">
        <v>0</v>
      </c>
      <c r="P73" s="25">
        <v>0</v>
      </c>
      <c r="Q73" s="25">
        <v>0</v>
      </c>
      <c r="R73" s="25">
        <v>0</v>
      </c>
      <c r="AA73" s="25">
        <f t="shared" si="6"/>
        <v>128</v>
      </c>
      <c r="AK73" s="25">
        <v>5</v>
      </c>
      <c r="AM73" s="25">
        <v>220</v>
      </c>
      <c r="AN73" s="25">
        <v>100</v>
      </c>
      <c r="AP73" s="25">
        <f t="shared" si="9"/>
        <v>3</v>
      </c>
      <c r="AQ73" s="25" t="s">
        <v>60</v>
      </c>
      <c r="BD73" s="25">
        <v>5</v>
      </c>
    </row>
    <row r="74" spans="1:56" hidden="1">
      <c r="A74" s="25">
        <v>69</v>
      </c>
      <c r="B74" s="25" t="str">
        <f>VLOOKUP(C74,'시스템이펙트 참고자료'!$A:$C,2,FALSE)</f>
        <v>ACTIVE_STONE_TOLERANCE_UP</v>
      </c>
      <c r="C74" s="25">
        <v>641</v>
      </c>
      <c r="D74" s="25">
        <f>VLOOKUP(C74,'시스템이펙트 참고자료'!$A:$D,4,FALSE)</f>
        <v>1</v>
      </c>
      <c r="E74" s="25">
        <v>0</v>
      </c>
      <c r="F74" s="25">
        <v>0</v>
      </c>
      <c r="G74" s="25">
        <f t="shared" si="7"/>
        <v>3</v>
      </c>
      <c r="H74" s="25" t="s">
        <v>395</v>
      </c>
      <c r="I74" s="25">
        <v>1</v>
      </c>
      <c r="J74" s="25" t="str">
        <f>VLOOKUP(C74,'시스템이펙트 참고자료'!$A:$C,3,FALSE)</f>
        <v>절대값/상대값(%) 가능</v>
      </c>
      <c r="K74" s="25">
        <v>1</v>
      </c>
      <c r="M74" s="25">
        <v>0</v>
      </c>
      <c r="N74" s="25">
        <f t="shared" si="8"/>
        <v>44</v>
      </c>
      <c r="O74" s="25">
        <v>0</v>
      </c>
      <c r="P74" s="25">
        <v>0</v>
      </c>
      <c r="Q74" s="25">
        <v>0</v>
      </c>
      <c r="R74" s="25">
        <v>0</v>
      </c>
      <c r="AA74" s="25">
        <f t="shared" si="6"/>
        <v>128</v>
      </c>
      <c r="AK74" s="25">
        <v>5</v>
      </c>
      <c r="AM74" s="25">
        <v>220</v>
      </c>
      <c r="AN74" s="25">
        <v>100</v>
      </c>
      <c r="AP74" s="25">
        <f t="shared" si="9"/>
        <v>3</v>
      </c>
      <c r="AQ74" s="25" t="s">
        <v>61</v>
      </c>
      <c r="BD74" s="25">
        <v>5</v>
      </c>
    </row>
    <row r="75" spans="1:56" hidden="1">
      <c r="A75" s="25">
        <v>70</v>
      </c>
      <c r="B75" s="25" t="str">
        <f>VLOOKUP(C75,'시스템이펙트 참고자료'!$A:$C,2,FALSE)</f>
        <v>ACTIVE_CANDY_TOLERANCE_UP</v>
      </c>
      <c r="C75" s="25">
        <v>642</v>
      </c>
      <c r="D75" s="25">
        <f>VLOOKUP(C75,'시스템이펙트 참고자료'!$A:$D,4,FALSE)</f>
        <v>1</v>
      </c>
      <c r="E75" s="25">
        <v>0</v>
      </c>
      <c r="F75" s="25">
        <v>0</v>
      </c>
      <c r="G75" s="25">
        <f t="shared" si="7"/>
        <v>3</v>
      </c>
      <c r="H75" s="25" t="s">
        <v>395</v>
      </c>
      <c r="I75" s="25">
        <v>1</v>
      </c>
      <c r="J75" s="25" t="str">
        <f>VLOOKUP(C75,'시스템이펙트 참고자료'!$A:$C,3,FALSE)</f>
        <v>절대값/상대값(%) 가능</v>
      </c>
      <c r="K75" s="25">
        <v>1</v>
      </c>
      <c r="M75" s="25">
        <v>0</v>
      </c>
      <c r="N75" s="25">
        <f t="shared" si="8"/>
        <v>44</v>
      </c>
      <c r="O75" s="25">
        <v>0</v>
      </c>
      <c r="P75" s="25">
        <v>0</v>
      </c>
      <c r="Q75" s="25">
        <v>0</v>
      </c>
      <c r="R75" s="25">
        <v>0</v>
      </c>
      <c r="AA75" s="25">
        <f t="shared" si="6"/>
        <v>128</v>
      </c>
      <c r="AK75" s="25">
        <v>5</v>
      </c>
      <c r="AM75" s="25">
        <v>220</v>
      </c>
      <c r="AN75" s="25">
        <v>100</v>
      </c>
      <c r="AP75" s="25">
        <f t="shared" si="9"/>
        <v>3</v>
      </c>
      <c r="AQ75" s="25" t="s">
        <v>62</v>
      </c>
      <c r="BD75" s="25">
        <v>5</v>
      </c>
    </row>
    <row r="76" spans="1:56" hidden="1">
      <c r="A76" s="25">
        <v>71</v>
      </c>
      <c r="B76" s="25" t="str">
        <f>VLOOKUP(C76,'시스템이펙트 참고자료'!$A:$C,2,FALSE)</f>
        <v>ACTIVE_PARALYZE_KEEPTIME_DOWN</v>
      </c>
      <c r="C76" s="25">
        <v>643</v>
      </c>
      <c r="D76" s="25">
        <f>VLOOKUP(C76,'시스템이펙트 참고자료'!$A:$D,4,FALSE)</f>
        <v>1</v>
      </c>
      <c r="E76" s="25">
        <v>0</v>
      </c>
      <c r="F76" s="25">
        <v>0</v>
      </c>
      <c r="G76" s="25">
        <f t="shared" si="7"/>
        <v>25</v>
      </c>
      <c r="H76" s="25" t="s">
        <v>395</v>
      </c>
      <c r="I76" s="25">
        <v>1</v>
      </c>
      <c r="J76" s="25" t="str">
        <f>VLOOKUP(C76,'시스템이펙트 참고자료'!$A:$C,3,FALSE)</f>
        <v>상대값(%)값만 가능</v>
      </c>
      <c r="K76" s="25">
        <v>1</v>
      </c>
      <c r="M76" s="25">
        <v>0</v>
      </c>
      <c r="N76" s="25">
        <f t="shared" si="8"/>
        <v>4</v>
      </c>
      <c r="O76" s="25">
        <v>0</v>
      </c>
      <c r="P76" s="25">
        <v>0</v>
      </c>
      <c r="Q76" s="25">
        <v>0</v>
      </c>
      <c r="R76" s="25">
        <v>0</v>
      </c>
      <c r="AA76" s="25">
        <f t="shared" si="6"/>
        <v>128</v>
      </c>
      <c r="AK76" s="25">
        <v>5</v>
      </c>
      <c r="AM76" s="25">
        <v>20</v>
      </c>
      <c r="AN76" s="25">
        <v>100</v>
      </c>
      <c r="AP76" s="25">
        <f t="shared" si="9"/>
        <v>25</v>
      </c>
      <c r="AQ76" s="25" t="s">
        <v>63</v>
      </c>
      <c r="BD76" s="25">
        <v>5</v>
      </c>
    </row>
    <row r="77" spans="1:56" hidden="1">
      <c r="A77" s="25">
        <v>72</v>
      </c>
      <c r="B77" s="25" t="str">
        <f>VLOOKUP(C77,'시스템이펙트 참고자료'!$A:$C,2,FALSE)</f>
        <v>ACTIVE_TERROR_KEEPTIME_DOWN</v>
      </c>
      <c r="C77" s="25">
        <v>644</v>
      </c>
      <c r="D77" s="25">
        <f>VLOOKUP(C77,'시스템이펙트 참고자료'!$A:$D,4,FALSE)</f>
        <v>1</v>
      </c>
      <c r="E77" s="25">
        <v>0</v>
      </c>
      <c r="F77" s="25">
        <v>0</v>
      </c>
      <c r="G77" s="25">
        <f t="shared" si="7"/>
        <v>25</v>
      </c>
      <c r="H77" s="25" t="s">
        <v>395</v>
      </c>
      <c r="I77" s="25">
        <v>1</v>
      </c>
      <c r="J77" s="25" t="str">
        <f>VLOOKUP(C77,'시스템이펙트 참고자료'!$A:$C,3,FALSE)</f>
        <v>상대값(%)값만 가능</v>
      </c>
      <c r="K77" s="25">
        <v>1</v>
      </c>
      <c r="M77" s="25">
        <v>0</v>
      </c>
      <c r="N77" s="25">
        <f t="shared" si="8"/>
        <v>4</v>
      </c>
      <c r="O77" s="25">
        <v>0</v>
      </c>
      <c r="P77" s="25">
        <v>0</v>
      </c>
      <c r="Q77" s="25">
        <v>0</v>
      </c>
      <c r="R77" s="25">
        <v>0</v>
      </c>
      <c r="AA77" s="25">
        <f t="shared" si="6"/>
        <v>128</v>
      </c>
      <c r="AK77" s="25">
        <v>5</v>
      </c>
      <c r="AM77" s="25">
        <v>20</v>
      </c>
      <c r="AN77" s="25">
        <v>100</v>
      </c>
      <c r="AP77" s="25">
        <f t="shared" si="9"/>
        <v>25</v>
      </c>
      <c r="AQ77" s="25" t="s">
        <v>64</v>
      </c>
      <c r="BD77" s="25">
        <v>5</v>
      </c>
    </row>
    <row r="78" spans="1:56" hidden="1">
      <c r="A78" s="25">
        <v>73</v>
      </c>
      <c r="B78" s="25" t="str">
        <f>VLOOKUP(C78,'시스템이펙트 참고자료'!$A:$C,2,FALSE)</f>
        <v>ACTIVE_CONFUSE_KEEPTIME_DOWN</v>
      </c>
      <c r="C78" s="25">
        <v>645</v>
      </c>
      <c r="D78" s="25">
        <f>VLOOKUP(C78,'시스템이펙트 참고자료'!$A:$D,4,FALSE)</f>
        <v>1</v>
      </c>
      <c r="E78" s="25">
        <v>0</v>
      </c>
      <c r="F78" s="25">
        <v>0</v>
      </c>
      <c r="G78" s="25">
        <f t="shared" si="7"/>
        <v>25</v>
      </c>
      <c r="H78" s="25" t="s">
        <v>395</v>
      </c>
      <c r="I78" s="25">
        <v>1</v>
      </c>
      <c r="J78" s="25" t="str">
        <f>VLOOKUP(C78,'시스템이펙트 참고자료'!$A:$C,3,FALSE)</f>
        <v>상대값(%)값만 가능</v>
      </c>
      <c r="K78" s="25">
        <v>1</v>
      </c>
      <c r="M78" s="25">
        <v>0</v>
      </c>
      <c r="N78" s="25">
        <f t="shared" si="8"/>
        <v>4</v>
      </c>
      <c r="O78" s="25">
        <v>0</v>
      </c>
      <c r="P78" s="25">
        <v>0</v>
      </c>
      <c r="Q78" s="25">
        <v>0</v>
      </c>
      <c r="R78" s="25">
        <v>0</v>
      </c>
      <c r="AA78" s="25">
        <f t="shared" si="6"/>
        <v>128</v>
      </c>
      <c r="AK78" s="25">
        <v>5</v>
      </c>
      <c r="AM78" s="25">
        <v>20</v>
      </c>
      <c r="AN78" s="25">
        <v>100</v>
      </c>
      <c r="AP78" s="25">
        <f t="shared" si="9"/>
        <v>25</v>
      </c>
      <c r="AQ78" s="25" t="s">
        <v>65</v>
      </c>
      <c r="BD78" s="25">
        <v>5</v>
      </c>
    </row>
    <row r="79" spans="1:56" hidden="1">
      <c r="A79" s="25">
        <v>74</v>
      </c>
      <c r="B79" s="25" t="str">
        <f>VLOOKUP(C79,'시스템이펙트 참고자료'!$A:$C,2,FALSE)</f>
        <v>ACTIVE_STONE_KEEPTIME_DOWN</v>
      </c>
      <c r="C79" s="25">
        <v>646</v>
      </c>
      <c r="D79" s="25">
        <f>VLOOKUP(C79,'시스템이펙트 참고자료'!$A:$D,4,FALSE)</f>
        <v>1</v>
      </c>
      <c r="E79" s="25">
        <v>0</v>
      </c>
      <c r="F79" s="25">
        <v>0</v>
      </c>
      <c r="G79" s="25">
        <f t="shared" si="7"/>
        <v>25</v>
      </c>
      <c r="H79" s="25" t="s">
        <v>395</v>
      </c>
      <c r="I79" s="25">
        <v>1</v>
      </c>
      <c r="J79" s="25" t="str">
        <f>VLOOKUP(C79,'시스템이펙트 참고자료'!$A:$C,3,FALSE)</f>
        <v>상대값(%)값만 가능</v>
      </c>
      <c r="K79" s="25">
        <v>1</v>
      </c>
      <c r="M79" s="25">
        <v>0</v>
      </c>
      <c r="N79" s="25">
        <f t="shared" si="8"/>
        <v>4</v>
      </c>
      <c r="O79" s="25">
        <v>0</v>
      </c>
      <c r="P79" s="25">
        <v>0</v>
      </c>
      <c r="Q79" s="25">
        <v>0</v>
      </c>
      <c r="R79" s="25">
        <v>0</v>
      </c>
      <c r="AA79" s="25">
        <f t="shared" si="6"/>
        <v>128</v>
      </c>
      <c r="AK79" s="25">
        <v>5</v>
      </c>
      <c r="AM79" s="25">
        <v>20</v>
      </c>
      <c r="AN79" s="25">
        <v>100</v>
      </c>
      <c r="AP79" s="25">
        <f t="shared" si="9"/>
        <v>25</v>
      </c>
      <c r="AQ79" s="25" t="s">
        <v>66</v>
      </c>
      <c r="BD79" s="25">
        <v>5</v>
      </c>
    </row>
    <row r="80" spans="1:56" hidden="1">
      <c r="A80" s="25">
        <v>75</v>
      </c>
      <c r="B80" s="25" t="str">
        <f>VLOOKUP(C80,'시스템이펙트 참고자료'!$A:$C,2,FALSE)</f>
        <v>ACTIVE_CANDY_KEEPTIME_DOWN</v>
      </c>
      <c r="C80" s="25">
        <v>647</v>
      </c>
      <c r="D80" s="25">
        <f>VLOOKUP(C80,'시스템이펙트 참고자료'!$A:$D,4,FALSE)</f>
        <v>1</v>
      </c>
      <c r="E80" s="25">
        <v>0</v>
      </c>
      <c r="F80" s="25">
        <v>0</v>
      </c>
      <c r="G80" s="25">
        <f t="shared" si="7"/>
        <v>25</v>
      </c>
      <c r="H80" s="25" t="s">
        <v>395</v>
      </c>
      <c r="I80" s="25">
        <v>1</v>
      </c>
      <c r="J80" s="25" t="str">
        <f>VLOOKUP(C80,'시스템이펙트 참고자료'!$A:$C,3,FALSE)</f>
        <v>상대값(%)값만 가능</v>
      </c>
      <c r="K80" s="25">
        <v>1</v>
      </c>
      <c r="M80" s="25">
        <v>0</v>
      </c>
      <c r="N80" s="25">
        <f t="shared" si="8"/>
        <v>4</v>
      </c>
      <c r="O80" s="25">
        <v>0</v>
      </c>
      <c r="P80" s="25">
        <v>0</v>
      </c>
      <c r="Q80" s="25">
        <v>0</v>
      </c>
      <c r="R80" s="25">
        <v>0</v>
      </c>
      <c r="AA80" s="25">
        <f t="shared" si="6"/>
        <v>128</v>
      </c>
      <c r="AK80" s="25">
        <v>5</v>
      </c>
      <c r="AM80" s="25">
        <v>20</v>
      </c>
      <c r="AN80" s="25">
        <v>100</v>
      </c>
      <c r="AP80" s="25">
        <f t="shared" si="9"/>
        <v>25</v>
      </c>
      <c r="AQ80" s="25" t="s">
        <v>67</v>
      </c>
      <c r="BD80" s="25">
        <v>5</v>
      </c>
    </row>
    <row r="81" spans="1:56" hidden="1">
      <c r="A81" s="25">
        <v>76</v>
      </c>
      <c r="B81" s="25" t="str">
        <f>VLOOKUP(C81,'시스템이펙트 참고자료'!$A:$C,2,FALSE)</f>
        <v>ACTIVE_BLEEDING_KEEPTIME_DOWN</v>
      </c>
      <c r="C81" s="25">
        <v>648</v>
      </c>
      <c r="D81" s="25">
        <f>VLOOKUP(C81,'시스템이펙트 참고자료'!$A:$D,4,FALSE)</f>
        <v>1</v>
      </c>
      <c r="E81" s="25">
        <v>0</v>
      </c>
      <c r="F81" s="25">
        <v>0</v>
      </c>
      <c r="G81" s="25">
        <f t="shared" si="7"/>
        <v>25</v>
      </c>
      <c r="H81" s="25" t="s">
        <v>395</v>
      </c>
      <c r="I81" s="25">
        <v>1</v>
      </c>
      <c r="J81" s="25" t="str">
        <f>VLOOKUP(C81,'시스템이펙트 참고자료'!$A:$C,3,FALSE)</f>
        <v>상대값(%)값만 가능</v>
      </c>
      <c r="K81" s="25">
        <v>1</v>
      </c>
      <c r="M81" s="25">
        <v>0</v>
      </c>
      <c r="N81" s="25">
        <f t="shared" si="8"/>
        <v>4</v>
      </c>
      <c r="O81" s="25">
        <v>0</v>
      </c>
      <c r="P81" s="25">
        <v>0</v>
      </c>
      <c r="Q81" s="25">
        <v>0</v>
      </c>
      <c r="R81" s="25">
        <v>0</v>
      </c>
      <c r="AA81" s="25">
        <f t="shared" si="6"/>
        <v>128</v>
      </c>
      <c r="AK81" s="25">
        <v>5</v>
      </c>
      <c r="AM81" s="25">
        <v>20</v>
      </c>
      <c r="AN81" s="25">
        <v>100</v>
      </c>
      <c r="AP81" s="25">
        <f t="shared" si="9"/>
        <v>25</v>
      </c>
      <c r="AQ81" s="25" t="s">
        <v>68</v>
      </c>
      <c r="BD81" s="25">
        <v>5</v>
      </c>
    </row>
    <row r="82" spans="1:56" hidden="1">
      <c r="A82" s="25">
        <v>77</v>
      </c>
      <c r="B82" s="25" t="str">
        <f>VLOOKUP(C82,'시스템이펙트 참고자료'!$A:$C,2,FALSE)</f>
        <v>ACTIVE_POISON_KEEPTIME_DOWN</v>
      </c>
      <c r="C82" s="25">
        <v>649</v>
      </c>
      <c r="D82" s="25">
        <f>VLOOKUP(C82,'시스템이펙트 참고자료'!$A:$D,4,FALSE)</f>
        <v>1</v>
      </c>
      <c r="E82" s="25">
        <v>0</v>
      </c>
      <c r="F82" s="25">
        <v>0</v>
      </c>
      <c r="G82" s="25">
        <f t="shared" si="7"/>
        <v>25</v>
      </c>
      <c r="H82" s="25" t="s">
        <v>395</v>
      </c>
      <c r="I82" s="25">
        <v>1</v>
      </c>
      <c r="J82" s="25" t="str">
        <f>VLOOKUP(C82,'시스템이펙트 참고자료'!$A:$C,3,FALSE)</f>
        <v>상대값(%)값만 가능</v>
      </c>
      <c r="K82" s="25">
        <v>1</v>
      </c>
      <c r="M82" s="25">
        <v>0</v>
      </c>
      <c r="N82" s="25">
        <f t="shared" si="8"/>
        <v>4</v>
      </c>
      <c r="O82" s="25">
        <v>0</v>
      </c>
      <c r="P82" s="25">
        <v>0</v>
      </c>
      <c r="Q82" s="25">
        <v>0</v>
      </c>
      <c r="R82" s="25">
        <v>0</v>
      </c>
      <c r="AA82" s="25">
        <f t="shared" si="6"/>
        <v>128</v>
      </c>
      <c r="AK82" s="25">
        <v>5</v>
      </c>
      <c r="AM82" s="25">
        <v>20</v>
      </c>
      <c r="AN82" s="25">
        <v>100</v>
      </c>
      <c r="AP82" s="25">
        <f t="shared" si="9"/>
        <v>25</v>
      </c>
      <c r="AQ82" s="25" t="s">
        <v>69</v>
      </c>
      <c r="BD82" s="25">
        <v>5</v>
      </c>
    </row>
    <row r="83" spans="1:56" hidden="1">
      <c r="A83" s="25">
        <v>78</v>
      </c>
      <c r="B83" s="25" t="str">
        <f>VLOOKUP(C83,'시스템이펙트 참고자료'!$A:$C,2,FALSE)</f>
        <v>ACTIVE_STOMACHACHE_KEEPTIME_DOWN</v>
      </c>
      <c r="C83" s="25">
        <v>650</v>
      </c>
      <c r="D83" s="25">
        <f>VLOOKUP(C83,'시스템이펙트 참고자료'!$A:$D,4,FALSE)</f>
        <v>1</v>
      </c>
      <c r="E83" s="25">
        <v>0</v>
      </c>
      <c r="F83" s="25">
        <v>0</v>
      </c>
      <c r="G83" s="25">
        <f t="shared" si="7"/>
        <v>25</v>
      </c>
      <c r="H83" s="25" t="s">
        <v>395</v>
      </c>
      <c r="I83" s="25">
        <v>1</v>
      </c>
      <c r="J83" s="25" t="str">
        <f>VLOOKUP(C83,'시스템이펙트 참고자료'!$A:$C,3,FALSE)</f>
        <v>상대값(%)값만 가능</v>
      </c>
      <c r="K83" s="25">
        <v>1</v>
      </c>
      <c r="M83" s="25">
        <v>0</v>
      </c>
      <c r="N83" s="25">
        <f t="shared" si="8"/>
        <v>4</v>
      </c>
      <c r="O83" s="25">
        <v>0</v>
      </c>
      <c r="P83" s="25">
        <v>0</v>
      </c>
      <c r="Q83" s="25">
        <v>0</v>
      </c>
      <c r="R83" s="25">
        <v>0</v>
      </c>
      <c r="AA83" s="25">
        <f t="shared" ref="AA83:AA146" si="10">2^AA$1</f>
        <v>128</v>
      </c>
      <c r="AK83" s="25">
        <v>5</v>
      </c>
      <c r="AM83" s="25">
        <v>20</v>
      </c>
      <c r="AN83" s="25">
        <v>100</v>
      </c>
      <c r="AP83" s="25">
        <f t="shared" si="9"/>
        <v>25</v>
      </c>
      <c r="AQ83" s="25" t="s">
        <v>70</v>
      </c>
      <c r="BD83" s="25">
        <v>5</v>
      </c>
    </row>
    <row r="84" spans="1:56" hidden="1">
      <c r="A84" s="25">
        <v>79</v>
      </c>
      <c r="B84" s="25" t="str">
        <f>VLOOKUP(C84,'시스템이펙트 참고자료'!$A:$C,2,FALSE)</f>
        <v>ACTIVE_CRITICAL_BLOCK_UP</v>
      </c>
      <c r="C84" s="25">
        <v>651</v>
      </c>
      <c r="D84" s="25">
        <f>VLOOKUP(C84,'시스템이펙트 참고자료'!$A:$D,4,FALSE)</f>
        <v>0</v>
      </c>
      <c r="E84" s="25">
        <v>0</v>
      </c>
      <c r="F84" s="25">
        <v>0</v>
      </c>
      <c r="G84" s="25">
        <f t="shared" si="7"/>
        <v>10</v>
      </c>
      <c r="H84" s="25" t="s">
        <v>395</v>
      </c>
      <c r="I84" s="25">
        <v>1</v>
      </c>
      <c r="J84" s="25" t="str">
        <f>VLOOKUP(C84,'시스템이펙트 참고자료'!$A:$C,3,FALSE)</f>
        <v>절대값만 가능</v>
      </c>
      <c r="K84" s="25">
        <v>1</v>
      </c>
      <c r="M84" s="25">
        <v>0</v>
      </c>
      <c r="N84" s="25">
        <f t="shared" si="8"/>
        <v>10</v>
      </c>
      <c r="O84" s="25">
        <v>0</v>
      </c>
      <c r="P84" s="25">
        <v>0</v>
      </c>
      <c r="Q84" s="25">
        <v>0</v>
      </c>
      <c r="R84" s="25">
        <v>0</v>
      </c>
      <c r="AA84" s="25">
        <f t="shared" si="10"/>
        <v>128</v>
      </c>
      <c r="AK84" s="25">
        <v>2</v>
      </c>
      <c r="AM84" s="25">
        <v>20</v>
      </c>
      <c r="AN84" s="25">
        <v>100</v>
      </c>
      <c r="AP84" s="25">
        <f t="shared" si="9"/>
        <v>10</v>
      </c>
      <c r="AQ84" s="25" t="s">
        <v>1</v>
      </c>
      <c r="BD84" s="25">
        <v>2</v>
      </c>
    </row>
    <row r="85" spans="1:56" hidden="1">
      <c r="A85" s="25">
        <v>80</v>
      </c>
      <c r="B85" s="25" t="str">
        <f>VLOOKUP(C85,'시스템이펙트 참고자료'!$A:$C,2,FALSE)</f>
        <v>ACTIVE_PHYSICAL_CRITICAL_DAMAGE_UP</v>
      </c>
      <c r="C85" s="25">
        <v>658</v>
      </c>
      <c r="D85" s="25">
        <f>VLOOKUP(C85,'시스템이펙트 참고자료'!$A:$D,4,FALSE)</f>
        <v>0</v>
      </c>
      <c r="E85" s="25">
        <v>0</v>
      </c>
      <c r="F85" s="25">
        <v>0</v>
      </c>
      <c r="G85" s="25">
        <f t="shared" si="7"/>
        <v>12</v>
      </c>
      <c r="H85" s="25" t="s">
        <v>395</v>
      </c>
      <c r="I85" s="25">
        <v>1</v>
      </c>
      <c r="J85" s="25" t="str">
        <f>VLOOKUP(C85,'시스템이펙트 참고자료'!$A:$C,3,FALSE)</f>
        <v>절대값만 가능</v>
      </c>
      <c r="K85" s="25">
        <v>1</v>
      </c>
      <c r="M85" s="25">
        <v>0</v>
      </c>
      <c r="N85" s="25">
        <f t="shared" si="8"/>
        <v>9</v>
      </c>
      <c r="O85" s="25">
        <v>0</v>
      </c>
      <c r="P85" s="25">
        <v>0</v>
      </c>
      <c r="Q85" s="25">
        <v>0</v>
      </c>
      <c r="R85" s="25">
        <v>0</v>
      </c>
      <c r="AA85" s="25">
        <f t="shared" si="10"/>
        <v>128</v>
      </c>
      <c r="AK85" s="25">
        <v>3</v>
      </c>
      <c r="AM85" s="25">
        <v>28</v>
      </c>
      <c r="AN85" s="25">
        <v>100</v>
      </c>
      <c r="AP85" s="25">
        <f t="shared" si="9"/>
        <v>12</v>
      </c>
      <c r="AQ85" s="25" t="s">
        <v>80</v>
      </c>
      <c r="BD85" s="25">
        <v>3</v>
      </c>
    </row>
    <row r="86" spans="1:56" hidden="1">
      <c r="A86" s="25">
        <v>81</v>
      </c>
      <c r="B86" s="25" t="str">
        <f>VLOOKUP(C86,'시스템이펙트 참고자료'!$A:$C,2,FALSE)</f>
        <v>ACTIVE_ENERGY_CRITICAL_DAMAGE_UP</v>
      </c>
      <c r="C86" s="25">
        <v>659</v>
      </c>
      <c r="D86" s="25">
        <f>VLOOKUP(C86,'시스템이펙트 참고자료'!$A:$D,4,FALSE)</f>
        <v>0</v>
      </c>
      <c r="E86" s="25">
        <v>0</v>
      </c>
      <c r="F86" s="25">
        <v>0</v>
      </c>
      <c r="G86" s="25">
        <f t="shared" si="7"/>
        <v>10</v>
      </c>
      <c r="H86" s="25" t="s">
        <v>395</v>
      </c>
      <c r="I86" s="25">
        <v>1</v>
      </c>
      <c r="J86" s="25" t="str">
        <f>VLOOKUP(C86,'시스템이펙트 참고자료'!$A:$C,3,FALSE)</f>
        <v>절대값만 가능</v>
      </c>
      <c r="K86" s="25">
        <v>1</v>
      </c>
      <c r="M86" s="25">
        <v>0</v>
      </c>
      <c r="N86" s="25">
        <f t="shared" si="8"/>
        <v>10</v>
      </c>
      <c r="O86" s="25">
        <v>0</v>
      </c>
      <c r="P86" s="25">
        <v>0</v>
      </c>
      <c r="Q86" s="25">
        <v>0</v>
      </c>
      <c r="R86" s="25">
        <v>0</v>
      </c>
      <c r="AA86" s="25">
        <f t="shared" si="10"/>
        <v>128</v>
      </c>
      <c r="AK86" s="25">
        <v>3</v>
      </c>
      <c r="AM86" s="25">
        <v>32</v>
      </c>
      <c r="AN86" s="25">
        <v>100</v>
      </c>
      <c r="AP86" s="25">
        <f t="shared" si="9"/>
        <v>10</v>
      </c>
      <c r="AQ86" s="25" t="s">
        <v>81</v>
      </c>
      <c r="BD86" s="25">
        <v>3</v>
      </c>
    </row>
    <row r="87" spans="1:56" hidden="1">
      <c r="A87" s="25">
        <v>82</v>
      </c>
      <c r="B87" s="25" t="str">
        <f>VLOOKUP(C87,'시스템이펙트 참고자료'!$A:$C,2,FALSE)</f>
        <v>ACTIVE_BATTLE_ATTRIBUTE_UP</v>
      </c>
      <c r="C87" s="25">
        <v>667</v>
      </c>
      <c r="D87" s="25">
        <f>VLOOKUP(C87,'시스템이펙트 참고자료'!$A:$D,4,FALSE)</f>
        <v>0</v>
      </c>
      <c r="E87" s="25">
        <v>0</v>
      </c>
      <c r="F87" s="25">
        <v>0</v>
      </c>
      <c r="G87" s="25">
        <f t="shared" si="7"/>
        <v>7</v>
      </c>
      <c r="H87" s="25" t="s">
        <v>395</v>
      </c>
      <c r="I87" s="25">
        <v>1</v>
      </c>
      <c r="J87" s="25" t="str">
        <f>VLOOKUP(C87,'시스템이펙트 참고자료'!$A:$C,3,FALSE)</f>
        <v>절대값만 가능</v>
      </c>
      <c r="K87" s="25">
        <v>1</v>
      </c>
      <c r="M87" s="25">
        <v>0</v>
      </c>
      <c r="N87" s="25">
        <f t="shared" si="8"/>
        <v>15</v>
      </c>
      <c r="O87" s="25">
        <v>0</v>
      </c>
      <c r="P87" s="25">
        <v>0</v>
      </c>
      <c r="Q87" s="25">
        <v>0</v>
      </c>
      <c r="R87" s="25">
        <v>0</v>
      </c>
      <c r="AA87" s="25">
        <f t="shared" si="10"/>
        <v>128</v>
      </c>
      <c r="AK87" s="25">
        <v>1</v>
      </c>
      <c r="AM87" s="25">
        <v>15</v>
      </c>
      <c r="AN87" s="25">
        <v>100</v>
      </c>
      <c r="AP87" s="25">
        <f t="shared" si="9"/>
        <v>7</v>
      </c>
      <c r="AQ87" s="25" t="s">
        <v>71</v>
      </c>
      <c r="BD87" s="25">
        <v>1</v>
      </c>
    </row>
    <row r="88" spans="1:56" hidden="1">
      <c r="A88" s="25">
        <v>83</v>
      </c>
      <c r="B88" s="25" t="str">
        <f>VLOOKUP(C88,'시스템이펙트 참고자료'!$A:$C,2,FALSE)</f>
        <v>ACTIVE_PHYSICAL_REFLECTION</v>
      </c>
      <c r="C88" s="25">
        <v>668</v>
      </c>
      <c r="D88" s="25">
        <f>VLOOKUP(C88,'시스템이펙트 참고자료'!$A:$D,4,FALSE)</f>
        <v>0</v>
      </c>
      <c r="E88" s="25">
        <v>0</v>
      </c>
      <c r="F88" s="25">
        <v>0</v>
      </c>
      <c r="G88" s="25">
        <f t="shared" si="7"/>
        <v>5</v>
      </c>
      <c r="H88" s="25" t="s">
        <v>395</v>
      </c>
      <c r="I88" s="25">
        <v>1</v>
      </c>
      <c r="J88" s="25" t="str">
        <f>VLOOKUP(C88,'시스템이펙트 참고자료'!$A:$C,3,FALSE)</f>
        <v>절대값만 가능</v>
      </c>
      <c r="K88" s="25">
        <v>1</v>
      </c>
      <c r="M88" s="25">
        <v>0</v>
      </c>
      <c r="N88" s="25">
        <f t="shared" si="8"/>
        <v>20</v>
      </c>
      <c r="O88" s="25">
        <v>0</v>
      </c>
      <c r="P88" s="25">
        <v>0</v>
      </c>
      <c r="Q88" s="25">
        <v>0</v>
      </c>
      <c r="R88" s="25">
        <v>0</v>
      </c>
      <c r="AA88" s="25">
        <f t="shared" si="10"/>
        <v>128</v>
      </c>
      <c r="AK88" s="25">
        <v>2</v>
      </c>
      <c r="AM88" s="25">
        <v>41</v>
      </c>
      <c r="AN88" s="25">
        <v>100</v>
      </c>
      <c r="AP88" s="25">
        <f t="shared" si="9"/>
        <v>5</v>
      </c>
      <c r="AQ88" s="25" t="s">
        <v>72</v>
      </c>
      <c r="BD88" s="25">
        <v>2</v>
      </c>
    </row>
    <row r="89" spans="1:56" hidden="1">
      <c r="A89" s="25">
        <v>84</v>
      </c>
      <c r="B89" s="25" t="str">
        <f>VLOOKUP(C89,'시스템이펙트 참고자료'!$A:$C,2,FALSE)</f>
        <v>ACTIVE_HONEST_OFFENCE_UP</v>
      </c>
      <c r="C89" s="25">
        <v>672</v>
      </c>
      <c r="D89" s="25">
        <f>VLOOKUP(C89,'시스템이펙트 참고자료'!$A:$D,4,FALSE)</f>
        <v>0</v>
      </c>
      <c r="E89" s="25">
        <v>0</v>
      </c>
      <c r="F89" s="25">
        <v>7</v>
      </c>
      <c r="G89" s="25">
        <f t="shared" ref="G89:G120" si="11">IF(N89&gt;0,INT(100/N89+0.99),0)</f>
        <v>13</v>
      </c>
      <c r="H89" s="25" t="s">
        <v>395</v>
      </c>
      <c r="I89" s="25">
        <v>1</v>
      </c>
      <c r="J89" s="25" t="str">
        <f>VLOOKUP(C89,'시스템이펙트 참고자료'!$A:$C,3,FALSE)</f>
        <v>절대값만 가능</v>
      </c>
      <c r="K89" s="25">
        <v>1</v>
      </c>
      <c r="M89" s="25">
        <v>0</v>
      </c>
      <c r="N89" s="25">
        <f t="shared" si="8"/>
        <v>8</v>
      </c>
      <c r="O89" s="25">
        <v>0</v>
      </c>
      <c r="P89" s="25">
        <v>0</v>
      </c>
      <c r="Q89" s="25">
        <v>0</v>
      </c>
      <c r="R89" s="25">
        <v>0</v>
      </c>
      <c r="AA89" s="25">
        <f t="shared" si="10"/>
        <v>128</v>
      </c>
      <c r="AK89" s="25">
        <v>5</v>
      </c>
      <c r="AM89" s="25">
        <v>41</v>
      </c>
      <c r="AN89" s="25">
        <v>100</v>
      </c>
      <c r="AP89" s="25">
        <f t="shared" ref="AP89:AP120" si="12">INT(100/N89+0.99)</f>
        <v>13</v>
      </c>
      <c r="AQ89" s="25" t="s">
        <v>157</v>
      </c>
      <c r="BD89" s="25">
        <v>5</v>
      </c>
    </row>
    <row r="90" spans="1:56" hidden="1">
      <c r="A90" s="25">
        <v>85</v>
      </c>
      <c r="B90" s="25" t="str">
        <f>VLOOKUP(C90,'시스템이펙트 참고자료'!$A:$C,2,FALSE)</f>
        <v>ACTIVE_STRANGE_OFFENCE_UP</v>
      </c>
      <c r="C90" s="25">
        <v>673</v>
      </c>
      <c r="D90" s="25">
        <f>VLOOKUP(C90,'시스템이펙트 참고자료'!$A:$D,4,FALSE)</f>
        <v>0</v>
      </c>
      <c r="E90" s="25">
        <v>0</v>
      </c>
      <c r="F90" s="25">
        <v>7</v>
      </c>
      <c r="G90" s="25">
        <f t="shared" si="11"/>
        <v>13</v>
      </c>
      <c r="H90" s="25" t="s">
        <v>395</v>
      </c>
      <c r="I90" s="25">
        <v>1</v>
      </c>
      <c r="J90" s="25" t="str">
        <f>VLOOKUP(C90,'시스템이펙트 참고자료'!$A:$C,3,FALSE)</f>
        <v>절대값만 가능</v>
      </c>
      <c r="K90" s="25">
        <v>1</v>
      </c>
      <c r="M90" s="25">
        <v>0</v>
      </c>
      <c r="N90" s="25">
        <f t="shared" si="8"/>
        <v>8</v>
      </c>
      <c r="O90" s="25">
        <v>0</v>
      </c>
      <c r="P90" s="25">
        <v>0</v>
      </c>
      <c r="Q90" s="25">
        <v>0</v>
      </c>
      <c r="R90" s="25">
        <v>0</v>
      </c>
      <c r="AA90" s="25">
        <f t="shared" si="10"/>
        <v>128</v>
      </c>
      <c r="AK90" s="25">
        <v>5</v>
      </c>
      <c r="AM90" s="25">
        <v>41</v>
      </c>
      <c r="AN90" s="25">
        <v>100</v>
      </c>
      <c r="AP90" s="25">
        <f t="shared" si="12"/>
        <v>13</v>
      </c>
      <c r="AQ90" s="25" t="s">
        <v>158</v>
      </c>
      <c r="BD90" s="25">
        <v>5</v>
      </c>
    </row>
    <row r="91" spans="1:56" hidden="1">
      <c r="A91" s="25">
        <v>86</v>
      </c>
      <c r="B91" s="25" t="str">
        <f>VLOOKUP(C91,'시스템이펙트 참고자료'!$A:$C,2,FALSE)</f>
        <v>ACTIVE_WILD_OFFENCE_UP</v>
      </c>
      <c r="C91" s="25">
        <v>674</v>
      </c>
      <c r="D91" s="25">
        <f>VLOOKUP(C91,'시스템이펙트 참고자료'!$A:$D,4,FALSE)</f>
        <v>0</v>
      </c>
      <c r="E91" s="25">
        <v>0</v>
      </c>
      <c r="F91" s="25">
        <v>7</v>
      </c>
      <c r="G91" s="25">
        <f t="shared" si="11"/>
        <v>13</v>
      </c>
      <c r="H91" s="25" t="s">
        <v>395</v>
      </c>
      <c r="I91" s="25">
        <v>1</v>
      </c>
      <c r="J91" s="25" t="str">
        <f>VLOOKUP(C91,'시스템이펙트 참고자료'!$A:$C,3,FALSE)</f>
        <v>절대값만 가능</v>
      </c>
      <c r="K91" s="25">
        <v>1</v>
      </c>
      <c r="M91" s="25">
        <v>0</v>
      </c>
      <c r="N91" s="25">
        <f t="shared" si="8"/>
        <v>8</v>
      </c>
      <c r="O91" s="25">
        <v>0</v>
      </c>
      <c r="P91" s="25">
        <v>0</v>
      </c>
      <c r="Q91" s="25">
        <v>0</v>
      </c>
      <c r="R91" s="25">
        <v>0</v>
      </c>
      <c r="AA91" s="25">
        <f t="shared" si="10"/>
        <v>128</v>
      </c>
      <c r="AK91" s="25">
        <v>5</v>
      </c>
      <c r="AM91" s="25">
        <v>41</v>
      </c>
      <c r="AN91" s="25">
        <v>100</v>
      </c>
      <c r="AP91" s="25">
        <f t="shared" si="12"/>
        <v>13</v>
      </c>
      <c r="AQ91" s="25" t="s">
        <v>159</v>
      </c>
      <c r="BD91" s="25">
        <v>5</v>
      </c>
    </row>
    <row r="92" spans="1:56" hidden="1">
      <c r="A92" s="25">
        <v>87</v>
      </c>
      <c r="B92" s="25" t="str">
        <f>VLOOKUP(C92,'시스템이펙트 참고자료'!$A:$C,2,FALSE)</f>
        <v>ACTIVE_ELEGANCE_OFFENCE_UP</v>
      </c>
      <c r="C92" s="25">
        <v>675</v>
      </c>
      <c r="D92" s="25">
        <f>VLOOKUP(C92,'시스템이펙트 참고자료'!$A:$D,4,FALSE)</f>
        <v>0</v>
      </c>
      <c r="E92" s="25">
        <v>0</v>
      </c>
      <c r="F92" s="25">
        <v>7</v>
      </c>
      <c r="G92" s="25">
        <f t="shared" si="11"/>
        <v>13</v>
      </c>
      <c r="H92" s="25" t="s">
        <v>395</v>
      </c>
      <c r="I92" s="25">
        <v>1</v>
      </c>
      <c r="J92" s="25" t="str">
        <f>VLOOKUP(C92,'시스템이펙트 참고자료'!$A:$C,3,FALSE)</f>
        <v>절대값만 가능</v>
      </c>
      <c r="K92" s="25">
        <v>1</v>
      </c>
      <c r="M92" s="25">
        <v>0</v>
      </c>
      <c r="N92" s="25">
        <f t="shared" si="8"/>
        <v>8</v>
      </c>
      <c r="O92" s="25">
        <v>0</v>
      </c>
      <c r="P92" s="25">
        <v>0</v>
      </c>
      <c r="Q92" s="25">
        <v>0</v>
      </c>
      <c r="R92" s="25">
        <v>0</v>
      </c>
      <c r="AA92" s="25">
        <f t="shared" si="10"/>
        <v>128</v>
      </c>
      <c r="AK92" s="25">
        <v>5</v>
      </c>
      <c r="AM92" s="25">
        <v>41</v>
      </c>
      <c r="AN92" s="25">
        <v>100</v>
      </c>
      <c r="AP92" s="25">
        <f t="shared" si="12"/>
        <v>13</v>
      </c>
      <c r="AQ92" s="25" t="s">
        <v>160</v>
      </c>
      <c r="BD92" s="25">
        <v>5</v>
      </c>
    </row>
    <row r="93" spans="1:56" hidden="1">
      <c r="A93" s="25">
        <v>88</v>
      </c>
      <c r="B93" s="25" t="str">
        <f>VLOOKUP(C93,'시스템이펙트 참고자료'!$A:$C,2,FALSE)</f>
        <v>ACTIVE_FUNNY_OFFENCE_UP</v>
      </c>
      <c r="C93" s="25">
        <v>676</v>
      </c>
      <c r="D93" s="25">
        <f>VLOOKUP(C93,'시스템이펙트 참고자료'!$A:$D,4,FALSE)</f>
        <v>0</v>
      </c>
      <c r="E93" s="25">
        <v>0</v>
      </c>
      <c r="F93" s="25">
        <v>7</v>
      </c>
      <c r="G93" s="25">
        <f t="shared" si="11"/>
        <v>13</v>
      </c>
      <c r="H93" s="25" t="s">
        <v>395</v>
      </c>
      <c r="I93" s="25">
        <v>1</v>
      </c>
      <c r="J93" s="25" t="str">
        <f>VLOOKUP(C93,'시스템이펙트 참고자료'!$A:$C,3,FALSE)</f>
        <v>절대값만 가능</v>
      </c>
      <c r="K93" s="25">
        <v>1</v>
      </c>
      <c r="M93" s="25">
        <v>0</v>
      </c>
      <c r="N93" s="25">
        <f t="shared" si="8"/>
        <v>8</v>
      </c>
      <c r="O93" s="25">
        <v>0</v>
      </c>
      <c r="P93" s="25">
        <v>0</v>
      </c>
      <c r="Q93" s="25">
        <v>0</v>
      </c>
      <c r="R93" s="25">
        <v>0</v>
      </c>
      <c r="AA93" s="25">
        <f t="shared" si="10"/>
        <v>128</v>
      </c>
      <c r="AK93" s="25">
        <v>5</v>
      </c>
      <c r="AM93" s="25">
        <v>41</v>
      </c>
      <c r="AN93" s="25">
        <v>100</v>
      </c>
      <c r="AP93" s="25">
        <f t="shared" si="12"/>
        <v>13</v>
      </c>
      <c r="AQ93" s="25" t="s">
        <v>161</v>
      </c>
      <c r="BD93" s="25">
        <v>5</v>
      </c>
    </row>
    <row r="94" spans="1:56" hidden="1">
      <c r="A94" s="25">
        <v>89</v>
      </c>
      <c r="B94" s="25" t="str">
        <f>VLOOKUP(C94,'시스템이펙트 참고자료'!$A:$C,2,FALSE)</f>
        <v>ACTIVE_PHYSICAL_OFFENCE_UP</v>
      </c>
      <c r="C94" s="25">
        <v>606</v>
      </c>
      <c r="D94" s="25">
        <f>VLOOKUP(C94,'시스템이펙트 참고자료'!$A:$D,4,FALSE)</f>
        <v>0</v>
      </c>
      <c r="E94" s="25">
        <v>0</v>
      </c>
      <c r="F94" s="25">
        <v>0</v>
      </c>
      <c r="G94" s="25">
        <f t="shared" si="11"/>
        <v>1</v>
      </c>
      <c r="H94" s="25" t="s">
        <v>395</v>
      </c>
      <c r="I94" s="25">
        <v>1</v>
      </c>
      <c r="J94" s="25" t="str">
        <f>VLOOKUP(C94,'시스템이펙트 참고자료'!$A:$C,3,FALSE)</f>
        <v>절대값/상대값(%) 가능</v>
      </c>
      <c r="K94" s="25">
        <v>0</v>
      </c>
      <c r="M94" s="25">
        <v>1</v>
      </c>
      <c r="N94" s="25">
        <f t="shared" si="8"/>
        <v>125</v>
      </c>
      <c r="O94" s="25">
        <v>1</v>
      </c>
      <c r="P94" s="25">
        <v>1</v>
      </c>
      <c r="Q94" s="25">
        <v>1</v>
      </c>
      <c r="R94" s="25">
        <v>1</v>
      </c>
      <c r="T94" s="25">
        <v>1</v>
      </c>
      <c r="AA94" s="25">
        <f t="shared" si="10"/>
        <v>128</v>
      </c>
      <c r="AK94" s="25">
        <v>1</v>
      </c>
      <c r="AM94" s="25">
        <v>125</v>
      </c>
      <c r="AN94" s="25">
        <v>100</v>
      </c>
      <c r="AP94" s="25">
        <f t="shared" si="12"/>
        <v>1</v>
      </c>
      <c r="AQ94" s="25" t="str">
        <f>VLOOKUP(C94,'시스템이펙트 참고자료'!$A:$B,2,FALSE)</f>
        <v>ACTIVE_PHYSICAL_OFFENCE_UP</v>
      </c>
      <c r="AS94" s="25">
        <v>1</v>
      </c>
      <c r="BD94" s="25">
        <v>1</v>
      </c>
    </row>
    <row r="95" spans="1:56" hidden="1">
      <c r="A95" s="25">
        <v>90</v>
      </c>
      <c r="B95" s="25" t="str">
        <f>VLOOKUP(C95,'시스템이펙트 참고자료'!$A:$C,2,FALSE)</f>
        <v>ACTIVE_STR_UP</v>
      </c>
      <c r="C95" s="25">
        <v>610</v>
      </c>
      <c r="D95" s="25">
        <f>VLOOKUP(C95,'시스템이펙트 참고자료'!$A:$D,4,FALSE)</f>
        <v>0</v>
      </c>
      <c r="E95" s="25">
        <v>0</v>
      </c>
      <c r="F95" s="25">
        <v>0</v>
      </c>
      <c r="G95" s="25">
        <f t="shared" si="11"/>
        <v>2</v>
      </c>
      <c r="H95" s="25" t="s">
        <v>395</v>
      </c>
      <c r="I95" s="25">
        <v>1</v>
      </c>
      <c r="J95" s="25" t="str">
        <f>VLOOKUP(C95,'시스템이펙트 참고자료'!$A:$C,3,FALSE)</f>
        <v>절대값/상대값(%) 가능</v>
      </c>
      <c r="K95" s="25">
        <v>0</v>
      </c>
      <c r="M95" s="25">
        <v>1</v>
      </c>
      <c r="N95" s="25">
        <f t="shared" si="8"/>
        <v>57</v>
      </c>
      <c r="O95" s="25">
        <v>1</v>
      </c>
      <c r="P95" s="25">
        <v>1</v>
      </c>
      <c r="Q95" s="25">
        <v>1</v>
      </c>
      <c r="R95" s="25">
        <v>1</v>
      </c>
      <c r="T95" s="25">
        <v>1</v>
      </c>
      <c r="AA95" s="25">
        <f t="shared" si="10"/>
        <v>128</v>
      </c>
      <c r="AK95" s="25">
        <v>1</v>
      </c>
      <c r="AM95" s="25">
        <v>57</v>
      </c>
      <c r="AN95" s="25">
        <v>100</v>
      </c>
      <c r="AP95" s="25">
        <f t="shared" si="12"/>
        <v>2</v>
      </c>
      <c r="AQ95" s="25" t="str">
        <f>VLOOKUP(C95,'시스템이펙트 참고자료'!$A:$B,2,FALSE)</f>
        <v>ACTIVE_STR_UP</v>
      </c>
      <c r="AS95" s="25">
        <v>1</v>
      </c>
      <c r="BD95" s="25">
        <v>1</v>
      </c>
    </row>
    <row r="96" spans="1:56" hidden="1">
      <c r="A96" s="25">
        <v>91</v>
      </c>
      <c r="B96" s="25" t="str">
        <f>VLOOKUP(C96,'시스템이펙트 참고자료'!$A:$C,2,FALSE)</f>
        <v>ACTIVE_DEX_UP</v>
      </c>
      <c r="C96" s="25">
        <v>613</v>
      </c>
      <c r="D96" s="25">
        <f>VLOOKUP(C96,'시스템이펙트 참고자료'!$A:$D,4,FALSE)</f>
        <v>0</v>
      </c>
      <c r="E96" s="25">
        <v>0</v>
      </c>
      <c r="F96" s="25">
        <v>0</v>
      </c>
      <c r="G96" s="25">
        <f t="shared" si="11"/>
        <v>3</v>
      </c>
      <c r="H96" s="25" t="s">
        <v>395</v>
      </c>
      <c r="I96" s="25">
        <v>1</v>
      </c>
      <c r="J96" s="25" t="str">
        <f>VLOOKUP(C96,'시스템이펙트 참고자료'!$A:$C,3,FALSE)</f>
        <v>절대값/상대값(%) 가능</v>
      </c>
      <c r="K96" s="25">
        <v>0</v>
      </c>
      <c r="M96" s="25">
        <v>1</v>
      </c>
      <c r="N96" s="25">
        <f t="shared" si="8"/>
        <v>44</v>
      </c>
      <c r="O96" s="25">
        <v>1</v>
      </c>
      <c r="P96" s="25">
        <v>1</v>
      </c>
      <c r="Q96" s="25">
        <v>1</v>
      </c>
      <c r="R96" s="25">
        <v>1</v>
      </c>
      <c r="T96" s="25">
        <v>1</v>
      </c>
      <c r="AA96" s="25">
        <f t="shared" si="10"/>
        <v>128</v>
      </c>
      <c r="AK96" s="25">
        <v>1</v>
      </c>
      <c r="AM96" s="25">
        <v>44</v>
      </c>
      <c r="AN96" s="25">
        <v>100</v>
      </c>
      <c r="AP96" s="25">
        <f t="shared" si="12"/>
        <v>3</v>
      </c>
      <c r="AQ96" s="25" t="str">
        <f>VLOOKUP(C96,'시스템이펙트 참고자료'!$A:$B,2,FALSE)</f>
        <v>ACTIVE_DEX_UP</v>
      </c>
      <c r="AS96" s="25">
        <v>1</v>
      </c>
      <c r="BD96" s="25">
        <v>1</v>
      </c>
    </row>
    <row r="97" spans="1:56" hidden="1">
      <c r="A97" s="25">
        <v>92</v>
      </c>
      <c r="B97" s="25" t="str">
        <f>VLOOKUP(C97,'시스템이펙트 참고자료'!$A:$C,2,FALSE)</f>
        <v>ACTIVE_PHYSICAL_CRITICAL_DAMAGE_UP</v>
      </c>
      <c r="C97" s="25">
        <v>658</v>
      </c>
      <c r="D97" s="25">
        <f>VLOOKUP(C97,'시스템이펙트 참고자료'!$A:$D,4,FALSE)</f>
        <v>0</v>
      </c>
      <c r="E97" s="25">
        <v>0</v>
      </c>
      <c r="F97" s="25">
        <v>0</v>
      </c>
      <c r="G97" s="25">
        <f t="shared" si="11"/>
        <v>4</v>
      </c>
      <c r="H97" s="25" t="s">
        <v>395</v>
      </c>
      <c r="I97" s="25">
        <v>1</v>
      </c>
      <c r="J97" s="25" t="str">
        <f>VLOOKUP(C97,'시스템이펙트 참고자료'!$A:$C,3,FALSE)</f>
        <v>절대값만 가능</v>
      </c>
      <c r="K97" s="25">
        <v>0</v>
      </c>
      <c r="M97" s="25">
        <v>1</v>
      </c>
      <c r="N97" s="25">
        <f t="shared" si="8"/>
        <v>28</v>
      </c>
      <c r="O97" s="25">
        <v>1</v>
      </c>
      <c r="P97" s="25">
        <v>1</v>
      </c>
      <c r="Q97" s="25">
        <v>1</v>
      </c>
      <c r="R97" s="25">
        <v>1</v>
      </c>
      <c r="T97" s="25">
        <v>1</v>
      </c>
      <c r="AA97" s="25">
        <f t="shared" si="10"/>
        <v>128</v>
      </c>
      <c r="AK97" s="25">
        <v>1</v>
      </c>
      <c r="AM97" s="25">
        <v>28</v>
      </c>
      <c r="AN97" s="25">
        <v>100</v>
      </c>
      <c r="AP97" s="25">
        <f t="shared" si="12"/>
        <v>4</v>
      </c>
      <c r="AQ97" s="25" t="str">
        <f>VLOOKUP(C97,'시스템이펙트 참고자료'!$A:$B,2,FALSE)</f>
        <v>ACTIVE_PHYSICAL_CRITICAL_DAMAGE_UP</v>
      </c>
      <c r="AS97" s="25">
        <v>1</v>
      </c>
      <c r="BD97" s="25">
        <v>1</v>
      </c>
    </row>
    <row r="98" spans="1:56" hidden="1">
      <c r="A98" s="25">
        <v>93</v>
      </c>
      <c r="B98" s="25" t="str">
        <f>VLOOKUP(C98,'시스템이펙트 참고자료'!$A:$C,2,FALSE)</f>
        <v>ACTIVE_PHYSICAL_CRITICAL_DAMAGE_UP</v>
      </c>
      <c r="C98" s="25">
        <v>658</v>
      </c>
      <c r="D98" s="25">
        <f>VLOOKUP(C98,'시스템이펙트 참고자료'!$A:$D,4,FALSE)</f>
        <v>0</v>
      </c>
      <c r="E98" s="25">
        <v>0</v>
      </c>
      <c r="F98" s="25">
        <v>0</v>
      </c>
      <c r="G98" s="25">
        <f t="shared" si="11"/>
        <v>4</v>
      </c>
      <c r="H98" s="25" t="s">
        <v>395</v>
      </c>
      <c r="I98" s="25">
        <v>1</v>
      </c>
      <c r="J98" s="25" t="str">
        <f>VLOOKUP(C98,'시스템이펙트 참고자료'!$A:$C,3,FALSE)</f>
        <v>절대값만 가능</v>
      </c>
      <c r="K98" s="25">
        <v>0</v>
      </c>
      <c r="M98" s="25">
        <v>2</v>
      </c>
      <c r="N98" s="25">
        <f t="shared" si="8"/>
        <v>28</v>
      </c>
      <c r="O98" s="25">
        <v>1</v>
      </c>
      <c r="P98" s="25">
        <v>1</v>
      </c>
      <c r="Q98" s="25">
        <v>1</v>
      </c>
      <c r="R98" s="25">
        <v>1</v>
      </c>
      <c r="T98" s="25">
        <v>1</v>
      </c>
      <c r="AA98" s="25">
        <f t="shared" si="10"/>
        <v>128</v>
      </c>
      <c r="AK98" s="25">
        <v>1</v>
      </c>
      <c r="AM98" s="25">
        <v>28</v>
      </c>
      <c r="AN98" s="25">
        <v>100</v>
      </c>
      <c r="AP98" s="25">
        <f t="shared" si="12"/>
        <v>4</v>
      </c>
      <c r="AQ98" s="25" t="str">
        <f>VLOOKUP(C98,'시스템이펙트 참고자료'!$A:$B,2,FALSE)</f>
        <v>ACTIVE_PHYSICAL_CRITICAL_DAMAGE_UP</v>
      </c>
      <c r="AS98" s="25">
        <v>1</v>
      </c>
      <c r="BD98" s="25">
        <v>1</v>
      </c>
    </row>
    <row r="99" spans="1:56" hidden="1">
      <c r="A99" s="25">
        <v>94</v>
      </c>
      <c r="B99" s="25" t="str">
        <f>VLOOKUP(C99,'시스템이펙트 참고자료'!$A:$C,2,FALSE)</f>
        <v>ACTIVE_PHYSICAL_CRITICAL</v>
      </c>
      <c r="C99" s="25">
        <v>632</v>
      </c>
      <c r="D99" s="25">
        <f>VLOOKUP(C99,'시스템이펙트 참고자료'!$A:$D,4,FALSE)</f>
        <v>0</v>
      </c>
      <c r="E99" s="25">
        <v>0</v>
      </c>
      <c r="F99" s="25">
        <v>0</v>
      </c>
      <c r="G99" s="25">
        <f t="shared" si="11"/>
        <v>5</v>
      </c>
      <c r="H99" s="25" t="s">
        <v>395</v>
      </c>
      <c r="I99" s="25">
        <v>1</v>
      </c>
      <c r="J99" s="25" t="str">
        <f>VLOOKUP(C99,'시스템이펙트 참고자료'!$A:$C,3,FALSE)</f>
        <v>절대값/상대값(%) 가능</v>
      </c>
      <c r="K99" s="25">
        <v>0</v>
      </c>
      <c r="M99" s="25">
        <v>2</v>
      </c>
      <c r="N99" s="25">
        <f t="shared" si="8"/>
        <v>21</v>
      </c>
      <c r="O99" s="25">
        <v>1</v>
      </c>
      <c r="P99" s="25">
        <v>1</v>
      </c>
      <c r="Q99" s="25">
        <v>1</v>
      </c>
      <c r="R99" s="25">
        <v>1</v>
      </c>
      <c r="T99" s="25">
        <v>1</v>
      </c>
      <c r="AA99" s="25">
        <f t="shared" si="10"/>
        <v>128</v>
      </c>
      <c r="AK99" s="25">
        <v>1</v>
      </c>
      <c r="AM99" s="25">
        <v>21</v>
      </c>
      <c r="AN99" s="25">
        <v>100</v>
      </c>
      <c r="AP99" s="25">
        <f t="shared" si="12"/>
        <v>5</v>
      </c>
      <c r="AQ99" s="25" t="str">
        <f>VLOOKUP(C99,'시스템이펙트 참고자료'!$A:$B,2,FALSE)</f>
        <v>ACTIVE_PHYSICAL_CRITICAL</v>
      </c>
      <c r="AS99" s="25">
        <v>1</v>
      </c>
      <c r="BD99" s="25">
        <v>1</v>
      </c>
    </row>
    <row r="100" spans="1:56" hidden="1">
      <c r="A100" s="25">
        <v>95</v>
      </c>
      <c r="B100" s="25" t="str">
        <f>VLOOKUP(C100,'시스템이펙트 참고자료'!$A:$C,2,FALSE)</f>
        <v>ACTIVE_DEX_UP</v>
      </c>
      <c r="C100" s="25">
        <v>613</v>
      </c>
      <c r="D100" s="25">
        <f>VLOOKUP(C100,'시스템이펙트 참고자료'!$A:$D,4,FALSE)</f>
        <v>0</v>
      </c>
      <c r="E100" s="25">
        <v>0</v>
      </c>
      <c r="F100" s="25">
        <v>0</v>
      </c>
      <c r="G100" s="25">
        <f t="shared" si="11"/>
        <v>3</v>
      </c>
      <c r="H100" s="25" t="s">
        <v>395</v>
      </c>
      <c r="I100" s="25">
        <v>1</v>
      </c>
      <c r="J100" s="25" t="str">
        <f>VLOOKUP(C100,'시스템이펙트 참고자료'!$A:$C,3,FALSE)</f>
        <v>절대값/상대값(%) 가능</v>
      </c>
      <c r="K100" s="25">
        <v>0</v>
      </c>
      <c r="M100" s="25">
        <v>2</v>
      </c>
      <c r="N100" s="25">
        <f t="shared" si="8"/>
        <v>44</v>
      </c>
      <c r="O100" s="25">
        <v>1</v>
      </c>
      <c r="P100" s="25">
        <v>1</v>
      </c>
      <c r="Q100" s="25">
        <v>1</v>
      </c>
      <c r="R100" s="25">
        <v>1</v>
      </c>
      <c r="T100" s="25">
        <v>1</v>
      </c>
      <c r="AA100" s="25">
        <f t="shared" si="10"/>
        <v>128</v>
      </c>
      <c r="AK100" s="25">
        <v>1</v>
      </c>
      <c r="AM100" s="25">
        <v>44</v>
      </c>
      <c r="AN100" s="25">
        <v>100</v>
      </c>
      <c r="AP100" s="25">
        <f t="shared" si="12"/>
        <v>3</v>
      </c>
      <c r="AQ100" s="25" t="str">
        <f>VLOOKUP(C100,'시스템이펙트 참고자료'!$A:$B,2,FALSE)</f>
        <v>ACTIVE_DEX_UP</v>
      </c>
      <c r="AS100" s="25">
        <v>1</v>
      </c>
      <c r="BD100" s="25">
        <v>1</v>
      </c>
    </row>
    <row r="101" spans="1:56" hidden="1">
      <c r="A101" s="25">
        <v>96</v>
      </c>
      <c r="B101" s="25" t="str">
        <f>VLOOKUP(C101,'시스템이펙트 참고자료'!$A:$C,2,FALSE)</f>
        <v>ACTIVE_FOC_UP</v>
      </c>
      <c r="C101" s="25">
        <v>612</v>
      </c>
      <c r="D101" s="25">
        <f>VLOOKUP(C101,'시스템이펙트 참고자료'!$A:$D,4,FALSE)</f>
        <v>0</v>
      </c>
      <c r="E101" s="25">
        <v>0</v>
      </c>
      <c r="F101" s="25">
        <v>0</v>
      </c>
      <c r="G101" s="25">
        <f t="shared" si="11"/>
        <v>2</v>
      </c>
      <c r="H101" s="25" t="s">
        <v>395</v>
      </c>
      <c r="I101" s="25">
        <v>1</v>
      </c>
      <c r="J101" s="25" t="str">
        <f>VLOOKUP(C101,'시스템이펙트 참고자료'!$A:$C,3,FALSE)</f>
        <v>절대값/상대값(%) 가능</v>
      </c>
      <c r="K101" s="25">
        <v>0</v>
      </c>
      <c r="M101" s="25">
        <v>2</v>
      </c>
      <c r="N101" s="25">
        <f t="shared" si="8"/>
        <v>53</v>
      </c>
      <c r="O101" s="25">
        <v>1</v>
      </c>
      <c r="P101" s="25">
        <v>1</v>
      </c>
      <c r="Q101" s="25">
        <v>1</v>
      </c>
      <c r="R101" s="25">
        <v>1</v>
      </c>
      <c r="T101" s="25">
        <v>1</v>
      </c>
      <c r="AA101" s="25">
        <f t="shared" si="10"/>
        <v>128</v>
      </c>
      <c r="AK101" s="25">
        <v>1</v>
      </c>
      <c r="AM101" s="25">
        <v>53</v>
      </c>
      <c r="AN101" s="25">
        <v>100</v>
      </c>
      <c r="AP101" s="25">
        <f t="shared" si="12"/>
        <v>2</v>
      </c>
      <c r="AQ101" s="25" t="str">
        <f>VLOOKUP(C101,'시스템이펙트 참고자료'!$A:$B,2,FALSE)</f>
        <v>ACTIVE_FOC_UP</v>
      </c>
      <c r="AS101" s="25">
        <v>1</v>
      </c>
      <c r="BD101" s="25">
        <v>1</v>
      </c>
    </row>
    <row r="102" spans="1:56" hidden="1">
      <c r="A102" s="25">
        <v>97</v>
      </c>
      <c r="B102" s="25" t="str">
        <f>VLOOKUP(C102,'시스템이펙트 참고자료'!$A:$C,2,FALSE)</f>
        <v>ACTIVE_ENERGY_OFFENCE_UP</v>
      </c>
      <c r="C102" s="25">
        <v>607</v>
      </c>
      <c r="D102" s="25">
        <f>VLOOKUP(C102,'시스템이펙트 참고자료'!$A:$D,4,FALSE)</f>
        <v>0</v>
      </c>
      <c r="E102" s="25">
        <v>0</v>
      </c>
      <c r="F102" s="25">
        <v>0</v>
      </c>
      <c r="G102" s="25">
        <f t="shared" si="11"/>
        <v>1</v>
      </c>
      <c r="H102" s="25" t="s">
        <v>395</v>
      </c>
      <c r="I102" s="25">
        <v>1</v>
      </c>
      <c r="J102" s="25" t="str">
        <f>VLOOKUP(C102,'시스템이펙트 참고자료'!$A:$C,3,FALSE)</f>
        <v>절대값/상대값(%) 가능</v>
      </c>
      <c r="K102" s="25">
        <v>0</v>
      </c>
      <c r="M102" s="25">
        <v>3</v>
      </c>
      <c r="N102" s="25">
        <f t="shared" si="8"/>
        <v>104</v>
      </c>
      <c r="O102" s="25">
        <v>1</v>
      </c>
      <c r="P102" s="25">
        <v>1</v>
      </c>
      <c r="Q102" s="25">
        <v>1</v>
      </c>
      <c r="R102" s="25">
        <v>1</v>
      </c>
      <c r="T102" s="25">
        <v>1</v>
      </c>
      <c r="AA102" s="25">
        <f t="shared" si="10"/>
        <v>128</v>
      </c>
      <c r="AK102" s="25">
        <v>1</v>
      </c>
      <c r="AM102" s="25">
        <v>104</v>
      </c>
      <c r="AN102" s="25">
        <v>100</v>
      </c>
      <c r="AP102" s="25">
        <f t="shared" si="12"/>
        <v>1</v>
      </c>
      <c r="AQ102" s="25" t="str">
        <f>VLOOKUP(C102,'시스템이펙트 참고자료'!$A:$B,2,FALSE)</f>
        <v>ACTIVE_ENERGY_OFFENCE_UP</v>
      </c>
      <c r="AS102" s="25">
        <v>1</v>
      </c>
      <c r="BD102" s="25">
        <v>1</v>
      </c>
    </row>
    <row r="103" spans="1:56" hidden="1">
      <c r="A103" s="25">
        <v>98</v>
      </c>
      <c r="B103" s="25" t="str">
        <f>VLOOKUP(C103,'시스템이펙트 참고자료'!$A:$C,2,FALSE)</f>
        <v>ACTIVE_FOC_UP</v>
      </c>
      <c r="C103" s="25">
        <v>612</v>
      </c>
      <c r="D103" s="25">
        <f>VLOOKUP(C103,'시스템이펙트 참고자료'!$A:$D,4,FALSE)</f>
        <v>0</v>
      </c>
      <c r="E103" s="25">
        <v>0</v>
      </c>
      <c r="F103" s="25">
        <v>0</v>
      </c>
      <c r="G103" s="25">
        <f t="shared" si="11"/>
        <v>2</v>
      </c>
      <c r="H103" s="25" t="s">
        <v>395</v>
      </c>
      <c r="I103" s="25">
        <v>1</v>
      </c>
      <c r="J103" s="25" t="str">
        <f>VLOOKUP(C103,'시스템이펙트 참고자료'!$A:$C,3,FALSE)</f>
        <v>절대값/상대값(%) 가능</v>
      </c>
      <c r="K103" s="25">
        <v>0</v>
      </c>
      <c r="M103" s="25">
        <v>3</v>
      </c>
      <c r="N103" s="25">
        <f t="shared" si="8"/>
        <v>53</v>
      </c>
      <c r="O103" s="25">
        <v>1</v>
      </c>
      <c r="P103" s="25">
        <v>1</v>
      </c>
      <c r="Q103" s="25">
        <v>1</v>
      </c>
      <c r="R103" s="25">
        <v>1</v>
      </c>
      <c r="T103" s="25">
        <v>1</v>
      </c>
      <c r="AA103" s="25">
        <f t="shared" si="10"/>
        <v>128</v>
      </c>
      <c r="AK103" s="25">
        <v>1</v>
      </c>
      <c r="AM103" s="25">
        <v>53</v>
      </c>
      <c r="AN103" s="25">
        <v>100</v>
      </c>
      <c r="AP103" s="25">
        <f t="shared" si="12"/>
        <v>2</v>
      </c>
      <c r="AQ103" s="25" t="str">
        <f>VLOOKUP(C103,'시스템이펙트 참고자료'!$A:$B,2,FALSE)</f>
        <v>ACTIVE_FOC_UP</v>
      </c>
      <c r="AS103" s="25">
        <v>1</v>
      </c>
      <c r="BD103" s="25">
        <v>1</v>
      </c>
    </row>
    <row r="104" spans="1:56" hidden="1">
      <c r="A104" s="25">
        <v>99</v>
      </c>
      <c r="B104" s="25" t="str">
        <f>VLOOKUP(C104,'시스템이펙트 참고자료'!$A:$C,2,FALSE)</f>
        <v>ACTIVE_SOL_UP</v>
      </c>
      <c r="C104" s="25">
        <v>614</v>
      </c>
      <c r="D104" s="25">
        <f>VLOOKUP(C104,'시스템이펙트 참고자료'!$A:$D,4,FALSE)</f>
        <v>0</v>
      </c>
      <c r="E104" s="25">
        <v>0</v>
      </c>
      <c r="F104" s="25">
        <v>0</v>
      </c>
      <c r="G104" s="25">
        <f t="shared" si="11"/>
        <v>2</v>
      </c>
      <c r="H104" s="25" t="s">
        <v>395</v>
      </c>
      <c r="I104" s="25">
        <v>1</v>
      </c>
      <c r="J104" s="25" t="str">
        <f>VLOOKUP(C104,'시스템이펙트 참고자료'!$A:$C,3,FALSE)</f>
        <v>절대값/상대값(%) 가능</v>
      </c>
      <c r="K104" s="25">
        <v>0</v>
      </c>
      <c r="M104" s="25">
        <v>3</v>
      </c>
      <c r="N104" s="25">
        <f t="shared" si="8"/>
        <v>53</v>
      </c>
      <c r="O104" s="25">
        <v>1</v>
      </c>
      <c r="P104" s="25">
        <v>1</v>
      </c>
      <c r="Q104" s="25">
        <v>1</v>
      </c>
      <c r="R104" s="25">
        <v>1</v>
      </c>
      <c r="T104" s="25">
        <v>1</v>
      </c>
      <c r="AA104" s="25">
        <f t="shared" si="10"/>
        <v>128</v>
      </c>
      <c r="AK104" s="25">
        <v>1</v>
      </c>
      <c r="AM104" s="25">
        <v>53</v>
      </c>
      <c r="AN104" s="25">
        <v>100</v>
      </c>
      <c r="AP104" s="25">
        <f t="shared" si="12"/>
        <v>2</v>
      </c>
      <c r="AQ104" s="25" t="str">
        <f>VLOOKUP(C104,'시스템이펙트 참고자료'!$A:$B,2,FALSE)</f>
        <v>ACTIVE_SOL_UP</v>
      </c>
      <c r="AS104" s="25">
        <v>1</v>
      </c>
      <c r="BD104" s="25">
        <v>1</v>
      </c>
    </row>
    <row r="105" spans="1:56" hidden="1">
      <c r="A105" s="25">
        <v>100</v>
      </c>
      <c r="B105" s="25" t="str">
        <f>VLOOKUP(C105,'시스템이펙트 참고자료'!$A:$C,2,FALSE)</f>
        <v>ACTIVE_ENERGY_CRITICAL_DAMAGE_UP</v>
      </c>
      <c r="C105" s="25">
        <v>659</v>
      </c>
      <c r="D105" s="25">
        <f>VLOOKUP(C105,'시스템이펙트 참고자료'!$A:$D,4,FALSE)</f>
        <v>0</v>
      </c>
      <c r="E105" s="25">
        <v>0</v>
      </c>
      <c r="F105" s="25">
        <v>0</v>
      </c>
      <c r="G105" s="25">
        <f t="shared" si="11"/>
        <v>4</v>
      </c>
      <c r="H105" s="25" t="s">
        <v>395</v>
      </c>
      <c r="I105" s="25">
        <v>1</v>
      </c>
      <c r="J105" s="25" t="str">
        <f>VLOOKUP(C105,'시스템이펙트 참고자료'!$A:$C,3,FALSE)</f>
        <v>절대값만 가능</v>
      </c>
      <c r="K105" s="25">
        <v>0</v>
      </c>
      <c r="M105" s="25">
        <v>3</v>
      </c>
      <c r="N105" s="25">
        <f t="shared" si="8"/>
        <v>32</v>
      </c>
      <c r="O105" s="25">
        <v>1</v>
      </c>
      <c r="P105" s="25">
        <v>1</v>
      </c>
      <c r="Q105" s="25">
        <v>1</v>
      </c>
      <c r="R105" s="25">
        <v>1</v>
      </c>
      <c r="T105" s="25">
        <v>1</v>
      </c>
      <c r="AA105" s="25">
        <f t="shared" si="10"/>
        <v>128</v>
      </c>
      <c r="AK105" s="25">
        <v>1</v>
      </c>
      <c r="AM105" s="25">
        <v>32</v>
      </c>
      <c r="AN105" s="25">
        <v>100</v>
      </c>
      <c r="AP105" s="25">
        <f t="shared" si="12"/>
        <v>4</v>
      </c>
      <c r="AQ105" s="25" t="str">
        <f>VLOOKUP(C105,'시스템이펙트 참고자료'!$A:$B,2,FALSE)</f>
        <v>ACTIVE_ENERGY_CRITICAL_DAMAGE_UP</v>
      </c>
      <c r="AS105" s="25">
        <v>1</v>
      </c>
      <c r="BD105" s="25">
        <v>1</v>
      </c>
    </row>
    <row r="106" spans="1:56" hidden="1">
      <c r="A106" s="25">
        <v>101</v>
      </c>
      <c r="B106" s="25" t="str">
        <f>VLOOKUP(C106,'시스템이펙트 참고자료'!$A:$C,2,FALSE)</f>
        <v>ACTIVE_ENERGY_CRITICAL</v>
      </c>
      <c r="C106" s="25">
        <v>633</v>
      </c>
      <c r="D106" s="25">
        <f>VLOOKUP(C106,'시스템이펙트 참고자료'!$A:$D,4,FALSE)</f>
        <v>0</v>
      </c>
      <c r="E106" s="25">
        <v>0</v>
      </c>
      <c r="F106" s="25">
        <v>0</v>
      </c>
      <c r="G106" s="25">
        <f t="shared" si="11"/>
        <v>5</v>
      </c>
      <c r="H106" s="25" t="s">
        <v>395</v>
      </c>
      <c r="I106" s="25">
        <v>1</v>
      </c>
      <c r="J106" s="25" t="str">
        <f>VLOOKUP(C106,'시스템이펙트 참고자료'!$A:$C,3,FALSE)</f>
        <v>절대값/상대값(%) 가능</v>
      </c>
      <c r="K106" s="25">
        <v>0</v>
      </c>
      <c r="M106" s="25">
        <v>4</v>
      </c>
      <c r="N106" s="25">
        <f t="shared" si="8"/>
        <v>24</v>
      </c>
      <c r="O106" s="25">
        <v>1</v>
      </c>
      <c r="P106" s="25">
        <v>1</v>
      </c>
      <c r="Q106" s="25">
        <v>1</v>
      </c>
      <c r="R106" s="25">
        <v>1</v>
      </c>
      <c r="T106" s="25">
        <v>1</v>
      </c>
      <c r="AA106" s="25">
        <f t="shared" si="10"/>
        <v>128</v>
      </c>
      <c r="AK106" s="25">
        <v>1</v>
      </c>
      <c r="AM106" s="25">
        <v>24</v>
      </c>
      <c r="AN106" s="25">
        <v>100</v>
      </c>
      <c r="AP106" s="25">
        <f t="shared" si="12"/>
        <v>5</v>
      </c>
      <c r="AQ106" s="25" t="str">
        <f>VLOOKUP(C106,'시스템이펙트 참고자료'!$A:$B,2,FALSE)</f>
        <v>ACTIVE_ENERGY_CRITICAL</v>
      </c>
      <c r="AS106" s="25">
        <v>1</v>
      </c>
      <c r="BD106" s="25">
        <v>1</v>
      </c>
    </row>
    <row r="107" spans="1:56" hidden="1">
      <c r="A107" s="25">
        <v>102</v>
      </c>
      <c r="B107" s="25" t="str">
        <f>VLOOKUP(C107,'시스템이펙트 참고자료'!$A:$C,2,FALSE)</f>
        <v>ACTIVE_ENERGY_CRITICAL_DAMAGE_UP</v>
      </c>
      <c r="C107" s="25">
        <v>659</v>
      </c>
      <c r="D107" s="25">
        <f>VLOOKUP(C107,'시스템이펙트 참고자료'!$A:$D,4,FALSE)</f>
        <v>0</v>
      </c>
      <c r="E107" s="25">
        <v>0</v>
      </c>
      <c r="F107" s="25">
        <v>0</v>
      </c>
      <c r="G107" s="25">
        <f t="shared" si="11"/>
        <v>4</v>
      </c>
      <c r="H107" s="25" t="s">
        <v>395</v>
      </c>
      <c r="I107" s="25">
        <v>1</v>
      </c>
      <c r="J107" s="25" t="str">
        <f>VLOOKUP(C107,'시스템이펙트 참고자료'!$A:$C,3,FALSE)</f>
        <v>절대값만 가능</v>
      </c>
      <c r="K107" s="25">
        <v>0</v>
      </c>
      <c r="M107" s="25">
        <v>4</v>
      </c>
      <c r="N107" s="25">
        <f t="shared" si="8"/>
        <v>32</v>
      </c>
      <c r="O107" s="25">
        <v>1</v>
      </c>
      <c r="P107" s="25">
        <v>1</v>
      </c>
      <c r="Q107" s="25">
        <v>1</v>
      </c>
      <c r="R107" s="25">
        <v>1</v>
      </c>
      <c r="T107" s="25">
        <v>1</v>
      </c>
      <c r="AA107" s="25">
        <f t="shared" si="10"/>
        <v>128</v>
      </c>
      <c r="AK107" s="25">
        <v>1</v>
      </c>
      <c r="AM107" s="25">
        <v>32</v>
      </c>
      <c r="AN107" s="25">
        <v>100</v>
      </c>
      <c r="AP107" s="25">
        <f t="shared" si="12"/>
        <v>4</v>
      </c>
      <c r="AQ107" s="25" t="str">
        <f>VLOOKUP(C107,'시스템이펙트 참고자료'!$A:$B,2,FALSE)</f>
        <v>ACTIVE_ENERGY_CRITICAL_DAMAGE_UP</v>
      </c>
      <c r="AS107" s="25">
        <v>1</v>
      </c>
      <c r="BD107" s="25">
        <v>1</v>
      </c>
    </row>
    <row r="108" spans="1:56" hidden="1">
      <c r="A108" s="25">
        <v>103</v>
      </c>
      <c r="B108" s="25" t="str">
        <f>VLOOKUP(C108,'시스템이펙트 참고자료'!$A:$C,2,FALSE)</f>
        <v>ACTIVE_FOC_UP</v>
      </c>
      <c r="C108" s="25">
        <v>612</v>
      </c>
      <c r="D108" s="25">
        <f>VLOOKUP(C108,'시스템이펙트 참고자료'!$A:$D,4,FALSE)</f>
        <v>0</v>
      </c>
      <c r="E108" s="25">
        <v>0</v>
      </c>
      <c r="F108" s="25">
        <v>0</v>
      </c>
      <c r="G108" s="25">
        <f t="shared" si="11"/>
        <v>2</v>
      </c>
      <c r="H108" s="25" t="s">
        <v>395</v>
      </c>
      <c r="I108" s="25">
        <v>1</v>
      </c>
      <c r="J108" s="25" t="str">
        <f>VLOOKUP(C108,'시스템이펙트 참고자료'!$A:$C,3,FALSE)</f>
        <v>절대값/상대값(%) 가능</v>
      </c>
      <c r="K108" s="25">
        <v>0</v>
      </c>
      <c r="M108" s="25">
        <v>4</v>
      </c>
      <c r="N108" s="25">
        <f t="shared" si="8"/>
        <v>53</v>
      </c>
      <c r="O108" s="25">
        <v>1</v>
      </c>
      <c r="P108" s="25">
        <v>1</v>
      </c>
      <c r="Q108" s="25">
        <v>1</v>
      </c>
      <c r="R108" s="25">
        <v>1</v>
      </c>
      <c r="T108" s="25">
        <v>1</v>
      </c>
      <c r="AA108" s="25">
        <f t="shared" si="10"/>
        <v>128</v>
      </c>
      <c r="AK108" s="25">
        <v>1</v>
      </c>
      <c r="AM108" s="25">
        <v>53</v>
      </c>
      <c r="AN108" s="25">
        <v>100</v>
      </c>
      <c r="AP108" s="25">
        <f t="shared" si="12"/>
        <v>2</v>
      </c>
      <c r="AQ108" s="25" t="str">
        <f>VLOOKUP(C108,'시스템이펙트 참고자료'!$A:$B,2,FALSE)</f>
        <v>ACTIVE_FOC_UP</v>
      </c>
      <c r="AS108" s="25">
        <v>1</v>
      </c>
      <c r="BD108" s="25">
        <v>1</v>
      </c>
    </row>
    <row r="109" spans="1:56" hidden="1">
      <c r="A109" s="25">
        <v>104</v>
      </c>
      <c r="B109" s="25" t="str">
        <f>VLOOKUP(C109,'시스템이펙트 참고자료'!$A:$C,2,FALSE)</f>
        <v>ACTIVE_DEX_UP</v>
      </c>
      <c r="C109" s="25">
        <v>613</v>
      </c>
      <c r="D109" s="25">
        <f>VLOOKUP(C109,'시스템이펙트 참고자료'!$A:$D,4,FALSE)</f>
        <v>0</v>
      </c>
      <c r="E109" s="25">
        <v>0</v>
      </c>
      <c r="F109" s="25">
        <v>0</v>
      </c>
      <c r="G109" s="25">
        <f t="shared" si="11"/>
        <v>3</v>
      </c>
      <c r="H109" s="25" t="s">
        <v>395</v>
      </c>
      <c r="I109" s="25">
        <v>1</v>
      </c>
      <c r="J109" s="25" t="str">
        <f>VLOOKUP(C109,'시스템이펙트 참고자료'!$A:$C,3,FALSE)</f>
        <v>절대값/상대값(%) 가능</v>
      </c>
      <c r="K109" s="25">
        <v>0</v>
      </c>
      <c r="M109" s="25">
        <v>4</v>
      </c>
      <c r="N109" s="25">
        <f t="shared" si="8"/>
        <v>44</v>
      </c>
      <c r="O109" s="25">
        <v>1</v>
      </c>
      <c r="P109" s="25">
        <v>1</v>
      </c>
      <c r="Q109" s="25">
        <v>1</v>
      </c>
      <c r="R109" s="25">
        <v>1</v>
      </c>
      <c r="T109" s="25">
        <v>1</v>
      </c>
      <c r="AA109" s="25">
        <f t="shared" si="10"/>
        <v>128</v>
      </c>
      <c r="AK109" s="25">
        <v>1</v>
      </c>
      <c r="AM109" s="25">
        <v>44</v>
      </c>
      <c r="AN109" s="25">
        <v>100</v>
      </c>
      <c r="AP109" s="25">
        <f t="shared" si="12"/>
        <v>3</v>
      </c>
      <c r="AQ109" s="25" t="str">
        <f>VLOOKUP(C109,'시스템이펙트 참고자료'!$A:$B,2,FALSE)</f>
        <v>ACTIVE_DEX_UP</v>
      </c>
      <c r="AS109" s="25">
        <v>1</v>
      </c>
      <c r="BD109" s="25">
        <v>1</v>
      </c>
    </row>
    <row r="110" spans="1:56" hidden="1">
      <c r="A110" s="25">
        <v>105</v>
      </c>
      <c r="B110" s="25" t="str">
        <f>VLOOKUP(C110,'시스템이펙트 참고자료'!$A:$C,2,FALSE)</f>
        <v>ACTIVE_ATTACK_SPEED_UP</v>
      </c>
      <c r="C110" s="25">
        <v>617</v>
      </c>
      <c r="D110" s="25">
        <f>VLOOKUP(C110,'시스템이펙트 참고자료'!$A:$D,4,FALSE)</f>
        <v>1</v>
      </c>
      <c r="E110" s="25">
        <v>0</v>
      </c>
      <c r="F110" s="25">
        <v>0</v>
      </c>
      <c r="G110" s="25">
        <f t="shared" si="11"/>
        <v>10</v>
      </c>
      <c r="H110" s="25" t="s">
        <v>395</v>
      </c>
      <c r="I110" s="25">
        <v>1</v>
      </c>
      <c r="J110" s="25" t="str">
        <f>VLOOKUP(C110,'시스템이펙트 참고자료'!$A:$C,3,FALSE)</f>
        <v>절대값/상대값(%) 가능</v>
      </c>
      <c r="K110" s="25">
        <v>0</v>
      </c>
      <c r="M110" s="25">
        <v>5</v>
      </c>
      <c r="N110" s="25">
        <f t="shared" si="8"/>
        <v>10</v>
      </c>
      <c r="O110" s="25">
        <v>1</v>
      </c>
      <c r="P110" s="25">
        <v>1</v>
      </c>
      <c r="Q110" s="25">
        <v>1</v>
      </c>
      <c r="R110" s="25">
        <v>1</v>
      </c>
      <c r="T110" s="25">
        <v>1</v>
      </c>
      <c r="AA110" s="25">
        <f t="shared" si="10"/>
        <v>128</v>
      </c>
      <c r="AK110" s="25">
        <v>1</v>
      </c>
      <c r="AM110" s="25">
        <v>10</v>
      </c>
      <c r="AN110" s="25">
        <v>100</v>
      </c>
      <c r="AP110" s="25">
        <f t="shared" si="12"/>
        <v>10</v>
      </c>
      <c r="AQ110" s="25" t="str">
        <f>VLOOKUP(C110,'시스템이펙트 참고자료'!$A:$B,2,FALSE)</f>
        <v>ACTIVE_ATTACK_SPEED_UP</v>
      </c>
      <c r="AS110" s="25">
        <v>1</v>
      </c>
      <c r="BD110" s="25">
        <v>1</v>
      </c>
    </row>
    <row r="111" spans="1:56" hidden="1">
      <c r="A111" s="25">
        <v>106</v>
      </c>
      <c r="B111" s="25" t="str">
        <f>VLOOKUP(C111,'시스템이펙트 참고자료'!$A:$C,2,FALSE)</f>
        <v>ACTIVE_DEX_UP</v>
      </c>
      <c r="C111" s="25">
        <v>613</v>
      </c>
      <c r="D111" s="25">
        <f>VLOOKUP(C111,'시스템이펙트 참고자료'!$A:$D,4,FALSE)</f>
        <v>0</v>
      </c>
      <c r="E111" s="25">
        <v>0</v>
      </c>
      <c r="F111" s="25">
        <v>0</v>
      </c>
      <c r="G111" s="25">
        <f t="shared" si="11"/>
        <v>3</v>
      </c>
      <c r="H111" s="25" t="s">
        <v>395</v>
      </c>
      <c r="I111" s="25">
        <v>1</v>
      </c>
      <c r="J111" s="25" t="str">
        <f>VLOOKUP(C111,'시스템이펙트 참고자료'!$A:$C,3,FALSE)</f>
        <v>절대값/상대값(%) 가능</v>
      </c>
      <c r="K111" s="25">
        <v>0</v>
      </c>
      <c r="M111" s="25">
        <v>5</v>
      </c>
      <c r="N111" s="25">
        <f t="shared" si="8"/>
        <v>44</v>
      </c>
      <c r="O111" s="25">
        <v>1</v>
      </c>
      <c r="P111" s="25">
        <v>1</v>
      </c>
      <c r="Q111" s="25">
        <v>1</v>
      </c>
      <c r="R111" s="25">
        <v>1</v>
      </c>
      <c r="T111" s="25">
        <v>1</v>
      </c>
      <c r="AA111" s="25">
        <f t="shared" si="10"/>
        <v>128</v>
      </c>
      <c r="AK111" s="25">
        <v>1</v>
      </c>
      <c r="AM111" s="25">
        <v>44</v>
      </c>
      <c r="AN111" s="25">
        <v>100</v>
      </c>
      <c r="AP111" s="25">
        <f t="shared" si="12"/>
        <v>3</v>
      </c>
      <c r="AQ111" s="25" t="str">
        <f>VLOOKUP(C111,'시스템이펙트 참고자료'!$A:$B,2,FALSE)</f>
        <v>ACTIVE_DEX_UP</v>
      </c>
      <c r="AS111" s="25">
        <v>1</v>
      </c>
      <c r="BD111" s="25">
        <v>1</v>
      </c>
    </row>
    <row r="112" spans="1:56" hidden="1">
      <c r="A112" s="25">
        <v>107</v>
      </c>
      <c r="B112" s="25" t="str">
        <f>VLOOKUP(C112,'시스템이펙트 참고자료'!$A:$C,2,FALSE)</f>
        <v>ACTIVE_FOC_UP</v>
      </c>
      <c r="C112" s="25">
        <v>612</v>
      </c>
      <c r="D112" s="25">
        <f>VLOOKUP(C112,'시스템이펙트 참고자료'!$A:$D,4,FALSE)</f>
        <v>0</v>
      </c>
      <c r="E112" s="25">
        <v>0</v>
      </c>
      <c r="F112" s="25">
        <v>0</v>
      </c>
      <c r="G112" s="25">
        <f t="shared" si="11"/>
        <v>2</v>
      </c>
      <c r="H112" s="25" t="s">
        <v>395</v>
      </c>
      <c r="I112" s="25">
        <v>1</v>
      </c>
      <c r="J112" s="25" t="str">
        <f>VLOOKUP(C112,'시스템이펙트 참고자료'!$A:$C,3,FALSE)</f>
        <v>절대값/상대값(%) 가능</v>
      </c>
      <c r="K112" s="25">
        <v>0</v>
      </c>
      <c r="M112" s="25">
        <v>5</v>
      </c>
      <c r="N112" s="25">
        <f t="shared" si="8"/>
        <v>53</v>
      </c>
      <c r="O112" s="25">
        <v>1</v>
      </c>
      <c r="P112" s="25">
        <v>1</v>
      </c>
      <c r="Q112" s="25">
        <v>1</v>
      </c>
      <c r="R112" s="25">
        <v>1</v>
      </c>
      <c r="T112" s="25">
        <v>1</v>
      </c>
      <c r="AA112" s="25">
        <f t="shared" si="10"/>
        <v>128</v>
      </c>
      <c r="AK112" s="25">
        <v>1</v>
      </c>
      <c r="AM112" s="25">
        <v>53</v>
      </c>
      <c r="AN112" s="25">
        <v>100</v>
      </c>
      <c r="AP112" s="25">
        <f t="shared" si="12"/>
        <v>2</v>
      </c>
      <c r="AQ112" s="25" t="str">
        <f>VLOOKUP(C112,'시스템이펙트 참고자료'!$A:$B,2,FALSE)</f>
        <v>ACTIVE_FOC_UP</v>
      </c>
      <c r="AS112" s="25">
        <v>1</v>
      </c>
      <c r="BD112" s="25">
        <v>1</v>
      </c>
    </row>
    <row r="113" spans="1:56" hidden="1">
      <c r="A113" s="25">
        <v>108</v>
      </c>
      <c r="B113" s="25" t="str">
        <f>VLOOKUP(C113,'시스템이펙트 참고자료'!$A:$C,2,FALSE)</f>
        <v>ACTIVE_PHYSICAL_OFFENCE_UP</v>
      </c>
      <c r="C113" s="25">
        <v>606</v>
      </c>
      <c r="D113" s="25">
        <f>VLOOKUP(C113,'시스템이펙트 참고자료'!$A:$D,4,FALSE)</f>
        <v>0</v>
      </c>
      <c r="E113" s="25">
        <v>0</v>
      </c>
      <c r="F113" s="25">
        <v>0</v>
      </c>
      <c r="G113" s="25">
        <f t="shared" si="11"/>
        <v>1</v>
      </c>
      <c r="H113" s="25" t="s">
        <v>395</v>
      </c>
      <c r="I113" s="25">
        <v>1</v>
      </c>
      <c r="J113" s="25" t="str">
        <f>VLOOKUP(C113,'시스템이펙트 참고자료'!$A:$C,3,FALSE)</f>
        <v>절대값/상대값(%) 가능</v>
      </c>
      <c r="K113" s="25">
        <v>0</v>
      </c>
      <c r="M113" s="25">
        <v>5</v>
      </c>
      <c r="N113" s="25">
        <f t="shared" si="8"/>
        <v>125</v>
      </c>
      <c r="O113" s="25">
        <v>1</v>
      </c>
      <c r="P113" s="25">
        <v>1</v>
      </c>
      <c r="Q113" s="25">
        <v>1</v>
      </c>
      <c r="R113" s="25">
        <v>1</v>
      </c>
      <c r="T113" s="25">
        <v>1</v>
      </c>
      <c r="AA113" s="25">
        <f t="shared" si="10"/>
        <v>128</v>
      </c>
      <c r="AK113" s="25">
        <v>1</v>
      </c>
      <c r="AM113" s="25">
        <v>125</v>
      </c>
      <c r="AN113" s="25">
        <v>100</v>
      </c>
      <c r="AP113" s="25">
        <f t="shared" si="12"/>
        <v>1</v>
      </c>
      <c r="AQ113" s="25" t="str">
        <f>VLOOKUP(C113,'시스템이펙트 참고자료'!$A:$B,2,FALSE)</f>
        <v>ACTIVE_PHYSICAL_OFFENCE_UP</v>
      </c>
      <c r="AS113" s="25">
        <v>1</v>
      </c>
      <c r="BD113" s="25">
        <v>1</v>
      </c>
    </row>
    <row r="114" spans="1:56" hidden="1">
      <c r="A114" s="25">
        <v>109</v>
      </c>
      <c r="B114" s="25" t="str">
        <f>VLOOKUP(C114,'시스템이펙트 참고자료'!$A:$C,2,FALSE)</f>
        <v>ACTIVE_ENERGY_OFFENCE_UP</v>
      </c>
      <c r="C114" s="25">
        <v>607</v>
      </c>
      <c r="D114" s="25">
        <f>VLOOKUP(C114,'시스템이펙트 참고자료'!$A:$D,4,FALSE)</f>
        <v>0</v>
      </c>
      <c r="E114" s="25">
        <v>0</v>
      </c>
      <c r="F114" s="25">
        <v>0</v>
      </c>
      <c r="G114" s="25">
        <f t="shared" si="11"/>
        <v>1</v>
      </c>
      <c r="H114" s="25" t="s">
        <v>395</v>
      </c>
      <c r="I114" s="25">
        <v>1</v>
      </c>
      <c r="J114" s="25" t="str">
        <f>VLOOKUP(C114,'시스템이펙트 참고자료'!$A:$C,3,FALSE)</f>
        <v>절대값/상대값(%) 가능</v>
      </c>
      <c r="K114" s="25">
        <v>0</v>
      </c>
      <c r="M114" s="25">
        <v>5</v>
      </c>
      <c r="N114" s="25">
        <f t="shared" si="8"/>
        <v>104</v>
      </c>
      <c r="O114" s="25">
        <v>1</v>
      </c>
      <c r="P114" s="25">
        <v>1</v>
      </c>
      <c r="Q114" s="25">
        <v>1</v>
      </c>
      <c r="R114" s="25">
        <v>1</v>
      </c>
      <c r="T114" s="25">
        <v>1</v>
      </c>
      <c r="AA114" s="25">
        <f t="shared" si="10"/>
        <v>128</v>
      </c>
      <c r="AK114" s="25">
        <v>1</v>
      </c>
      <c r="AM114" s="25">
        <v>104</v>
      </c>
      <c r="AN114" s="25">
        <v>100</v>
      </c>
      <c r="AP114" s="25">
        <f t="shared" si="12"/>
        <v>1</v>
      </c>
      <c r="AQ114" s="25" t="str">
        <f>VLOOKUP(C114,'시스템이펙트 참고자료'!$A:$B,2,FALSE)</f>
        <v>ACTIVE_ENERGY_OFFENCE_UP</v>
      </c>
      <c r="AS114" s="25">
        <v>1</v>
      </c>
      <c r="BD114" s="25">
        <v>1</v>
      </c>
    </row>
    <row r="115" spans="1:56" hidden="1">
      <c r="A115" s="25">
        <v>110</v>
      </c>
      <c r="B115" s="25" t="str">
        <f>VLOOKUP(C115,'시스템이펙트 참고자료'!$A:$C,2,FALSE)</f>
        <v>ACTIVE_PHYSICAL_OFFENCE_UP</v>
      </c>
      <c r="C115" s="25">
        <v>606</v>
      </c>
      <c r="D115" s="25">
        <f>VLOOKUP(C115,'시스템이펙트 참고자료'!$A:$D,4,FALSE)</f>
        <v>0</v>
      </c>
      <c r="E115" s="25">
        <v>0</v>
      </c>
      <c r="F115" s="25">
        <v>0</v>
      </c>
      <c r="G115" s="25">
        <f t="shared" si="11"/>
        <v>1</v>
      </c>
      <c r="H115" s="25" t="s">
        <v>395</v>
      </c>
      <c r="I115" s="25">
        <v>1</v>
      </c>
      <c r="J115" s="25" t="str">
        <f>VLOOKUP(C115,'시스템이펙트 참고자료'!$A:$C,3,FALSE)</f>
        <v>절대값/상대값(%) 가능</v>
      </c>
      <c r="K115" s="25">
        <v>0</v>
      </c>
      <c r="M115" s="25">
        <v>6</v>
      </c>
      <c r="N115" s="25">
        <f t="shared" si="8"/>
        <v>125</v>
      </c>
      <c r="O115" s="25">
        <v>1</v>
      </c>
      <c r="P115" s="25">
        <v>1</v>
      </c>
      <c r="Q115" s="25">
        <v>1</v>
      </c>
      <c r="R115" s="25">
        <v>1</v>
      </c>
      <c r="T115" s="25">
        <v>1</v>
      </c>
      <c r="AA115" s="25">
        <f t="shared" si="10"/>
        <v>128</v>
      </c>
      <c r="AK115" s="25">
        <v>1</v>
      </c>
      <c r="AM115" s="25">
        <v>125</v>
      </c>
      <c r="AN115" s="25">
        <v>100</v>
      </c>
      <c r="AP115" s="25">
        <f t="shared" si="12"/>
        <v>1</v>
      </c>
      <c r="AQ115" s="25" t="str">
        <f>VLOOKUP(C115,'시스템이펙트 참고자료'!$A:$B,2,FALSE)</f>
        <v>ACTIVE_PHYSICAL_OFFENCE_UP</v>
      </c>
      <c r="AS115" s="25">
        <v>1</v>
      </c>
      <c r="BD115" s="25">
        <v>1</v>
      </c>
    </row>
    <row r="116" spans="1:56" hidden="1">
      <c r="A116" s="25">
        <v>111</v>
      </c>
      <c r="B116" s="25" t="str">
        <f>VLOOKUP(C116,'시스템이펙트 참고자료'!$A:$C,2,FALSE)</f>
        <v>ACTIVE_ENERGY_OFFENCE_UP</v>
      </c>
      <c r="C116" s="25">
        <v>607</v>
      </c>
      <c r="D116" s="25">
        <f>VLOOKUP(C116,'시스템이펙트 참고자료'!$A:$D,4,FALSE)</f>
        <v>0</v>
      </c>
      <c r="E116" s="25">
        <v>0</v>
      </c>
      <c r="F116" s="25">
        <v>0</v>
      </c>
      <c r="G116" s="25">
        <f t="shared" si="11"/>
        <v>1</v>
      </c>
      <c r="H116" s="25" t="s">
        <v>395</v>
      </c>
      <c r="I116" s="25">
        <v>1</v>
      </c>
      <c r="J116" s="25" t="str">
        <f>VLOOKUP(C116,'시스템이펙트 참고자료'!$A:$C,3,FALSE)</f>
        <v>절대값/상대값(%) 가능</v>
      </c>
      <c r="K116" s="25">
        <v>0</v>
      </c>
      <c r="M116" s="25">
        <v>6</v>
      </c>
      <c r="N116" s="25">
        <f t="shared" si="8"/>
        <v>104</v>
      </c>
      <c r="O116" s="25">
        <v>1</v>
      </c>
      <c r="P116" s="25">
        <v>1</v>
      </c>
      <c r="Q116" s="25">
        <v>1</v>
      </c>
      <c r="R116" s="25">
        <v>1</v>
      </c>
      <c r="T116" s="25">
        <v>1</v>
      </c>
      <c r="AA116" s="25">
        <f t="shared" si="10"/>
        <v>128</v>
      </c>
      <c r="AK116" s="25">
        <v>1</v>
      </c>
      <c r="AM116" s="25">
        <v>104</v>
      </c>
      <c r="AN116" s="25">
        <v>100</v>
      </c>
      <c r="AP116" s="25">
        <f t="shared" si="12"/>
        <v>1</v>
      </c>
      <c r="AQ116" s="25" t="str">
        <f>VLOOKUP(C116,'시스템이펙트 참고자료'!$A:$B,2,FALSE)</f>
        <v>ACTIVE_ENERGY_OFFENCE_UP</v>
      </c>
      <c r="AS116" s="25">
        <v>1</v>
      </c>
      <c r="BD116" s="25">
        <v>1</v>
      </c>
    </row>
    <row r="117" spans="1:56" hidden="1">
      <c r="A117" s="25">
        <v>112</v>
      </c>
      <c r="B117" s="25" t="str">
        <f>VLOOKUP(C117,'시스템이펙트 참고자료'!$A:$C,2,FALSE)</f>
        <v>ACTIVE_STR_UP</v>
      </c>
      <c r="C117" s="25">
        <v>610</v>
      </c>
      <c r="D117" s="25">
        <f>VLOOKUP(C117,'시스템이펙트 참고자료'!$A:$D,4,FALSE)</f>
        <v>0</v>
      </c>
      <c r="E117" s="25">
        <v>0</v>
      </c>
      <c r="F117" s="25">
        <v>0</v>
      </c>
      <c r="G117" s="25">
        <f t="shared" si="11"/>
        <v>2</v>
      </c>
      <c r="H117" s="25" t="s">
        <v>395</v>
      </c>
      <c r="I117" s="25">
        <v>1</v>
      </c>
      <c r="J117" s="25" t="str">
        <f>VLOOKUP(C117,'시스템이펙트 참고자료'!$A:$C,3,FALSE)</f>
        <v>절대값/상대값(%) 가능</v>
      </c>
      <c r="K117" s="25">
        <v>0</v>
      </c>
      <c r="M117" s="25">
        <v>6</v>
      </c>
      <c r="N117" s="25">
        <f t="shared" si="8"/>
        <v>57</v>
      </c>
      <c r="O117" s="25">
        <v>1</v>
      </c>
      <c r="P117" s="25">
        <v>1</v>
      </c>
      <c r="Q117" s="25">
        <v>1</v>
      </c>
      <c r="R117" s="25">
        <v>1</v>
      </c>
      <c r="T117" s="25">
        <v>1</v>
      </c>
      <c r="AA117" s="25">
        <f t="shared" si="10"/>
        <v>128</v>
      </c>
      <c r="AK117" s="25">
        <v>1</v>
      </c>
      <c r="AM117" s="25">
        <v>57</v>
      </c>
      <c r="AN117" s="25">
        <v>100</v>
      </c>
      <c r="AP117" s="25">
        <f t="shared" si="12"/>
        <v>2</v>
      </c>
      <c r="AQ117" s="25" t="str">
        <f>VLOOKUP(C117,'시스템이펙트 참고자료'!$A:$B,2,FALSE)</f>
        <v>ACTIVE_STR_UP</v>
      </c>
      <c r="AS117" s="25">
        <v>1</v>
      </c>
      <c r="BD117" s="25">
        <v>1</v>
      </c>
    </row>
    <row r="118" spans="1:56" hidden="1">
      <c r="A118" s="25">
        <v>113</v>
      </c>
      <c r="B118" s="25" t="str">
        <f>VLOOKUP(C118,'시스템이펙트 참고자료'!$A:$C,2,FALSE)</f>
        <v>ACTIVE_SOL_UP</v>
      </c>
      <c r="C118" s="25">
        <v>614</v>
      </c>
      <c r="D118" s="25">
        <f>VLOOKUP(C118,'시스템이펙트 참고자료'!$A:$D,4,FALSE)</f>
        <v>0</v>
      </c>
      <c r="E118" s="25">
        <v>0</v>
      </c>
      <c r="F118" s="25">
        <v>0</v>
      </c>
      <c r="G118" s="25">
        <f t="shared" si="11"/>
        <v>2</v>
      </c>
      <c r="H118" s="25" t="s">
        <v>395</v>
      </c>
      <c r="I118" s="25">
        <v>1</v>
      </c>
      <c r="J118" s="25" t="str">
        <f>VLOOKUP(C118,'시스템이펙트 참고자료'!$A:$C,3,FALSE)</f>
        <v>절대값/상대값(%) 가능</v>
      </c>
      <c r="K118" s="25">
        <v>0</v>
      </c>
      <c r="M118" s="25">
        <v>6</v>
      </c>
      <c r="N118" s="25">
        <f t="shared" si="8"/>
        <v>53</v>
      </c>
      <c r="O118" s="25">
        <v>1</v>
      </c>
      <c r="P118" s="25">
        <v>1</v>
      </c>
      <c r="Q118" s="25">
        <v>1</v>
      </c>
      <c r="R118" s="25">
        <v>1</v>
      </c>
      <c r="T118" s="25">
        <v>1</v>
      </c>
      <c r="AA118" s="25">
        <f t="shared" si="10"/>
        <v>128</v>
      </c>
      <c r="AK118" s="25">
        <v>1</v>
      </c>
      <c r="AM118" s="25">
        <v>53</v>
      </c>
      <c r="AN118" s="25">
        <v>100</v>
      </c>
      <c r="AP118" s="25">
        <f t="shared" si="12"/>
        <v>2</v>
      </c>
      <c r="AQ118" s="25" t="str">
        <f>VLOOKUP(C118,'시스템이펙트 참고자료'!$A:$B,2,FALSE)</f>
        <v>ACTIVE_SOL_UP</v>
      </c>
      <c r="AS118" s="25">
        <v>1</v>
      </c>
      <c r="BD118" s="25">
        <v>1</v>
      </c>
    </row>
    <row r="119" spans="1:56" hidden="1">
      <c r="A119" s="25">
        <v>114</v>
      </c>
      <c r="B119" s="25" t="str">
        <f>VLOOKUP(C119,'시스템이펙트 참고자료'!$A:$C,2,FALSE)</f>
        <v>ACTIVE_PHYSICAL_CRITICAL_DAMAGE_UP</v>
      </c>
      <c r="C119" s="25">
        <v>658</v>
      </c>
      <c r="D119" s="25">
        <f>VLOOKUP(C119,'시스템이펙트 참고자료'!$A:$D,4,FALSE)</f>
        <v>0</v>
      </c>
      <c r="E119" s="25">
        <v>0</v>
      </c>
      <c r="F119" s="25">
        <v>0</v>
      </c>
      <c r="G119" s="25">
        <f t="shared" si="11"/>
        <v>4</v>
      </c>
      <c r="H119" s="25" t="s">
        <v>395</v>
      </c>
      <c r="I119" s="25">
        <v>1</v>
      </c>
      <c r="J119" s="25" t="str">
        <f>VLOOKUP(C119,'시스템이펙트 참고자료'!$A:$C,3,FALSE)</f>
        <v>절대값만 가능</v>
      </c>
      <c r="K119" s="25">
        <v>0</v>
      </c>
      <c r="M119" s="25">
        <v>6</v>
      </c>
      <c r="N119" s="25">
        <f t="shared" si="8"/>
        <v>28</v>
      </c>
      <c r="O119" s="25">
        <v>1</v>
      </c>
      <c r="P119" s="25">
        <v>1</v>
      </c>
      <c r="Q119" s="25">
        <v>1</v>
      </c>
      <c r="R119" s="25">
        <v>1</v>
      </c>
      <c r="T119" s="25">
        <v>1</v>
      </c>
      <c r="AA119" s="25">
        <f t="shared" si="10"/>
        <v>128</v>
      </c>
      <c r="AK119" s="25">
        <v>1</v>
      </c>
      <c r="AM119" s="25">
        <v>28</v>
      </c>
      <c r="AN119" s="25">
        <v>100</v>
      </c>
      <c r="AP119" s="25">
        <f t="shared" si="12"/>
        <v>4</v>
      </c>
      <c r="AQ119" s="25" t="str">
        <f>VLOOKUP(C119,'시스템이펙트 참고자료'!$A:$B,2,FALSE)</f>
        <v>ACTIVE_PHYSICAL_CRITICAL_DAMAGE_UP</v>
      </c>
      <c r="AS119" s="25">
        <v>1</v>
      </c>
      <c r="BD119" s="25">
        <v>1</v>
      </c>
    </row>
    <row r="120" spans="1:56" hidden="1">
      <c r="A120" s="25">
        <v>115</v>
      </c>
      <c r="B120" s="25" t="str">
        <f>VLOOKUP(C120,'시스템이펙트 참고자료'!$A:$C,2,FALSE)</f>
        <v>ACTIVE_ENERGY_CRITICAL_DAMAGE_UP</v>
      </c>
      <c r="C120" s="25">
        <v>659</v>
      </c>
      <c r="D120" s="25">
        <f>VLOOKUP(C120,'시스템이펙트 참고자료'!$A:$D,4,FALSE)</f>
        <v>0</v>
      </c>
      <c r="E120" s="25">
        <v>0</v>
      </c>
      <c r="F120" s="25">
        <v>0</v>
      </c>
      <c r="G120" s="25">
        <f t="shared" si="11"/>
        <v>4</v>
      </c>
      <c r="H120" s="25" t="s">
        <v>395</v>
      </c>
      <c r="I120" s="25">
        <v>1</v>
      </c>
      <c r="J120" s="25" t="str">
        <f>VLOOKUP(C120,'시스템이펙트 참고자료'!$A:$C,3,FALSE)</f>
        <v>절대값만 가능</v>
      </c>
      <c r="K120" s="25">
        <v>0</v>
      </c>
      <c r="M120" s="25">
        <v>6</v>
      </c>
      <c r="N120" s="25">
        <f t="shared" si="8"/>
        <v>32</v>
      </c>
      <c r="O120" s="25">
        <v>1</v>
      </c>
      <c r="P120" s="25">
        <v>1</v>
      </c>
      <c r="Q120" s="25">
        <v>1</v>
      </c>
      <c r="R120" s="25">
        <v>1</v>
      </c>
      <c r="T120" s="25">
        <v>1</v>
      </c>
      <c r="AA120" s="25">
        <f t="shared" si="10"/>
        <v>128</v>
      </c>
      <c r="AK120" s="25">
        <v>1</v>
      </c>
      <c r="AM120" s="25">
        <v>32</v>
      </c>
      <c r="AN120" s="25">
        <v>100</v>
      </c>
      <c r="AP120" s="25">
        <f t="shared" si="12"/>
        <v>4</v>
      </c>
      <c r="AQ120" s="25" t="str">
        <f>VLOOKUP(C120,'시스템이펙트 참고자료'!$A:$B,2,FALSE)</f>
        <v>ACTIVE_ENERGY_CRITICAL_DAMAGE_UP</v>
      </c>
      <c r="AS120" s="25">
        <v>1</v>
      </c>
      <c r="BD120" s="25">
        <v>1</v>
      </c>
    </row>
    <row r="121" spans="1:56" hidden="1">
      <c r="A121" s="25">
        <v>116</v>
      </c>
      <c r="B121" s="25" t="str">
        <f>VLOOKUP(C121,'시스템이펙트 참고자료'!$A:$C,2,FALSE)</f>
        <v>ACTIVE_FOC_UP</v>
      </c>
      <c r="C121" s="25">
        <v>612</v>
      </c>
      <c r="D121" s="25">
        <f>VLOOKUP(C121,'시스템이펙트 참고자료'!$A:$D,4,FALSE)</f>
        <v>0</v>
      </c>
      <c r="E121" s="25">
        <v>0</v>
      </c>
      <c r="F121" s="25">
        <v>0</v>
      </c>
      <c r="G121" s="25">
        <f t="shared" ref="G121:G147" si="13">IF(N121&gt;0,INT(100/N121+0.99),0)</f>
        <v>2</v>
      </c>
      <c r="H121" s="25" t="s">
        <v>395</v>
      </c>
      <c r="I121" s="25">
        <v>1</v>
      </c>
      <c r="J121" s="25" t="str">
        <f>VLOOKUP(C121,'시스템이펙트 참고자료'!$A:$C,3,FALSE)</f>
        <v>절대값/상대값(%) 가능</v>
      </c>
      <c r="K121" s="25">
        <v>0</v>
      </c>
      <c r="M121" s="25">
        <v>7</v>
      </c>
      <c r="N121" s="25">
        <f t="shared" si="8"/>
        <v>53</v>
      </c>
      <c r="O121" s="25">
        <v>1</v>
      </c>
      <c r="P121" s="25">
        <v>1</v>
      </c>
      <c r="Q121" s="25">
        <v>1</v>
      </c>
      <c r="R121" s="25">
        <v>1</v>
      </c>
      <c r="T121" s="25">
        <v>1</v>
      </c>
      <c r="AA121" s="25">
        <f t="shared" si="10"/>
        <v>128</v>
      </c>
      <c r="AK121" s="25">
        <v>1</v>
      </c>
      <c r="AM121" s="25">
        <v>53</v>
      </c>
      <c r="AN121" s="25">
        <v>100</v>
      </c>
      <c r="AP121" s="25">
        <f t="shared" ref="AP121:AP147" si="14">INT(100/N121+0.99)</f>
        <v>2</v>
      </c>
      <c r="AQ121" s="25" t="str">
        <f>VLOOKUP(C121,'시스템이펙트 참고자료'!$A:$B,2,FALSE)</f>
        <v>ACTIVE_FOC_UP</v>
      </c>
      <c r="AS121" s="25">
        <v>1</v>
      </c>
      <c r="BD121" s="25">
        <v>1</v>
      </c>
    </row>
    <row r="122" spans="1:56" hidden="1">
      <c r="A122" s="25">
        <v>117</v>
      </c>
      <c r="B122" s="25" t="str">
        <f>VLOOKUP(C122,'시스템이펙트 참고자료'!$A:$C,2,FALSE)</f>
        <v>ACTIVE_ATTACK_RATE_UP</v>
      </c>
      <c r="C122" s="25">
        <v>618</v>
      </c>
      <c r="D122" s="25">
        <f>VLOOKUP(C122,'시스템이펙트 참고자료'!$A:$D,4,FALSE)</f>
        <v>0</v>
      </c>
      <c r="E122" s="25">
        <v>0</v>
      </c>
      <c r="F122" s="25">
        <v>0</v>
      </c>
      <c r="G122" s="25">
        <f t="shared" si="13"/>
        <v>1</v>
      </c>
      <c r="H122" s="25" t="s">
        <v>395</v>
      </c>
      <c r="I122" s="25">
        <v>1</v>
      </c>
      <c r="J122" s="25" t="str">
        <f>VLOOKUP(C122,'시스템이펙트 참고자료'!$A:$C,3,FALSE)</f>
        <v>절대값/상대값(%) 가능</v>
      </c>
      <c r="K122" s="25">
        <v>0</v>
      </c>
      <c r="M122" s="25">
        <v>7</v>
      </c>
      <c r="N122" s="25">
        <f t="shared" si="8"/>
        <v>528</v>
      </c>
      <c r="O122" s="25">
        <v>1</v>
      </c>
      <c r="P122" s="25">
        <v>1</v>
      </c>
      <c r="Q122" s="25">
        <v>1</v>
      </c>
      <c r="R122" s="25">
        <v>1</v>
      </c>
      <c r="T122" s="25">
        <v>1</v>
      </c>
      <c r="AA122" s="25">
        <f t="shared" si="10"/>
        <v>128</v>
      </c>
      <c r="AK122" s="25">
        <v>1</v>
      </c>
      <c r="AM122" s="25">
        <v>528</v>
      </c>
      <c r="AN122" s="25">
        <v>100</v>
      </c>
      <c r="AP122" s="25">
        <f t="shared" si="14"/>
        <v>1</v>
      </c>
      <c r="AQ122" s="25" t="str">
        <f>VLOOKUP(C122,'시스템이펙트 참고자료'!$A:$B,2,FALSE)</f>
        <v>ACTIVE_ATTACK_RATE_UP</v>
      </c>
      <c r="AS122" s="25">
        <v>1</v>
      </c>
      <c r="BD122" s="25">
        <v>1</v>
      </c>
    </row>
    <row r="123" spans="1:56" hidden="1">
      <c r="A123" s="25">
        <v>118</v>
      </c>
      <c r="B123" s="25" t="str">
        <f>VLOOKUP(C123,'시스템이펙트 참고자료'!$A:$C,2,FALSE)</f>
        <v>ACTIVE_ENG_UP</v>
      </c>
      <c r="C123" s="25">
        <v>615</v>
      </c>
      <c r="D123" s="25">
        <f>VLOOKUP(C123,'시스템이펙트 참고자료'!$A:$D,4,FALSE)</f>
        <v>0</v>
      </c>
      <c r="E123" s="25">
        <v>0</v>
      </c>
      <c r="F123" s="25">
        <v>0</v>
      </c>
      <c r="G123" s="25">
        <f t="shared" si="13"/>
        <v>2</v>
      </c>
      <c r="H123" s="25" t="s">
        <v>395</v>
      </c>
      <c r="I123" s="25">
        <v>1</v>
      </c>
      <c r="J123" s="25" t="str">
        <f>VLOOKUP(C123,'시스템이펙트 참고자료'!$A:$C,3,FALSE)</f>
        <v>절대값/상대값(%) 가능</v>
      </c>
      <c r="K123" s="25">
        <v>0</v>
      </c>
      <c r="M123" s="25">
        <v>7</v>
      </c>
      <c r="N123" s="25">
        <f t="shared" si="8"/>
        <v>62</v>
      </c>
      <c r="O123" s="25">
        <v>1</v>
      </c>
      <c r="P123" s="25">
        <v>1</v>
      </c>
      <c r="Q123" s="25">
        <v>1</v>
      </c>
      <c r="R123" s="25">
        <v>1</v>
      </c>
      <c r="T123" s="25">
        <v>1</v>
      </c>
      <c r="AA123" s="25">
        <f t="shared" si="10"/>
        <v>128</v>
      </c>
      <c r="AK123" s="25">
        <v>1</v>
      </c>
      <c r="AM123" s="25">
        <v>62</v>
      </c>
      <c r="AN123" s="25">
        <v>100</v>
      </c>
      <c r="AP123" s="25">
        <f t="shared" si="14"/>
        <v>2</v>
      </c>
      <c r="AQ123" s="25" t="str">
        <f>VLOOKUP(C123,'시스템이펙트 참고자료'!$A:$B,2,FALSE)</f>
        <v>ACTIVE_ENG_UP</v>
      </c>
      <c r="AS123" s="25">
        <v>1</v>
      </c>
      <c r="BD123" s="25">
        <v>1</v>
      </c>
    </row>
    <row r="124" spans="1:56" hidden="1">
      <c r="A124" s="25">
        <v>119</v>
      </c>
      <c r="B124" s="25" t="str">
        <f>VLOOKUP(C124,'시스템이펙트 참고자료'!$A:$C,2,FALSE)</f>
        <v>ACTIVE_PHYSICAL_CRITICAL</v>
      </c>
      <c r="C124" s="25">
        <v>632</v>
      </c>
      <c r="D124" s="25">
        <f>VLOOKUP(C124,'시스템이펙트 참고자료'!$A:$D,4,FALSE)</f>
        <v>0</v>
      </c>
      <c r="E124" s="25">
        <v>0</v>
      </c>
      <c r="F124" s="25">
        <v>0</v>
      </c>
      <c r="G124" s="25">
        <f t="shared" si="13"/>
        <v>5</v>
      </c>
      <c r="H124" s="25" t="s">
        <v>395</v>
      </c>
      <c r="I124" s="25">
        <v>1</v>
      </c>
      <c r="J124" s="25" t="str">
        <f>VLOOKUP(C124,'시스템이펙트 참고자료'!$A:$C,3,FALSE)</f>
        <v>절대값/상대값(%) 가능</v>
      </c>
      <c r="K124" s="25">
        <v>0</v>
      </c>
      <c r="M124" s="25">
        <v>7</v>
      </c>
      <c r="N124" s="25">
        <f t="shared" si="8"/>
        <v>21</v>
      </c>
      <c r="O124" s="25">
        <v>1</v>
      </c>
      <c r="P124" s="25">
        <v>1</v>
      </c>
      <c r="Q124" s="25">
        <v>1</v>
      </c>
      <c r="R124" s="25">
        <v>1</v>
      </c>
      <c r="T124" s="25">
        <v>1</v>
      </c>
      <c r="AA124" s="25">
        <f t="shared" si="10"/>
        <v>128</v>
      </c>
      <c r="AK124" s="25">
        <v>1</v>
      </c>
      <c r="AM124" s="25">
        <v>21</v>
      </c>
      <c r="AN124" s="25">
        <v>100</v>
      </c>
      <c r="AP124" s="25">
        <f t="shared" si="14"/>
        <v>5</v>
      </c>
      <c r="AQ124" s="25" t="str">
        <f>VLOOKUP(C124,'시스템이펙트 참고자료'!$A:$B,2,FALSE)</f>
        <v>ACTIVE_PHYSICAL_CRITICAL</v>
      </c>
      <c r="AS124" s="25">
        <v>1</v>
      </c>
      <c r="BD124" s="25">
        <v>1</v>
      </c>
    </row>
    <row r="125" spans="1:56" hidden="1">
      <c r="A125" s="25">
        <v>120</v>
      </c>
      <c r="B125" s="25" t="str">
        <f>VLOOKUP(C125,'시스템이펙트 참고자료'!$A:$C,2,FALSE)</f>
        <v>ACTIVE_ENERGY_CRITICAL</v>
      </c>
      <c r="C125" s="25">
        <v>633</v>
      </c>
      <c r="D125" s="25">
        <f>VLOOKUP(C125,'시스템이펙트 참고자료'!$A:$D,4,FALSE)</f>
        <v>0</v>
      </c>
      <c r="E125" s="25">
        <v>0</v>
      </c>
      <c r="F125" s="25">
        <v>0</v>
      </c>
      <c r="G125" s="25">
        <f t="shared" si="13"/>
        <v>5</v>
      </c>
      <c r="H125" s="25" t="s">
        <v>395</v>
      </c>
      <c r="I125" s="25">
        <v>1</v>
      </c>
      <c r="J125" s="25" t="str">
        <f>VLOOKUP(C125,'시스템이펙트 참고자료'!$A:$C,3,FALSE)</f>
        <v>절대값/상대값(%) 가능</v>
      </c>
      <c r="K125" s="25">
        <v>0</v>
      </c>
      <c r="M125" s="25">
        <v>7</v>
      </c>
      <c r="N125" s="25">
        <f t="shared" si="8"/>
        <v>24</v>
      </c>
      <c r="O125" s="25">
        <v>1</v>
      </c>
      <c r="P125" s="25">
        <v>1</v>
      </c>
      <c r="Q125" s="25">
        <v>1</v>
      </c>
      <c r="R125" s="25">
        <v>1</v>
      </c>
      <c r="T125" s="25">
        <v>1</v>
      </c>
      <c r="AA125" s="25">
        <f t="shared" si="10"/>
        <v>128</v>
      </c>
      <c r="AK125" s="25">
        <v>1</v>
      </c>
      <c r="AM125" s="25">
        <v>24</v>
      </c>
      <c r="AN125" s="25">
        <v>100</v>
      </c>
      <c r="AP125" s="25">
        <f t="shared" si="14"/>
        <v>5</v>
      </c>
      <c r="AQ125" s="25" t="str">
        <f>VLOOKUP(C125,'시스템이펙트 참고자료'!$A:$B,2,FALSE)</f>
        <v>ACTIVE_ENERGY_CRITICAL</v>
      </c>
      <c r="AS125" s="25">
        <v>1</v>
      </c>
      <c r="BD125" s="25">
        <v>1</v>
      </c>
    </row>
    <row r="126" spans="1:56" hidden="1">
      <c r="A126" s="25">
        <v>121</v>
      </c>
      <c r="B126" s="25" t="str">
        <f>VLOOKUP(C126,'시스템이펙트 참고자료'!$A:$C,2,FALSE)</f>
        <v>ACTIVE_FOC_UP</v>
      </c>
      <c r="C126" s="25">
        <v>612</v>
      </c>
      <c r="D126" s="25">
        <f>VLOOKUP(C126,'시스템이펙트 참고자료'!$A:$D,4,FALSE)</f>
        <v>0</v>
      </c>
      <c r="E126" s="25">
        <v>0</v>
      </c>
      <c r="F126" s="25">
        <v>0</v>
      </c>
      <c r="G126" s="25">
        <f t="shared" si="13"/>
        <v>2</v>
      </c>
      <c r="H126" s="25" t="s">
        <v>395</v>
      </c>
      <c r="I126" s="25">
        <v>1</v>
      </c>
      <c r="J126" s="25" t="str">
        <f>VLOOKUP(C126,'시스템이펙트 참고자료'!$A:$C,3,FALSE)</f>
        <v>절대값/상대값(%) 가능</v>
      </c>
      <c r="K126" s="25">
        <v>0</v>
      </c>
      <c r="M126" s="25">
        <v>8</v>
      </c>
      <c r="N126" s="25">
        <f t="shared" si="8"/>
        <v>53</v>
      </c>
      <c r="O126" s="25">
        <v>1</v>
      </c>
      <c r="P126" s="25">
        <v>1</v>
      </c>
      <c r="Q126" s="25">
        <v>1</v>
      </c>
      <c r="R126" s="25">
        <v>1</v>
      </c>
      <c r="T126" s="25">
        <v>1</v>
      </c>
      <c r="AA126" s="25">
        <f t="shared" si="10"/>
        <v>128</v>
      </c>
      <c r="AK126" s="25">
        <v>1</v>
      </c>
      <c r="AM126" s="25">
        <v>53</v>
      </c>
      <c r="AN126" s="25">
        <v>100</v>
      </c>
      <c r="AP126" s="25">
        <f t="shared" si="14"/>
        <v>2</v>
      </c>
      <c r="AQ126" s="25" t="str">
        <f>VLOOKUP(C126,'시스템이펙트 참고자료'!$A:$B,2,FALSE)</f>
        <v>ACTIVE_FOC_UP</v>
      </c>
      <c r="AS126" s="25">
        <v>1</v>
      </c>
      <c r="BD126" s="25">
        <v>1</v>
      </c>
    </row>
    <row r="127" spans="1:56" hidden="1">
      <c r="A127" s="25">
        <v>122</v>
      </c>
      <c r="B127" s="25" t="str">
        <f>VLOOKUP(C127,'시스템이펙트 참고자료'!$A:$C,2,FALSE)</f>
        <v>ACTIVE_CON_UP</v>
      </c>
      <c r="C127" s="25">
        <v>611</v>
      </c>
      <c r="D127" s="25">
        <f>VLOOKUP(C127,'시스템이펙트 참고자료'!$A:$D,4,FALSE)</f>
        <v>0</v>
      </c>
      <c r="E127" s="25">
        <v>0</v>
      </c>
      <c r="F127" s="25">
        <v>0</v>
      </c>
      <c r="G127" s="25">
        <f t="shared" si="13"/>
        <v>3</v>
      </c>
      <c r="H127" s="25" t="s">
        <v>395</v>
      </c>
      <c r="I127" s="25">
        <v>1</v>
      </c>
      <c r="J127" s="25" t="str">
        <f>VLOOKUP(C127,'시스템이펙트 참고자료'!$A:$C,3,FALSE)</f>
        <v>절대값/상대값(%) 가능</v>
      </c>
      <c r="K127" s="25">
        <v>0</v>
      </c>
      <c r="M127" s="25">
        <v>8</v>
      </c>
      <c r="N127" s="25">
        <f t="shared" si="8"/>
        <v>48</v>
      </c>
      <c r="O127" s="25">
        <v>1</v>
      </c>
      <c r="P127" s="25">
        <v>1</v>
      </c>
      <c r="Q127" s="25">
        <v>1</v>
      </c>
      <c r="R127" s="25">
        <v>1</v>
      </c>
      <c r="T127" s="25">
        <v>1</v>
      </c>
      <c r="AA127" s="25">
        <f t="shared" si="10"/>
        <v>128</v>
      </c>
      <c r="AK127" s="25">
        <v>1</v>
      </c>
      <c r="AM127" s="25">
        <v>48</v>
      </c>
      <c r="AN127" s="25">
        <v>100</v>
      </c>
      <c r="AP127" s="25">
        <f t="shared" si="14"/>
        <v>3</v>
      </c>
      <c r="AQ127" s="25" t="str">
        <f>VLOOKUP(C127,'시스템이펙트 참고자료'!$A:$B,2,FALSE)</f>
        <v>ACTIVE_CON_UP</v>
      </c>
      <c r="AS127" s="25">
        <v>1</v>
      </c>
      <c r="BD127" s="25">
        <v>1</v>
      </c>
    </row>
    <row r="128" spans="1:56" hidden="1">
      <c r="A128" s="25">
        <v>123</v>
      </c>
      <c r="B128" s="25" t="str">
        <f>VLOOKUP(C128,'시스템이펙트 참고자료'!$A:$C,2,FALSE)</f>
        <v>ACTIVE_BLOCK_RATE_UP</v>
      </c>
      <c r="C128" s="25">
        <v>620</v>
      </c>
      <c r="D128" s="25">
        <f>VLOOKUP(C128,'시스템이펙트 참고자료'!$A:$D,4,FALSE)</f>
        <v>0</v>
      </c>
      <c r="E128" s="25">
        <v>0</v>
      </c>
      <c r="F128" s="25">
        <v>0</v>
      </c>
      <c r="G128" s="25">
        <f t="shared" si="13"/>
        <v>1</v>
      </c>
      <c r="H128" s="25" t="s">
        <v>395</v>
      </c>
      <c r="I128" s="25">
        <v>1</v>
      </c>
      <c r="J128" s="25" t="str">
        <f>VLOOKUP(C128,'시스템이펙트 참고자료'!$A:$C,3,FALSE)</f>
        <v>절대값/상대값(%) 가능</v>
      </c>
      <c r="K128" s="25">
        <v>0</v>
      </c>
      <c r="M128" s="25">
        <v>8</v>
      </c>
      <c r="N128" s="25">
        <f t="shared" si="8"/>
        <v>352</v>
      </c>
      <c r="O128" s="25">
        <v>1</v>
      </c>
      <c r="P128" s="25">
        <v>1</v>
      </c>
      <c r="Q128" s="25">
        <v>1</v>
      </c>
      <c r="R128" s="25">
        <v>1</v>
      </c>
      <c r="T128" s="25">
        <v>1</v>
      </c>
      <c r="AA128" s="25">
        <f t="shared" si="10"/>
        <v>128</v>
      </c>
      <c r="AK128" s="25">
        <v>1</v>
      </c>
      <c r="AM128" s="25">
        <v>352</v>
      </c>
      <c r="AN128" s="25">
        <v>100</v>
      </c>
      <c r="AP128" s="25">
        <f t="shared" si="14"/>
        <v>1</v>
      </c>
      <c r="AQ128" s="25" t="str">
        <f>VLOOKUP(C128,'시스템이펙트 참고자료'!$A:$B,2,FALSE)</f>
        <v>ACTIVE_BLOCK_RATE_UP</v>
      </c>
      <c r="AS128" s="25">
        <v>1</v>
      </c>
      <c r="BD128" s="25">
        <v>1</v>
      </c>
    </row>
    <row r="129" spans="1:56" hidden="1">
      <c r="A129" s="25">
        <v>124</v>
      </c>
      <c r="B129" s="25" t="str">
        <f>VLOOKUP(C129,'시스템이펙트 참고자료'!$A:$C,2,FALSE)</f>
        <v>ACTIVE_ENG_UP</v>
      </c>
      <c r="C129" s="25">
        <v>615</v>
      </c>
      <c r="D129" s="25">
        <f>VLOOKUP(C129,'시스템이펙트 참고자료'!$A:$D,4,FALSE)</f>
        <v>0</v>
      </c>
      <c r="E129" s="25">
        <v>0</v>
      </c>
      <c r="F129" s="25">
        <v>0</v>
      </c>
      <c r="G129" s="25">
        <f t="shared" si="13"/>
        <v>2</v>
      </c>
      <c r="H129" s="25" t="s">
        <v>395</v>
      </c>
      <c r="I129" s="25">
        <v>1</v>
      </c>
      <c r="J129" s="25" t="str">
        <f>VLOOKUP(C129,'시스템이펙트 참고자료'!$A:$C,3,FALSE)</f>
        <v>절대값/상대값(%) 가능</v>
      </c>
      <c r="K129" s="25">
        <v>0</v>
      </c>
      <c r="M129" s="25">
        <v>8</v>
      </c>
      <c r="N129" s="25">
        <f t="shared" si="8"/>
        <v>62</v>
      </c>
      <c r="O129" s="25">
        <v>1</v>
      </c>
      <c r="P129" s="25">
        <v>1</v>
      </c>
      <c r="Q129" s="25">
        <v>1</v>
      </c>
      <c r="R129" s="25">
        <v>1</v>
      </c>
      <c r="T129" s="25">
        <v>1</v>
      </c>
      <c r="AA129" s="25">
        <f t="shared" si="10"/>
        <v>128</v>
      </c>
      <c r="AK129" s="25">
        <v>1</v>
      </c>
      <c r="AM129" s="25">
        <v>62</v>
      </c>
      <c r="AN129" s="25">
        <v>100</v>
      </c>
      <c r="AP129" s="25">
        <f t="shared" si="14"/>
        <v>2</v>
      </c>
      <c r="AQ129" s="25" t="str">
        <f>VLOOKUP(C129,'시스템이펙트 참고자료'!$A:$B,2,FALSE)</f>
        <v>ACTIVE_ENG_UP</v>
      </c>
      <c r="AS129" s="25">
        <v>1</v>
      </c>
      <c r="BD129" s="25">
        <v>1</v>
      </c>
    </row>
    <row r="130" spans="1:56" hidden="1">
      <c r="A130" s="25">
        <v>125</v>
      </c>
      <c r="B130" s="25" t="str">
        <f>VLOOKUP(C130,'시스템이펙트 참고자료'!$A:$C,2,FALSE)</f>
        <v>ACTIVE_PHYSICAL_CRITICAL</v>
      </c>
      <c r="C130" s="25">
        <v>632</v>
      </c>
      <c r="D130" s="25">
        <f>VLOOKUP(C130,'시스템이펙트 참고자료'!$A:$D,4,FALSE)</f>
        <v>0</v>
      </c>
      <c r="E130" s="25">
        <v>0</v>
      </c>
      <c r="F130" s="25">
        <v>0</v>
      </c>
      <c r="G130" s="25">
        <f t="shared" si="13"/>
        <v>5</v>
      </c>
      <c r="H130" s="25" t="s">
        <v>395</v>
      </c>
      <c r="I130" s="25">
        <v>1</v>
      </c>
      <c r="J130" s="25" t="str">
        <f>VLOOKUP(C130,'시스템이펙트 참고자료'!$A:$C,3,FALSE)</f>
        <v>절대값/상대값(%) 가능</v>
      </c>
      <c r="K130" s="25">
        <v>0</v>
      </c>
      <c r="M130" s="25">
        <v>9</v>
      </c>
      <c r="N130" s="25">
        <f t="shared" si="8"/>
        <v>21</v>
      </c>
      <c r="O130" s="25">
        <v>1</v>
      </c>
      <c r="P130" s="25">
        <v>1</v>
      </c>
      <c r="Q130" s="25">
        <v>1</v>
      </c>
      <c r="R130" s="25">
        <v>1</v>
      </c>
      <c r="T130" s="25">
        <v>1</v>
      </c>
      <c r="AA130" s="25">
        <f t="shared" si="10"/>
        <v>128</v>
      </c>
      <c r="AK130" s="25">
        <v>1</v>
      </c>
      <c r="AM130" s="25">
        <v>21</v>
      </c>
      <c r="AN130" s="25">
        <v>100</v>
      </c>
      <c r="AP130" s="25">
        <f t="shared" si="14"/>
        <v>5</v>
      </c>
      <c r="AQ130" s="25" t="str">
        <f>VLOOKUP(C130,'시스템이펙트 참고자료'!$A:$B,2,FALSE)</f>
        <v>ACTIVE_PHYSICAL_CRITICAL</v>
      </c>
      <c r="AS130" s="25">
        <v>1</v>
      </c>
      <c r="BD130" s="25">
        <v>1</v>
      </c>
    </row>
    <row r="131" spans="1:56" hidden="1">
      <c r="A131" s="25">
        <v>126</v>
      </c>
      <c r="B131" s="25" t="str">
        <f>VLOOKUP(C131,'시스템이펙트 참고자료'!$A:$C,2,FALSE)</f>
        <v>ACTIVE_ENERGY_CRITICAL</v>
      </c>
      <c r="C131" s="25">
        <v>633</v>
      </c>
      <c r="D131" s="25">
        <f>VLOOKUP(C131,'시스템이펙트 참고자료'!$A:$D,4,FALSE)</f>
        <v>0</v>
      </c>
      <c r="E131" s="25">
        <v>0</v>
      </c>
      <c r="F131" s="25">
        <v>0</v>
      </c>
      <c r="G131" s="25">
        <f t="shared" si="13"/>
        <v>5</v>
      </c>
      <c r="H131" s="25" t="s">
        <v>395</v>
      </c>
      <c r="I131" s="25">
        <v>1</v>
      </c>
      <c r="J131" s="25" t="str">
        <f>VLOOKUP(C131,'시스템이펙트 참고자료'!$A:$C,3,FALSE)</f>
        <v>절대값/상대값(%) 가능</v>
      </c>
      <c r="K131" s="25">
        <v>0</v>
      </c>
      <c r="M131" s="25">
        <v>9</v>
      </c>
      <c r="N131" s="25">
        <f t="shared" si="8"/>
        <v>24</v>
      </c>
      <c r="O131" s="25">
        <v>1</v>
      </c>
      <c r="P131" s="25">
        <v>1</v>
      </c>
      <c r="Q131" s="25">
        <v>1</v>
      </c>
      <c r="R131" s="25">
        <v>1</v>
      </c>
      <c r="T131" s="25">
        <v>1</v>
      </c>
      <c r="AA131" s="25">
        <f t="shared" si="10"/>
        <v>128</v>
      </c>
      <c r="AK131" s="25">
        <v>1</v>
      </c>
      <c r="AM131" s="25">
        <v>24</v>
      </c>
      <c r="AN131" s="25">
        <v>100</v>
      </c>
      <c r="AP131" s="25">
        <f t="shared" si="14"/>
        <v>5</v>
      </c>
      <c r="AQ131" s="25" t="str">
        <f>VLOOKUP(C131,'시스템이펙트 참고자료'!$A:$B,2,FALSE)</f>
        <v>ACTIVE_ENERGY_CRITICAL</v>
      </c>
      <c r="AS131" s="25">
        <v>1</v>
      </c>
      <c r="BD131" s="25">
        <v>1</v>
      </c>
    </row>
    <row r="132" spans="1:56" hidden="1">
      <c r="A132" s="25">
        <v>127</v>
      </c>
      <c r="B132" s="25" t="str">
        <f>VLOOKUP(C132,'시스템이펙트 참고자료'!$A:$C,2,FALSE)</f>
        <v>ACTIVE_DEX_UP</v>
      </c>
      <c r="C132" s="25">
        <v>613</v>
      </c>
      <c r="D132" s="25">
        <f>VLOOKUP(C132,'시스템이펙트 참고자료'!$A:$D,4,FALSE)</f>
        <v>0</v>
      </c>
      <c r="E132" s="25">
        <v>0</v>
      </c>
      <c r="F132" s="25">
        <v>0</v>
      </c>
      <c r="G132" s="25">
        <f t="shared" si="13"/>
        <v>3</v>
      </c>
      <c r="H132" s="25" t="s">
        <v>395</v>
      </c>
      <c r="I132" s="25">
        <v>1</v>
      </c>
      <c r="J132" s="25" t="str">
        <f>VLOOKUP(C132,'시스템이펙트 참고자료'!$A:$C,3,FALSE)</f>
        <v>절대값/상대값(%) 가능</v>
      </c>
      <c r="K132" s="25">
        <v>0</v>
      </c>
      <c r="M132" s="25">
        <v>9</v>
      </c>
      <c r="N132" s="25">
        <f t="shared" si="8"/>
        <v>44</v>
      </c>
      <c r="O132" s="25">
        <v>1</v>
      </c>
      <c r="P132" s="25">
        <v>1</v>
      </c>
      <c r="Q132" s="25">
        <v>1</v>
      </c>
      <c r="R132" s="25">
        <v>1</v>
      </c>
      <c r="T132" s="25">
        <v>1</v>
      </c>
      <c r="AA132" s="25">
        <f t="shared" si="10"/>
        <v>128</v>
      </c>
      <c r="AK132" s="25">
        <v>1</v>
      </c>
      <c r="AM132" s="25">
        <v>44</v>
      </c>
      <c r="AN132" s="25">
        <v>100</v>
      </c>
      <c r="AP132" s="25">
        <f t="shared" si="14"/>
        <v>3</v>
      </c>
      <c r="AQ132" s="25" t="str">
        <f>VLOOKUP(C132,'시스템이펙트 참고자료'!$A:$B,2,FALSE)</f>
        <v>ACTIVE_DEX_UP</v>
      </c>
      <c r="AS132" s="25">
        <v>1</v>
      </c>
      <c r="BD132" s="25">
        <v>1</v>
      </c>
    </row>
    <row r="133" spans="1:56" hidden="1">
      <c r="A133" s="25">
        <v>128</v>
      </c>
      <c r="B133" s="25" t="str">
        <f>VLOOKUP(C133,'시스템이펙트 참고자료'!$A:$C,2,FALSE)</f>
        <v>ACTIVE_FOC_UP</v>
      </c>
      <c r="C133" s="25">
        <v>612</v>
      </c>
      <c r="D133" s="25">
        <f>VLOOKUP(C133,'시스템이펙트 참고자료'!$A:$D,4,FALSE)</f>
        <v>0</v>
      </c>
      <c r="E133" s="25">
        <v>0</v>
      </c>
      <c r="F133" s="25">
        <v>0</v>
      </c>
      <c r="G133" s="25">
        <f t="shared" si="13"/>
        <v>2</v>
      </c>
      <c r="H133" s="25" t="s">
        <v>395</v>
      </c>
      <c r="I133" s="25">
        <v>1</v>
      </c>
      <c r="J133" s="25" t="str">
        <f>VLOOKUP(C133,'시스템이펙트 참고자료'!$A:$C,3,FALSE)</f>
        <v>절대값/상대값(%) 가능</v>
      </c>
      <c r="K133" s="25">
        <v>0</v>
      </c>
      <c r="M133" s="25">
        <v>9</v>
      </c>
      <c r="N133" s="25">
        <f t="shared" si="8"/>
        <v>53</v>
      </c>
      <c r="O133" s="25">
        <v>1</v>
      </c>
      <c r="P133" s="25">
        <v>1</v>
      </c>
      <c r="Q133" s="25">
        <v>1</v>
      </c>
      <c r="R133" s="25">
        <v>1</v>
      </c>
      <c r="T133" s="25">
        <v>1</v>
      </c>
      <c r="AA133" s="25">
        <f t="shared" si="10"/>
        <v>128</v>
      </c>
      <c r="AK133" s="25">
        <v>1</v>
      </c>
      <c r="AM133" s="25">
        <v>53</v>
      </c>
      <c r="AN133" s="25">
        <v>100</v>
      </c>
      <c r="AP133" s="25">
        <f t="shared" si="14"/>
        <v>2</v>
      </c>
      <c r="AQ133" s="25" t="str">
        <f>VLOOKUP(C133,'시스템이펙트 참고자료'!$A:$B,2,FALSE)</f>
        <v>ACTIVE_FOC_UP</v>
      </c>
      <c r="AS133" s="25">
        <v>1</v>
      </c>
      <c r="BD133" s="25">
        <v>1</v>
      </c>
    </row>
    <row r="134" spans="1:56" hidden="1">
      <c r="A134" s="25">
        <v>129</v>
      </c>
      <c r="B134" s="25" t="str">
        <f>VLOOKUP(C134,'시스템이펙트 참고자료'!$A:$C,2,FALSE)</f>
        <v>ACTIVE_PHYSICAL_CRITICAL_DAMAGE_UP</v>
      </c>
      <c r="C134" s="25">
        <v>658</v>
      </c>
      <c r="D134" s="25">
        <f>VLOOKUP(C134,'시스템이펙트 참고자료'!$A:$D,4,FALSE)</f>
        <v>0</v>
      </c>
      <c r="E134" s="25">
        <v>0</v>
      </c>
      <c r="F134" s="25">
        <v>0</v>
      </c>
      <c r="G134" s="25">
        <f t="shared" si="13"/>
        <v>4</v>
      </c>
      <c r="H134" s="25" t="s">
        <v>395</v>
      </c>
      <c r="I134" s="25">
        <v>1</v>
      </c>
      <c r="J134" s="25" t="str">
        <f>VLOOKUP(C134,'시스템이펙트 참고자료'!$A:$C,3,FALSE)</f>
        <v>절대값만 가능</v>
      </c>
      <c r="K134" s="25">
        <v>0</v>
      </c>
      <c r="M134" s="25">
        <v>10</v>
      </c>
      <c r="N134" s="25">
        <f t="shared" si="8"/>
        <v>28</v>
      </c>
      <c r="O134" s="25">
        <v>1</v>
      </c>
      <c r="P134" s="25">
        <v>1</v>
      </c>
      <c r="Q134" s="25">
        <v>1</v>
      </c>
      <c r="R134" s="25">
        <v>1</v>
      </c>
      <c r="T134" s="25">
        <v>1</v>
      </c>
      <c r="AA134" s="25">
        <f t="shared" si="10"/>
        <v>128</v>
      </c>
      <c r="AK134" s="25">
        <v>1</v>
      </c>
      <c r="AM134" s="25">
        <v>28</v>
      </c>
      <c r="AN134" s="25">
        <v>100</v>
      </c>
      <c r="AP134" s="25">
        <f t="shared" si="14"/>
        <v>4</v>
      </c>
      <c r="AQ134" s="25" t="str">
        <f>VLOOKUP(C134,'시스템이펙트 참고자료'!$A:$B,2,FALSE)</f>
        <v>ACTIVE_PHYSICAL_CRITICAL_DAMAGE_UP</v>
      </c>
      <c r="AS134" s="25">
        <v>1</v>
      </c>
      <c r="BD134" s="25">
        <v>1</v>
      </c>
    </row>
    <row r="135" spans="1:56" hidden="1">
      <c r="A135" s="25">
        <v>130</v>
      </c>
      <c r="B135" s="25" t="str">
        <f>VLOOKUP(C135,'시스템이펙트 참고자료'!$A:$C,2,FALSE)</f>
        <v>ACTIVE_ENERGY_CRITICAL_DAMAGE_UP</v>
      </c>
      <c r="C135" s="25">
        <v>659</v>
      </c>
      <c r="D135" s="25">
        <f>VLOOKUP(C135,'시스템이펙트 참고자료'!$A:$D,4,FALSE)</f>
        <v>0</v>
      </c>
      <c r="E135" s="25">
        <v>0</v>
      </c>
      <c r="F135" s="25">
        <v>0</v>
      </c>
      <c r="G135" s="25">
        <f t="shared" si="13"/>
        <v>4</v>
      </c>
      <c r="H135" s="25" t="s">
        <v>395</v>
      </c>
      <c r="I135" s="25">
        <v>1</v>
      </c>
      <c r="J135" s="25" t="str">
        <f>VLOOKUP(C135,'시스템이펙트 참고자료'!$A:$C,3,FALSE)</f>
        <v>절대값만 가능</v>
      </c>
      <c r="K135" s="25">
        <v>0</v>
      </c>
      <c r="M135" s="25">
        <v>10</v>
      </c>
      <c r="N135" s="25">
        <f t="shared" ref="N135:N198" si="15">IF(BD135&gt;0,INT(AM135/AK135),0)</f>
        <v>32</v>
      </c>
      <c r="O135" s="25">
        <v>1</v>
      </c>
      <c r="P135" s="25">
        <v>1</v>
      </c>
      <c r="Q135" s="25">
        <v>1</v>
      </c>
      <c r="R135" s="25">
        <v>1</v>
      </c>
      <c r="T135" s="25">
        <v>1</v>
      </c>
      <c r="AA135" s="25">
        <f t="shared" si="10"/>
        <v>128</v>
      </c>
      <c r="AK135" s="25">
        <v>1</v>
      </c>
      <c r="AM135" s="25">
        <v>32</v>
      </c>
      <c r="AN135" s="25">
        <v>100</v>
      </c>
      <c r="AP135" s="25">
        <f t="shared" si="14"/>
        <v>4</v>
      </c>
      <c r="AQ135" s="25" t="str">
        <f>VLOOKUP(C135,'시스템이펙트 참고자료'!$A:$B,2,FALSE)</f>
        <v>ACTIVE_ENERGY_CRITICAL_DAMAGE_UP</v>
      </c>
      <c r="AS135" s="25">
        <v>1</v>
      </c>
      <c r="BD135" s="25">
        <v>1</v>
      </c>
    </row>
    <row r="136" spans="1:56" hidden="1">
      <c r="A136" s="25">
        <v>131</v>
      </c>
      <c r="B136" s="25" t="str">
        <f>VLOOKUP(C136,'시스템이펙트 참고자료'!$A:$C,2,FALSE)</f>
        <v>ACTIVE_DEX_UP</v>
      </c>
      <c r="C136" s="25">
        <v>613</v>
      </c>
      <c r="D136" s="25">
        <f>VLOOKUP(C136,'시스템이펙트 참고자료'!$A:$D,4,FALSE)</f>
        <v>0</v>
      </c>
      <c r="E136" s="25">
        <v>0</v>
      </c>
      <c r="F136" s="25">
        <v>0</v>
      </c>
      <c r="G136" s="25">
        <f t="shared" si="13"/>
        <v>3</v>
      </c>
      <c r="H136" s="25" t="s">
        <v>395</v>
      </c>
      <c r="I136" s="25">
        <v>1</v>
      </c>
      <c r="J136" s="25" t="str">
        <f>VLOOKUP(C136,'시스템이펙트 참고자료'!$A:$C,3,FALSE)</f>
        <v>절대값/상대값(%) 가능</v>
      </c>
      <c r="K136" s="25">
        <v>0</v>
      </c>
      <c r="M136" s="25">
        <v>10</v>
      </c>
      <c r="N136" s="25">
        <f t="shared" si="15"/>
        <v>44</v>
      </c>
      <c r="O136" s="25">
        <v>1</v>
      </c>
      <c r="P136" s="25">
        <v>1</v>
      </c>
      <c r="Q136" s="25">
        <v>1</v>
      </c>
      <c r="R136" s="25">
        <v>1</v>
      </c>
      <c r="T136" s="25">
        <v>1</v>
      </c>
      <c r="AA136" s="25">
        <f t="shared" si="10"/>
        <v>128</v>
      </c>
      <c r="AK136" s="25">
        <v>1</v>
      </c>
      <c r="AM136" s="25">
        <v>44</v>
      </c>
      <c r="AN136" s="25">
        <v>100</v>
      </c>
      <c r="AP136" s="25">
        <f t="shared" si="14"/>
        <v>3</v>
      </c>
      <c r="AQ136" s="25" t="str">
        <f>VLOOKUP(C136,'시스템이펙트 참고자료'!$A:$B,2,FALSE)</f>
        <v>ACTIVE_DEX_UP</v>
      </c>
      <c r="AS136" s="25">
        <v>1</v>
      </c>
      <c r="BD136" s="25">
        <v>1</v>
      </c>
    </row>
    <row r="137" spans="1:56" hidden="1">
      <c r="A137" s="25">
        <v>132</v>
      </c>
      <c r="B137" s="25" t="str">
        <f>VLOOKUP(C137,'시스템이펙트 참고자료'!$A:$C,2,FALSE)</f>
        <v>ACTIVE_ATTACK_SPEED_UP</v>
      </c>
      <c r="C137" s="25">
        <v>617</v>
      </c>
      <c r="D137" s="25">
        <f>VLOOKUP(C137,'시스템이펙트 참고자료'!$A:$D,4,FALSE)</f>
        <v>1</v>
      </c>
      <c r="E137" s="25">
        <v>0</v>
      </c>
      <c r="F137" s="25">
        <v>0</v>
      </c>
      <c r="G137" s="25">
        <f t="shared" si="13"/>
        <v>10</v>
      </c>
      <c r="H137" s="25" t="s">
        <v>395</v>
      </c>
      <c r="I137" s="25">
        <v>1</v>
      </c>
      <c r="J137" s="25" t="str">
        <f>VLOOKUP(C137,'시스템이펙트 참고자료'!$A:$C,3,FALSE)</f>
        <v>절대값/상대값(%) 가능</v>
      </c>
      <c r="K137" s="25">
        <v>0</v>
      </c>
      <c r="M137" s="25">
        <v>10</v>
      </c>
      <c r="N137" s="25">
        <f t="shared" si="15"/>
        <v>10</v>
      </c>
      <c r="O137" s="25">
        <v>1</v>
      </c>
      <c r="P137" s="25">
        <v>1</v>
      </c>
      <c r="Q137" s="25">
        <v>1</v>
      </c>
      <c r="R137" s="25">
        <v>1</v>
      </c>
      <c r="T137" s="25">
        <v>1</v>
      </c>
      <c r="AA137" s="25">
        <f t="shared" si="10"/>
        <v>128</v>
      </c>
      <c r="AK137" s="25">
        <v>1</v>
      </c>
      <c r="AM137" s="25">
        <v>10</v>
      </c>
      <c r="AN137" s="25">
        <v>100</v>
      </c>
      <c r="AP137" s="25">
        <f t="shared" si="14"/>
        <v>10</v>
      </c>
      <c r="AQ137" s="25" t="str">
        <f>VLOOKUP(C137,'시스템이펙트 참고자료'!$A:$B,2,FALSE)</f>
        <v>ACTIVE_ATTACK_SPEED_UP</v>
      </c>
      <c r="AS137" s="25">
        <v>1</v>
      </c>
      <c r="BD137" s="25">
        <v>1</v>
      </c>
    </row>
    <row r="138" spans="1:56" hidden="1">
      <c r="A138" s="25">
        <v>133</v>
      </c>
      <c r="B138" s="25" t="str">
        <f>VLOOKUP(C138,'시스템이펙트 참고자료'!$A:$C,2,FALSE)</f>
        <v>ACTIVE_STR_UP</v>
      </c>
      <c r="C138" s="25">
        <v>610</v>
      </c>
      <c r="D138" s="25">
        <f>VLOOKUP(C138,'시스템이펙트 참고자료'!$A:$D,4,FALSE)</f>
        <v>0</v>
      </c>
      <c r="E138" s="25">
        <v>0</v>
      </c>
      <c r="F138" s="25">
        <v>0</v>
      </c>
      <c r="G138" s="25">
        <f t="shared" si="13"/>
        <v>2</v>
      </c>
      <c r="H138" s="25" t="s">
        <v>395</v>
      </c>
      <c r="I138" s="25">
        <v>1</v>
      </c>
      <c r="J138" s="25" t="str">
        <f>VLOOKUP(C138,'시스템이펙트 참고자료'!$A:$C,3,FALSE)</f>
        <v>절대값/상대값(%) 가능</v>
      </c>
      <c r="K138" s="25">
        <v>0</v>
      </c>
      <c r="M138" s="25">
        <v>11</v>
      </c>
      <c r="N138" s="25">
        <f t="shared" si="15"/>
        <v>57</v>
      </c>
      <c r="O138" s="25">
        <v>1</v>
      </c>
      <c r="P138" s="25">
        <v>1</v>
      </c>
      <c r="Q138" s="25">
        <v>1</v>
      </c>
      <c r="R138" s="25">
        <v>1</v>
      </c>
      <c r="T138" s="25">
        <v>1</v>
      </c>
      <c r="AA138" s="25">
        <f t="shared" si="10"/>
        <v>128</v>
      </c>
      <c r="AK138" s="25">
        <v>1</v>
      </c>
      <c r="AM138" s="25">
        <v>57</v>
      </c>
      <c r="AN138" s="25">
        <v>100</v>
      </c>
      <c r="AP138" s="25">
        <f t="shared" si="14"/>
        <v>2</v>
      </c>
      <c r="AQ138" s="25" t="str">
        <f>VLOOKUP(C138,'시스템이펙트 참고자료'!$A:$B,2,FALSE)</f>
        <v>ACTIVE_STR_UP</v>
      </c>
      <c r="AS138" s="25">
        <v>1</v>
      </c>
      <c r="BD138" s="25">
        <v>1</v>
      </c>
    </row>
    <row r="139" spans="1:56" hidden="1">
      <c r="A139" s="25">
        <v>134</v>
      </c>
      <c r="B139" s="25" t="str">
        <f>VLOOKUP(C139,'시스템이펙트 참고자료'!$A:$C,2,FALSE)</f>
        <v>ACTIVE_CON_UP</v>
      </c>
      <c r="C139" s="25">
        <v>611</v>
      </c>
      <c r="D139" s="25">
        <f>VLOOKUP(C139,'시스템이펙트 참고자료'!$A:$D,4,FALSE)</f>
        <v>0</v>
      </c>
      <c r="E139" s="25">
        <v>0</v>
      </c>
      <c r="F139" s="25">
        <v>0</v>
      </c>
      <c r="G139" s="25">
        <f t="shared" si="13"/>
        <v>3</v>
      </c>
      <c r="H139" s="25" t="s">
        <v>395</v>
      </c>
      <c r="I139" s="25">
        <v>1</v>
      </c>
      <c r="J139" s="25" t="str">
        <f>VLOOKUP(C139,'시스템이펙트 참고자료'!$A:$C,3,FALSE)</f>
        <v>절대값/상대값(%) 가능</v>
      </c>
      <c r="K139" s="25">
        <v>0</v>
      </c>
      <c r="M139" s="25">
        <v>11</v>
      </c>
      <c r="N139" s="25">
        <f t="shared" si="15"/>
        <v>48</v>
      </c>
      <c r="O139" s="25">
        <v>1</v>
      </c>
      <c r="P139" s="25">
        <v>1</v>
      </c>
      <c r="Q139" s="25">
        <v>1</v>
      </c>
      <c r="R139" s="25">
        <v>1</v>
      </c>
      <c r="T139" s="25">
        <v>1</v>
      </c>
      <c r="AA139" s="25">
        <f t="shared" si="10"/>
        <v>128</v>
      </c>
      <c r="AK139" s="25">
        <v>1</v>
      </c>
      <c r="AM139" s="25">
        <v>48</v>
      </c>
      <c r="AN139" s="25">
        <v>100</v>
      </c>
      <c r="AP139" s="25">
        <f t="shared" si="14"/>
        <v>3</v>
      </c>
      <c r="AQ139" s="25" t="str">
        <f>VLOOKUP(C139,'시스템이펙트 참고자료'!$A:$B,2,FALSE)</f>
        <v>ACTIVE_CON_UP</v>
      </c>
      <c r="AS139" s="25">
        <v>1</v>
      </c>
      <c r="BD139" s="25">
        <v>1</v>
      </c>
    </row>
    <row r="140" spans="1:56" hidden="1">
      <c r="A140" s="25">
        <v>135</v>
      </c>
      <c r="B140" s="25" t="str">
        <f>VLOOKUP(C140,'시스템이펙트 참고자료'!$A:$C,2,FALSE)</f>
        <v>ACTIVE_FOC_UP</v>
      </c>
      <c r="C140" s="25">
        <v>612</v>
      </c>
      <c r="D140" s="25">
        <f>VLOOKUP(C140,'시스템이펙트 참고자료'!$A:$D,4,FALSE)</f>
        <v>0</v>
      </c>
      <c r="E140" s="25">
        <v>0</v>
      </c>
      <c r="F140" s="25">
        <v>0</v>
      </c>
      <c r="G140" s="25">
        <f t="shared" si="13"/>
        <v>2</v>
      </c>
      <c r="H140" s="25" t="s">
        <v>395</v>
      </c>
      <c r="I140" s="25">
        <v>1</v>
      </c>
      <c r="J140" s="25" t="str">
        <f>VLOOKUP(C140,'시스템이펙트 참고자료'!$A:$C,3,FALSE)</f>
        <v>절대값/상대값(%) 가능</v>
      </c>
      <c r="K140" s="25">
        <v>0</v>
      </c>
      <c r="M140" s="25">
        <v>11</v>
      </c>
      <c r="N140" s="25">
        <f t="shared" si="15"/>
        <v>53</v>
      </c>
      <c r="O140" s="25">
        <v>1</v>
      </c>
      <c r="P140" s="25">
        <v>1</v>
      </c>
      <c r="Q140" s="25">
        <v>1</v>
      </c>
      <c r="R140" s="25">
        <v>1</v>
      </c>
      <c r="T140" s="25">
        <v>1</v>
      </c>
      <c r="AA140" s="25">
        <f t="shared" si="10"/>
        <v>128</v>
      </c>
      <c r="AK140" s="25">
        <v>1</v>
      </c>
      <c r="AM140" s="25">
        <v>53</v>
      </c>
      <c r="AN140" s="25">
        <v>100</v>
      </c>
      <c r="AP140" s="25">
        <f t="shared" si="14"/>
        <v>2</v>
      </c>
      <c r="AQ140" s="25" t="str">
        <f>VLOOKUP(C140,'시스템이펙트 참고자료'!$A:$B,2,FALSE)</f>
        <v>ACTIVE_FOC_UP</v>
      </c>
      <c r="AS140" s="25">
        <v>1</v>
      </c>
      <c r="BD140" s="25">
        <v>1</v>
      </c>
    </row>
    <row r="141" spans="1:56" hidden="1">
      <c r="A141" s="25">
        <v>136</v>
      </c>
      <c r="B141" s="25" t="str">
        <f>VLOOKUP(C141,'시스템이펙트 참고자료'!$A:$C,2,FALSE)</f>
        <v>ACTIVE_DEX_UP</v>
      </c>
      <c r="C141" s="25">
        <v>613</v>
      </c>
      <c r="D141" s="25">
        <f>VLOOKUP(C141,'시스템이펙트 참고자료'!$A:$D,4,FALSE)</f>
        <v>0</v>
      </c>
      <c r="E141" s="25">
        <v>0</v>
      </c>
      <c r="F141" s="25">
        <v>0</v>
      </c>
      <c r="G141" s="25">
        <f t="shared" si="13"/>
        <v>3</v>
      </c>
      <c r="H141" s="25" t="s">
        <v>395</v>
      </c>
      <c r="I141" s="25">
        <v>1</v>
      </c>
      <c r="J141" s="25" t="str">
        <f>VLOOKUP(C141,'시스템이펙트 참고자료'!$A:$C,3,FALSE)</f>
        <v>절대값/상대값(%) 가능</v>
      </c>
      <c r="K141" s="25">
        <v>0</v>
      </c>
      <c r="M141" s="25">
        <v>11</v>
      </c>
      <c r="N141" s="25">
        <f t="shared" si="15"/>
        <v>44</v>
      </c>
      <c r="O141" s="25">
        <v>1</v>
      </c>
      <c r="P141" s="25">
        <v>1</v>
      </c>
      <c r="Q141" s="25">
        <v>1</v>
      </c>
      <c r="R141" s="25">
        <v>1</v>
      </c>
      <c r="T141" s="25">
        <v>1</v>
      </c>
      <c r="AA141" s="25">
        <f t="shared" si="10"/>
        <v>128</v>
      </c>
      <c r="AK141" s="25">
        <v>1</v>
      </c>
      <c r="AM141" s="25">
        <v>44</v>
      </c>
      <c r="AN141" s="25">
        <v>100</v>
      </c>
      <c r="AP141" s="25">
        <f t="shared" si="14"/>
        <v>3</v>
      </c>
      <c r="AQ141" s="25" t="str">
        <f>VLOOKUP(C141,'시스템이펙트 참고자료'!$A:$B,2,FALSE)</f>
        <v>ACTIVE_DEX_UP</v>
      </c>
      <c r="AS141" s="25">
        <v>1</v>
      </c>
      <c r="BD141" s="25">
        <v>1</v>
      </c>
    </row>
    <row r="142" spans="1:56" hidden="1">
      <c r="A142" s="25">
        <v>137</v>
      </c>
      <c r="B142" s="25" t="str">
        <f>VLOOKUP(C142,'시스템이펙트 참고자료'!$A:$C,2,FALSE)</f>
        <v>ACTIVE_SOL_UP</v>
      </c>
      <c r="C142" s="25">
        <v>614</v>
      </c>
      <c r="D142" s="25">
        <f>VLOOKUP(C142,'시스템이펙트 참고자료'!$A:$D,4,FALSE)</f>
        <v>0</v>
      </c>
      <c r="E142" s="25">
        <v>0</v>
      </c>
      <c r="F142" s="25">
        <v>0</v>
      </c>
      <c r="G142" s="25">
        <f t="shared" si="13"/>
        <v>2</v>
      </c>
      <c r="H142" s="25" t="s">
        <v>395</v>
      </c>
      <c r="I142" s="25">
        <v>1</v>
      </c>
      <c r="J142" s="25" t="str">
        <f>VLOOKUP(C142,'시스템이펙트 참고자료'!$A:$C,3,FALSE)</f>
        <v>절대값/상대값(%) 가능</v>
      </c>
      <c r="K142" s="25">
        <v>0</v>
      </c>
      <c r="M142" s="25">
        <v>11</v>
      </c>
      <c r="N142" s="25">
        <f t="shared" si="15"/>
        <v>53</v>
      </c>
      <c r="O142" s="25">
        <v>1</v>
      </c>
      <c r="P142" s="25">
        <v>1</v>
      </c>
      <c r="Q142" s="25">
        <v>1</v>
      </c>
      <c r="R142" s="25">
        <v>1</v>
      </c>
      <c r="T142" s="25">
        <v>1</v>
      </c>
      <c r="AA142" s="25">
        <f t="shared" si="10"/>
        <v>128</v>
      </c>
      <c r="AK142" s="25">
        <v>1</v>
      </c>
      <c r="AM142" s="25">
        <v>53</v>
      </c>
      <c r="AN142" s="25">
        <v>100</v>
      </c>
      <c r="AP142" s="25">
        <f t="shared" si="14"/>
        <v>2</v>
      </c>
      <c r="AQ142" s="25" t="str">
        <f>VLOOKUP(C142,'시스템이펙트 참고자료'!$A:$B,2,FALSE)</f>
        <v>ACTIVE_SOL_UP</v>
      </c>
      <c r="AS142" s="25">
        <v>1</v>
      </c>
      <c r="BD142" s="25">
        <v>1</v>
      </c>
    </row>
    <row r="143" spans="1:56" hidden="1">
      <c r="A143" s="25">
        <v>138</v>
      </c>
      <c r="B143" s="25" t="str">
        <f>VLOOKUP(C143,'시스템이펙트 참고자료'!$A:$C,2,FALSE)</f>
        <v>ACTIVE_ENG_UP</v>
      </c>
      <c r="C143" s="25">
        <v>615</v>
      </c>
      <c r="D143" s="25">
        <f>VLOOKUP(C143,'시스템이펙트 참고자료'!$A:$D,4,FALSE)</f>
        <v>0</v>
      </c>
      <c r="E143" s="25">
        <v>0</v>
      </c>
      <c r="F143" s="25">
        <v>0</v>
      </c>
      <c r="G143" s="25">
        <f t="shared" si="13"/>
        <v>2</v>
      </c>
      <c r="H143" s="25" t="s">
        <v>395</v>
      </c>
      <c r="I143" s="25">
        <v>1</v>
      </c>
      <c r="J143" s="25" t="str">
        <f>VLOOKUP(C143,'시스템이펙트 참고자료'!$A:$C,3,FALSE)</f>
        <v>절대값/상대값(%) 가능</v>
      </c>
      <c r="K143" s="25">
        <v>0</v>
      </c>
      <c r="M143" s="25">
        <v>11</v>
      </c>
      <c r="N143" s="25">
        <f t="shared" si="15"/>
        <v>62</v>
      </c>
      <c r="O143" s="25">
        <v>1</v>
      </c>
      <c r="P143" s="25">
        <v>1</v>
      </c>
      <c r="Q143" s="25">
        <v>1</v>
      </c>
      <c r="R143" s="25">
        <v>1</v>
      </c>
      <c r="T143" s="25">
        <v>1</v>
      </c>
      <c r="AA143" s="25">
        <f t="shared" si="10"/>
        <v>128</v>
      </c>
      <c r="AK143" s="25">
        <v>1</v>
      </c>
      <c r="AM143" s="25">
        <v>62</v>
      </c>
      <c r="AN143" s="25">
        <v>100</v>
      </c>
      <c r="AP143" s="25">
        <f t="shared" si="14"/>
        <v>2</v>
      </c>
      <c r="AQ143" s="25" t="str">
        <f>VLOOKUP(C143,'시스템이펙트 참고자료'!$A:$B,2,FALSE)</f>
        <v>ACTIVE_ENG_UP</v>
      </c>
      <c r="AS143" s="25">
        <v>1</v>
      </c>
      <c r="BD143" s="25">
        <v>1</v>
      </c>
    </row>
    <row r="144" spans="1:56" hidden="1">
      <c r="A144" s="25">
        <v>139</v>
      </c>
      <c r="B144" s="25" t="str">
        <f>VLOOKUP(C144,'시스템이펙트 참고자료'!$A:$C,2,FALSE)</f>
        <v>ACTIVE_PHYSICAL_DEFENCE_UP</v>
      </c>
      <c r="C144" s="25">
        <v>608</v>
      </c>
      <c r="D144" s="25">
        <f>VLOOKUP(C144,'시스템이펙트 참고자료'!$A:$D,4,FALSE)</f>
        <v>0</v>
      </c>
      <c r="E144" s="25">
        <v>0</v>
      </c>
      <c r="F144" s="25">
        <v>0</v>
      </c>
      <c r="G144" s="25">
        <f t="shared" si="13"/>
        <v>1</v>
      </c>
      <c r="H144" s="25" t="s">
        <v>395</v>
      </c>
      <c r="I144" s="25">
        <v>1</v>
      </c>
      <c r="J144" s="25" t="str">
        <f>VLOOKUP(C144,'시스템이펙트 참고자료'!$A:$C,3,FALSE)</f>
        <v>절대값/상대값(%) 가능</v>
      </c>
      <c r="K144" s="25">
        <v>0</v>
      </c>
      <c r="M144" s="25">
        <v>12</v>
      </c>
      <c r="N144" s="25">
        <f t="shared" si="15"/>
        <v>1350</v>
      </c>
      <c r="O144" s="25">
        <v>1</v>
      </c>
      <c r="P144" s="25">
        <v>1</v>
      </c>
      <c r="Q144" s="25">
        <v>1</v>
      </c>
      <c r="R144" s="25">
        <v>1</v>
      </c>
      <c r="T144" s="25">
        <v>1</v>
      </c>
      <c r="AA144" s="25">
        <f t="shared" si="10"/>
        <v>128</v>
      </c>
      <c r="AK144" s="25">
        <v>1</v>
      </c>
      <c r="AM144" s="25">
        <v>1350</v>
      </c>
      <c r="AN144" s="25">
        <v>100</v>
      </c>
      <c r="AP144" s="25">
        <f t="shared" si="14"/>
        <v>1</v>
      </c>
      <c r="AQ144" s="25" t="str">
        <f>VLOOKUP(C144,'시스템이펙트 참고자료'!$A:$B,2,FALSE)</f>
        <v>ACTIVE_PHYSICAL_DEFENCE_UP</v>
      </c>
      <c r="AS144" s="25">
        <v>1</v>
      </c>
      <c r="BD144" s="25">
        <v>1</v>
      </c>
    </row>
    <row r="145" spans="1:56" hidden="1">
      <c r="A145" s="25">
        <v>140</v>
      </c>
      <c r="B145" s="25" t="str">
        <f>VLOOKUP(C145,'시스템이펙트 참고자료'!$A:$C,2,FALSE)</f>
        <v>ACTIVE_BLOCK_RATE_UP</v>
      </c>
      <c r="C145" s="25">
        <v>620</v>
      </c>
      <c r="D145" s="25">
        <f>VLOOKUP(C145,'시스템이펙트 참고자료'!$A:$D,4,FALSE)</f>
        <v>0</v>
      </c>
      <c r="E145" s="25">
        <v>0</v>
      </c>
      <c r="F145" s="25">
        <v>0</v>
      </c>
      <c r="G145" s="25">
        <f t="shared" si="13"/>
        <v>1</v>
      </c>
      <c r="H145" s="25" t="s">
        <v>395</v>
      </c>
      <c r="I145" s="25">
        <v>1</v>
      </c>
      <c r="J145" s="25" t="str">
        <f>VLOOKUP(C145,'시스템이펙트 참고자료'!$A:$C,3,FALSE)</f>
        <v>절대값/상대값(%) 가능</v>
      </c>
      <c r="K145" s="25">
        <v>0</v>
      </c>
      <c r="M145" s="25">
        <v>12</v>
      </c>
      <c r="N145" s="25">
        <f t="shared" si="15"/>
        <v>352</v>
      </c>
      <c r="O145" s="25">
        <v>1</v>
      </c>
      <c r="P145" s="25">
        <v>1</v>
      </c>
      <c r="Q145" s="25">
        <v>1</v>
      </c>
      <c r="R145" s="25">
        <v>1</v>
      </c>
      <c r="T145" s="25">
        <v>1</v>
      </c>
      <c r="AA145" s="25">
        <f t="shared" si="10"/>
        <v>128</v>
      </c>
      <c r="AK145" s="25">
        <v>1</v>
      </c>
      <c r="AM145" s="25">
        <v>352</v>
      </c>
      <c r="AN145" s="25">
        <v>100</v>
      </c>
      <c r="AP145" s="25">
        <f t="shared" si="14"/>
        <v>1</v>
      </c>
      <c r="AQ145" s="25" t="str">
        <f>VLOOKUP(C145,'시스템이펙트 참고자료'!$A:$B,2,FALSE)</f>
        <v>ACTIVE_BLOCK_RATE_UP</v>
      </c>
      <c r="AS145" s="25">
        <v>1</v>
      </c>
      <c r="BD145" s="25">
        <v>1</v>
      </c>
    </row>
    <row r="146" spans="1:56" hidden="1">
      <c r="A146" s="25">
        <v>141</v>
      </c>
      <c r="B146" s="25" t="str">
        <f>VLOOKUP(C146,'시스템이펙트 참고자료'!$A:$C,2,FALSE)</f>
        <v>ACTIVE_CON_UP</v>
      </c>
      <c r="C146" s="25">
        <v>611</v>
      </c>
      <c r="D146" s="25">
        <f>VLOOKUP(C146,'시스템이펙트 참고자료'!$A:$D,4,FALSE)</f>
        <v>0</v>
      </c>
      <c r="E146" s="25">
        <v>0</v>
      </c>
      <c r="F146" s="25">
        <v>0</v>
      </c>
      <c r="G146" s="25">
        <f t="shared" si="13"/>
        <v>3</v>
      </c>
      <c r="H146" s="25" t="s">
        <v>395</v>
      </c>
      <c r="I146" s="25">
        <v>1</v>
      </c>
      <c r="J146" s="25" t="str">
        <f>VLOOKUP(C146,'시스템이펙트 참고자료'!$A:$C,3,FALSE)</f>
        <v>절대값/상대값(%) 가능</v>
      </c>
      <c r="K146" s="25">
        <v>0</v>
      </c>
      <c r="M146" s="25">
        <v>12</v>
      </c>
      <c r="N146" s="25">
        <f t="shared" si="15"/>
        <v>48</v>
      </c>
      <c r="O146" s="25">
        <v>1</v>
      </c>
      <c r="P146" s="25">
        <v>1</v>
      </c>
      <c r="Q146" s="25">
        <v>1</v>
      </c>
      <c r="R146" s="25">
        <v>1</v>
      </c>
      <c r="T146" s="25">
        <v>1</v>
      </c>
      <c r="AA146" s="25">
        <f t="shared" si="10"/>
        <v>128</v>
      </c>
      <c r="AK146" s="25">
        <v>1</v>
      </c>
      <c r="AM146" s="25">
        <v>48</v>
      </c>
      <c r="AN146" s="25">
        <v>100</v>
      </c>
      <c r="AP146" s="25">
        <f t="shared" si="14"/>
        <v>3</v>
      </c>
      <c r="AQ146" s="25" t="str">
        <f>VLOOKUP(C146,'시스템이펙트 참고자료'!$A:$B,2,FALSE)</f>
        <v>ACTIVE_CON_UP</v>
      </c>
      <c r="AS146" s="25">
        <v>1</v>
      </c>
      <c r="BD146" s="25">
        <v>1</v>
      </c>
    </row>
    <row r="147" spans="1:56" hidden="1">
      <c r="A147" s="25">
        <v>142</v>
      </c>
      <c r="B147" s="25" t="str">
        <f>VLOOKUP(C147,'시스템이펙트 참고자료'!$A:$C,2,FALSE)</f>
        <v>ACTIVE_FOC_UP</v>
      </c>
      <c r="C147" s="25">
        <v>612</v>
      </c>
      <c r="D147" s="25">
        <f>VLOOKUP(C147,'시스템이펙트 참고자료'!$A:$D,4,FALSE)</f>
        <v>0</v>
      </c>
      <c r="E147" s="25">
        <v>0</v>
      </c>
      <c r="F147" s="25">
        <v>0</v>
      </c>
      <c r="G147" s="25">
        <f t="shared" si="13"/>
        <v>2</v>
      </c>
      <c r="H147" s="25" t="s">
        <v>395</v>
      </c>
      <c r="I147" s="25">
        <v>1</v>
      </c>
      <c r="J147" s="25" t="str">
        <f>VLOOKUP(C147,'시스템이펙트 참고자료'!$A:$C,3,FALSE)</f>
        <v>절대값/상대값(%) 가능</v>
      </c>
      <c r="K147" s="25">
        <v>0</v>
      </c>
      <c r="M147" s="25">
        <v>12</v>
      </c>
      <c r="N147" s="25">
        <f t="shared" si="15"/>
        <v>53</v>
      </c>
      <c r="O147" s="25">
        <v>1</v>
      </c>
      <c r="P147" s="25">
        <v>1</v>
      </c>
      <c r="Q147" s="25">
        <v>1</v>
      </c>
      <c r="R147" s="25">
        <v>1</v>
      </c>
      <c r="T147" s="25">
        <v>1</v>
      </c>
      <c r="AA147" s="25">
        <f t="shared" ref="AA147:AA210" si="16">2^AA$1</f>
        <v>128</v>
      </c>
      <c r="AK147" s="25">
        <v>1</v>
      </c>
      <c r="AM147" s="25">
        <v>53</v>
      </c>
      <c r="AN147" s="25">
        <v>100</v>
      </c>
      <c r="AP147" s="25">
        <f t="shared" si="14"/>
        <v>2</v>
      </c>
      <c r="AQ147" s="25" t="str">
        <f>VLOOKUP(C147,'시스템이펙트 참고자료'!$A:$B,2,FALSE)</f>
        <v>ACTIVE_FOC_UP</v>
      </c>
      <c r="AS147" s="25">
        <v>1</v>
      </c>
      <c r="BD147" s="25">
        <v>1</v>
      </c>
    </row>
    <row r="148" spans="1:56" hidden="1">
      <c r="A148" s="25">
        <v>143</v>
      </c>
      <c r="B148" s="25" t="str">
        <f>VLOOKUP(C148,'시스템이펙트 참고자료'!$A:$C,2,FALSE)</f>
        <v>ACTIVE_ENERGY_OFFENCE_UP</v>
      </c>
      <c r="C148" s="25">
        <v>607</v>
      </c>
      <c r="D148" s="25">
        <f>VLOOKUP(C148,'시스템이펙트 참고자료'!$A:$D,4,FALSE)</f>
        <v>0</v>
      </c>
      <c r="E148" s="25">
        <v>0</v>
      </c>
      <c r="F148" s="25">
        <v>0</v>
      </c>
      <c r="G148" s="25">
        <f t="shared" ref="G148:G211" si="17">IF(N148&gt;0,INT(100/N148+0.99),0)</f>
        <v>1</v>
      </c>
      <c r="H148" s="25" t="s">
        <v>395</v>
      </c>
      <c r="I148" s="25">
        <v>1</v>
      </c>
      <c r="J148" s="25" t="str">
        <f>VLOOKUP(C148,'시스템이펙트 참고자료'!$A:$C,3,FALSE)</f>
        <v>절대값/상대값(%) 가능</v>
      </c>
      <c r="K148" s="25">
        <v>1</v>
      </c>
      <c r="M148" s="25">
        <v>3</v>
      </c>
      <c r="N148" s="25">
        <f t="shared" si="15"/>
        <v>104</v>
      </c>
      <c r="O148" s="25">
        <v>1</v>
      </c>
      <c r="P148" s="25">
        <v>1</v>
      </c>
      <c r="Q148" s="25">
        <v>1</v>
      </c>
      <c r="R148" s="25">
        <v>1</v>
      </c>
      <c r="T148" s="25">
        <v>1</v>
      </c>
      <c r="AA148" s="25">
        <f t="shared" si="16"/>
        <v>128</v>
      </c>
      <c r="AK148" s="25">
        <v>1</v>
      </c>
      <c r="AM148" s="25">
        <v>104</v>
      </c>
      <c r="AN148" s="25">
        <v>100</v>
      </c>
      <c r="AP148" s="25">
        <f t="shared" ref="AP148:AP211" si="18">INT(100/N148+0.99)</f>
        <v>1</v>
      </c>
      <c r="AQ148" s="25" t="str">
        <f>VLOOKUP(C148,'시스템이펙트 참고자료'!$A:$B,2,FALSE)</f>
        <v>ACTIVE_ENERGY_OFFENCE_UP</v>
      </c>
      <c r="AS148" s="25">
        <v>1</v>
      </c>
      <c r="BD148" s="25">
        <v>1</v>
      </c>
    </row>
    <row r="149" spans="1:56" hidden="1">
      <c r="A149" s="25">
        <v>144</v>
      </c>
      <c r="B149" s="25" t="str">
        <f>VLOOKUP(C149,'시스템이펙트 참고자료'!$A:$C,2,FALSE)</f>
        <v>ACTIVE_FOC_UP</v>
      </c>
      <c r="C149" s="25">
        <v>612</v>
      </c>
      <c r="D149" s="25">
        <f>VLOOKUP(C149,'시스템이펙트 참고자료'!$A:$D,4,FALSE)</f>
        <v>0</v>
      </c>
      <c r="E149" s="25">
        <v>0</v>
      </c>
      <c r="F149" s="25">
        <v>0</v>
      </c>
      <c r="G149" s="25">
        <f t="shared" si="17"/>
        <v>2</v>
      </c>
      <c r="H149" s="25" t="s">
        <v>395</v>
      </c>
      <c r="I149" s="25">
        <v>1</v>
      </c>
      <c r="J149" s="25" t="str">
        <f>VLOOKUP(C149,'시스템이펙트 참고자료'!$A:$C,3,FALSE)</f>
        <v>절대값/상대값(%) 가능</v>
      </c>
      <c r="K149" s="25">
        <v>1</v>
      </c>
      <c r="M149" s="25">
        <v>3</v>
      </c>
      <c r="N149" s="25">
        <f t="shared" si="15"/>
        <v>53</v>
      </c>
      <c r="O149" s="25">
        <v>1</v>
      </c>
      <c r="P149" s="25">
        <v>1</v>
      </c>
      <c r="Q149" s="25">
        <v>1</v>
      </c>
      <c r="R149" s="25">
        <v>1</v>
      </c>
      <c r="T149" s="25">
        <v>1</v>
      </c>
      <c r="AA149" s="25">
        <f t="shared" si="16"/>
        <v>128</v>
      </c>
      <c r="AK149" s="25">
        <v>1</v>
      </c>
      <c r="AM149" s="25">
        <v>53</v>
      </c>
      <c r="AN149" s="25">
        <v>100</v>
      </c>
      <c r="AP149" s="25">
        <f t="shared" si="18"/>
        <v>2</v>
      </c>
      <c r="AQ149" s="25" t="str">
        <f>VLOOKUP(C149,'시스템이펙트 참고자료'!$A:$B,2,FALSE)</f>
        <v>ACTIVE_FOC_UP</v>
      </c>
      <c r="AS149" s="25">
        <v>1</v>
      </c>
      <c r="BD149" s="25">
        <v>1</v>
      </c>
    </row>
    <row r="150" spans="1:56" hidden="1">
      <c r="A150" s="25">
        <v>145</v>
      </c>
      <c r="B150" s="25" t="str">
        <f>VLOOKUP(C150,'시스템이펙트 참고자료'!$A:$C,2,FALSE)</f>
        <v>ACTIVE_SOL_UP</v>
      </c>
      <c r="C150" s="25">
        <v>614</v>
      </c>
      <c r="D150" s="25">
        <f>VLOOKUP(C150,'시스템이펙트 참고자료'!$A:$D,4,FALSE)</f>
        <v>0</v>
      </c>
      <c r="E150" s="25">
        <v>0</v>
      </c>
      <c r="F150" s="25">
        <v>0</v>
      </c>
      <c r="G150" s="25">
        <f t="shared" si="17"/>
        <v>2</v>
      </c>
      <c r="H150" s="25" t="s">
        <v>395</v>
      </c>
      <c r="I150" s="25">
        <v>1</v>
      </c>
      <c r="J150" s="25" t="str">
        <f>VLOOKUP(C150,'시스템이펙트 참고자료'!$A:$C,3,FALSE)</f>
        <v>절대값/상대값(%) 가능</v>
      </c>
      <c r="K150" s="25">
        <v>1</v>
      </c>
      <c r="M150" s="25">
        <v>3</v>
      </c>
      <c r="N150" s="25">
        <f t="shared" si="15"/>
        <v>53</v>
      </c>
      <c r="O150" s="25">
        <v>1</v>
      </c>
      <c r="P150" s="25">
        <v>1</v>
      </c>
      <c r="Q150" s="25">
        <v>1</v>
      </c>
      <c r="R150" s="25">
        <v>1</v>
      </c>
      <c r="T150" s="25">
        <v>1</v>
      </c>
      <c r="AA150" s="25">
        <f t="shared" si="16"/>
        <v>128</v>
      </c>
      <c r="AK150" s="25">
        <v>1</v>
      </c>
      <c r="AM150" s="25">
        <v>53</v>
      </c>
      <c r="AN150" s="25">
        <v>100</v>
      </c>
      <c r="AP150" s="25">
        <f t="shared" si="18"/>
        <v>2</v>
      </c>
      <c r="AQ150" s="25" t="str">
        <f>VLOOKUP(C150,'시스템이펙트 참고자료'!$A:$B,2,FALSE)</f>
        <v>ACTIVE_SOL_UP</v>
      </c>
      <c r="AS150" s="25">
        <v>1</v>
      </c>
      <c r="BD150" s="25">
        <v>1</v>
      </c>
    </row>
    <row r="151" spans="1:56" hidden="1">
      <c r="A151" s="25">
        <v>146</v>
      </c>
      <c r="B151" s="25" t="str">
        <f>VLOOKUP(C151,'시스템이펙트 참고자료'!$A:$C,2,FALSE)</f>
        <v>ACTIVE_ENERGY_CRITICAL_DAMAGE_UP</v>
      </c>
      <c r="C151" s="25">
        <v>659</v>
      </c>
      <c r="D151" s="25">
        <f>VLOOKUP(C151,'시스템이펙트 참고자료'!$A:$D,4,FALSE)</f>
        <v>0</v>
      </c>
      <c r="E151" s="25">
        <v>0</v>
      </c>
      <c r="F151" s="25">
        <v>0</v>
      </c>
      <c r="G151" s="25">
        <f t="shared" si="17"/>
        <v>4</v>
      </c>
      <c r="H151" s="25" t="s">
        <v>395</v>
      </c>
      <c r="I151" s="25">
        <v>1</v>
      </c>
      <c r="J151" s="25" t="str">
        <f>VLOOKUP(C151,'시스템이펙트 참고자료'!$A:$C,3,FALSE)</f>
        <v>절대값만 가능</v>
      </c>
      <c r="K151" s="25">
        <v>1</v>
      </c>
      <c r="M151" s="25">
        <v>3</v>
      </c>
      <c r="N151" s="25">
        <f t="shared" si="15"/>
        <v>32</v>
      </c>
      <c r="O151" s="25">
        <v>1</v>
      </c>
      <c r="P151" s="25">
        <v>1</v>
      </c>
      <c r="Q151" s="25">
        <v>1</v>
      </c>
      <c r="R151" s="25">
        <v>1</v>
      </c>
      <c r="T151" s="25">
        <v>1</v>
      </c>
      <c r="AA151" s="25">
        <f t="shared" si="16"/>
        <v>128</v>
      </c>
      <c r="AK151" s="25">
        <v>1</v>
      </c>
      <c r="AM151" s="25">
        <v>32</v>
      </c>
      <c r="AN151" s="25">
        <v>100</v>
      </c>
      <c r="AP151" s="25">
        <f t="shared" si="18"/>
        <v>4</v>
      </c>
      <c r="AQ151" s="25" t="str">
        <f>VLOOKUP(C151,'시스템이펙트 참고자료'!$A:$B,2,FALSE)</f>
        <v>ACTIVE_ENERGY_CRITICAL_DAMAGE_UP</v>
      </c>
      <c r="AS151" s="25">
        <v>1</v>
      </c>
      <c r="BD151" s="25">
        <v>1</v>
      </c>
    </row>
    <row r="152" spans="1:56" hidden="1">
      <c r="A152" s="25">
        <v>147</v>
      </c>
      <c r="B152" s="25" t="str">
        <f>VLOOKUP(C152,'시스템이펙트 참고자료'!$A:$C,2,FALSE)</f>
        <v>ACTIVE_ENERGY_CRITICAL</v>
      </c>
      <c r="C152" s="25">
        <v>633</v>
      </c>
      <c r="D152" s="25">
        <f>VLOOKUP(C152,'시스템이펙트 참고자료'!$A:$D,4,FALSE)</f>
        <v>0</v>
      </c>
      <c r="E152" s="25">
        <v>0</v>
      </c>
      <c r="F152" s="25">
        <v>0</v>
      </c>
      <c r="G152" s="25">
        <f t="shared" si="17"/>
        <v>5</v>
      </c>
      <c r="H152" s="25" t="s">
        <v>395</v>
      </c>
      <c r="I152" s="25">
        <v>1</v>
      </c>
      <c r="J152" s="25" t="str">
        <f>VLOOKUP(C152,'시스템이펙트 참고자료'!$A:$C,3,FALSE)</f>
        <v>절대값/상대값(%) 가능</v>
      </c>
      <c r="K152" s="25">
        <v>1</v>
      </c>
      <c r="M152" s="25">
        <v>4</v>
      </c>
      <c r="N152" s="25">
        <f t="shared" si="15"/>
        <v>24</v>
      </c>
      <c r="O152" s="25">
        <v>1</v>
      </c>
      <c r="P152" s="25">
        <v>1</v>
      </c>
      <c r="Q152" s="25">
        <v>1</v>
      </c>
      <c r="R152" s="25">
        <v>1</v>
      </c>
      <c r="T152" s="25">
        <v>1</v>
      </c>
      <c r="AA152" s="25">
        <f t="shared" si="16"/>
        <v>128</v>
      </c>
      <c r="AK152" s="25">
        <v>1</v>
      </c>
      <c r="AM152" s="25">
        <v>24</v>
      </c>
      <c r="AN152" s="25">
        <v>100</v>
      </c>
      <c r="AP152" s="25">
        <f t="shared" si="18"/>
        <v>5</v>
      </c>
      <c r="AQ152" s="25" t="str">
        <f>VLOOKUP(C152,'시스템이펙트 참고자료'!$A:$B,2,FALSE)</f>
        <v>ACTIVE_ENERGY_CRITICAL</v>
      </c>
      <c r="AS152" s="25">
        <v>1</v>
      </c>
      <c r="BD152" s="25">
        <v>1</v>
      </c>
    </row>
    <row r="153" spans="1:56" hidden="1">
      <c r="A153" s="25">
        <v>148</v>
      </c>
      <c r="B153" s="25" t="str">
        <f>VLOOKUP(C153,'시스템이펙트 참고자료'!$A:$C,2,FALSE)</f>
        <v>ACTIVE_ENERGY_CRITICAL_DAMAGE_UP</v>
      </c>
      <c r="C153" s="25">
        <v>659</v>
      </c>
      <c r="D153" s="25">
        <f>VLOOKUP(C153,'시스템이펙트 참고자료'!$A:$D,4,FALSE)</f>
        <v>0</v>
      </c>
      <c r="E153" s="25">
        <v>0</v>
      </c>
      <c r="F153" s="25">
        <v>0</v>
      </c>
      <c r="G153" s="25">
        <f t="shared" si="17"/>
        <v>4</v>
      </c>
      <c r="H153" s="25" t="s">
        <v>395</v>
      </c>
      <c r="I153" s="25">
        <v>1</v>
      </c>
      <c r="J153" s="25" t="str">
        <f>VLOOKUP(C153,'시스템이펙트 참고자료'!$A:$C,3,FALSE)</f>
        <v>절대값만 가능</v>
      </c>
      <c r="K153" s="25">
        <v>1</v>
      </c>
      <c r="M153" s="25">
        <v>4</v>
      </c>
      <c r="N153" s="25">
        <f t="shared" si="15"/>
        <v>32</v>
      </c>
      <c r="O153" s="25">
        <v>1</v>
      </c>
      <c r="P153" s="25">
        <v>1</v>
      </c>
      <c r="Q153" s="25">
        <v>1</v>
      </c>
      <c r="R153" s="25">
        <v>1</v>
      </c>
      <c r="T153" s="25">
        <v>1</v>
      </c>
      <c r="AA153" s="25">
        <f t="shared" si="16"/>
        <v>128</v>
      </c>
      <c r="AK153" s="25">
        <v>1</v>
      </c>
      <c r="AM153" s="25">
        <v>32</v>
      </c>
      <c r="AN153" s="25">
        <v>100</v>
      </c>
      <c r="AP153" s="25">
        <f t="shared" si="18"/>
        <v>4</v>
      </c>
      <c r="AQ153" s="25" t="str">
        <f>VLOOKUP(C153,'시스템이펙트 참고자료'!$A:$B,2,FALSE)</f>
        <v>ACTIVE_ENERGY_CRITICAL_DAMAGE_UP</v>
      </c>
      <c r="AS153" s="25">
        <v>1</v>
      </c>
      <c r="BD153" s="25">
        <v>1</v>
      </c>
    </row>
    <row r="154" spans="1:56" hidden="1">
      <c r="A154" s="25">
        <v>149</v>
      </c>
      <c r="B154" s="25" t="str">
        <f>VLOOKUP(C154,'시스템이펙트 참고자료'!$A:$C,2,FALSE)</f>
        <v>ACTIVE_FOC_UP</v>
      </c>
      <c r="C154" s="25">
        <v>612</v>
      </c>
      <c r="D154" s="25">
        <f>VLOOKUP(C154,'시스템이펙트 참고자료'!$A:$D,4,FALSE)</f>
        <v>0</v>
      </c>
      <c r="E154" s="25">
        <v>0</v>
      </c>
      <c r="F154" s="25">
        <v>0</v>
      </c>
      <c r="G154" s="25">
        <f t="shared" si="17"/>
        <v>2</v>
      </c>
      <c r="H154" s="25" t="s">
        <v>395</v>
      </c>
      <c r="I154" s="25">
        <v>1</v>
      </c>
      <c r="J154" s="25" t="str">
        <f>VLOOKUP(C154,'시스템이펙트 참고자료'!$A:$C,3,FALSE)</f>
        <v>절대값/상대값(%) 가능</v>
      </c>
      <c r="K154" s="25">
        <v>1</v>
      </c>
      <c r="M154" s="25">
        <v>4</v>
      </c>
      <c r="N154" s="25">
        <f t="shared" si="15"/>
        <v>53</v>
      </c>
      <c r="O154" s="25">
        <v>1</v>
      </c>
      <c r="P154" s="25">
        <v>1</v>
      </c>
      <c r="Q154" s="25">
        <v>1</v>
      </c>
      <c r="R154" s="25">
        <v>1</v>
      </c>
      <c r="T154" s="25">
        <v>1</v>
      </c>
      <c r="AA154" s="25">
        <f t="shared" si="16"/>
        <v>128</v>
      </c>
      <c r="AK154" s="25">
        <v>1</v>
      </c>
      <c r="AM154" s="25">
        <v>53</v>
      </c>
      <c r="AN154" s="25">
        <v>100</v>
      </c>
      <c r="AP154" s="25">
        <f t="shared" si="18"/>
        <v>2</v>
      </c>
      <c r="AQ154" s="25" t="str">
        <f>VLOOKUP(C154,'시스템이펙트 참고자료'!$A:$B,2,FALSE)</f>
        <v>ACTIVE_FOC_UP</v>
      </c>
      <c r="AS154" s="25">
        <v>1</v>
      </c>
      <c r="BD154" s="25">
        <v>1</v>
      </c>
    </row>
    <row r="155" spans="1:56" hidden="1">
      <c r="A155" s="25">
        <v>150</v>
      </c>
      <c r="B155" s="25" t="str">
        <f>VLOOKUP(C155,'시스템이펙트 참고자료'!$A:$C,2,FALSE)</f>
        <v>ACTIVE_DEX_UP</v>
      </c>
      <c r="C155" s="25">
        <v>613</v>
      </c>
      <c r="D155" s="25">
        <f>VLOOKUP(C155,'시스템이펙트 참고자료'!$A:$D,4,FALSE)</f>
        <v>0</v>
      </c>
      <c r="E155" s="25">
        <v>0</v>
      </c>
      <c r="F155" s="25">
        <v>0</v>
      </c>
      <c r="G155" s="25">
        <f t="shared" si="17"/>
        <v>3</v>
      </c>
      <c r="H155" s="25" t="s">
        <v>395</v>
      </c>
      <c r="I155" s="25">
        <v>1</v>
      </c>
      <c r="J155" s="25" t="str">
        <f>VLOOKUP(C155,'시스템이펙트 참고자료'!$A:$C,3,FALSE)</f>
        <v>절대값/상대값(%) 가능</v>
      </c>
      <c r="K155" s="25">
        <v>1</v>
      </c>
      <c r="M155" s="25">
        <v>4</v>
      </c>
      <c r="N155" s="25">
        <f t="shared" si="15"/>
        <v>44</v>
      </c>
      <c r="O155" s="25">
        <v>1</v>
      </c>
      <c r="P155" s="25">
        <v>1</v>
      </c>
      <c r="Q155" s="25">
        <v>1</v>
      </c>
      <c r="R155" s="25">
        <v>1</v>
      </c>
      <c r="T155" s="25">
        <v>1</v>
      </c>
      <c r="AA155" s="25">
        <f t="shared" si="16"/>
        <v>128</v>
      </c>
      <c r="AK155" s="25">
        <v>1</v>
      </c>
      <c r="AM155" s="25">
        <v>44</v>
      </c>
      <c r="AN155" s="25">
        <v>100</v>
      </c>
      <c r="AP155" s="25">
        <f t="shared" si="18"/>
        <v>3</v>
      </c>
      <c r="AQ155" s="25" t="str">
        <f>VLOOKUP(C155,'시스템이펙트 참고자료'!$A:$B,2,FALSE)</f>
        <v>ACTIVE_DEX_UP</v>
      </c>
      <c r="AS155" s="25">
        <v>1</v>
      </c>
      <c r="BD155" s="25">
        <v>1</v>
      </c>
    </row>
    <row r="156" spans="1:56" hidden="1">
      <c r="A156" s="25">
        <v>151</v>
      </c>
      <c r="B156" s="25" t="str">
        <f>VLOOKUP(C156,'시스템이펙트 참고자료'!$A:$C,2,FALSE)</f>
        <v>ACTIVE_ATTACK_SPEED_UP</v>
      </c>
      <c r="C156" s="25">
        <v>617</v>
      </c>
      <c r="D156" s="25">
        <f>VLOOKUP(C156,'시스템이펙트 참고자료'!$A:$D,4,FALSE)</f>
        <v>1</v>
      </c>
      <c r="E156" s="25">
        <v>0</v>
      </c>
      <c r="F156" s="25">
        <v>0</v>
      </c>
      <c r="G156" s="25">
        <f t="shared" si="17"/>
        <v>10</v>
      </c>
      <c r="H156" s="25" t="s">
        <v>395</v>
      </c>
      <c r="I156" s="25">
        <v>1</v>
      </c>
      <c r="J156" s="25" t="str">
        <f>VLOOKUP(C156,'시스템이펙트 참고자료'!$A:$C,3,FALSE)</f>
        <v>절대값/상대값(%) 가능</v>
      </c>
      <c r="K156" s="25">
        <v>1</v>
      </c>
      <c r="M156" s="25">
        <v>5</v>
      </c>
      <c r="N156" s="25">
        <f t="shared" si="15"/>
        <v>10</v>
      </c>
      <c r="O156" s="25">
        <v>1</v>
      </c>
      <c r="P156" s="25">
        <v>1</v>
      </c>
      <c r="Q156" s="25">
        <v>1</v>
      </c>
      <c r="R156" s="25">
        <v>1</v>
      </c>
      <c r="T156" s="25">
        <v>1</v>
      </c>
      <c r="AA156" s="25">
        <f t="shared" si="16"/>
        <v>128</v>
      </c>
      <c r="AK156" s="25">
        <v>1</v>
      </c>
      <c r="AM156" s="25">
        <v>10</v>
      </c>
      <c r="AN156" s="25">
        <v>100</v>
      </c>
      <c r="AP156" s="25">
        <f t="shared" si="18"/>
        <v>10</v>
      </c>
      <c r="AQ156" s="25" t="str">
        <f>VLOOKUP(C156,'시스템이펙트 참고자료'!$A:$B,2,FALSE)</f>
        <v>ACTIVE_ATTACK_SPEED_UP</v>
      </c>
      <c r="AS156" s="25">
        <v>1</v>
      </c>
      <c r="BD156" s="25">
        <v>1</v>
      </c>
    </row>
    <row r="157" spans="1:56" hidden="1">
      <c r="A157" s="25">
        <v>152</v>
      </c>
      <c r="B157" s="25" t="str">
        <f>VLOOKUP(C157,'시스템이펙트 참고자료'!$A:$C,2,FALSE)</f>
        <v>ACTIVE_DEX_UP</v>
      </c>
      <c r="C157" s="25">
        <v>613</v>
      </c>
      <c r="D157" s="25">
        <f>VLOOKUP(C157,'시스템이펙트 참고자료'!$A:$D,4,FALSE)</f>
        <v>0</v>
      </c>
      <c r="E157" s="25">
        <v>0</v>
      </c>
      <c r="F157" s="25">
        <v>0</v>
      </c>
      <c r="G157" s="25">
        <f t="shared" si="17"/>
        <v>3</v>
      </c>
      <c r="H157" s="25" t="s">
        <v>395</v>
      </c>
      <c r="I157" s="25">
        <v>1</v>
      </c>
      <c r="J157" s="25" t="str">
        <f>VLOOKUP(C157,'시스템이펙트 참고자료'!$A:$C,3,FALSE)</f>
        <v>절대값/상대값(%) 가능</v>
      </c>
      <c r="K157" s="25">
        <v>1</v>
      </c>
      <c r="M157" s="25">
        <v>5</v>
      </c>
      <c r="N157" s="25">
        <f t="shared" si="15"/>
        <v>44</v>
      </c>
      <c r="O157" s="25">
        <v>1</v>
      </c>
      <c r="P157" s="25">
        <v>1</v>
      </c>
      <c r="Q157" s="25">
        <v>1</v>
      </c>
      <c r="R157" s="25">
        <v>1</v>
      </c>
      <c r="T157" s="25">
        <v>1</v>
      </c>
      <c r="AA157" s="25">
        <f t="shared" si="16"/>
        <v>128</v>
      </c>
      <c r="AK157" s="25">
        <v>1</v>
      </c>
      <c r="AM157" s="25">
        <v>44</v>
      </c>
      <c r="AN157" s="25">
        <v>100</v>
      </c>
      <c r="AP157" s="25">
        <f t="shared" si="18"/>
        <v>3</v>
      </c>
      <c r="AQ157" s="25" t="str">
        <f>VLOOKUP(C157,'시스템이펙트 참고자료'!$A:$B,2,FALSE)</f>
        <v>ACTIVE_DEX_UP</v>
      </c>
      <c r="AS157" s="25">
        <v>1</v>
      </c>
      <c r="BD157" s="25">
        <v>1</v>
      </c>
    </row>
    <row r="158" spans="1:56" hidden="1">
      <c r="A158" s="25">
        <v>153</v>
      </c>
      <c r="B158" s="25" t="str">
        <f>VLOOKUP(C158,'시스템이펙트 참고자료'!$A:$C,2,FALSE)</f>
        <v>ACTIVE_FOC_UP</v>
      </c>
      <c r="C158" s="25">
        <v>612</v>
      </c>
      <c r="D158" s="25">
        <f>VLOOKUP(C158,'시스템이펙트 참고자료'!$A:$D,4,FALSE)</f>
        <v>0</v>
      </c>
      <c r="E158" s="25">
        <v>0</v>
      </c>
      <c r="F158" s="25">
        <v>0</v>
      </c>
      <c r="G158" s="25">
        <f t="shared" si="17"/>
        <v>2</v>
      </c>
      <c r="H158" s="25" t="s">
        <v>395</v>
      </c>
      <c r="I158" s="25">
        <v>1</v>
      </c>
      <c r="J158" s="25" t="str">
        <f>VLOOKUP(C158,'시스템이펙트 참고자료'!$A:$C,3,FALSE)</f>
        <v>절대값/상대값(%) 가능</v>
      </c>
      <c r="K158" s="25">
        <v>1</v>
      </c>
      <c r="M158" s="25">
        <v>5</v>
      </c>
      <c r="N158" s="25">
        <f t="shared" si="15"/>
        <v>53</v>
      </c>
      <c r="O158" s="25">
        <v>1</v>
      </c>
      <c r="P158" s="25">
        <v>1</v>
      </c>
      <c r="Q158" s="25">
        <v>1</v>
      </c>
      <c r="R158" s="25">
        <v>1</v>
      </c>
      <c r="T158" s="25">
        <v>1</v>
      </c>
      <c r="AA158" s="25">
        <f t="shared" si="16"/>
        <v>128</v>
      </c>
      <c r="AK158" s="25">
        <v>1</v>
      </c>
      <c r="AM158" s="25">
        <v>53</v>
      </c>
      <c r="AN158" s="25">
        <v>100</v>
      </c>
      <c r="AP158" s="25">
        <f t="shared" si="18"/>
        <v>2</v>
      </c>
      <c r="AQ158" s="25" t="str">
        <f>VLOOKUP(C158,'시스템이펙트 참고자료'!$A:$B,2,FALSE)</f>
        <v>ACTIVE_FOC_UP</v>
      </c>
      <c r="AS158" s="25">
        <v>1</v>
      </c>
      <c r="BD158" s="25">
        <v>1</v>
      </c>
    </row>
    <row r="159" spans="1:56" hidden="1">
      <c r="A159" s="25">
        <v>154</v>
      </c>
      <c r="B159" s="25" t="str">
        <f>VLOOKUP(C159,'시스템이펙트 참고자료'!$A:$C,2,FALSE)</f>
        <v>ACTIVE_PHYSICAL_OFFENCE_UP</v>
      </c>
      <c r="C159" s="25">
        <v>606</v>
      </c>
      <c r="D159" s="25">
        <f>VLOOKUP(C159,'시스템이펙트 참고자료'!$A:$D,4,FALSE)</f>
        <v>0</v>
      </c>
      <c r="E159" s="25">
        <v>0</v>
      </c>
      <c r="F159" s="25">
        <v>0</v>
      </c>
      <c r="G159" s="25">
        <f t="shared" si="17"/>
        <v>1</v>
      </c>
      <c r="H159" s="25" t="s">
        <v>395</v>
      </c>
      <c r="I159" s="25">
        <v>1</v>
      </c>
      <c r="J159" s="25" t="str">
        <f>VLOOKUP(C159,'시스템이펙트 참고자료'!$A:$C,3,FALSE)</f>
        <v>절대값/상대값(%) 가능</v>
      </c>
      <c r="K159" s="25">
        <v>1</v>
      </c>
      <c r="M159" s="25">
        <v>5</v>
      </c>
      <c r="N159" s="25">
        <f t="shared" si="15"/>
        <v>125</v>
      </c>
      <c r="O159" s="25">
        <v>1</v>
      </c>
      <c r="P159" s="25">
        <v>1</v>
      </c>
      <c r="Q159" s="25">
        <v>1</v>
      </c>
      <c r="R159" s="25">
        <v>1</v>
      </c>
      <c r="T159" s="25">
        <v>1</v>
      </c>
      <c r="AA159" s="25">
        <f t="shared" si="16"/>
        <v>128</v>
      </c>
      <c r="AK159" s="25">
        <v>1</v>
      </c>
      <c r="AM159" s="25">
        <v>125</v>
      </c>
      <c r="AN159" s="25">
        <v>100</v>
      </c>
      <c r="AP159" s="25">
        <f t="shared" si="18"/>
        <v>1</v>
      </c>
      <c r="AQ159" s="25" t="str">
        <f>VLOOKUP(C159,'시스템이펙트 참고자료'!$A:$B,2,FALSE)</f>
        <v>ACTIVE_PHYSICAL_OFFENCE_UP</v>
      </c>
      <c r="AS159" s="25">
        <v>1</v>
      </c>
      <c r="BD159" s="25">
        <v>1</v>
      </c>
    </row>
    <row r="160" spans="1:56" hidden="1">
      <c r="A160" s="25">
        <v>155</v>
      </c>
      <c r="B160" s="25" t="str">
        <f>VLOOKUP(C160,'시스템이펙트 참고자료'!$A:$C,2,FALSE)</f>
        <v>ACTIVE_ENERGY_OFFENCE_UP</v>
      </c>
      <c r="C160" s="25">
        <v>607</v>
      </c>
      <c r="D160" s="25">
        <f>VLOOKUP(C160,'시스템이펙트 참고자료'!$A:$D,4,FALSE)</f>
        <v>0</v>
      </c>
      <c r="E160" s="25">
        <v>0</v>
      </c>
      <c r="F160" s="25">
        <v>0</v>
      </c>
      <c r="G160" s="25">
        <f t="shared" si="17"/>
        <v>1</v>
      </c>
      <c r="H160" s="25" t="s">
        <v>395</v>
      </c>
      <c r="I160" s="25">
        <v>1</v>
      </c>
      <c r="J160" s="25" t="str">
        <f>VLOOKUP(C160,'시스템이펙트 참고자료'!$A:$C,3,FALSE)</f>
        <v>절대값/상대값(%) 가능</v>
      </c>
      <c r="K160" s="25">
        <v>1</v>
      </c>
      <c r="M160" s="25">
        <v>5</v>
      </c>
      <c r="N160" s="25">
        <f t="shared" si="15"/>
        <v>104</v>
      </c>
      <c r="O160" s="25">
        <v>1</v>
      </c>
      <c r="P160" s="25">
        <v>1</v>
      </c>
      <c r="Q160" s="25">
        <v>1</v>
      </c>
      <c r="R160" s="25">
        <v>1</v>
      </c>
      <c r="T160" s="25">
        <v>1</v>
      </c>
      <c r="AA160" s="25">
        <f t="shared" si="16"/>
        <v>128</v>
      </c>
      <c r="AK160" s="25">
        <v>1</v>
      </c>
      <c r="AM160" s="25">
        <v>104</v>
      </c>
      <c r="AN160" s="25">
        <v>100</v>
      </c>
      <c r="AP160" s="25">
        <f t="shared" si="18"/>
        <v>1</v>
      </c>
      <c r="AQ160" s="25" t="str">
        <f>VLOOKUP(C160,'시스템이펙트 참고자료'!$A:$B,2,FALSE)</f>
        <v>ACTIVE_ENERGY_OFFENCE_UP</v>
      </c>
      <c r="AS160" s="25">
        <v>1</v>
      </c>
      <c r="BD160" s="25">
        <v>1</v>
      </c>
    </row>
    <row r="161" spans="1:56" hidden="1">
      <c r="A161" s="25">
        <v>156</v>
      </c>
      <c r="B161" s="25" t="str">
        <f>VLOOKUP(C161,'시스템이펙트 참고자료'!$A:$C,2,FALSE)</f>
        <v>ACTIVE_PHYSICAL_OFFENCE_UP</v>
      </c>
      <c r="C161" s="25">
        <v>606</v>
      </c>
      <c r="D161" s="25">
        <f>VLOOKUP(C161,'시스템이펙트 참고자료'!$A:$D,4,FALSE)</f>
        <v>0</v>
      </c>
      <c r="E161" s="25">
        <v>0</v>
      </c>
      <c r="F161" s="25">
        <v>0</v>
      </c>
      <c r="G161" s="25">
        <f t="shared" si="17"/>
        <v>1</v>
      </c>
      <c r="H161" s="25" t="s">
        <v>395</v>
      </c>
      <c r="I161" s="25">
        <v>1</v>
      </c>
      <c r="J161" s="25" t="str">
        <f>VLOOKUP(C161,'시스템이펙트 참고자료'!$A:$C,3,FALSE)</f>
        <v>절대값/상대값(%) 가능</v>
      </c>
      <c r="K161" s="25">
        <v>1</v>
      </c>
      <c r="M161" s="25">
        <v>6</v>
      </c>
      <c r="N161" s="25">
        <f t="shared" si="15"/>
        <v>125</v>
      </c>
      <c r="O161" s="25">
        <v>1</v>
      </c>
      <c r="P161" s="25">
        <v>1</v>
      </c>
      <c r="Q161" s="25">
        <v>1</v>
      </c>
      <c r="R161" s="25">
        <v>1</v>
      </c>
      <c r="T161" s="25">
        <v>1</v>
      </c>
      <c r="AA161" s="25">
        <f t="shared" si="16"/>
        <v>128</v>
      </c>
      <c r="AK161" s="25">
        <v>1</v>
      </c>
      <c r="AM161" s="25">
        <v>125</v>
      </c>
      <c r="AN161" s="25">
        <v>100</v>
      </c>
      <c r="AP161" s="25">
        <f t="shared" si="18"/>
        <v>1</v>
      </c>
      <c r="AQ161" s="25" t="str">
        <f>VLOOKUP(C161,'시스템이펙트 참고자료'!$A:$B,2,FALSE)</f>
        <v>ACTIVE_PHYSICAL_OFFENCE_UP</v>
      </c>
      <c r="AS161" s="25">
        <v>1</v>
      </c>
      <c r="BD161" s="25">
        <v>1</v>
      </c>
    </row>
    <row r="162" spans="1:56" hidden="1">
      <c r="A162" s="25">
        <v>157</v>
      </c>
      <c r="B162" s="25" t="str">
        <f>VLOOKUP(C162,'시스템이펙트 참고자료'!$A:$C,2,FALSE)</f>
        <v>ACTIVE_ENERGY_OFFENCE_UP</v>
      </c>
      <c r="C162" s="25">
        <v>607</v>
      </c>
      <c r="D162" s="25">
        <f>VLOOKUP(C162,'시스템이펙트 참고자료'!$A:$D,4,FALSE)</f>
        <v>0</v>
      </c>
      <c r="E162" s="25">
        <v>0</v>
      </c>
      <c r="F162" s="25">
        <v>0</v>
      </c>
      <c r="G162" s="25">
        <f t="shared" si="17"/>
        <v>1</v>
      </c>
      <c r="H162" s="25" t="s">
        <v>395</v>
      </c>
      <c r="I162" s="25">
        <v>1</v>
      </c>
      <c r="J162" s="25" t="str">
        <f>VLOOKUP(C162,'시스템이펙트 참고자료'!$A:$C,3,FALSE)</f>
        <v>절대값/상대값(%) 가능</v>
      </c>
      <c r="K162" s="25">
        <v>1</v>
      </c>
      <c r="M162" s="25">
        <v>6</v>
      </c>
      <c r="N162" s="25">
        <f t="shared" si="15"/>
        <v>104</v>
      </c>
      <c r="O162" s="25">
        <v>1</v>
      </c>
      <c r="P162" s="25">
        <v>1</v>
      </c>
      <c r="Q162" s="25">
        <v>1</v>
      </c>
      <c r="R162" s="25">
        <v>1</v>
      </c>
      <c r="T162" s="25">
        <v>1</v>
      </c>
      <c r="AA162" s="25">
        <f t="shared" si="16"/>
        <v>128</v>
      </c>
      <c r="AK162" s="25">
        <v>1</v>
      </c>
      <c r="AM162" s="25">
        <v>104</v>
      </c>
      <c r="AN162" s="25">
        <v>100</v>
      </c>
      <c r="AP162" s="25">
        <f t="shared" si="18"/>
        <v>1</v>
      </c>
      <c r="AQ162" s="25" t="str">
        <f>VLOOKUP(C162,'시스템이펙트 참고자료'!$A:$B,2,FALSE)</f>
        <v>ACTIVE_ENERGY_OFFENCE_UP</v>
      </c>
      <c r="AS162" s="25">
        <v>1</v>
      </c>
      <c r="BD162" s="25">
        <v>1</v>
      </c>
    </row>
    <row r="163" spans="1:56" hidden="1">
      <c r="A163" s="25">
        <v>158</v>
      </c>
      <c r="B163" s="25" t="str">
        <f>VLOOKUP(C163,'시스템이펙트 참고자료'!$A:$C,2,FALSE)</f>
        <v>ACTIVE_STR_UP</v>
      </c>
      <c r="C163" s="25">
        <v>610</v>
      </c>
      <c r="D163" s="25">
        <f>VLOOKUP(C163,'시스템이펙트 참고자료'!$A:$D,4,FALSE)</f>
        <v>0</v>
      </c>
      <c r="E163" s="25">
        <v>0</v>
      </c>
      <c r="F163" s="25">
        <v>0</v>
      </c>
      <c r="G163" s="25">
        <f t="shared" si="17"/>
        <v>2</v>
      </c>
      <c r="H163" s="25" t="s">
        <v>395</v>
      </c>
      <c r="I163" s="25">
        <v>1</v>
      </c>
      <c r="J163" s="25" t="str">
        <f>VLOOKUP(C163,'시스템이펙트 참고자료'!$A:$C,3,FALSE)</f>
        <v>절대값/상대값(%) 가능</v>
      </c>
      <c r="K163" s="25">
        <v>1</v>
      </c>
      <c r="M163" s="25">
        <v>6</v>
      </c>
      <c r="N163" s="25">
        <f t="shared" si="15"/>
        <v>57</v>
      </c>
      <c r="O163" s="25">
        <v>1</v>
      </c>
      <c r="P163" s="25">
        <v>1</v>
      </c>
      <c r="Q163" s="25">
        <v>1</v>
      </c>
      <c r="R163" s="25">
        <v>1</v>
      </c>
      <c r="T163" s="25">
        <v>1</v>
      </c>
      <c r="AA163" s="25">
        <f t="shared" si="16"/>
        <v>128</v>
      </c>
      <c r="AK163" s="25">
        <v>1</v>
      </c>
      <c r="AM163" s="25">
        <v>57</v>
      </c>
      <c r="AN163" s="25">
        <v>100</v>
      </c>
      <c r="AP163" s="25">
        <f t="shared" si="18"/>
        <v>2</v>
      </c>
      <c r="AQ163" s="25" t="str">
        <f>VLOOKUP(C163,'시스템이펙트 참고자료'!$A:$B,2,FALSE)</f>
        <v>ACTIVE_STR_UP</v>
      </c>
      <c r="AS163" s="25">
        <v>1</v>
      </c>
      <c r="BD163" s="25">
        <v>1</v>
      </c>
    </row>
    <row r="164" spans="1:56" hidden="1">
      <c r="A164" s="25">
        <v>159</v>
      </c>
      <c r="B164" s="25" t="str">
        <f>VLOOKUP(C164,'시스템이펙트 참고자료'!$A:$C,2,FALSE)</f>
        <v>ACTIVE_SOL_UP</v>
      </c>
      <c r="C164" s="25">
        <v>614</v>
      </c>
      <c r="D164" s="25">
        <f>VLOOKUP(C164,'시스템이펙트 참고자료'!$A:$D,4,FALSE)</f>
        <v>0</v>
      </c>
      <c r="E164" s="25">
        <v>0</v>
      </c>
      <c r="F164" s="25">
        <v>0</v>
      </c>
      <c r="G164" s="25">
        <f t="shared" si="17"/>
        <v>2</v>
      </c>
      <c r="H164" s="25" t="s">
        <v>395</v>
      </c>
      <c r="I164" s="25">
        <v>1</v>
      </c>
      <c r="J164" s="25" t="str">
        <f>VLOOKUP(C164,'시스템이펙트 참고자료'!$A:$C,3,FALSE)</f>
        <v>절대값/상대값(%) 가능</v>
      </c>
      <c r="K164" s="25">
        <v>1</v>
      </c>
      <c r="M164" s="25">
        <v>6</v>
      </c>
      <c r="N164" s="25">
        <f t="shared" si="15"/>
        <v>53</v>
      </c>
      <c r="O164" s="25">
        <v>1</v>
      </c>
      <c r="P164" s="25">
        <v>1</v>
      </c>
      <c r="Q164" s="25">
        <v>1</v>
      </c>
      <c r="R164" s="25">
        <v>1</v>
      </c>
      <c r="T164" s="25">
        <v>1</v>
      </c>
      <c r="AA164" s="25">
        <f t="shared" si="16"/>
        <v>128</v>
      </c>
      <c r="AK164" s="25">
        <v>1</v>
      </c>
      <c r="AM164" s="25">
        <v>53</v>
      </c>
      <c r="AN164" s="25">
        <v>100</v>
      </c>
      <c r="AP164" s="25">
        <f t="shared" si="18"/>
        <v>2</v>
      </c>
      <c r="AQ164" s="25" t="str">
        <f>VLOOKUP(C164,'시스템이펙트 참고자료'!$A:$B,2,FALSE)</f>
        <v>ACTIVE_SOL_UP</v>
      </c>
      <c r="AS164" s="25">
        <v>1</v>
      </c>
      <c r="BD164" s="25">
        <v>1</v>
      </c>
    </row>
    <row r="165" spans="1:56" hidden="1">
      <c r="A165" s="25">
        <v>160</v>
      </c>
      <c r="B165" s="25" t="str">
        <f>VLOOKUP(C165,'시스템이펙트 참고자료'!$A:$C,2,FALSE)</f>
        <v>ACTIVE_PHYSICAL_CRITICAL_DAMAGE_UP</v>
      </c>
      <c r="C165" s="25">
        <v>658</v>
      </c>
      <c r="D165" s="25">
        <f>VLOOKUP(C165,'시스템이펙트 참고자료'!$A:$D,4,FALSE)</f>
        <v>0</v>
      </c>
      <c r="E165" s="25">
        <v>0</v>
      </c>
      <c r="F165" s="25">
        <v>0</v>
      </c>
      <c r="G165" s="25">
        <f t="shared" si="17"/>
        <v>4</v>
      </c>
      <c r="H165" s="25" t="s">
        <v>395</v>
      </c>
      <c r="I165" s="25">
        <v>1</v>
      </c>
      <c r="J165" s="25" t="str">
        <f>VLOOKUP(C165,'시스템이펙트 참고자료'!$A:$C,3,FALSE)</f>
        <v>절대값만 가능</v>
      </c>
      <c r="K165" s="25">
        <v>1</v>
      </c>
      <c r="M165" s="25">
        <v>6</v>
      </c>
      <c r="N165" s="25">
        <f t="shared" si="15"/>
        <v>28</v>
      </c>
      <c r="O165" s="25">
        <v>1</v>
      </c>
      <c r="P165" s="25">
        <v>1</v>
      </c>
      <c r="Q165" s="25">
        <v>1</v>
      </c>
      <c r="R165" s="25">
        <v>1</v>
      </c>
      <c r="T165" s="25">
        <v>1</v>
      </c>
      <c r="AA165" s="25">
        <f t="shared" si="16"/>
        <v>128</v>
      </c>
      <c r="AK165" s="25">
        <v>1</v>
      </c>
      <c r="AM165" s="25">
        <v>28</v>
      </c>
      <c r="AN165" s="25">
        <v>100</v>
      </c>
      <c r="AP165" s="25">
        <f t="shared" si="18"/>
        <v>4</v>
      </c>
      <c r="AQ165" s="25" t="str">
        <f>VLOOKUP(C165,'시스템이펙트 참고자료'!$A:$B,2,FALSE)</f>
        <v>ACTIVE_PHYSICAL_CRITICAL_DAMAGE_UP</v>
      </c>
      <c r="AS165" s="25">
        <v>1</v>
      </c>
      <c r="BD165" s="25">
        <v>1</v>
      </c>
    </row>
    <row r="166" spans="1:56" hidden="1">
      <c r="A166" s="25">
        <v>161</v>
      </c>
      <c r="B166" s="25" t="str">
        <f>VLOOKUP(C166,'시스템이펙트 참고자료'!$A:$C,2,FALSE)</f>
        <v>ACTIVE_ENERGY_CRITICAL_DAMAGE_UP</v>
      </c>
      <c r="C166" s="25">
        <v>659</v>
      </c>
      <c r="D166" s="25">
        <f>VLOOKUP(C166,'시스템이펙트 참고자료'!$A:$D,4,FALSE)</f>
        <v>0</v>
      </c>
      <c r="E166" s="25">
        <v>0</v>
      </c>
      <c r="F166" s="25">
        <v>0</v>
      </c>
      <c r="G166" s="25">
        <f t="shared" si="17"/>
        <v>4</v>
      </c>
      <c r="H166" s="25" t="s">
        <v>395</v>
      </c>
      <c r="I166" s="25">
        <v>1</v>
      </c>
      <c r="J166" s="25" t="str">
        <f>VLOOKUP(C166,'시스템이펙트 참고자료'!$A:$C,3,FALSE)</f>
        <v>절대값만 가능</v>
      </c>
      <c r="K166" s="25">
        <v>1</v>
      </c>
      <c r="M166" s="25">
        <v>6</v>
      </c>
      <c r="N166" s="25">
        <f t="shared" si="15"/>
        <v>32</v>
      </c>
      <c r="O166" s="25">
        <v>1</v>
      </c>
      <c r="P166" s="25">
        <v>1</v>
      </c>
      <c r="Q166" s="25">
        <v>1</v>
      </c>
      <c r="R166" s="25">
        <v>1</v>
      </c>
      <c r="T166" s="25">
        <v>1</v>
      </c>
      <c r="AA166" s="25">
        <f t="shared" si="16"/>
        <v>128</v>
      </c>
      <c r="AK166" s="25">
        <v>1</v>
      </c>
      <c r="AM166" s="25">
        <v>32</v>
      </c>
      <c r="AN166" s="25">
        <v>100</v>
      </c>
      <c r="AP166" s="25">
        <f t="shared" si="18"/>
        <v>4</v>
      </c>
      <c r="AQ166" s="25" t="str">
        <f>VLOOKUP(C166,'시스템이펙트 참고자료'!$A:$B,2,FALSE)</f>
        <v>ACTIVE_ENERGY_CRITICAL_DAMAGE_UP</v>
      </c>
      <c r="AS166" s="25">
        <v>1</v>
      </c>
      <c r="BD166" s="25">
        <v>1</v>
      </c>
    </row>
    <row r="167" spans="1:56" hidden="1">
      <c r="A167" s="25">
        <v>162</v>
      </c>
      <c r="B167" s="25" t="str">
        <f>VLOOKUP(C167,'시스템이펙트 참고자료'!$A:$C,2,FALSE)</f>
        <v>ACTIVE_FOC_UP</v>
      </c>
      <c r="C167" s="25">
        <v>612</v>
      </c>
      <c r="D167" s="25">
        <f>VLOOKUP(C167,'시스템이펙트 참고자료'!$A:$D,4,FALSE)</f>
        <v>0</v>
      </c>
      <c r="E167" s="25">
        <v>0</v>
      </c>
      <c r="F167" s="25">
        <v>0</v>
      </c>
      <c r="G167" s="25">
        <f t="shared" si="17"/>
        <v>2</v>
      </c>
      <c r="H167" s="25" t="s">
        <v>395</v>
      </c>
      <c r="I167" s="25">
        <v>1</v>
      </c>
      <c r="J167" s="25" t="str">
        <f>VLOOKUP(C167,'시스템이펙트 참고자료'!$A:$C,3,FALSE)</f>
        <v>절대값/상대값(%) 가능</v>
      </c>
      <c r="K167" s="25">
        <v>1</v>
      </c>
      <c r="M167" s="25">
        <v>7</v>
      </c>
      <c r="N167" s="25">
        <f t="shared" si="15"/>
        <v>53</v>
      </c>
      <c r="O167" s="25">
        <v>1</v>
      </c>
      <c r="P167" s="25">
        <v>1</v>
      </c>
      <c r="Q167" s="25">
        <v>1</v>
      </c>
      <c r="R167" s="25">
        <v>1</v>
      </c>
      <c r="T167" s="25">
        <v>1</v>
      </c>
      <c r="AA167" s="25">
        <f t="shared" si="16"/>
        <v>128</v>
      </c>
      <c r="AK167" s="25">
        <v>1</v>
      </c>
      <c r="AM167" s="25">
        <v>53</v>
      </c>
      <c r="AN167" s="25">
        <v>100</v>
      </c>
      <c r="AP167" s="25">
        <f t="shared" si="18"/>
        <v>2</v>
      </c>
      <c r="AQ167" s="25" t="str">
        <f>VLOOKUP(C167,'시스템이펙트 참고자료'!$A:$B,2,FALSE)</f>
        <v>ACTIVE_FOC_UP</v>
      </c>
      <c r="AS167" s="25">
        <v>1</v>
      </c>
      <c r="BD167" s="25">
        <v>1</v>
      </c>
    </row>
    <row r="168" spans="1:56" hidden="1">
      <c r="A168" s="25">
        <v>163</v>
      </c>
      <c r="B168" s="25" t="str">
        <f>VLOOKUP(C168,'시스템이펙트 참고자료'!$A:$C,2,FALSE)</f>
        <v>ACTIVE_ATTACK_RATE_UP</v>
      </c>
      <c r="C168" s="25">
        <v>618</v>
      </c>
      <c r="D168" s="25">
        <f>VLOOKUP(C168,'시스템이펙트 참고자료'!$A:$D,4,FALSE)</f>
        <v>0</v>
      </c>
      <c r="E168" s="25">
        <v>0</v>
      </c>
      <c r="F168" s="25">
        <v>0</v>
      </c>
      <c r="G168" s="25">
        <f t="shared" si="17"/>
        <v>1</v>
      </c>
      <c r="H168" s="25" t="s">
        <v>395</v>
      </c>
      <c r="I168" s="25">
        <v>1</v>
      </c>
      <c r="J168" s="25" t="str">
        <f>VLOOKUP(C168,'시스템이펙트 참고자료'!$A:$C,3,FALSE)</f>
        <v>절대값/상대값(%) 가능</v>
      </c>
      <c r="K168" s="25">
        <v>1</v>
      </c>
      <c r="M168" s="25">
        <v>7</v>
      </c>
      <c r="N168" s="25">
        <f t="shared" si="15"/>
        <v>528</v>
      </c>
      <c r="O168" s="25">
        <v>1</v>
      </c>
      <c r="P168" s="25">
        <v>1</v>
      </c>
      <c r="Q168" s="25">
        <v>1</v>
      </c>
      <c r="R168" s="25">
        <v>1</v>
      </c>
      <c r="T168" s="25">
        <v>1</v>
      </c>
      <c r="AA168" s="25">
        <f t="shared" si="16"/>
        <v>128</v>
      </c>
      <c r="AK168" s="25">
        <v>1</v>
      </c>
      <c r="AM168" s="25">
        <v>528</v>
      </c>
      <c r="AN168" s="25">
        <v>100</v>
      </c>
      <c r="AP168" s="25">
        <f t="shared" si="18"/>
        <v>1</v>
      </c>
      <c r="AQ168" s="25" t="str">
        <f>VLOOKUP(C168,'시스템이펙트 참고자료'!$A:$B,2,FALSE)</f>
        <v>ACTIVE_ATTACK_RATE_UP</v>
      </c>
      <c r="AS168" s="25">
        <v>1</v>
      </c>
      <c r="BD168" s="25">
        <v>1</v>
      </c>
    </row>
    <row r="169" spans="1:56" hidden="1">
      <c r="A169" s="25">
        <v>164</v>
      </c>
      <c r="B169" s="25" t="str">
        <f>VLOOKUP(C169,'시스템이펙트 참고자료'!$A:$C,2,FALSE)</f>
        <v>ACTIVE_ENG_UP</v>
      </c>
      <c r="C169" s="25">
        <v>615</v>
      </c>
      <c r="D169" s="25">
        <f>VLOOKUP(C169,'시스템이펙트 참고자료'!$A:$D,4,FALSE)</f>
        <v>0</v>
      </c>
      <c r="E169" s="25">
        <v>0</v>
      </c>
      <c r="F169" s="25">
        <v>0</v>
      </c>
      <c r="G169" s="25">
        <f t="shared" si="17"/>
        <v>2</v>
      </c>
      <c r="H169" s="25" t="s">
        <v>395</v>
      </c>
      <c r="I169" s="25">
        <v>1</v>
      </c>
      <c r="J169" s="25" t="str">
        <f>VLOOKUP(C169,'시스템이펙트 참고자료'!$A:$C,3,FALSE)</f>
        <v>절대값/상대값(%) 가능</v>
      </c>
      <c r="K169" s="25">
        <v>1</v>
      </c>
      <c r="M169" s="25">
        <v>7</v>
      </c>
      <c r="N169" s="25">
        <f t="shared" si="15"/>
        <v>62</v>
      </c>
      <c r="O169" s="25">
        <v>1</v>
      </c>
      <c r="P169" s="25">
        <v>1</v>
      </c>
      <c r="Q169" s="25">
        <v>1</v>
      </c>
      <c r="R169" s="25">
        <v>1</v>
      </c>
      <c r="T169" s="25">
        <v>1</v>
      </c>
      <c r="AA169" s="25">
        <f t="shared" si="16"/>
        <v>128</v>
      </c>
      <c r="AK169" s="25">
        <v>1</v>
      </c>
      <c r="AM169" s="25">
        <v>62</v>
      </c>
      <c r="AN169" s="25">
        <v>100</v>
      </c>
      <c r="AP169" s="25">
        <f t="shared" si="18"/>
        <v>2</v>
      </c>
      <c r="AQ169" s="25" t="str">
        <f>VLOOKUP(C169,'시스템이펙트 참고자료'!$A:$B,2,FALSE)</f>
        <v>ACTIVE_ENG_UP</v>
      </c>
      <c r="AS169" s="25">
        <v>1</v>
      </c>
      <c r="BD169" s="25">
        <v>1</v>
      </c>
    </row>
    <row r="170" spans="1:56" hidden="1">
      <c r="A170" s="25">
        <v>165</v>
      </c>
      <c r="B170" s="25" t="str">
        <f>VLOOKUP(C170,'시스템이펙트 참고자료'!$A:$C,2,FALSE)</f>
        <v>ACTIVE_PHYSICAL_CRITICAL</v>
      </c>
      <c r="C170" s="25">
        <v>632</v>
      </c>
      <c r="D170" s="25">
        <f>VLOOKUP(C170,'시스템이펙트 참고자료'!$A:$D,4,FALSE)</f>
        <v>0</v>
      </c>
      <c r="E170" s="25">
        <v>0</v>
      </c>
      <c r="F170" s="25">
        <v>0</v>
      </c>
      <c r="G170" s="25">
        <f t="shared" si="17"/>
        <v>5</v>
      </c>
      <c r="H170" s="25" t="s">
        <v>395</v>
      </c>
      <c r="I170" s="25">
        <v>1</v>
      </c>
      <c r="J170" s="25" t="str">
        <f>VLOOKUP(C170,'시스템이펙트 참고자료'!$A:$C,3,FALSE)</f>
        <v>절대값/상대값(%) 가능</v>
      </c>
      <c r="K170" s="25">
        <v>1</v>
      </c>
      <c r="M170" s="25">
        <v>7</v>
      </c>
      <c r="N170" s="25">
        <f t="shared" si="15"/>
        <v>21</v>
      </c>
      <c r="O170" s="25">
        <v>1</v>
      </c>
      <c r="P170" s="25">
        <v>1</v>
      </c>
      <c r="Q170" s="25">
        <v>1</v>
      </c>
      <c r="R170" s="25">
        <v>1</v>
      </c>
      <c r="T170" s="25">
        <v>1</v>
      </c>
      <c r="AA170" s="25">
        <f t="shared" si="16"/>
        <v>128</v>
      </c>
      <c r="AK170" s="25">
        <v>1</v>
      </c>
      <c r="AM170" s="25">
        <v>21</v>
      </c>
      <c r="AN170" s="25">
        <v>100</v>
      </c>
      <c r="AP170" s="25">
        <f t="shared" si="18"/>
        <v>5</v>
      </c>
      <c r="AQ170" s="25" t="str">
        <f>VLOOKUP(C170,'시스템이펙트 참고자료'!$A:$B,2,FALSE)</f>
        <v>ACTIVE_PHYSICAL_CRITICAL</v>
      </c>
      <c r="AS170" s="25">
        <v>1</v>
      </c>
      <c r="BD170" s="25">
        <v>1</v>
      </c>
    </row>
    <row r="171" spans="1:56" hidden="1">
      <c r="A171" s="25">
        <v>166</v>
      </c>
      <c r="B171" s="25" t="str">
        <f>VLOOKUP(C171,'시스템이펙트 참고자료'!$A:$C,2,FALSE)</f>
        <v>ACTIVE_ENERGY_CRITICAL</v>
      </c>
      <c r="C171" s="25">
        <v>633</v>
      </c>
      <c r="D171" s="25">
        <f>VLOOKUP(C171,'시스템이펙트 참고자료'!$A:$D,4,FALSE)</f>
        <v>0</v>
      </c>
      <c r="E171" s="25">
        <v>0</v>
      </c>
      <c r="F171" s="25">
        <v>0</v>
      </c>
      <c r="G171" s="25">
        <f t="shared" si="17"/>
        <v>5</v>
      </c>
      <c r="H171" s="25" t="s">
        <v>395</v>
      </c>
      <c r="I171" s="25">
        <v>1</v>
      </c>
      <c r="J171" s="25" t="str">
        <f>VLOOKUP(C171,'시스템이펙트 참고자료'!$A:$C,3,FALSE)</f>
        <v>절대값/상대값(%) 가능</v>
      </c>
      <c r="K171" s="25">
        <v>1</v>
      </c>
      <c r="M171" s="25">
        <v>7</v>
      </c>
      <c r="N171" s="25">
        <f t="shared" si="15"/>
        <v>24</v>
      </c>
      <c r="O171" s="25">
        <v>1</v>
      </c>
      <c r="P171" s="25">
        <v>1</v>
      </c>
      <c r="Q171" s="25">
        <v>1</v>
      </c>
      <c r="R171" s="25">
        <v>1</v>
      </c>
      <c r="T171" s="25">
        <v>1</v>
      </c>
      <c r="AA171" s="25">
        <f t="shared" si="16"/>
        <v>128</v>
      </c>
      <c r="AK171" s="25">
        <v>1</v>
      </c>
      <c r="AM171" s="25">
        <v>24</v>
      </c>
      <c r="AN171" s="25">
        <v>100</v>
      </c>
      <c r="AP171" s="25">
        <f t="shared" si="18"/>
        <v>5</v>
      </c>
      <c r="AQ171" s="25" t="str">
        <f>VLOOKUP(C171,'시스템이펙트 참고자료'!$A:$B,2,FALSE)</f>
        <v>ACTIVE_ENERGY_CRITICAL</v>
      </c>
      <c r="AS171" s="25">
        <v>1</v>
      </c>
      <c r="BD171" s="25">
        <v>1</v>
      </c>
    </row>
    <row r="172" spans="1:56" hidden="1">
      <c r="A172" s="25">
        <v>167</v>
      </c>
      <c r="B172" s="25" t="str">
        <f>VLOOKUP(C172,'시스템이펙트 참고자료'!$A:$C,2,FALSE)</f>
        <v>ACTIVE_FOC_UP</v>
      </c>
      <c r="C172" s="25">
        <v>612</v>
      </c>
      <c r="D172" s="25">
        <f>VLOOKUP(C172,'시스템이펙트 참고자료'!$A:$D,4,FALSE)</f>
        <v>0</v>
      </c>
      <c r="E172" s="25">
        <v>0</v>
      </c>
      <c r="F172" s="25">
        <v>0</v>
      </c>
      <c r="G172" s="25">
        <f t="shared" si="17"/>
        <v>2</v>
      </c>
      <c r="H172" s="25" t="s">
        <v>395</v>
      </c>
      <c r="I172" s="25">
        <v>1</v>
      </c>
      <c r="J172" s="25" t="str">
        <f>VLOOKUP(C172,'시스템이펙트 참고자료'!$A:$C,3,FALSE)</f>
        <v>절대값/상대값(%) 가능</v>
      </c>
      <c r="K172" s="25">
        <v>1</v>
      </c>
      <c r="M172" s="25">
        <v>8</v>
      </c>
      <c r="N172" s="25">
        <f t="shared" si="15"/>
        <v>53</v>
      </c>
      <c r="O172" s="25">
        <v>1</v>
      </c>
      <c r="P172" s="25">
        <v>1</v>
      </c>
      <c r="Q172" s="25">
        <v>1</v>
      </c>
      <c r="R172" s="25">
        <v>1</v>
      </c>
      <c r="T172" s="25">
        <v>1</v>
      </c>
      <c r="AA172" s="25">
        <f t="shared" si="16"/>
        <v>128</v>
      </c>
      <c r="AK172" s="25">
        <v>1</v>
      </c>
      <c r="AM172" s="25">
        <v>53</v>
      </c>
      <c r="AN172" s="25">
        <v>100</v>
      </c>
      <c r="AP172" s="25">
        <f t="shared" si="18"/>
        <v>2</v>
      </c>
      <c r="AQ172" s="25" t="str">
        <f>VLOOKUP(C172,'시스템이펙트 참고자료'!$A:$B,2,FALSE)</f>
        <v>ACTIVE_FOC_UP</v>
      </c>
      <c r="AS172" s="25">
        <v>1</v>
      </c>
      <c r="BD172" s="25">
        <v>1</v>
      </c>
    </row>
    <row r="173" spans="1:56" hidden="1">
      <c r="A173" s="25">
        <v>168</v>
      </c>
      <c r="B173" s="25" t="str">
        <f>VLOOKUP(C173,'시스템이펙트 참고자료'!$A:$C,2,FALSE)</f>
        <v>ACTIVE_CON_UP</v>
      </c>
      <c r="C173" s="25">
        <v>611</v>
      </c>
      <c r="D173" s="25">
        <f>VLOOKUP(C173,'시스템이펙트 참고자료'!$A:$D,4,FALSE)</f>
        <v>0</v>
      </c>
      <c r="E173" s="25">
        <v>0</v>
      </c>
      <c r="F173" s="25">
        <v>0</v>
      </c>
      <c r="G173" s="25">
        <f t="shared" si="17"/>
        <v>3</v>
      </c>
      <c r="H173" s="25" t="s">
        <v>395</v>
      </c>
      <c r="I173" s="25">
        <v>1</v>
      </c>
      <c r="J173" s="25" t="str">
        <f>VLOOKUP(C173,'시스템이펙트 참고자료'!$A:$C,3,FALSE)</f>
        <v>절대값/상대값(%) 가능</v>
      </c>
      <c r="K173" s="25">
        <v>1</v>
      </c>
      <c r="M173" s="25">
        <v>8</v>
      </c>
      <c r="N173" s="25">
        <f t="shared" si="15"/>
        <v>48</v>
      </c>
      <c r="O173" s="25">
        <v>1</v>
      </c>
      <c r="P173" s="25">
        <v>1</v>
      </c>
      <c r="Q173" s="25">
        <v>1</v>
      </c>
      <c r="R173" s="25">
        <v>1</v>
      </c>
      <c r="T173" s="25">
        <v>1</v>
      </c>
      <c r="AA173" s="25">
        <f t="shared" si="16"/>
        <v>128</v>
      </c>
      <c r="AK173" s="25">
        <v>1</v>
      </c>
      <c r="AM173" s="25">
        <v>48</v>
      </c>
      <c r="AN173" s="25">
        <v>100</v>
      </c>
      <c r="AP173" s="25">
        <f t="shared" si="18"/>
        <v>3</v>
      </c>
      <c r="AQ173" s="25" t="str">
        <f>VLOOKUP(C173,'시스템이펙트 참고자료'!$A:$B,2,FALSE)</f>
        <v>ACTIVE_CON_UP</v>
      </c>
      <c r="AS173" s="25">
        <v>1</v>
      </c>
      <c r="BD173" s="25">
        <v>1</v>
      </c>
    </row>
    <row r="174" spans="1:56" hidden="1">
      <c r="A174" s="25">
        <v>169</v>
      </c>
      <c r="B174" s="25" t="str">
        <f>VLOOKUP(C174,'시스템이펙트 참고자료'!$A:$C,2,FALSE)</f>
        <v>ACTIVE_BLOCK_RATE_UP</v>
      </c>
      <c r="C174" s="25">
        <v>620</v>
      </c>
      <c r="D174" s="25">
        <f>VLOOKUP(C174,'시스템이펙트 참고자료'!$A:$D,4,FALSE)</f>
        <v>0</v>
      </c>
      <c r="E174" s="25">
        <v>0</v>
      </c>
      <c r="F174" s="25">
        <v>0</v>
      </c>
      <c r="G174" s="25">
        <f t="shared" si="17"/>
        <v>1</v>
      </c>
      <c r="H174" s="25" t="s">
        <v>395</v>
      </c>
      <c r="I174" s="25">
        <v>1</v>
      </c>
      <c r="J174" s="25" t="str">
        <f>VLOOKUP(C174,'시스템이펙트 참고자료'!$A:$C,3,FALSE)</f>
        <v>절대값/상대값(%) 가능</v>
      </c>
      <c r="K174" s="25">
        <v>1</v>
      </c>
      <c r="M174" s="25">
        <v>8</v>
      </c>
      <c r="N174" s="25">
        <f t="shared" si="15"/>
        <v>352</v>
      </c>
      <c r="O174" s="25">
        <v>1</v>
      </c>
      <c r="P174" s="25">
        <v>1</v>
      </c>
      <c r="Q174" s="25">
        <v>1</v>
      </c>
      <c r="R174" s="25">
        <v>1</v>
      </c>
      <c r="T174" s="25">
        <v>1</v>
      </c>
      <c r="AA174" s="25">
        <f t="shared" si="16"/>
        <v>128</v>
      </c>
      <c r="AK174" s="25">
        <v>1</v>
      </c>
      <c r="AM174" s="25">
        <v>352</v>
      </c>
      <c r="AN174" s="25">
        <v>100</v>
      </c>
      <c r="AP174" s="25">
        <f t="shared" si="18"/>
        <v>1</v>
      </c>
      <c r="AQ174" s="25" t="str">
        <f>VLOOKUP(C174,'시스템이펙트 참고자료'!$A:$B,2,FALSE)</f>
        <v>ACTIVE_BLOCK_RATE_UP</v>
      </c>
      <c r="AS174" s="25">
        <v>1</v>
      </c>
      <c r="BD174" s="25">
        <v>1</v>
      </c>
    </row>
    <row r="175" spans="1:56" hidden="1">
      <c r="A175" s="25">
        <v>170</v>
      </c>
      <c r="B175" s="25" t="str">
        <f>VLOOKUP(C175,'시스템이펙트 참고자료'!$A:$C,2,FALSE)</f>
        <v>ACTIVE_ENG_UP</v>
      </c>
      <c r="C175" s="25">
        <v>615</v>
      </c>
      <c r="D175" s="25">
        <f>VLOOKUP(C175,'시스템이펙트 참고자료'!$A:$D,4,FALSE)</f>
        <v>0</v>
      </c>
      <c r="E175" s="25">
        <v>0</v>
      </c>
      <c r="F175" s="25">
        <v>0</v>
      </c>
      <c r="G175" s="25">
        <f t="shared" si="17"/>
        <v>2</v>
      </c>
      <c r="H175" s="25" t="s">
        <v>395</v>
      </c>
      <c r="I175" s="25">
        <v>1</v>
      </c>
      <c r="J175" s="25" t="str">
        <f>VLOOKUP(C175,'시스템이펙트 참고자료'!$A:$C,3,FALSE)</f>
        <v>절대값/상대값(%) 가능</v>
      </c>
      <c r="K175" s="25">
        <v>1</v>
      </c>
      <c r="M175" s="25">
        <v>8</v>
      </c>
      <c r="N175" s="25">
        <f t="shared" si="15"/>
        <v>62</v>
      </c>
      <c r="O175" s="25">
        <v>1</v>
      </c>
      <c r="P175" s="25">
        <v>1</v>
      </c>
      <c r="Q175" s="25">
        <v>1</v>
      </c>
      <c r="R175" s="25">
        <v>1</v>
      </c>
      <c r="T175" s="25">
        <v>1</v>
      </c>
      <c r="AA175" s="25">
        <f t="shared" si="16"/>
        <v>128</v>
      </c>
      <c r="AK175" s="25">
        <v>1</v>
      </c>
      <c r="AM175" s="25">
        <v>62</v>
      </c>
      <c r="AN175" s="25">
        <v>100</v>
      </c>
      <c r="AP175" s="25">
        <f t="shared" si="18"/>
        <v>2</v>
      </c>
      <c r="AQ175" s="25" t="str">
        <f>VLOOKUP(C175,'시스템이펙트 참고자료'!$A:$B,2,FALSE)</f>
        <v>ACTIVE_ENG_UP</v>
      </c>
      <c r="AS175" s="25">
        <v>1</v>
      </c>
      <c r="BD175" s="25">
        <v>1</v>
      </c>
    </row>
    <row r="176" spans="1:56" hidden="1">
      <c r="A176" s="25">
        <v>171</v>
      </c>
      <c r="B176" s="25" t="str">
        <f>VLOOKUP(C176,'시스템이펙트 참고자료'!$A:$C,2,FALSE)</f>
        <v>ACTIVE_PHYSICAL_CRITICAL</v>
      </c>
      <c r="C176" s="25">
        <v>632</v>
      </c>
      <c r="D176" s="25">
        <f>VLOOKUP(C176,'시스템이펙트 참고자료'!$A:$D,4,FALSE)</f>
        <v>0</v>
      </c>
      <c r="E176" s="25">
        <v>0</v>
      </c>
      <c r="F176" s="25">
        <v>0</v>
      </c>
      <c r="G176" s="25">
        <f t="shared" si="17"/>
        <v>5</v>
      </c>
      <c r="H176" s="25" t="s">
        <v>395</v>
      </c>
      <c r="I176" s="25">
        <v>1</v>
      </c>
      <c r="J176" s="25" t="str">
        <f>VLOOKUP(C176,'시스템이펙트 참고자료'!$A:$C,3,FALSE)</f>
        <v>절대값/상대값(%) 가능</v>
      </c>
      <c r="K176" s="25">
        <v>1</v>
      </c>
      <c r="M176" s="25">
        <v>9</v>
      </c>
      <c r="N176" s="25">
        <f t="shared" si="15"/>
        <v>21</v>
      </c>
      <c r="O176" s="25">
        <v>1</v>
      </c>
      <c r="P176" s="25">
        <v>1</v>
      </c>
      <c r="Q176" s="25">
        <v>1</v>
      </c>
      <c r="R176" s="25">
        <v>1</v>
      </c>
      <c r="T176" s="25">
        <v>1</v>
      </c>
      <c r="AA176" s="25">
        <f t="shared" si="16"/>
        <v>128</v>
      </c>
      <c r="AK176" s="25">
        <v>1</v>
      </c>
      <c r="AM176" s="25">
        <v>21</v>
      </c>
      <c r="AN176" s="25">
        <v>100</v>
      </c>
      <c r="AP176" s="25">
        <f t="shared" si="18"/>
        <v>5</v>
      </c>
      <c r="AQ176" s="25" t="str">
        <f>VLOOKUP(C176,'시스템이펙트 참고자료'!$A:$B,2,FALSE)</f>
        <v>ACTIVE_PHYSICAL_CRITICAL</v>
      </c>
      <c r="AS176" s="25">
        <v>1</v>
      </c>
      <c r="BD176" s="25">
        <v>1</v>
      </c>
    </row>
    <row r="177" spans="1:56" hidden="1">
      <c r="A177" s="25">
        <v>172</v>
      </c>
      <c r="B177" s="25" t="str">
        <f>VLOOKUP(C177,'시스템이펙트 참고자료'!$A:$C,2,FALSE)</f>
        <v>ACTIVE_ENERGY_CRITICAL</v>
      </c>
      <c r="C177" s="25">
        <v>633</v>
      </c>
      <c r="D177" s="25">
        <f>VLOOKUP(C177,'시스템이펙트 참고자료'!$A:$D,4,FALSE)</f>
        <v>0</v>
      </c>
      <c r="E177" s="25">
        <v>0</v>
      </c>
      <c r="F177" s="25">
        <v>0</v>
      </c>
      <c r="G177" s="25">
        <f t="shared" si="17"/>
        <v>5</v>
      </c>
      <c r="H177" s="25" t="s">
        <v>395</v>
      </c>
      <c r="I177" s="25">
        <v>1</v>
      </c>
      <c r="J177" s="25" t="str">
        <f>VLOOKUP(C177,'시스템이펙트 참고자료'!$A:$C,3,FALSE)</f>
        <v>절대값/상대값(%) 가능</v>
      </c>
      <c r="K177" s="25">
        <v>1</v>
      </c>
      <c r="M177" s="25">
        <v>9</v>
      </c>
      <c r="N177" s="25">
        <f t="shared" si="15"/>
        <v>24</v>
      </c>
      <c r="O177" s="25">
        <v>1</v>
      </c>
      <c r="P177" s="25">
        <v>1</v>
      </c>
      <c r="Q177" s="25">
        <v>1</v>
      </c>
      <c r="R177" s="25">
        <v>1</v>
      </c>
      <c r="T177" s="25">
        <v>1</v>
      </c>
      <c r="AA177" s="25">
        <f t="shared" si="16"/>
        <v>128</v>
      </c>
      <c r="AK177" s="25">
        <v>1</v>
      </c>
      <c r="AM177" s="25">
        <v>24</v>
      </c>
      <c r="AN177" s="25">
        <v>100</v>
      </c>
      <c r="AP177" s="25">
        <f t="shared" si="18"/>
        <v>5</v>
      </c>
      <c r="AQ177" s="25" t="str">
        <f>VLOOKUP(C177,'시스템이펙트 참고자료'!$A:$B,2,FALSE)</f>
        <v>ACTIVE_ENERGY_CRITICAL</v>
      </c>
      <c r="AS177" s="25">
        <v>1</v>
      </c>
      <c r="BD177" s="25">
        <v>1</v>
      </c>
    </row>
    <row r="178" spans="1:56" hidden="1">
      <c r="A178" s="25">
        <v>173</v>
      </c>
      <c r="B178" s="25" t="str">
        <f>VLOOKUP(C178,'시스템이펙트 참고자료'!$A:$C,2,FALSE)</f>
        <v>ACTIVE_DEX_UP</v>
      </c>
      <c r="C178" s="25">
        <v>613</v>
      </c>
      <c r="D178" s="25">
        <f>VLOOKUP(C178,'시스템이펙트 참고자료'!$A:$D,4,FALSE)</f>
        <v>0</v>
      </c>
      <c r="E178" s="25">
        <v>0</v>
      </c>
      <c r="F178" s="25">
        <v>0</v>
      </c>
      <c r="G178" s="25">
        <f t="shared" si="17"/>
        <v>3</v>
      </c>
      <c r="H178" s="25" t="s">
        <v>395</v>
      </c>
      <c r="I178" s="25">
        <v>1</v>
      </c>
      <c r="J178" s="25" t="str">
        <f>VLOOKUP(C178,'시스템이펙트 참고자료'!$A:$C,3,FALSE)</f>
        <v>절대값/상대값(%) 가능</v>
      </c>
      <c r="K178" s="25">
        <v>1</v>
      </c>
      <c r="M178" s="25">
        <v>9</v>
      </c>
      <c r="N178" s="25">
        <f t="shared" si="15"/>
        <v>44</v>
      </c>
      <c r="O178" s="25">
        <v>1</v>
      </c>
      <c r="P178" s="25">
        <v>1</v>
      </c>
      <c r="Q178" s="25">
        <v>1</v>
      </c>
      <c r="R178" s="25">
        <v>1</v>
      </c>
      <c r="T178" s="25">
        <v>1</v>
      </c>
      <c r="AA178" s="25">
        <f t="shared" si="16"/>
        <v>128</v>
      </c>
      <c r="AK178" s="25">
        <v>1</v>
      </c>
      <c r="AM178" s="25">
        <v>44</v>
      </c>
      <c r="AN178" s="25">
        <v>100</v>
      </c>
      <c r="AP178" s="25">
        <f t="shared" si="18"/>
        <v>3</v>
      </c>
      <c r="AQ178" s="25" t="str">
        <f>VLOOKUP(C178,'시스템이펙트 참고자료'!$A:$B,2,FALSE)</f>
        <v>ACTIVE_DEX_UP</v>
      </c>
      <c r="AS178" s="25">
        <v>1</v>
      </c>
      <c r="BD178" s="25">
        <v>1</v>
      </c>
    </row>
    <row r="179" spans="1:56" hidden="1">
      <c r="A179" s="25">
        <v>174</v>
      </c>
      <c r="B179" s="25" t="str">
        <f>VLOOKUP(C179,'시스템이펙트 참고자료'!$A:$C,2,FALSE)</f>
        <v>ACTIVE_FOC_UP</v>
      </c>
      <c r="C179" s="25">
        <v>612</v>
      </c>
      <c r="D179" s="25">
        <f>VLOOKUP(C179,'시스템이펙트 참고자료'!$A:$D,4,FALSE)</f>
        <v>0</v>
      </c>
      <c r="E179" s="25">
        <v>0</v>
      </c>
      <c r="F179" s="25">
        <v>0</v>
      </c>
      <c r="G179" s="25">
        <f t="shared" si="17"/>
        <v>2</v>
      </c>
      <c r="H179" s="25" t="s">
        <v>395</v>
      </c>
      <c r="I179" s="25">
        <v>1</v>
      </c>
      <c r="J179" s="25" t="str">
        <f>VLOOKUP(C179,'시스템이펙트 참고자료'!$A:$C,3,FALSE)</f>
        <v>절대값/상대값(%) 가능</v>
      </c>
      <c r="K179" s="25">
        <v>1</v>
      </c>
      <c r="M179" s="25">
        <v>9</v>
      </c>
      <c r="N179" s="25">
        <f t="shared" si="15"/>
        <v>53</v>
      </c>
      <c r="O179" s="25">
        <v>1</v>
      </c>
      <c r="P179" s="25">
        <v>1</v>
      </c>
      <c r="Q179" s="25">
        <v>1</v>
      </c>
      <c r="R179" s="25">
        <v>1</v>
      </c>
      <c r="T179" s="25">
        <v>1</v>
      </c>
      <c r="AA179" s="25">
        <f t="shared" si="16"/>
        <v>128</v>
      </c>
      <c r="AK179" s="25">
        <v>1</v>
      </c>
      <c r="AM179" s="25">
        <v>53</v>
      </c>
      <c r="AN179" s="25">
        <v>100</v>
      </c>
      <c r="AP179" s="25">
        <f t="shared" si="18"/>
        <v>2</v>
      </c>
      <c r="AQ179" s="25" t="str">
        <f>VLOOKUP(C179,'시스템이펙트 참고자료'!$A:$B,2,FALSE)</f>
        <v>ACTIVE_FOC_UP</v>
      </c>
      <c r="AS179" s="25">
        <v>1</v>
      </c>
      <c r="BD179" s="25">
        <v>1</v>
      </c>
    </row>
    <row r="180" spans="1:56" hidden="1">
      <c r="A180" s="25">
        <v>175</v>
      </c>
      <c r="B180" s="25" t="str">
        <f>VLOOKUP(C180,'시스템이펙트 참고자료'!$A:$C,2,FALSE)</f>
        <v>ACTIVE_PHYSICAL_CRITICAL_DAMAGE_UP</v>
      </c>
      <c r="C180" s="25">
        <v>658</v>
      </c>
      <c r="D180" s="25">
        <f>VLOOKUP(C180,'시스템이펙트 참고자료'!$A:$D,4,FALSE)</f>
        <v>0</v>
      </c>
      <c r="E180" s="25">
        <v>0</v>
      </c>
      <c r="F180" s="25">
        <v>0</v>
      </c>
      <c r="G180" s="25">
        <f t="shared" si="17"/>
        <v>4</v>
      </c>
      <c r="H180" s="25" t="s">
        <v>395</v>
      </c>
      <c r="I180" s="25">
        <v>1</v>
      </c>
      <c r="J180" s="25" t="str">
        <f>VLOOKUP(C180,'시스템이펙트 참고자료'!$A:$C,3,FALSE)</f>
        <v>절대값만 가능</v>
      </c>
      <c r="K180" s="25">
        <v>1</v>
      </c>
      <c r="M180" s="25">
        <v>10</v>
      </c>
      <c r="N180" s="25">
        <f t="shared" si="15"/>
        <v>28</v>
      </c>
      <c r="O180" s="25">
        <v>1</v>
      </c>
      <c r="P180" s="25">
        <v>1</v>
      </c>
      <c r="Q180" s="25">
        <v>1</v>
      </c>
      <c r="R180" s="25">
        <v>1</v>
      </c>
      <c r="T180" s="25">
        <v>1</v>
      </c>
      <c r="AA180" s="25">
        <f t="shared" si="16"/>
        <v>128</v>
      </c>
      <c r="AK180" s="25">
        <v>1</v>
      </c>
      <c r="AM180" s="25">
        <v>28</v>
      </c>
      <c r="AN180" s="25">
        <v>100</v>
      </c>
      <c r="AP180" s="25">
        <f t="shared" si="18"/>
        <v>4</v>
      </c>
      <c r="AQ180" s="25" t="str">
        <f>VLOOKUP(C180,'시스템이펙트 참고자료'!$A:$B,2,FALSE)</f>
        <v>ACTIVE_PHYSICAL_CRITICAL_DAMAGE_UP</v>
      </c>
      <c r="AS180" s="25">
        <v>1</v>
      </c>
      <c r="BD180" s="25">
        <v>1</v>
      </c>
    </row>
    <row r="181" spans="1:56" hidden="1">
      <c r="A181" s="25">
        <v>176</v>
      </c>
      <c r="B181" s="25" t="str">
        <f>VLOOKUP(C181,'시스템이펙트 참고자료'!$A:$C,2,FALSE)</f>
        <v>ACTIVE_ENERGY_CRITICAL_DAMAGE_UP</v>
      </c>
      <c r="C181" s="25">
        <v>659</v>
      </c>
      <c r="D181" s="25">
        <f>VLOOKUP(C181,'시스템이펙트 참고자료'!$A:$D,4,FALSE)</f>
        <v>0</v>
      </c>
      <c r="E181" s="25">
        <v>0</v>
      </c>
      <c r="F181" s="25">
        <v>0</v>
      </c>
      <c r="G181" s="25">
        <f t="shared" si="17"/>
        <v>4</v>
      </c>
      <c r="H181" s="25" t="s">
        <v>395</v>
      </c>
      <c r="I181" s="25">
        <v>1</v>
      </c>
      <c r="J181" s="25" t="str">
        <f>VLOOKUP(C181,'시스템이펙트 참고자료'!$A:$C,3,FALSE)</f>
        <v>절대값만 가능</v>
      </c>
      <c r="K181" s="25">
        <v>1</v>
      </c>
      <c r="M181" s="25">
        <v>10</v>
      </c>
      <c r="N181" s="25">
        <f t="shared" si="15"/>
        <v>32</v>
      </c>
      <c r="O181" s="25">
        <v>1</v>
      </c>
      <c r="P181" s="25">
        <v>1</v>
      </c>
      <c r="Q181" s="25">
        <v>1</v>
      </c>
      <c r="R181" s="25">
        <v>1</v>
      </c>
      <c r="T181" s="25">
        <v>1</v>
      </c>
      <c r="AA181" s="25">
        <f t="shared" si="16"/>
        <v>128</v>
      </c>
      <c r="AK181" s="25">
        <v>1</v>
      </c>
      <c r="AM181" s="25">
        <v>32</v>
      </c>
      <c r="AN181" s="25">
        <v>100</v>
      </c>
      <c r="AP181" s="25">
        <f t="shared" si="18"/>
        <v>4</v>
      </c>
      <c r="AQ181" s="25" t="str">
        <f>VLOOKUP(C181,'시스템이펙트 참고자료'!$A:$B,2,FALSE)</f>
        <v>ACTIVE_ENERGY_CRITICAL_DAMAGE_UP</v>
      </c>
      <c r="AS181" s="25">
        <v>1</v>
      </c>
      <c r="BD181" s="25">
        <v>1</v>
      </c>
    </row>
    <row r="182" spans="1:56" hidden="1">
      <c r="A182" s="25">
        <v>177</v>
      </c>
      <c r="B182" s="25" t="str">
        <f>VLOOKUP(C182,'시스템이펙트 참고자료'!$A:$C,2,FALSE)</f>
        <v>ACTIVE_DEX_UP</v>
      </c>
      <c r="C182" s="25">
        <v>613</v>
      </c>
      <c r="D182" s="25">
        <f>VLOOKUP(C182,'시스템이펙트 참고자료'!$A:$D,4,FALSE)</f>
        <v>0</v>
      </c>
      <c r="E182" s="25">
        <v>0</v>
      </c>
      <c r="F182" s="25">
        <v>0</v>
      </c>
      <c r="G182" s="25">
        <f t="shared" si="17"/>
        <v>3</v>
      </c>
      <c r="H182" s="25" t="s">
        <v>395</v>
      </c>
      <c r="I182" s="25">
        <v>1</v>
      </c>
      <c r="J182" s="25" t="str">
        <f>VLOOKUP(C182,'시스템이펙트 참고자료'!$A:$C,3,FALSE)</f>
        <v>절대값/상대값(%) 가능</v>
      </c>
      <c r="K182" s="25">
        <v>1</v>
      </c>
      <c r="M182" s="25">
        <v>10</v>
      </c>
      <c r="N182" s="25">
        <f t="shared" si="15"/>
        <v>44</v>
      </c>
      <c r="O182" s="25">
        <v>1</v>
      </c>
      <c r="P182" s="25">
        <v>1</v>
      </c>
      <c r="Q182" s="25">
        <v>1</v>
      </c>
      <c r="R182" s="25">
        <v>1</v>
      </c>
      <c r="T182" s="25">
        <v>1</v>
      </c>
      <c r="AA182" s="25">
        <f t="shared" si="16"/>
        <v>128</v>
      </c>
      <c r="AK182" s="25">
        <v>1</v>
      </c>
      <c r="AM182" s="25">
        <v>44</v>
      </c>
      <c r="AN182" s="25">
        <v>100</v>
      </c>
      <c r="AP182" s="25">
        <f t="shared" si="18"/>
        <v>3</v>
      </c>
      <c r="AQ182" s="25" t="str">
        <f>VLOOKUP(C182,'시스템이펙트 참고자료'!$A:$B,2,FALSE)</f>
        <v>ACTIVE_DEX_UP</v>
      </c>
      <c r="AS182" s="25">
        <v>1</v>
      </c>
      <c r="BD182" s="25">
        <v>1</v>
      </c>
    </row>
    <row r="183" spans="1:56" hidden="1">
      <c r="A183" s="25">
        <v>178</v>
      </c>
      <c r="B183" s="25" t="str">
        <f>VLOOKUP(C183,'시스템이펙트 참고자료'!$A:$C,2,FALSE)</f>
        <v>ACTIVE_ATTACK_SPEED_UP</v>
      </c>
      <c r="C183" s="25">
        <v>617</v>
      </c>
      <c r="D183" s="25">
        <f>VLOOKUP(C183,'시스템이펙트 참고자료'!$A:$D,4,FALSE)</f>
        <v>1</v>
      </c>
      <c r="E183" s="25">
        <v>0</v>
      </c>
      <c r="F183" s="25">
        <v>0</v>
      </c>
      <c r="G183" s="25">
        <f t="shared" si="17"/>
        <v>10</v>
      </c>
      <c r="H183" s="25" t="s">
        <v>395</v>
      </c>
      <c r="I183" s="25">
        <v>1</v>
      </c>
      <c r="J183" s="25" t="str">
        <f>VLOOKUP(C183,'시스템이펙트 참고자료'!$A:$C,3,FALSE)</f>
        <v>절대값/상대값(%) 가능</v>
      </c>
      <c r="K183" s="25">
        <v>1</v>
      </c>
      <c r="M183" s="25">
        <v>10</v>
      </c>
      <c r="N183" s="25">
        <f t="shared" si="15"/>
        <v>10</v>
      </c>
      <c r="O183" s="25">
        <v>1</v>
      </c>
      <c r="P183" s="25">
        <v>1</v>
      </c>
      <c r="Q183" s="25">
        <v>1</v>
      </c>
      <c r="R183" s="25">
        <v>1</v>
      </c>
      <c r="T183" s="25">
        <v>1</v>
      </c>
      <c r="AA183" s="25">
        <f t="shared" si="16"/>
        <v>128</v>
      </c>
      <c r="AK183" s="25">
        <v>1</v>
      </c>
      <c r="AM183" s="25">
        <v>10</v>
      </c>
      <c r="AN183" s="25">
        <v>100</v>
      </c>
      <c r="AP183" s="25">
        <f t="shared" si="18"/>
        <v>10</v>
      </c>
      <c r="AQ183" s="25" t="str">
        <f>VLOOKUP(C183,'시스템이펙트 참고자료'!$A:$B,2,FALSE)</f>
        <v>ACTIVE_ATTACK_SPEED_UP</v>
      </c>
      <c r="AS183" s="25">
        <v>1</v>
      </c>
      <c r="BD183" s="25">
        <v>1</v>
      </c>
    </row>
    <row r="184" spans="1:56" hidden="1">
      <c r="A184" s="25">
        <v>179</v>
      </c>
      <c r="B184" s="25" t="str">
        <f>VLOOKUP(C184,'시스템이펙트 참고자료'!$A:$C,2,FALSE)</f>
        <v>ACTIVE_STR_UP</v>
      </c>
      <c r="C184" s="25">
        <v>610</v>
      </c>
      <c r="D184" s="25">
        <f>VLOOKUP(C184,'시스템이펙트 참고자료'!$A:$D,4,FALSE)</f>
        <v>0</v>
      </c>
      <c r="E184" s="25">
        <v>0</v>
      </c>
      <c r="F184" s="25">
        <v>0</v>
      </c>
      <c r="G184" s="25">
        <f t="shared" si="17"/>
        <v>2</v>
      </c>
      <c r="H184" s="25" t="s">
        <v>395</v>
      </c>
      <c r="I184" s="25">
        <v>1</v>
      </c>
      <c r="J184" s="25" t="str">
        <f>VLOOKUP(C184,'시스템이펙트 참고자료'!$A:$C,3,FALSE)</f>
        <v>절대값/상대값(%) 가능</v>
      </c>
      <c r="K184" s="25">
        <v>1</v>
      </c>
      <c r="M184" s="25">
        <v>11</v>
      </c>
      <c r="N184" s="25">
        <f t="shared" si="15"/>
        <v>57</v>
      </c>
      <c r="O184" s="25">
        <v>1</v>
      </c>
      <c r="P184" s="25">
        <v>1</v>
      </c>
      <c r="Q184" s="25">
        <v>1</v>
      </c>
      <c r="R184" s="25">
        <v>1</v>
      </c>
      <c r="T184" s="25">
        <v>1</v>
      </c>
      <c r="AA184" s="25">
        <f t="shared" si="16"/>
        <v>128</v>
      </c>
      <c r="AK184" s="25">
        <v>1</v>
      </c>
      <c r="AM184" s="25">
        <v>57</v>
      </c>
      <c r="AN184" s="25">
        <v>100</v>
      </c>
      <c r="AP184" s="25">
        <f t="shared" si="18"/>
        <v>2</v>
      </c>
      <c r="AQ184" s="25" t="str">
        <f>VLOOKUP(C184,'시스템이펙트 참고자료'!$A:$B,2,FALSE)</f>
        <v>ACTIVE_STR_UP</v>
      </c>
      <c r="AS184" s="25">
        <v>1</v>
      </c>
      <c r="BD184" s="25">
        <v>1</v>
      </c>
    </row>
    <row r="185" spans="1:56" hidden="1">
      <c r="A185" s="25">
        <v>180</v>
      </c>
      <c r="B185" s="25" t="str">
        <f>VLOOKUP(C185,'시스템이펙트 참고자료'!$A:$C,2,FALSE)</f>
        <v>ACTIVE_CON_UP</v>
      </c>
      <c r="C185" s="25">
        <v>611</v>
      </c>
      <c r="D185" s="25">
        <f>VLOOKUP(C185,'시스템이펙트 참고자료'!$A:$D,4,FALSE)</f>
        <v>0</v>
      </c>
      <c r="E185" s="25">
        <v>0</v>
      </c>
      <c r="F185" s="25">
        <v>0</v>
      </c>
      <c r="G185" s="25">
        <f t="shared" si="17"/>
        <v>3</v>
      </c>
      <c r="H185" s="25" t="s">
        <v>395</v>
      </c>
      <c r="I185" s="25">
        <v>1</v>
      </c>
      <c r="J185" s="25" t="str">
        <f>VLOOKUP(C185,'시스템이펙트 참고자료'!$A:$C,3,FALSE)</f>
        <v>절대값/상대값(%) 가능</v>
      </c>
      <c r="K185" s="25">
        <v>1</v>
      </c>
      <c r="M185" s="25">
        <v>11</v>
      </c>
      <c r="N185" s="25">
        <f t="shared" si="15"/>
        <v>48</v>
      </c>
      <c r="O185" s="25">
        <v>1</v>
      </c>
      <c r="P185" s="25">
        <v>1</v>
      </c>
      <c r="Q185" s="25">
        <v>1</v>
      </c>
      <c r="R185" s="25">
        <v>1</v>
      </c>
      <c r="T185" s="25">
        <v>1</v>
      </c>
      <c r="AA185" s="25">
        <f t="shared" si="16"/>
        <v>128</v>
      </c>
      <c r="AK185" s="25">
        <v>1</v>
      </c>
      <c r="AM185" s="25">
        <v>48</v>
      </c>
      <c r="AN185" s="25">
        <v>100</v>
      </c>
      <c r="AP185" s="25">
        <f t="shared" si="18"/>
        <v>3</v>
      </c>
      <c r="AQ185" s="25" t="str">
        <f>VLOOKUP(C185,'시스템이펙트 참고자료'!$A:$B,2,FALSE)</f>
        <v>ACTIVE_CON_UP</v>
      </c>
      <c r="AS185" s="25">
        <v>1</v>
      </c>
      <c r="BD185" s="25">
        <v>1</v>
      </c>
    </row>
    <row r="186" spans="1:56" hidden="1">
      <c r="A186" s="25">
        <v>181</v>
      </c>
      <c r="B186" s="25" t="str">
        <f>VLOOKUP(C186,'시스템이펙트 참고자료'!$A:$C,2,FALSE)</f>
        <v>ACTIVE_FOC_UP</v>
      </c>
      <c r="C186" s="25">
        <v>612</v>
      </c>
      <c r="D186" s="25">
        <f>VLOOKUP(C186,'시스템이펙트 참고자료'!$A:$D,4,FALSE)</f>
        <v>0</v>
      </c>
      <c r="E186" s="25">
        <v>0</v>
      </c>
      <c r="F186" s="25">
        <v>0</v>
      </c>
      <c r="G186" s="25">
        <f t="shared" si="17"/>
        <v>2</v>
      </c>
      <c r="H186" s="25" t="s">
        <v>395</v>
      </c>
      <c r="I186" s="25">
        <v>1</v>
      </c>
      <c r="J186" s="25" t="str">
        <f>VLOOKUP(C186,'시스템이펙트 참고자료'!$A:$C,3,FALSE)</f>
        <v>절대값/상대값(%) 가능</v>
      </c>
      <c r="K186" s="25">
        <v>1</v>
      </c>
      <c r="M186" s="25">
        <v>11</v>
      </c>
      <c r="N186" s="25">
        <f t="shared" si="15"/>
        <v>53</v>
      </c>
      <c r="O186" s="25">
        <v>1</v>
      </c>
      <c r="P186" s="25">
        <v>1</v>
      </c>
      <c r="Q186" s="25">
        <v>1</v>
      </c>
      <c r="R186" s="25">
        <v>1</v>
      </c>
      <c r="T186" s="25">
        <v>1</v>
      </c>
      <c r="AA186" s="25">
        <f t="shared" si="16"/>
        <v>128</v>
      </c>
      <c r="AK186" s="25">
        <v>1</v>
      </c>
      <c r="AM186" s="25">
        <v>53</v>
      </c>
      <c r="AN186" s="25">
        <v>100</v>
      </c>
      <c r="AP186" s="25">
        <f t="shared" si="18"/>
        <v>2</v>
      </c>
      <c r="AQ186" s="25" t="str">
        <f>VLOOKUP(C186,'시스템이펙트 참고자료'!$A:$B,2,FALSE)</f>
        <v>ACTIVE_FOC_UP</v>
      </c>
      <c r="AS186" s="25">
        <v>1</v>
      </c>
      <c r="BD186" s="25">
        <v>1</v>
      </c>
    </row>
    <row r="187" spans="1:56" hidden="1">
      <c r="A187" s="25">
        <v>182</v>
      </c>
      <c r="B187" s="25" t="str">
        <f>VLOOKUP(C187,'시스템이펙트 참고자료'!$A:$C,2,FALSE)</f>
        <v>ACTIVE_DEX_UP</v>
      </c>
      <c r="C187" s="25">
        <v>613</v>
      </c>
      <c r="D187" s="25">
        <f>VLOOKUP(C187,'시스템이펙트 참고자료'!$A:$D,4,FALSE)</f>
        <v>0</v>
      </c>
      <c r="E187" s="25">
        <v>0</v>
      </c>
      <c r="F187" s="25">
        <v>0</v>
      </c>
      <c r="G187" s="25">
        <f t="shared" si="17"/>
        <v>3</v>
      </c>
      <c r="H187" s="25" t="s">
        <v>395</v>
      </c>
      <c r="I187" s="25">
        <v>1</v>
      </c>
      <c r="J187" s="25" t="str">
        <f>VLOOKUP(C187,'시스템이펙트 참고자료'!$A:$C,3,FALSE)</f>
        <v>절대값/상대값(%) 가능</v>
      </c>
      <c r="K187" s="25">
        <v>1</v>
      </c>
      <c r="M187" s="25">
        <v>11</v>
      </c>
      <c r="N187" s="25">
        <f t="shared" si="15"/>
        <v>44</v>
      </c>
      <c r="O187" s="25">
        <v>1</v>
      </c>
      <c r="P187" s="25">
        <v>1</v>
      </c>
      <c r="Q187" s="25">
        <v>1</v>
      </c>
      <c r="R187" s="25">
        <v>1</v>
      </c>
      <c r="T187" s="25">
        <v>1</v>
      </c>
      <c r="AA187" s="25">
        <f t="shared" si="16"/>
        <v>128</v>
      </c>
      <c r="AK187" s="25">
        <v>1</v>
      </c>
      <c r="AM187" s="25">
        <v>44</v>
      </c>
      <c r="AN187" s="25">
        <v>100</v>
      </c>
      <c r="AP187" s="25">
        <f t="shared" si="18"/>
        <v>3</v>
      </c>
      <c r="AQ187" s="25" t="str">
        <f>VLOOKUP(C187,'시스템이펙트 참고자료'!$A:$B,2,FALSE)</f>
        <v>ACTIVE_DEX_UP</v>
      </c>
      <c r="AS187" s="25">
        <v>1</v>
      </c>
      <c r="BD187" s="25">
        <v>1</v>
      </c>
    </row>
    <row r="188" spans="1:56" hidden="1">
      <c r="A188" s="25">
        <v>183</v>
      </c>
      <c r="B188" s="25" t="str">
        <f>VLOOKUP(C188,'시스템이펙트 참고자료'!$A:$C,2,FALSE)</f>
        <v>ACTIVE_SOL_UP</v>
      </c>
      <c r="C188" s="25">
        <v>614</v>
      </c>
      <c r="D188" s="25">
        <f>VLOOKUP(C188,'시스템이펙트 참고자료'!$A:$D,4,FALSE)</f>
        <v>0</v>
      </c>
      <c r="E188" s="25">
        <v>0</v>
      </c>
      <c r="F188" s="25">
        <v>0</v>
      </c>
      <c r="G188" s="25">
        <f t="shared" si="17"/>
        <v>2</v>
      </c>
      <c r="H188" s="25" t="s">
        <v>395</v>
      </c>
      <c r="I188" s="25">
        <v>1</v>
      </c>
      <c r="J188" s="25" t="str">
        <f>VLOOKUP(C188,'시스템이펙트 참고자료'!$A:$C,3,FALSE)</f>
        <v>절대값/상대값(%) 가능</v>
      </c>
      <c r="K188" s="25">
        <v>1</v>
      </c>
      <c r="M188" s="25">
        <v>11</v>
      </c>
      <c r="N188" s="25">
        <f t="shared" si="15"/>
        <v>53</v>
      </c>
      <c r="O188" s="25">
        <v>1</v>
      </c>
      <c r="P188" s="25">
        <v>1</v>
      </c>
      <c r="Q188" s="25">
        <v>1</v>
      </c>
      <c r="R188" s="25">
        <v>1</v>
      </c>
      <c r="T188" s="25">
        <v>1</v>
      </c>
      <c r="AA188" s="25">
        <f t="shared" si="16"/>
        <v>128</v>
      </c>
      <c r="AK188" s="25">
        <v>1</v>
      </c>
      <c r="AM188" s="25">
        <v>53</v>
      </c>
      <c r="AN188" s="25">
        <v>100</v>
      </c>
      <c r="AP188" s="25">
        <f t="shared" si="18"/>
        <v>2</v>
      </c>
      <c r="AQ188" s="25" t="str">
        <f>VLOOKUP(C188,'시스템이펙트 참고자료'!$A:$B,2,FALSE)</f>
        <v>ACTIVE_SOL_UP</v>
      </c>
      <c r="AS188" s="25">
        <v>1</v>
      </c>
      <c r="BD188" s="25">
        <v>1</v>
      </c>
    </row>
    <row r="189" spans="1:56" hidden="1">
      <c r="A189" s="25">
        <v>184</v>
      </c>
      <c r="B189" s="25" t="str">
        <f>VLOOKUP(C189,'시스템이펙트 참고자료'!$A:$C,2,FALSE)</f>
        <v>ACTIVE_ENG_UP</v>
      </c>
      <c r="C189" s="25">
        <v>615</v>
      </c>
      <c r="D189" s="25">
        <f>VLOOKUP(C189,'시스템이펙트 참고자료'!$A:$D,4,FALSE)</f>
        <v>0</v>
      </c>
      <c r="E189" s="25">
        <v>0</v>
      </c>
      <c r="F189" s="25">
        <v>0</v>
      </c>
      <c r="G189" s="25">
        <f t="shared" si="17"/>
        <v>2</v>
      </c>
      <c r="H189" s="25" t="s">
        <v>395</v>
      </c>
      <c r="I189" s="25">
        <v>1</v>
      </c>
      <c r="J189" s="25" t="str">
        <f>VLOOKUP(C189,'시스템이펙트 참고자료'!$A:$C,3,FALSE)</f>
        <v>절대값/상대값(%) 가능</v>
      </c>
      <c r="K189" s="25">
        <v>1</v>
      </c>
      <c r="M189" s="25">
        <v>11</v>
      </c>
      <c r="N189" s="25">
        <f t="shared" si="15"/>
        <v>62</v>
      </c>
      <c r="O189" s="25">
        <v>1</v>
      </c>
      <c r="P189" s="25">
        <v>1</v>
      </c>
      <c r="Q189" s="25">
        <v>1</v>
      </c>
      <c r="R189" s="25">
        <v>1</v>
      </c>
      <c r="T189" s="25">
        <v>1</v>
      </c>
      <c r="AA189" s="25">
        <f t="shared" si="16"/>
        <v>128</v>
      </c>
      <c r="AK189" s="25">
        <v>1</v>
      </c>
      <c r="AM189" s="25">
        <v>62</v>
      </c>
      <c r="AN189" s="25">
        <v>100</v>
      </c>
      <c r="AP189" s="25">
        <f t="shared" si="18"/>
        <v>2</v>
      </c>
      <c r="AQ189" s="25" t="str">
        <f>VLOOKUP(C189,'시스템이펙트 참고자료'!$A:$B,2,FALSE)</f>
        <v>ACTIVE_ENG_UP</v>
      </c>
      <c r="AS189" s="25">
        <v>1</v>
      </c>
      <c r="BD189" s="25">
        <v>1</v>
      </c>
    </row>
    <row r="190" spans="1:56" hidden="1">
      <c r="A190" s="25">
        <v>185</v>
      </c>
      <c r="B190" s="25" t="str">
        <f>VLOOKUP(C190,'시스템이펙트 참고자료'!$A:$C,2,FALSE)</f>
        <v>ACTIVE_PHYSICAL_DEFENCE_UP</v>
      </c>
      <c r="C190" s="25">
        <v>608</v>
      </c>
      <c r="D190" s="25">
        <f>VLOOKUP(C190,'시스템이펙트 참고자료'!$A:$D,4,FALSE)</f>
        <v>0</v>
      </c>
      <c r="E190" s="25">
        <v>0</v>
      </c>
      <c r="F190" s="25">
        <v>0</v>
      </c>
      <c r="G190" s="25">
        <f t="shared" si="17"/>
        <v>1</v>
      </c>
      <c r="H190" s="25" t="s">
        <v>395</v>
      </c>
      <c r="I190" s="25">
        <v>1</v>
      </c>
      <c r="J190" s="25" t="str">
        <f>VLOOKUP(C190,'시스템이펙트 참고자료'!$A:$C,3,FALSE)</f>
        <v>절대값/상대값(%) 가능</v>
      </c>
      <c r="K190" s="25">
        <v>1</v>
      </c>
      <c r="M190" s="25">
        <v>12</v>
      </c>
      <c r="N190" s="25">
        <f t="shared" si="15"/>
        <v>1350</v>
      </c>
      <c r="O190" s="25">
        <v>1</v>
      </c>
      <c r="P190" s="25">
        <v>1</v>
      </c>
      <c r="Q190" s="25">
        <v>1</v>
      </c>
      <c r="R190" s="25">
        <v>1</v>
      </c>
      <c r="T190" s="25">
        <v>1</v>
      </c>
      <c r="AA190" s="25">
        <f t="shared" si="16"/>
        <v>128</v>
      </c>
      <c r="AK190" s="25">
        <v>1</v>
      </c>
      <c r="AM190" s="25">
        <v>1350</v>
      </c>
      <c r="AN190" s="25">
        <v>100</v>
      </c>
      <c r="AP190" s="25">
        <f t="shared" si="18"/>
        <v>1</v>
      </c>
      <c r="AQ190" s="25" t="str">
        <f>VLOOKUP(C190,'시스템이펙트 참고자료'!$A:$B,2,FALSE)</f>
        <v>ACTIVE_PHYSICAL_DEFENCE_UP</v>
      </c>
      <c r="AS190" s="25">
        <v>1</v>
      </c>
      <c r="BD190" s="25">
        <v>1</v>
      </c>
    </row>
    <row r="191" spans="1:56" hidden="1">
      <c r="A191" s="25">
        <v>186</v>
      </c>
      <c r="B191" s="25" t="str">
        <f>VLOOKUP(C191,'시스템이펙트 참고자료'!$A:$C,2,FALSE)</f>
        <v>ACTIVE_BLOCK_RATE_UP</v>
      </c>
      <c r="C191" s="25">
        <v>620</v>
      </c>
      <c r="D191" s="25">
        <f>VLOOKUP(C191,'시스템이펙트 참고자료'!$A:$D,4,FALSE)</f>
        <v>0</v>
      </c>
      <c r="E191" s="25">
        <v>0</v>
      </c>
      <c r="F191" s="25">
        <v>0</v>
      </c>
      <c r="G191" s="25">
        <f t="shared" si="17"/>
        <v>1</v>
      </c>
      <c r="H191" s="25" t="s">
        <v>395</v>
      </c>
      <c r="I191" s="25">
        <v>1</v>
      </c>
      <c r="J191" s="25" t="str">
        <f>VLOOKUP(C191,'시스템이펙트 참고자료'!$A:$C,3,FALSE)</f>
        <v>절대값/상대값(%) 가능</v>
      </c>
      <c r="K191" s="25">
        <v>1</v>
      </c>
      <c r="M191" s="25">
        <v>12</v>
      </c>
      <c r="N191" s="25">
        <f t="shared" si="15"/>
        <v>352</v>
      </c>
      <c r="O191" s="25">
        <v>1</v>
      </c>
      <c r="P191" s="25">
        <v>1</v>
      </c>
      <c r="Q191" s="25">
        <v>1</v>
      </c>
      <c r="R191" s="25">
        <v>1</v>
      </c>
      <c r="T191" s="25">
        <v>1</v>
      </c>
      <c r="AA191" s="25">
        <f t="shared" si="16"/>
        <v>128</v>
      </c>
      <c r="AK191" s="25">
        <v>1</v>
      </c>
      <c r="AM191" s="25">
        <v>352</v>
      </c>
      <c r="AN191" s="25">
        <v>100</v>
      </c>
      <c r="AP191" s="25">
        <f t="shared" si="18"/>
        <v>1</v>
      </c>
      <c r="AQ191" s="25" t="str">
        <f>VLOOKUP(C191,'시스템이펙트 참고자료'!$A:$B,2,FALSE)</f>
        <v>ACTIVE_BLOCK_RATE_UP</v>
      </c>
      <c r="AS191" s="25">
        <v>1</v>
      </c>
      <c r="BD191" s="25">
        <v>1</v>
      </c>
    </row>
    <row r="192" spans="1:56" hidden="1">
      <c r="A192" s="25">
        <v>187</v>
      </c>
      <c r="B192" s="25" t="str">
        <f>VLOOKUP(C192,'시스템이펙트 참고자료'!$A:$C,2,FALSE)</f>
        <v>ACTIVE_CON_UP</v>
      </c>
      <c r="C192" s="25">
        <v>611</v>
      </c>
      <c r="D192" s="25">
        <f>VLOOKUP(C192,'시스템이펙트 참고자료'!$A:$D,4,FALSE)</f>
        <v>0</v>
      </c>
      <c r="E192" s="25">
        <v>0</v>
      </c>
      <c r="F192" s="25">
        <v>0</v>
      </c>
      <c r="G192" s="25">
        <f t="shared" si="17"/>
        <v>3</v>
      </c>
      <c r="H192" s="25" t="s">
        <v>395</v>
      </c>
      <c r="I192" s="25">
        <v>1</v>
      </c>
      <c r="J192" s="25" t="str">
        <f>VLOOKUP(C192,'시스템이펙트 참고자료'!$A:$C,3,FALSE)</f>
        <v>절대값/상대값(%) 가능</v>
      </c>
      <c r="K192" s="25">
        <v>1</v>
      </c>
      <c r="M192" s="25">
        <v>12</v>
      </c>
      <c r="N192" s="25">
        <f t="shared" si="15"/>
        <v>48</v>
      </c>
      <c r="O192" s="25">
        <v>1</v>
      </c>
      <c r="P192" s="25">
        <v>1</v>
      </c>
      <c r="Q192" s="25">
        <v>1</v>
      </c>
      <c r="R192" s="25">
        <v>1</v>
      </c>
      <c r="T192" s="25">
        <v>1</v>
      </c>
      <c r="AA192" s="25">
        <f t="shared" si="16"/>
        <v>128</v>
      </c>
      <c r="AK192" s="25">
        <v>1</v>
      </c>
      <c r="AM192" s="25">
        <v>48</v>
      </c>
      <c r="AN192" s="25">
        <v>100</v>
      </c>
      <c r="AP192" s="25">
        <f t="shared" si="18"/>
        <v>3</v>
      </c>
      <c r="AQ192" s="25" t="str">
        <f>VLOOKUP(C192,'시스템이펙트 참고자료'!$A:$B,2,FALSE)</f>
        <v>ACTIVE_CON_UP</v>
      </c>
      <c r="AS192" s="25">
        <v>1</v>
      </c>
      <c r="BD192" s="25">
        <v>1</v>
      </c>
    </row>
    <row r="193" spans="1:56" hidden="1">
      <c r="A193" s="25">
        <v>188</v>
      </c>
      <c r="B193" s="25" t="str">
        <f>VLOOKUP(C193,'시스템이펙트 참고자료'!$A:$C,2,FALSE)</f>
        <v>ACTIVE_FOC_UP</v>
      </c>
      <c r="C193" s="25">
        <v>612</v>
      </c>
      <c r="D193" s="25">
        <f>VLOOKUP(C193,'시스템이펙트 참고자료'!$A:$D,4,FALSE)</f>
        <v>0</v>
      </c>
      <c r="E193" s="25">
        <v>0</v>
      </c>
      <c r="F193" s="25">
        <v>0</v>
      </c>
      <c r="G193" s="25">
        <f t="shared" si="17"/>
        <v>2</v>
      </c>
      <c r="H193" s="25" t="s">
        <v>395</v>
      </c>
      <c r="I193" s="25">
        <v>1</v>
      </c>
      <c r="J193" s="25" t="str">
        <f>VLOOKUP(C193,'시스템이펙트 참고자료'!$A:$C,3,FALSE)</f>
        <v>절대값/상대값(%) 가능</v>
      </c>
      <c r="K193" s="25">
        <v>1</v>
      </c>
      <c r="M193" s="25">
        <v>12</v>
      </c>
      <c r="N193" s="25">
        <f t="shared" si="15"/>
        <v>53</v>
      </c>
      <c r="O193" s="25">
        <v>1</v>
      </c>
      <c r="P193" s="25">
        <v>1</v>
      </c>
      <c r="Q193" s="25">
        <v>1</v>
      </c>
      <c r="R193" s="25">
        <v>1</v>
      </c>
      <c r="T193" s="25">
        <v>1</v>
      </c>
      <c r="AA193" s="25">
        <f t="shared" si="16"/>
        <v>128</v>
      </c>
      <c r="AK193" s="25">
        <v>1</v>
      </c>
      <c r="AM193" s="25">
        <v>53</v>
      </c>
      <c r="AN193" s="25">
        <v>100</v>
      </c>
      <c r="AP193" s="25">
        <f t="shared" si="18"/>
        <v>2</v>
      </c>
      <c r="AQ193" s="25" t="str">
        <f>VLOOKUP(C193,'시스템이펙트 참고자료'!$A:$B,2,FALSE)</f>
        <v>ACTIVE_FOC_UP</v>
      </c>
      <c r="AS193" s="25">
        <v>1</v>
      </c>
      <c r="BD193" s="25">
        <v>1</v>
      </c>
    </row>
    <row r="194" spans="1:56" hidden="1">
      <c r="A194" s="25">
        <v>189</v>
      </c>
      <c r="B194" s="25" t="str">
        <f>VLOOKUP(C194,'시스템이펙트 참고자료'!$A:$C,2,FALSE)</f>
        <v>ACTIVE_PHYSICAL_OFFENCE_UP</v>
      </c>
      <c r="C194" s="25">
        <v>606</v>
      </c>
      <c r="D194" s="25">
        <f>VLOOKUP(C194,'시스템이펙트 참고자료'!$A:$D,4,FALSE)</f>
        <v>0</v>
      </c>
      <c r="E194" s="25">
        <v>0</v>
      </c>
      <c r="F194" s="25">
        <v>0</v>
      </c>
      <c r="G194" s="25">
        <f t="shared" si="17"/>
        <v>1</v>
      </c>
      <c r="H194" s="25" t="s">
        <v>395</v>
      </c>
      <c r="I194" s="25">
        <v>1</v>
      </c>
      <c r="J194" s="25" t="str">
        <f>VLOOKUP(C194,'시스템이펙트 참고자료'!$A:$C,3,FALSE)</f>
        <v>절대값/상대값(%) 가능</v>
      </c>
      <c r="K194" s="25">
        <v>4</v>
      </c>
      <c r="M194" s="25">
        <v>1</v>
      </c>
      <c r="N194" s="25">
        <f t="shared" si="15"/>
        <v>125</v>
      </c>
      <c r="O194" s="25">
        <v>1</v>
      </c>
      <c r="P194" s="25">
        <v>1</v>
      </c>
      <c r="Q194" s="25">
        <v>1</v>
      </c>
      <c r="R194" s="25">
        <v>1</v>
      </c>
      <c r="T194" s="25">
        <v>1</v>
      </c>
      <c r="AA194" s="25">
        <f t="shared" si="16"/>
        <v>128</v>
      </c>
      <c r="AK194" s="25">
        <v>1</v>
      </c>
      <c r="AM194" s="25">
        <v>125</v>
      </c>
      <c r="AN194" s="25">
        <v>100</v>
      </c>
      <c r="AP194" s="25">
        <f t="shared" si="18"/>
        <v>1</v>
      </c>
      <c r="AQ194" s="25" t="str">
        <f>VLOOKUP(C194,'시스템이펙트 참고자료'!$A:$B,2,FALSE)</f>
        <v>ACTIVE_PHYSICAL_OFFENCE_UP</v>
      </c>
      <c r="AS194" s="25">
        <v>1</v>
      </c>
      <c r="BD194" s="25">
        <v>1</v>
      </c>
    </row>
    <row r="195" spans="1:56" hidden="1">
      <c r="A195" s="25">
        <v>190</v>
      </c>
      <c r="B195" s="25" t="str">
        <f>VLOOKUP(C195,'시스템이펙트 참고자료'!$A:$C,2,FALSE)</f>
        <v>ACTIVE_STR_UP</v>
      </c>
      <c r="C195" s="25">
        <v>610</v>
      </c>
      <c r="D195" s="25">
        <f>VLOOKUP(C195,'시스템이펙트 참고자료'!$A:$D,4,FALSE)</f>
        <v>0</v>
      </c>
      <c r="E195" s="25">
        <v>0</v>
      </c>
      <c r="F195" s="25">
        <v>0</v>
      </c>
      <c r="G195" s="25">
        <f t="shared" si="17"/>
        <v>2</v>
      </c>
      <c r="H195" s="25" t="s">
        <v>395</v>
      </c>
      <c r="I195" s="25">
        <v>1</v>
      </c>
      <c r="J195" s="25" t="str">
        <f>VLOOKUP(C195,'시스템이펙트 참고자료'!$A:$C,3,FALSE)</f>
        <v>절대값/상대값(%) 가능</v>
      </c>
      <c r="K195" s="25">
        <v>4</v>
      </c>
      <c r="M195" s="25">
        <v>1</v>
      </c>
      <c r="N195" s="25">
        <f t="shared" si="15"/>
        <v>57</v>
      </c>
      <c r="O195" s="25">
        <v>1</v>
      </c>
      <c r="P195" s="25">
        <v>1</v>
      </c>
      <c r="Q195" s="25">
        <v>1</v>
      </c>
      <c r="R195" s="25">
        <v>1</v>
      </c>
      <c r="T195" s="25">
        <v>1</v>
      </c>
      <c r="AA195" s="25">
        <f t="shared" si="16"/>
        <v>128</v>
      </c>
      <c r="AK195" s="25">
        <v>1</v>
      </c>
      <c r="AM195" s="25">
        <v>57</v>
      </c>
      <c r="AN195" s="25">
        <v>100</v>
      </c>
      <c r="AP195" s="25">
        <f t="shared" si="18"/>
        <v>2</v>
      </c>
      <c r="AQ195" s="25" t="str">
        <f>VLOOKUP(C195,'시스템이펙트 참고자료'!$A:$B,2,FALSE)</f>
        <v>ACTIVE_STR_UP</v>
      </c>
      <c r="AS195" s="25">
        <v>1</v>
      </c>
      <c r="BD195" s="25">
        <v>1</v>
      </c>
    </row>
    <row r="196" spans="1:56" hidden="1">
      <c r="A196" s="25">
        <v>191</v>
      </c>
      <c r="B196" s="25" t="str">
        <f>VLOOKUP(C196,'시스템이펙트 참고자료'!$A:$C,2,FALSE)</f>
        <v>ACTIVE_DEX_UP</v>
      </c>
      <c r="C196" s="25">
        <v>613</v>
      </c>
      <c r="D196" s="25">
        <f>VLOOKUP(C196,'시스템이펙트 참고자료'!$A:$D,4,FALSE)</f>
        <v>0</v>
      </c>
      <c r="E196" s="25">
        <v>0</v>
      </c>
      <c r="F196" s="25">
        <v>0</v>
      </c>
      <c r="G196" s="25">
        <f t="shared" si="17"/>
        <v>3</v>
      </c>
      <c r="H196" s="25" t="s">
        <v>395</v>
      </c>
      <c r="I196" s="25">
        <v>1</v>
      </c>
      <c r="J196" s="25" t="str">
        <f>VLOOKUP(C196,'시스템이펙트 참고자료'!$A:$C,3,FALSE)</f>
        <v>절대값/상대값(%) 가능</v>
      </c>
      <c r="K196" s="25">
        <v>4</v>
      </c>
      <c r="M196" s="25">
        <v>1</v>
      </c>
      <c r="N196" s="25">
        <f t="shared" si="15"/>
        <v>44</v>
      </c>
      <c r="O196" s="25">
        <v>1</v>
      </c>
      <c r="P196" s="25">
        <v>1</v>
      </c>
      <c r="Q196" s="25">
        <v>1</v>
      </c>
      <c r="R196" s="25">
        <v>1</v>
      </c>
      <c r="T196" s="25">
        <v>1</v>
      </c>
      <c r="AA196" s="25">
        <f t="shared" si="16"/>
        <v>128</v>
      </c>
      <c r="AK196" s="25">
        <v>1</v>
      </c>
      <c r="AM196" s="25">
        <v>44</v>
      </c>
      <c r="AN196" s="25">
        <v>100</v>
      </c>
      <c r="AP196" s="25">
        <f t="shared" si="18"/>
        <v>3</v>
      </c>
      <c r="AQ196" s="25" t="str">
        <f>VLOOKUP(C196,'시스템이펙트 참고자료'!$A:$B,2,FALSE)</f>
        <v>ACTIVE_DEX_UP</v>
      </c>
      <c r="AS196" s="25">
        <v>1</v>
      </c>
      <c r="BD196" s="25">
        <v>1</v>
      </c>
    </row>
    <row r="197" spans="1:56" hidden="1">
      <c r="A197" s="25">
        <v>192</v>
      </c>
      <c r="B197" s="25" t="str">
        <f>VLOOKUP(C197,'시스템이펙트 참고자료'!$A:$C,2,FALSE)</f>
        <v>ACTIVE_PHYSICAL_CRITICAL_DAMAGE_UP</v>
      </c>
      <c r="C197" s="25">
        <v>658</v>
      </c>
      <c r="D197" s="25">
        <f>VLOOKUP(C197,'시스템이펙트 참고자료'!$A:$D,4,FALSE)</f>
        <v>0</v>
      </c>
      <c r="E197" s="25">
        <v>0</v>
      </c>
      <c r="F197" s="25">
        <v>0</v>
      </c>
      <c r="G197" s="25">
        <f t="shared" si="17"/>
        <v>4</v>
      </c>
      <c r="H197" s="25" t="s">
        <v>395</v>
      </c>
      <c r="I197" s="25">
        <v>1</v>
      </c>
      <c r="J197" s="25" t="str">
        <f>VLOOKUP(C197,'시스템이펙트 참고자료'!$A:$C,3,FALSE)</f>
        <v>절대값만 가능</v>
      </c>
      <c r="K197" s="25">
        <v>4</v>
      </c>
      <c r="M197" s="25">
        <v>1</v>
      </c>
      <c r="N197" s="25">
        <f t="shared" si="15"/>
        <v>28</v>
      </c>
      <c r="O197" s="25">
        <v>1</v>
      </c>
      <c r="P197" s="25">
        <v>1</v>
      </c>
      <c r="Q197" s="25">
        <v>1</v>
      </c>
      <c r="R197" s="25">
        <v>1</v>
      </c>
      <c r="T197" s="25">
        <v>1</v>
      </c>
      <c r="AA197" s="25">
        <f t="shared" si="16"/>
        <v>128</v>
      </c>
      <c r="AK197" s="25">
        <v>1</v>
      </c>
      <c r="AM197" s="25">
        <v>28</v>
      </c>
      <c r="AN197" s="25">
        <v>100</v>
      </c>
      <c r="AP197" s="25">
        <f t="shared" si="18"/>
        <v>4</v>
      </c>
      <c r="AQ197" s="25" t="str">
        <f>VLOOKUP(C197,'시스템이펙트 참고자료'!$A:$B,2,FALSE)</f>
        <v>ACTIVE_PHYSICAL_CRITICAL_DAMAGE_UP</v>
      </c>
      <c r="AS197" s="25">
        <v>1</v>
      </c>
      <c r="BD197" s="25">
        <v>1</v>
      </c>
    </row>
    <row r="198" spans="1:56" hidden="1">
      <c r="A198" s="25">
        <v>193</v>
      </c>
      <c r="B198" s="25" t="str">
        <f>VLOOKUP(C198,'시스템이펙트 참고자료'!$A:$C,2,FALSE)</f>
        <v>ACTIVE_PHYSICAL_CRITICAL_DAMAGE_UP</v>
      </c>
      <c r="C198" s="25">
        <v>658</v>
      </c>
      <c r="D198" s="25">
        <f>VLOOKUP(C198,'시스템이펙트 참고자료'!$A:$D,4,FALSE)</f>
        <v>0</v>
      </c>
      <c r="E198" s="25">
        <v>0</v>
      </c>
      <c r="F198" s="25">
        <v>0</v>
      </c>
      <c r="G198" s="25">
        <f t="shared" si="17"/>
        <v>4</v>
      </c>
      <c r="H198" s="25" t="s">
        <v>395</v>
      </c>
      <c r="I198" s="25">
        <v>1</v>
      </c>
      <c r="J198" s="25" t="str">
        <f>VLOOKUP(C198,'시스템이펙트 참고자료'!$A:$C,3,FALSE)</f>
        <v>절대값만 가능</v>
      </c>
      <c r="K198" s="25">
        <v>4</v>
      </c>
      <c r="M198" s="25">
        <v>2</v>
      </c>
      <c r="N198" s="25">
        <f t="shared" si="15"/>
        <v>28</v>
      </c>
      <c r="O198" s="25">
        <v>1</v>
      </c>
      <c r="P198" s="25">
        <v>1</v>
      </c>
      <c r="Q198" s="25">
        <v>1</v>
      </c>
      <c r="R198" s="25">
        <v>1</v>
      </c>
      <c r="T198" s="25">
        <v>1</v>
      </c>
      <c r="AA198" s="25">
        <f t="shared" si="16"/>
        <v>128</v>
      </c>
      <c r="AK198" s="25">
        <v>1</v>
      </c>
      <c r="AM198" s="25">
        <v>28</v>
      </c>
      <c r="AN198" s="25">
        <v>100</v>
      </c>
      <c r="AP198" s="25">
        <f t="shared" si="18"/>
        <v>4</v>
      </c>
      <c r="AQ198" s="25" t="str">
        <f>VLOOKUP(C198,'시스템이펙트 참고자료'!$A:$B,2,FALSE)</f>
        <v>ACTIVE_PHYSICAL_CRITICAL_DAMAGE_UP</v>
      </c>
      <c r="AS198" s="25">
        <v>1</v>
      </c>
      <c r="BD198" s="25">
        <v>1</v>
      </c>
    </row>
    <row r="199" spans="1:56" hidden="1">
      <c r="A199" s="25">
        <v>194</v>
      </c>
      <c r="B199" s="25" t="str">
        <f>VLOOKUP(C199,'시스템이펙트 참고자료'!$A:$C,2,FALSE)</f>
        <v>ACTIVE_PHYSICAL_CRITICAL</v>
      </c>
      <c r="C199" s="25">
        <v>632</v>
      </c>
      <c r="D199" s="25">
        <f>VLOOKUP(C199,'시스템이펙트 참고자료'!$A:$D,4,FALSE)</f>
        <v>0</v>
      </c>
      <c r="E199" s="25">
        <v>0</v>
      </c>
      <c r="F199" s="25">
        <v>0</v>
      </c>
      <c r="G199" s="25">
        <f t="shared" si="17"/>
        <v>5</v>
      </c>
      <c r="H199" s="25" t="s">
        <v>395</v>
      </c>
      <c r="I199" s="25">
        <v>1</v>
      </c>
      <c r="J199" s="25" t="str">
        <f>VLOOKUP(C199,'시스템이펙트 참고자료'!$A:$C,3,FALSE)</f>
        <v>절대값/상대값(%) 가능</v>
      </c>
      <c r="K199" s="25">
        <v>4</v>
      </c>
      <c r="M199" s="25">
        <v>2</v>
      </c>
      <c r="N199" s="25">
        <f t="shared" ref="N199:N262" si="19">IF(BD199&gt;0,INT(AM199/AK199),0)</f>
        <v>21</v>
      </c>
      <c r="O199" s="25">
        <v>1</v>
      </c>
      <c r="P199" s="25">
        <v>1</v>
      </c>
      <c r="Q199" s="25">
        <v>1</v>
      </c>
      <c r="R199" s="25">
        <v>1</v>
      </c>
      <c r="T199" s="25">
        <v>1</v>
      </c>
      <c r="AA199" s="25">
        <f t="shared" si="16"/>
        <v>128</v>
      </c>
      <c r="AK199" s="25">
        <v>1</v>
      </c>
      <c r="AM199" s="25">
        <v>21</v>
      </c>
      <c r="AN199" s="25">
        <v>100</v>
      </c>
      <c r="AP199" s="25">
        <f t="shared" si="18"/>
        <v>5</v>
      </c>
      <c r="AQ199" s="25" t="str">
        <f>VLOOKUP(C199,'시스템이펙트 참고자료'!$A:$B,2,FALSE)</f>
        <v>ACTIVE_PHYSICAL_CRITICAL</v>
      </c>
      <c r="AS199" s="25">
        <v>1</v>
      </c>
      <c r="BD199" s="25">
        <v>1</v>
      </c>
    </row>
    <row r="200" spans="1:56" hidden="1">
      <c r="A200" s="25">
        <v>195</v>
      </c>
      <c r="B200" s="25" t="str">
        <f>VLOOKUP(C200,'시스템이펙트 참고자료'!$A:$C,2,FALSE)</f>
        <v>ACTIVE_DEX_UP</v>
      </c>
      <c r="C200" s="25">
        <v>613</v>
      </c>
      <c r="D200" s="25">
        <f>VLOOKUP(C200,'시스템이펙트 참고자료'!$A:$D,4,FALSE)</f>
        <v>0</v>
      </c>
      <c r="E200" s="25">
        <v>0</v>
      </c>
      <c r="F200" s="25">
        <v>0</v>
      </c>
      <c r="G200" s="25">
        <f t="shared" si="17"/>
        <v>3</v>
      </c>
      <c r="H200" s="25" t="s">
        <v>395</v>
      </c>
      <c r="I200" s="25">
        <v>1</v>
      </c>
      <c r="J200" s="25" t="str">
        <f>VLOOKUP(C200,'시스템이펙트 참고자료'!$A:$C,3,FALSE)</f>
        <v>절대값/상대값(%) 가능</v>
      </c>
      <c r="K200" s="25">
        <v>4</v>
      </c>
      <c r="M200" s="25">
        <v>2</v>
      </c>
      <c r="N200" s="25">
        <f t="shared" si="19"/>
        <v>44</v>
      </c>
      <c r="O200" s="25">
        <v>1</v>
      </c>
      <c r="P200" s="25">
        <v>1</v>
      </c>
      <c r="Q200" s="25">
        <v>1</v>
      </c>
      <c r="R200" s="25">
        <v>1</v>
      </c>
      <c r="T200" s="25">
        <v>1</v>
      </c>
      <c r="AA200" s="25">
        <f t="shared" si="16"/>
        <v>128</v>
      </c>
      <c r="AK200" s="25">
        <v>1</v>
      </c>
      <c r="AM200" s="25">
        <v>44</v>
      </c>
      <c r="AN200" s="25">
        <v>100</v>
      </c>
      <c r="AP200" s="25">
        <f t="shared" si="18"/>
        <v>3</v>
      </c>
      <c r="AQ200" s="25" t="str">
        <f>VLOOKUP(C200,'시스템이펙트 참고자료'!$A:$B,2,FALSE)</f>
        <v>ACTIVE_DEX_UP</v>
      </c>
      <c r="AS200" s="25">
        <v>1</v>
      </c>
      <c r="BD200" s="25">
        <v>1</v>
      </c>
    </row>
    <row r="201" spans="1:56" hidden="1">
      <c r="A201" s="25">
        <v>196</v>
      </c>
      <c r="B201" s="25" t="str">
        <f>VLOOKUP(C201,'시스템이펙트 참고자료'!$A:$C,2,FALSE)</f>
        <v>ACTIVE_FOC_UP</v>
      </c>
      <c r="C201" s="25">
        <v>612</v>
      </c>
      <c r="D201" s="25">
        <f>VLOOKUP(C201,'시스템이펙트 참고자료'!$A:$D,4,FALSE)</f>
        <v>0</v>
      </c>
      <c r="E201" s="25">
        <v>0</v>
      </c>
      <c r="F201" s="25">
        <v>0</v>
      </c>
      <c r="G201" s="25">
        <f t="shared" si="17"/>
        <v>2</v>
      </c>
      <c r="H201" s="25" t="s">
        <v>395</v>
      </c>
      <c r="I201" s="25">
        <v>1</v>
      </c>
      <c r="J201" s="25" t="str">
        <f>VLOOKUP(C201,'시스템이펙트 참고자료'!$A:$C,3,FALSE)</f>
        <v>절대값/상대값(%) 가능</v>
      </c>
      <c r="K201" s="25">
        <v>4</v>
      </c>
      <c r="M201" s="25">
        <v>2</v>
      </c>
      <c r="N201" s="25">
        <f t="shared" si="19"/>
        <v>53</v>
      </c>
      <c r="O201" s="25">
        <v>1</v>
      </c>
      <c r="P201" s="25">
        <v>1</v>
      </c>
      <c r="Q201" s="25">
        <v>1</v>
      </c>
      <c r="R201" s="25">
        <v>1</v>
      </c>
      <c r="T201" s="25">
        <v>1</v>
      </c>
      <c r="AA201" s="25">
        <f t="shared" si="16"/>
        <v>128</v>
      </c>
      <c r="AK201" s="25">
        <v>1</v>
      </c>
      <c r="AM201" s="25">
        <v>53</v>
      </c>
      <c r="AN201" s="25">
        <v>100</v>
      </c>
      <c r="AP201" s="25">
        <f t="shared" si="18"/>
        <v>2</v>
      </c>
      <c r="AQ201" s="25" t="str">
        <f>VLOOKUP(C201,'시스템이펙트 참고자료'!$A:$B,2,FALSE)</f>
        <v>ACTIVE_FOC_UP</v>
      </c>
      <c r="AS201" s="25">
        <v>1</v>
      </c>
      <c r="BD201" s="25">
        <v>1</v>
      </c>
    </row>
    <row r="202" spans="1:56" hidden="1">
      <c r="A202" s="25">
        <v>197</v>
      </c>
      <c r="B202" s="25" t="str">
        <f>VLOOKUP(C202,'시스템이펙트 참고자료'!$A:$C,2,FALSE)</f>
        <v>ACTIVE_ENERGY_OFFENCE_UP</v>
      </c>
      <c r="C202" s="25">
        <v>607</v>
      </c>
      <c r="D202" s="25">
        <f>VLOOKUP(C202,'시스템이펙트 참고자료'!$A:$D,4,FALSE)</f>
        <v>0</v>
      </c>
      <c r="E202" s="25">
        <v>0</v>
      </c>
      <c r="F202" s="25">
        <v>0</v>
      </c>
      <c r="G202" s="25">
        <f t="shared" si="17"/>
        <v>1</v>
      </c>
      <c r="H202" s="25" t="s">
        <v>395</v>
      </c>
      <c r="I202" s="25">
        <v>1</v>
      </c>
      <c r="J202" s="25" t="str">
        <f>VLOOKUP(C202,'시스템이펙트 참고자료'!$A:$C,3,FALSE)</f>
        <v>절대값/상대값(%) 가능</v>
      </c>
      <c r="K202" s="25">
        <v>4</v>
      </c>
      <c r="M202" s="25">
        <v>3</v>
      </c>
      <c r="N202" s="25">
        <f t="shared" si="19"/>
        <v>104</v>
      </c>
      <c r="O202" s="25">
        <v>1</v>
      </c>
      <c r="P202" s="25">
        <v>1</v>
      </c>
      <c r="Q202" s="25">
        <v>1</v>
      </c>
      <c r="R202" s="25">
        <v>1</v>
      </c>
      <c r="T202" s="25">
        <v>1</v>
      </c>
      <c r="AA202" s="25">
        <f t="shared" si="16"/>
        <v>128</v>
      </c>
      <c r="AK202" s="25">
        <v>1</v>
      </c>
      <c r="AM202" s="25">
        <v>104</v>
      </c>
      <c r="AN202" s="25">
        <v>100</v>
      </c>
      <c r="AP202" s="25">
        <f t="shared" si="18"/>
        <v>1</v>
      </c>
      <c r="AQ202" s="25" t="str">
        <f>VLOOKUP(C202,'시스템이펙트 참고자료'!$A:$B,2,FALSE)</f>
        <v>ACTIVE_ENERGY_OFFENCE_UP</v>
      </c>
      <c r="AS202" s="25">
        <v>1</v>
      </c>
      <c r="BD202" s="25">
        <v>1</v>
      </c>
    </row>
    <row r="203" spans="1:56" hidden="1">
      <c r="A203" s="25">
        <v>198</v>
      </c>
      <c r="B203" s="25" t="str">
        <f>VLOOKUP(C203,'시스템이펙트 참고자료'!$A:$C,2,FALSE)</f>
        <v>ACTIVE_FOC_UP</v>
      </c>
      <c r="C203" s="25">
        <v>612</v>
      </c>
      <c r="D203" s="25">
        <f>VLOOKUP(C203,'시스템이펙트 참고자료'!$A:$D,4,FALSE)</f>
        <v>0</v>
      </c>
      <c r="E203" s="25">
        <v>0</v>
      </c>
      <c r="F203" s="25">
        <v>0</v>
      </c>
      <c r="G203" s="25">
        <f t="shared" si="17"/>
        <v>2</v>
      </c>
      <c r="H203" s="25" t="s">
        <v>395</v>
      </c>
      <c r="I203" s="25">
        <v>1</v>
      </c>
      <c r="J203" s="25" t="str">
        <f>VLOOKUP(C203,'시스템이펙트 참고자료'!$A:$C,3,FALSE)</f>
        <v>절대값/상대값(%) 가능</v>
      </c>
      <c r="K203" s="25">
        <v>4</v>
      </c>
      <c r="M203" s="25">
        <v>3</v>
      </c>
      <c r="N203" s="25">
        <f t="shared" si="19"/>
        <v>53</v>
      </c>
      <c r="O203" s="25">
        <v>1</v>
      </c>
      <c r="P203" s="25">
        <v>1</v>
      </c>
      <c r="Q203" s="25">
        <v>1</v>
      </c>
      <c r="R203" s="25">
        <v>1</v>
      </c>
      <c r="T203" s="25">
        <v>1</v>
      </c>
      <c r="AA203" s="25">
        <f t="shared" si="16"/>
        <v>128</v>
      </c>
      <c r="AK203" s="25">
        <v>1</v>
      </c>
      <c r="AM203" s="25">
        <v>53</v>
      </c>
      <c r="AN203" s="25">
        <v>100</v>
      </c>
      <c r="AP203" s="25">
        <f t="shared" si="18"/>
        <v>2</v>
      </c>
      <c r="AQ203" s="25" t="str">
        <f>VLOOKUP(C203,'시스템이펙트 참고자료'!$A:$B,2,FALSE)</f>
        <v>ACTIVE_FOC_UP</v>
      </c>
      <c r="AS203" s="25">
        <v>1</v>
      </c>
      <c r="BD203" s="25">
        <v>1</v>
      </c>
    </row>
    <row r="204" spans="1:56" hidden="1">
      <c r="A204" s="25">
        <v>199</v>
      </c>
      <c r="B204" s="25" t="str">
        <f>VLOOKUP(C204,'시스템이펙트 참고자료'!$A:$C,2,FALSE)</f>
        <v>ACTIVE_SOL_UP</v>
      </c>
      <c r="C204" s="25">
        <v>614</v>
      </c>
      <c r="D204" s="25">
        <f>VLOOKUP(C204,'시스템이펙트 참고자료'!$A:$D,4,FALSE)</f>
        <v>0</v>
      </c>
      <c r="E204" s="25">
        <v>0</v>
      </c>
      <c r="F204" s="25">
        <v>0</v>
      </c>
      <c r="G204" s="25">
        <f t="shared" si="17"/>
        <v>2</v>
      </c>
      <c r="H204" s="25" t="s">
        <v>395</v>
      </c>
      <c r="I204" s="25">
        <v>1</v>
      </c>
      <c r="J204" s="25" t="str">
        <f>VLOOKUP(C204,'시스템이펙트 참고자료'!$A:$C,3,FALSE)</f>
        <v>절대값/상대값(%) 가능</v>
      </c>
      <c r="K204" s="25">
        <v>4</v>
      </c>
      <c r="M204" s="25">
        <v>3</v>
      </c>
      <c r="N204" s="25">
        <f t="shared" si="19"/>
        <v>53</v>
      </c>
      <c r="O204" s="25">
        <v>1</v>
      </c>
      <c r="P204" s="25">
        <v>1</v>
      </c>
      <c r="Q204" s="25">
        <v>1</v>
      </c>
      <c r="R204" s="25">
        <v>1</v>
      </c>
      <c r="T204" s="25">
        <v>1</v>
      </c>
      <c r="AA204" s="25">
        <f t="shared" si="16"/>
        <v>128</v>
      </c>
      <c r="AK204" s="25">
        <v>1</v>
      </c>
      <c r="AM204" s="25">
        <v>53</v>
      </c>
      <c r="AN204" s="25">
        <v>100</v>
      </c>
      <c r="AP204" s="25">
        <f t="shared" si="18"/>
        <v>2</v>
      </c>
      <c r="AQ204" s="25" t="str">
        <f>VLOOKUP(C204,'시스템이펙트 참고자료'!$A:$B,2,FALSE)</f>
        <v>ACTIVE_SOL_UP</v>
      </c>
      <c r="AS204" s="25">
        <v>1</v>
      </c>
      <c r="BD204" s="25">
        <v>1</v>
      </c>
    </row>
    <row r="205" spans="1:56" hidden="1">
      <c r="A205" s="25">
        <v>200</v>
      </c>
      <c r="B205" s="25" t="str">
        <f>VLOOKUP(C205,'시스템이펙트 참고자료'!$A:$C,2,FALSE)</f>
        <v>ACTIVE_ENERGY_CRITICAL_DAMAGE_UP</v>
      </c>
      <c r="C205" s="25">
        <v>659</v>
      </c>
      <c r="D205" s="25">
        <f>VLOOKUP(C205,'시스템이펙트 참고자료'!$A:$D,4,FALSE)</f>
        <v>0</v>
      </c>
      <c r="E205" s="25">
        <v>0</v>
      </c>
      <c r="F205" s="25">
        <v>0</v>
      </c>
      <c r="G205" s="25">
        <f t="shared" si="17"/>
        <v>4</v>
      </c>
      <c r="H205" s="25" t="s">
        <v>395</v>
      </c>
      <c r="I205" s="25">
        <v>1</v>
      </c>
      <c r="J205" s="25" t="str">
        <f>VLOOKUP(C205,'시스템이펙트 참고자료'!$A:$C,3,FALSE)</f>
        <v>절대값만 가능</v>
      </c>
      <c r="K205" s="25">
        <v>4</v>
      </c>
      <c r="M205" s="25">
        <v>3</v>
      </c>
      <c r="N205" s="25">
        <f t="shared" si="19"/>
        <v>32</v>
      </c>
      <c r="O205" s="25">
        <v>1</v>
      </c>
      <c r="P205" s="25">
        <v>1</v>
      </c>
      <c r="Q205" s="25">
        <v>1</v>
      </c>
      <c r="R205" s="25">
        <v>1</v>
      </c>
      <c r="T205" s="25">
        <v>1</v>
      </c>
      <c r="AA205" s="25">
        <f t="shared" si="16"/>
        <v>128</v>
      </c>
      <c r="AK205" s="25">
        <v>1</v>
      </c>
      <c r="AM205" s="25">
        <v>32</v>
      </c>
      <c r="AN205" s="25">
        <v>100</v>
      </c>
      <c r="AP205" s="25">
        <f t="shared" si="18"/>
        <v>4</v>
      </c>
      <c r="AQ205" s="25" t="str">
        <f>VLOOKUP(C205,'시스템이펙트 참고자료'!$A:$B,2,FALSE)</f>
        <v>ACTIVE_ENERGY_CRITICAL_DAMAGE_UP</v>
      </c>
      <c r="AS205" s="25">
        <v>1</v>
      </c>
      <c r="BD205" s="25">
        <v>1</v>
      </c>
    </row>
    <row r="206" spans="1:56" hidden="1">
      <c r="A206" s="25">
        <v>201</v>
      </c>
      <c r="B206" s="25" t="str">
        <f>VLOOKUP(C206,'시스템이펙트 참고자료'!$A:$C,2,FALSE)</f>
        <v>ACTIVE_ENERGY_CRITICAL</v>
      </c>
      <c r="C206" s="25">
        <v>633</v>
      </c>
      <c r="D206" s="25">
        <f>VLOOKUP(C206,'시스템이펙트 참고자료'!$A:$D,4,FALSE)</f>
        <v>0</v>
      </c>
      <c r="E206" s="25">
        <v>0</v>
      </c>
      <c r="F206" s="25">
        <v>0</v>
      </c>
      <c r="G206" s="25">
        <f t="shared" si="17"/>
        <v>5</v>
      </c>
      <c r="H206" s="25" t="s">
        <v>395</v>
      </c>
      <c r="I206" s="25">
        <v>1</v>
      </c>
      <c r="J206" s="25" t="str">
        <f>VLOOKUP(C206,'시스템이펙트 참고자료'!$A:$C,3,FALSE)</f>
        <v>절대값/상대값(%) 가능</v>
      </c>
      <c r="K206" s="25">
        <v>4</v>
      </c>
      <c r="M206" s="25">
        <v>4</v>
      </c>
      <c r="N206" s="25">
        <f t="shared" si="19"/>
        <v>24</v>
      </c>
      <c r="O206" s="25">
        <v>1</v>
      </c>
      <c r="P206" s="25">
        <v>1</v>
      </c>
      <c r="Q206" s="25">
        <v>1</v>
      </c>
      <c r="R206" s="25">
        <v>1</v>
      </c>
      <c r="T206" s="25">
        <v>1</v>
      </c>
      <c r="AA206" s="25">
        <f t="shared" si="16"/>
        <v>128</v>
      </c>
      <c r="AK206" s="25">
        <v>1</v>
      </c>
      <c r="AM206" s="25">
        <v>24</v>
      </c>
      <c r="AN206" s="25">
        <v>100</v>
      </c>
      <c r="AP206" s="25">
        <f t="shared" si="18"/>
        <v>5</v>
      </c>
      <c r="AQ206" s="25" t="str">
        <f>VLOOKUP(C206,'시스템이펙트 참고자료'!$A:$B,2,FALSE)</f>
        <v>ACTIVE_ENERGY_CRITICAL</v>
      </c>
      <c r="AS206" s="25">
        <v>1</v>
      </c>
      <c r="BD206" s="25">
        <v>1</v>
      </c>
    </row>
    <row r="207" spans="1:56" hidden="1">
      <c r="A207" s="25">
        <v>202</v>
      </c>
      <c r="B207" s="25" t="str">
        <f>VLOOKUP(C207,'시스템이펙트 참고자료'!$A:$C,2,FALSE)</f>
        <v>ACTIVE_ENERGY_CRITICAL_DAMAGE_UP</v>
      </c>
      <c r="C207" s="25">
        <v>659</v>
      </c>
      <c r="D207" s="25">
        <f>VLOOKUP(C207,'시스템이펙트 참고자료'!$A:$D,4,FALSE)</f>
        <v>0</v>
      </c>
      <c r="E207" s="25">
        <v>0</v>
      </c>
      <c r="F207" s="25">
        <v>0</v>
      </c>
      <c r="G207" s="25">
        <f t="shared" si="17"/>
        <v>4</v>
      </c>
      <c r="H207" s="25" t="s">
        <v>395</v>
      </c>
      <c r="I207" s="25">
        <v>1</v>
      </c>
      <c r="J207" s="25" t="str">
        <f>VLOOKUP(C207,'시스템이펙트 참고자료'!$A:$C,3,FALSE)</f>
        <v>절대값만 가능</v>
      </c>
      <c r="K207" s="25">
        <v>4</v>
      </c>
      <c r="M207" s="25">
        <v>4</v>
      </c>
      <c r="N207" s="25">
        <f t="shared" si="19"/>
        <v>32</v>
      </c>
      <c r="O207" s="25">
        <v>1</v>
      </c>
      <c r="P207" s="25">
        <v>1</v>
      </c>
      <c r="Q207" s="25">
        <v>1</v>
      </c>
      <c r="R207" s="25">
        <v>1</v>
      </c>
      <c r="T207" s="25">
        <v>1</v>
      </c>
      <c r="AA207" s="25">
        <f t="shared" si="16"/>
        <v>128</v>
      </c>
      <c r="AK207" s="25">
        <v>1</v>
      </c>
      <c r="AM207" s="25">
        <v>32</v>
      </c>
      <c r="AN207" s="25">
        <v>100</v>
      </c>
      <c r="AP207" s="25">
        <f t="shared" si="18"/>
        <v>4</v>
      </c>
      <c r="AQ207" s="25" t="str">
        <f>VLOOKUP(C207,'시스템이펙트 참고자료'!$A:$B,2,FALSE)</f>
        <v>ACTIVE_ENERGY_CRITICAL_DAMAGE_UP</v>
      </c>
      <c r="AS207" s="25">
        <v>1</v>
      </c>
      <c r="BD207" s="25">
        <v>1</v>
      </c>
    </row>
    <row r="208" spans="1:56" hidden="1">
      <c r="A208" s="25">
        <v>203</v>
      </c>
      <c r="B208" s="25" t="str">
        <f>VLOOKUP(C208,'시스템이펙트 참고자료'!$A:$C,2,FALSE)</f>
        <v>ACTIVE_FOC_UP</v>
      </c>
      <c r="C208" s="25">
        <v>612</v>
      </c>
      <c r="D208" s="25">
        <f>VLOOKUP(C208,'시스템이펙트 참고자료'!$A:$D,4,FALSE)</f>
        <v>0</v>
      </c>
      <c r="E208" s="25">
        <v>0</v>
      </c>
      <c r="F208" s="25">
        <v>0</v>
      </c>
      <c r="G208" s="25">
        <f t="shared" si="17"/>
        <v>2</v>
      </c>
      <c r="H208" s="25" t="s">
        <v>395</v>
      </c>
      <c r="I208" s="25">
        <v>1</v>
      </c>
      <c r="J208" s="25" t="str">
        <f>VLOOKUP(C208,'시스템이펙트 참고자료'!$A:$C,3,FALSE)</f>
        <v>절대값/상대값(%) 가능</v>
      </c>
      <c r="K208" s="25">
        <v>4</v>
      </c>
      <c r="M208" s="25">
        <v>4</v>
      </c>
      <c r="N208" s="25">
        <f t="shared" si="19"/>
        <v>53</v>
      </c>
      <c r="O208" s="25">
        <v>1</v>
      </c>
      <c r="P208" s="25">
        <v>1</v>
      </c>
      <c r="Q208" s="25">
        <v>1</v>
      </c>
      <c r="R208" s="25">
        <v>1</v>
      </c>
      <c r="T208" s="25">
        <v>1</v>
      </c>
      <c r="AA208" s="25">
        <f t="shared" si="16"/>
        <v>128</v>
      </c>
      <c r="AK208" s="25">
        <v>1</v>
      </c>
      <c r="AM208" s="25">
        <v>53</v>
      </c>
      <c r="AN208" s="25">
        <v>100</v>
      </c>
      <c r="AP208" s="25">
        <f t="shared" si="18"/>
        <v>2</v>
      </c>
      <c r="AQ208" s="25" t="str">
        <f>VLOOKUP(C208,'시스템이펙트 참고자료'!$A:$B,2,FALSE)</f>
        <v>ACTIVE_FOC_UP</v>
      </c>
      <c r="AS208" s="25">
        <v>1</v>
      </c>
      <c r="BD208" s="25">
        <v>1</v>
      </c>
    </row>
    <row r="209" spans="1:56" hidden="1">
      <c r="A209" s="25">
        <v>204</v>
      </c>
      <c r="B209" s="25" t="str">
        <f>VLOOKUP(C209,'시스템이펙트 참고자료'!$A:$C,2,FALSE)</f>
        <v>ACTIVE_DEX_UP</v>
      </c>
      <c r="C209" s="25">
        <v>613</v>
      </c>
      <c r="D209" s="25">
        <f>VLOOKUP(C209,'시스템이펙트 참고자료'!$A:$D,4,FALSE)</f>
        <v>0</v>
      </c>
      <c r="E209" s="25">
        <v>0</v>
      </c>
      <c r="F209" s="25">
        <v>0</v>
      </c>
      <c r="G209" s="25">
        <f t="shared" si="17"/>
        <v>3</v>
      </c>
      <c r="H209" s="25" t="s">
        <v>395</v>
      </c>
      <c r="I209" s="25">
        <v>1</v>
      </c>
      <c r="J209" s="25" t="str">
        <f>VLOOKUP(C209,'시스템이펙트 참고자료'!$A:$C,3,FALSE)</f>
        <v>절대값/상대값(%) 가능</v>
      </c>
      <c r="K209" s="25">
        <v>4</v>
      </c>
      <c r="M209" s="25">
        <v>4</v>
      </c>
      <c r="N209" s="25">
        <f t="shared" si="19"/>
        <v>44</v>
      </c>
      <c r="O209" s="25">
        <v>1</v>
      </c>
      <c r="P209" s="25">
        <v>1</v>
      </c>
      <c r="Q209" s="25">
        <v>1</v>
      </c>
      <c r="R209" s="25">
        <v>1</v>
      </c>
      <c r="T209" s="25">
        <v>1</v>
      </c>
      <c r="AA209" s="25">
        <f t="shared" si="16"/>
        <v>128</v>
      </c>
      <c r="AK209" s="25">
        <v>1</v>
      </c>
      <c r="AM209" s="25">
        <v>44</v>
      </c>
      <c r="AN209" s="25">
        <v>100</v>
      </c>
      <c r="AP209" s="25">
        <f t="shared" si="18"/>
        <v>3</v>
      </c>
      <c r="AQ209" s="25" t="str">
        <f>VLOOKUP(C209,'시스템이펙트 참고자료'!$A:$B,2,FALSE)</f>
        <v>ACTIVE_DEX_UP</v>
      </c>
      <c r="AS209" s="25">
        <v>1</v>
      </c>
      <c r="BD209" s="25">
        <v>1</v>
      </c>
    </row>
    <row r="210" spans="1:56" hidden="1">
      <c r="A210" s="25">
        <v>205</v>
      </c>
      <c r="B210" s="25" t="str">
        <f>VLOOKUP(C210,'시스템이펙트 참고자료'!$A:$C,2,FALSE)</f>
        <v>ACTIVE_ATTACK_SPEED_UP</v>
      </c>
      <c r="C210" s="25">
        <v>617</v>
      </c>
      <c r="D210" s="25">
        <f>VLOOKUP(C210,'시스템이펙트 참고자료'!$A:$D,4,FALSE)</f>
        <v>1</v>
      </c>
      <c r="E210" s="25">
        <v>0</v>
      </c>
      <c r="F210" s="25">
        <v>0</v>
      </c>
      <c r="G210" s="25">
        <f t="shared" si="17"/>
        <v>10</v>
      </c>
      <c r="H210" s="25" t="s">
        <v>395</v>
      </c>
      <c r="I210" s="25">
        <v>1</v>
      </c>
      <c r="J210" s="25" t="str">
        <f>VLOOKUP(C210,'시스템이펙트 참고자료'!$A:$C,3,FALSE)</f>
        <v>절대값/상대값(%) 가능</v>
      </c>
      <c r="K210" s="25">
        <v>4</v>
      </c>
      <c r="M210" s="25">
        <v>5</v>
      </c>
      <c r="N210" s="25">
        <f t="shared" si="19"/>
        <v>10</v>
      </c>
      <c r="O210" s="25">
        <v>1</v>
      </c>
      <c r="P210" s="25">
        <v>1</v>
      </c>
      <c r="Q210" s="25">
        <v>1</v>
      </c>
      <c r="R210" s="25">
        <v>1</v>
      </c>
      <c r="T210" s="25">
        <v>1</v>
      </c>
      <c r="AA210" s="25">
        <f t="shared" si="16"/>
        <v>128</v>
      </c>
      <c r="AK210" s="25">
        <v>1</v>
      </c>
      <c r="AM210" s="25">
        <v>10</v>
      </c>
      <c r="AN210" s="25">
        <v>100</v>
      </c>
      <c r="AP210" s="25">
        <f t="shared" si="18"/>
        <v>10</v>
      </c>
      <c r="AQ210" s="25" t="str">
        <f>VLOOKUP(C210,'시스템이펙트 참고자료'!$A:$B,2,FALSE)</f>
        <v>ACTIVE_ATTACK_SPEED_UP</v>
      </c>
      <c r="AS210" s="25">
        <v>1</v>
      </c>
      <c r="BD210" s="25">
        <v>1</v>
      </c>
    </row>
    <row r="211" spans="1:56" hidden="1">
      <c r="A211" s="25">
        <v>206</v>
      </c>
      <c r="B211" s="25" t="str">
        <f>VLOOKUP(C211,'시스템이펙트 참고자료'!$A:$C,2,FALSE)</f>
        <v>ACTIVE_DEX_UP</v>
      </c>
      <c r="C211" s="25">
        <v>613</v>
      </c>
      <c r="D211" s="25">
        <f>VLOOKUP(C211,'시스템이펙트 참고자료'!$A:$D,4,FALSE)</f>
        <v>0</v>
      </c>
      <c r="E211" s="25">
        <v>0</v>
      </c>
      <c r="F211" s="25">
        <v>0</v>
      </c>
      <c r="G211" s="25">
        <f t="shared" si="17"/>
        <v>3</v>
      </c>
      <c r="H211" s="25" t="s">
        <v>395</v>
      </c>
      <c r="I211" s="25">
        <v>1</v>
      </c>
      <c r="J211" s="25" t="str">
        <f>VLOOKUP(C211,'시스템이펙트 참고자료'!$A:$C,3,FALSE)</f>
        <v>절대값/상대값(%) 가능</v>
      </c>
      <c r="K211" s="25">
        <v>4</v>
      </c>
      <c r="M211" s="25">
        <v>5</v>
      </c>
      <c r="N211" s="25">
        <f t="shared" si="19"/>
        <v>44</v>
      </c>
      <c r="O211" s="25">
        <v>1</v>
      </c>
      <c r="P211" s="25">
        <v>1</v>
      </c>
      <c r="Q211" s="25">
        <v>1</v>
      </c>
      <c r="R211" s="25">
        <v>1</v>
      </c>
      <c r="T211" s="25">
        <v>1</v>
      </c>
      <c r="AA211" s="25">
        <f t="shared" ref="AA211:AA274" si="20">2^AA$1</f>
        <v>128</v>
      </c>
      <c r="AK211" s="25">
        <v>1</v>
      </c>
      <c r="AM211" s="25">
        <v>44</v>
      </c>
      <c r="AN211" s="25">
        <v>100</v>
      </c>
      <c r="AP211" s="25">
        <f t="shared" si="18"/>
        <v>3</v>
      </c>
      <c r="AQ211" s="25" t="str">
        <f>VLOOKUP(C211,'시스템이펙트 참고자료'!$A:$B,2,FALSE)</f>
        <v>ACTIVE_DEX_UP</v>
      </c>
      <c r="AS211" s="25">
        <v>1</v>
      </c>
      <c r="BD211" s="25">
        <v>1</v>
      </c>
    </row>
    <row r="212" spans="1:56" hidden="1">
      <c r="A212" s="25">
        <v>207</v>
      </c>
      <c r="B212" s="25" t="str">
        <f>VLOOKUP(C212,'시스템이펙트 참고자료'!$A:$C,2,FALSE)</f>
        <v>ACTIVE_FOC_UP</v>
      </c>
      <c r="C212" s="25">
        <v>612</v>
      </c>
      <c r="D212" s="25">
        <f>VLOOKUP(C212,'시스템이펙트 참고자료'!$A:$D,4,FALSE)</f>
        <v>0</v>
      </c>
      <c r="E212" s="25">
        <v>0</v>
      </c>
      <c r="F212" s="25">
        <v>0</v>
      </c>
      <c r="G212" s="25">
        <f t="shared" ref="G212:G265" si="21">IF(N212&gt;0,INT(100/N212+0.99),0)</f>
        <v>2</v>
      </c>
      <c r="H212" s="25" t="s">
        <v>395</v>
      </c>
      <c r="I212" s="25">
        <v>1</v>
      </c>
      <c r="J212" s="25" t="str">
        <f>VLOOKUP(C212,'시스템이펙트 참고자료'!$A:$C,3,FALSE)</f>
        <v>절대값/상대값(%) 가능</v>
      </c>
      <c r="K212" s="25">
        <v>4</v>
      </c>
      <c r="M212" s="25">
        <v>5</v>
      </c>
      <c r="N212" s="25">
        <f t="shared" si="19"/>
        <v>53</v>
      </c>
      <c r="O212" s="25">
        <v>1</v>
      </c>
      <c r="P212" s="25">
        <v>1</v>
      </c>
      <c r="Q212" s="25">
        <v>1</v>
      </c>
      <c r="R212" s="25">
        <v>1</v>
      </c>
      <c r="T212" s="25">
        <v>1</v>
      </c>
      <c r="AA212" s="25">
        <f t="shared" si="20"/>
        <v>128</v>
      </c>
      <c r="AK212" s="25">
        <v>1</v>
      </c>
      <c r="AM212" s="25">
        <v>53</v>
      </c>
      <c r="AN212" s="25">
        <v>100</v>
      </c>
      <c r="AP212" s="25">
        <f t="shared" ref="AP212:AP265" si="22">INT(100/N212+0.99)</f>
        <v>2</v>
      </c>
      <c r="AQ212" s="25" t="str">
        <f>VLOOKUP(C212,'시스템이펙트 참고자료'!$A:$B,2,FALSE)</f>
        <v>ACTIVE_FOC_UP</v>
      </c>
      <c r="AS212" s="25">
        <v>1</v>
      </c>
      <c r="BD212" s="25">
        <v>1</v>
      </c>
    </row>
    <row r="213" spans="1:56" hidden="1">
      <c r="A213" s="25">
        <v>208</v>
      </c>
      <c r="B213" s="25" t="str">
        <f>VLOOKUP(C213,'시스템이펙트 참고자료'!$A:$C,2,FALSE)</f>
        <v>ACTIVE_PHYSICAL_OFFENCE_UP</v>
      </c>
      <c r="C213" s="25">
        <v>606</v>
      </c>
      <c r="D213" s="25">
        <f>VLOOKUP(C213,'시스템이펙트 참고자료'!$A:$D,4,FALSE)</f>
        <v>0</v>
      </c>
      <c r="E213" s="25">
        <v>0</v>
      </c>
      <c r="F213" s="25">
        <v>0</v>
      </c>
      <c r="G213" s="25">
        <f t="shared" si="21"/>
        <v>1</v>
      </c>
      <c r="H213" s="25" t="s">
        <v>395</v>
      </c>
      <c r="I213" s="25">
        <v>1</v>
      </c>
      <c r="J213" s="25" t="str">
        <f>VLOOKUP(C213,'시스템이펙트 참고자료'!$A:$C,3,FALSE)</f>
        <v>절대값/상대값(%) 가능</v>
      </c>
      <c r="K213" s="25">
        <v>4</v>
      </c>
      <c r="M213" s="25">
        <v>5</v>
      </c>
      <c r="N213" s="25">
        <f t="shared" si="19"/>
        <v>125</v>
      </c>
      <c r="O213" s="25">
        <v>1</v>
      </c>
      <c r="P213" s="25">
        <v>1</v>
      </c>
      <c r="Q213" s="25">
        <v>1</v>
      </c>
      <c r="R213" s="25">
        <v>1</v>
      </c>
      <c r="T213" s="25">
        <v>1</v>
      </c>
      <c r="AA213" s="25">
        <f t="shared" si="20"/>
        <v>128</v>
      </c>
      <c r="AK213" s="25">
        <v>1</v>
      </c>
      <c r="AM213" s="25">
        <v>125</v>
      </c>
      <c r="AN213" s="25">
        <v>100</v>
      </c>
      <c r="AP213" s="25">
        <f t="shared" si="22"/>
        <v>1</v>
      </c>
      <c r="AQ213" s="25" t="str">
        <f>VLOOKUP(C213,'시스템이펙트 참고자료'!$A:$B,2,FALSE)</f>
        <v>ACTIVE_PHYSICAL_OFFENCE_UP</v>
      </c>
      <c r="AS213" s="25">
        <v>1</v>
      </c>
      <c r="BD213" s="25">
        <v>1</v>
      </c>
    </row>
    <row r="214" spans="1:56" hidden="1">
      <c r="A214" s="25">
        <v>209</v>
      </c>
      <c r="B214" s="25" t="str">
        <f>VLOOKUP(C214,'시스템이펙트 참고자료'!$A:$C,2,FALSE)</f>
        <v>ACTIVE_ENERGY_OFFENCE_UP</v>
      </c>
      <c r="C214" s="25">
        <v>607</v>
      </c>
      <c r="D214" s="25">
        <f>VLOOKUP(C214,'시스템이펙트 참고자료'!$A:$D,4,FALSE)</f>
        <v>0</v>
      </c>
      <c r="E214" s="25">
        <v>0</v>
      </c>
      <c r="F214" s="25">
        <v>0</v>
      </c>
      <c r="G214" s="25">
        <f t="shared" si="21"/>
        <v>1</v>
      </c>
      <c r="H214" s="25" t="s">
        <v>395</v>
      </c>
      <c r="I214" s="25">
        <v>1</v>
      </c>
      <c r="J214" s="25" t="str">
        <f>VLOOKUP(C214,'시스템이펙트 참고자료'!$A:$C,3,FALSE)</f>
        <v>절대값/상대값(%) 가능</v>
      </c>
      <c r="K214" s="25">
        <v>4</v>
      </c>
      <c r="M214" s="25">
        <v>5</v>
      </c>
      <c r="N214" s="25">
        <f t="shared" si="19"/>
        <v>104</v>
      </c>
      <c r="O214" s="25">
        <v>1</v>
      </c>
      <c r="P214" s="25">
        <v>1</v>
      </c>
      <c r="Q214" s="25">
        <v>1</v>
      </c>
      <c r="R214" s="25">
        <v>1</v>
      </c>
      <c r="T214" s="25">
        <v>1</v>
      </c>
      <c r="AA214" s="25">
        <f t="shared" si="20"/>
        <v>128</v>
      </c>
      <c r="AK214" s="25">
        <v>1</v>
      </c>
      <c r="AM214" s="25">
        <v>104</v>
      </c>
      <c r="AN214" s="25">
        <v>100</v>
      </c>
      <c r="AP214" s="25">
        <f t="shared" si="22"/>
        <v>1</v>
      </c>
      <c r="AQ214" s="25" t="str">
        <f>VLOOKUP(C214,'시스템이펙트 참고자료'!$A:$B,2,FALSE)</f>
        <v>ACTIVE_ENERGY_OFFENCE_UP</v>
      </c>
      <c r="AS214" s="25">
        <v>1</v>
      </c>
      <c r="BD214" s="25">
        <v>1</v>
      </c>
    </row>
    <row r="215" spans="1:56" hidden="1">
      <c r="A215" s="25">
        <v>210</v>
      </c>
      <c r="B215" s="25" t="str">
        <f>VLOOKUP(C215,'시스템이펙트 참고자료'!$A:$C,2,FALSE)</f>
        <v>ACTIVE_PHYSICAL_OFFENCE_UP</v>
      </c>
      <c r="C215" s="25">
        <v>606</v>
      </c>
      <c r="D215" s="25">
        <f>VLOOKUP(C215,'시스템이펙트 참고자료'!$A:$D,4,FALSE)</f>
        <v>0</v>
      </c>
      <c r="E215" s="25">
        <v>0</v>
      </c>
      <c r="F215" s="25">
        <v>0</v>
      </c>
      <c r="G215" s="25">
        <f t="shared" si="21"/>
        <v>1</v>
      </c>
      <c r="H215" s="25" t="s">
        <v>395</v>
      </c>
      <c r="I215" s="25">
        <v>1</v>
      </c>
      <c r="J215" s="25" t="str">
        <f>VLOOKUP(C215,'시스템이펙트 참고자료'!$A:$C,3,FALSE)</f>
        <v>절대값/상대값(%) 가능</v>
      </c>
      <c r="K215" s="25">
        <v>4</v>
      </c>
      <c r="M215" s="25">
        <v>6</v>
      </c>
      <c r="N215" s="25">
        <f t="shared" si="19"/>
        <v>125</v>
      </c>
      <c r="O215" s="25">
        <v>1</v>
      </c>
      <c r="P215" s="25">
        <v>1</v>
      </c>
      <c r="Q215" s="25">
        <v>1</v>
      </c>
      <c r="R215" s="25">
        <v>1</v>
      </c>
      <c r="T215" s="25">
        <v>1</v>
      </c>
      <c r="AA215" s="25">
        <f t="shared" si="20"/>
        <v>128</v>
      </c>
      <c r="AK215" s="25">
        <v>1</v>
      </c>
      <c r="AM215" s="25">
        <v>125</v>
      </c>
      <c r="AN215" s="25">
        <v>100</v>
      </c>
      <c r="AP215" s="25">
        <f t="shared" si="22"/>
        <v>1</v>
      </c>
      <c r="AQ215" s="25" t="str">
        <f>VLOOKUP(C215,'시스템이펙트 참고자료'!$A:$B,2,FALSE)</f>
        <v>ACTIVE_PHYSICAL_OFFENCE_UP</v>
      </c>
      <c r="AS215" s="25">
        <v>1</v>
      </c>
      <c r="BD215" s="25">
        <v>1</v>
      </c>
    </row>
    <row r="216" spans="1:56" hidden="1">
      <c r="A216" s="25">
        <v>211</v>
      </c>
      <c r="B216" s="25" t="str">
        <f>VLOOKUP(C216,'시스템이펙트 참고자료'!$A:$C,2,FALSE)</f>
        <v>ACTIVE_ENERGY_OFFENCE_UP</v>
      </c>
      <c r="C216" s="25">
        <v>607</v>
      </c>
      <c r="D216" s="25">
        <f>VLOOKUP(C216,'시스템이펙트 참고자료'!$A:$D,4,FALSE)</f>
        <v>0</v>
      </c>
      <c r="E216" s="25">
        <v>0</v>
      </c>
      <c r="F216" s="25">
        <v>0</v>
      </c>
      <c r="G216" s="25">
        <f t="shared" si="21"/>
        <v>1</v>
      </c>
      <c r="H216" s="25" t="s">
        <v>395</v>
      </c>
      <c r="I216" s="25">
        <v>1</v>
      </c>
      <c r="J216" s="25" t="str">
        <f>VLOOKUP(C216,'시스템이펙트 참고자료'!$A:$C,3,FALSE)</f>
        <v>절대값/상대값(%) 가능</v>
      </c>
      <c r="K216" s="25">
        <v>4</v>
      </c>
      <c r="M216" s="25">
        <v>6</v>
      </c>
      <c r="N216" s="25">
        <f t="shared" si="19"/>
        <v>104</v>
      </c>
      <c r="O216" s="25">
        <v>1</v>
      </c>
      <c r="P216" s="25">
        <v>1</v>
      </c>
      <c r="Q216" s="25">
        <v>1</v>
      </c>
      <c r="R216" s="25">
        <v>1</v>
      </c>
      <c r="T216" s="25">
        <v>1</v>
      </c>
      <c r="AA216" s="25">
        <f t="shared" si="20"/>
        <v>128</v>
      </c>
      <c r="AK216" s="25">
        <v>1</v>
      </c>
      <c r="AM216" s="25">
        <v>104</v>
      </c>
      <c r="AN216" s="25">
        <v>100</v>
      </c>
      <c r="AP216" s="25">
        <f t="shared" si="22"/>
        <v>1</v>
      </c>
      <c r="AQ216" s="25" t="str">
        <f>VLOOKUP(C216,'시스템이펙트 참고자료'!$A:$B,2,FALSE)</f>
        <v>ACTIVE_ENERGY_OFFENCE_UP</v>
      </c>
      <c r="AS216" s="25">
        <v>1</v>
      </c>
      <c r="BD216" s="25">
        <v>1</v>
      </c>
    </row>
    <row r="217" spans="1:56" hidden="1">
      <c r="A217" s="25">
        <v>212</v>
      </c>
      <c r="B217" s="25" t="str">
        <f>VLOOKUP(C217,'시스템이펙트 참고자료'!$A:$C,2,FALSE)</f>
        <v>ACTIVE_STR_UP</v>
      </c>
      <c r="C217" s="25">
        <v>610</v>
      </c>
      <c r="D217" s="25">
        <f>VLOOKUP(C217,'시스템이펙트 참고자료'!$A:$D,4,FALSE)</f>
        <v>0</v>
      </c>
      <c r="E217" s="25">
        <v>0</v>
      </c>
      <c r="F217" s="25">
        <v>0</v>
      </c>
      <c r="G217" s="25">
        <f t="shared" si="21"/>
        <v>2</v>
      </c>
      <c r="H217" s="25" t="s">
        <v>395</v>
      </c>
      <c r="I217" s="25">
        <v>1</v>
      </c>
      <c r="J217" s="25" t="str">
        <f>VLOOKUP(C217,'시스템이펙트 참고자료'!$A:$C,3,FALSE)</f>
        <v>절대값/상대값(%) 가능</v>
      </c>
      <c r="K217" s="25">
        <v>4</v>
      </c>
      <c r="M217" s="25">
        <v>6</v>
      </c>
      <c r="N217" s="25">
        <f t="shared" si="19"/>
        <v>57</v>
      </c>
      <c r="O217" s="25">
        <v>1</v>
      </c>
      <c r="P217" s="25">
        <v>1</v>
      </c>
      <c r="Q217" s="25">
        <v>1</v>
      </c>
      <c r="R217" s="25">
        <v>1</v>
      </c>
      <c r="T217" s="25">
        <v>1</v>
      </c>
      <c r="AA217" s="25">
        <f t="shared" si="20"/>
        <v>128</v>
      </c>
      <c r="AK217" s="25">
        <v>1</v>
      </c>
      <c r="AM217" s="25">
        <v>57</v>
      </c>
      <c r="AN217" s="25">
        <v>100</v>
      </c>
      <c r="AP217" s="25">
        <f t="shared" si="22"/>
        <v>2</v>
      </c>
      <c r="AQ217" s="25" t="str">
        <f>VLOOKUP(C217,'시스템이펙트 참고자료'!$A:$B,2,FALSE)</f>
        <v>ACTIVE_STR_UP</v>
      </c>
      <c r="AS217" s="25">
        <v>1</v>
      </c>
      <c r="BD217" s="25">
        <v>1</v>
      </c>
    </row>
    <row r="218" spans="1:56" hidden="1">
      <c r="A218" s="25">
        <v>213</v>
      </c>
      <c r="B218" s="25" t="str">
        <f>VLOOKUP(C218,'시스템이펙트 참고자료'!$A:$C,2,FALSE)</f>
        <v>ACTIVE_SOL_UP</v>
      </c>
      <c r="C218" s="25">
        <v>614</v>
      </c>
      <c r="D218" s="25">
        <f>VLOOKUP(C218,'시스템이펙트 참고자료'!$A:$D,4,FALSE)</f>
        <v>0</v>
      </c>
      <c r="E218" s="25">
        <v>0</v>
      </c>
      <c r="F218" s="25">
        <v>0</v>
      </c>
      <c r="G218" s="25">
        <f t="shared" si="21"/>
        <v>2</v>
      </c>
      <c r="H218" s="25" t="s">
        <v>395</v>
      </c>
      <c r="I218" s="25">
        <v>1</v>
      </c>
      <c r="J218" s="25" t="str">
        <f>VLOOKUP(C218,'시스템이펙트 참고자료'!$A:$C,3,FALSE)</f>
        <v>절대값/상대값(%) 가능</v>
      </c>
      <c r="K218" s="25">
        <v>4</v>
      </c>
      <c r="M218" s="25">
        <v>6</v>
      </c>
      <c r="N218" s="25">
        <f t="shared" si="19"/>
        <v>53</v>
      </c>
      <c r="O218" s="25">
        <v>1</v>
      </c>
      <c r="P218" s="25">
        <v>1</v>
      </c>
      <c r="Q218" s="25">
        <v>1</v>
      </c>
      <c r="R218" s="25">
        <v>1</v>
      </c>
      <c r="T218" s="25">
        <v>1</v>
      </c>
      <c r="AA218" s="25">
        <f t="shared" si="20"/>
        <v>128</v>
      </c>
      <c r="AK218" s="25">
        <v>1</v>
      </c>
      <c r="AM218" s="25">
        <v>53</v>
      </c>
      <c r="AN218" s="25">
        <v>100</v>
      </c>
      <c r="AP218" s="25">
        <f t="shared" si="22"/>
        <v>2</v>
      </c>
      <c r="AQ218" s="25" t="str">
        <f>VLOOKUP(C218,'시스템이펙트 참고자료'!$A:$B,2,FALSE)</f>
        <v>ACTIVE_SOL_UP</v>
      </c>
      <c r="AS218" s="25">
        <v>1</v>
      </c>
      <c r="BD218" s="25">
        <v>1</v>
      </c>
    </row>
    <row r="219" spans="1:56" hidden="1">
      <c r="A219" s="25">
        <v>214</v>
      </c>
      <c r="B219" s="25" t="str">
        <f>VLOOKUP(C219,'시스템이펙트 참고자료'!$A:$C,2,FALSE)</f>
        <v>ACTIVE_PHYSICAL_CRITICAL_DAMAGE_UP</v>
      </c>
      <c r="C219" s="25">
        <v>658</v>
      </c>
      <c r="D219" s="25">
        <f>VLOOKUP(C219,'시스템이펙트 참고자료'!$A:$D,4,FALSE)</f>
        <v>0</v>
      </c>
      <c r="E219" s="25">
        <v>0</v>
      </c>
      <c r="F219" s="25">
        <v>0</v>
      </c>
      <c r="G219" s="25">
        <f t="shared" si="21"/>
        <v>4</v>
      </c>
      <c r="H219" s="25" t="s">
        <v>395</v>
      </c>
      <c r="I219" s="25">
        <v>1</v>
      </c>
      <c r="J219" s="25" t="str">
        <f>VLOOKUP(C219,'시스템이펙트 참고자료'!$A:$C,3,FALSE)</f>
        <v>절대값만 가능</v>
      </c>
      <c r="K219" s="25">
        <v>4</v>
      </c>
      <c r="M219" s="25">
        <v>6</v>
      </c>
      <c r="N219" s="25">
        <f t="shared" si="19"/>
        <v>28</v>
      </c>
      <c r="O219" s="25">
        <v>1</v>
      </c>
      <c r="P219" s="25">
        <v>1</v>
      </c>
      <c r="Q219" s="25">
        <v>1</v>
      </c>
      <c r="R219" s="25">
        <v>1</v>
      </c>
      <c r="T219" s="25">
        <v>1</v>
      </c>
      <c r="AA219" s="25">
        <f t="shared" si="20"/>
        <v>128</v>
      </c>
      <c r="AK219" s="25">
        <v>1</v>
      </c>
      <c r="AM219" s="25">
        <v>28</v>
      </c>
      <c r="AN219" s="25">
        <v>100</v>
      </c>
      <c r="AP219" s="25">
        <f t="shared" si="22"/>
        <v>4</v>
      </c>
      <c r="AQ219" s="25" t="str">
        <f>VLOOKUP(C219,'시스템이펙트 참고자료'!$A:$B,2,FALSE)</f>
        <v>ACTIVE_PHYSICAL_CRITICAL_DAMAGE_UP</v>
      </c>
      <c r="AS219" s="25">
        <v>1</v>
      </c>
      <c r="BD219" s="25">
        <v>1</v>
      </c>
    </row>
    <row r="220" spans="1:56" hidden="1">
      <c r="A220" s="25">
        <v>215</v>
      </c>
      <c r="B220" s="25" t="str">
        <f>VLOOKUP(C220,'시스템이펙트 참고자료'!$A:$C,2,FALSE)</f>
        <v>ACTIVE_ENERGY_CRITICAL_DAMAGE_UP</v>
      </c>
      <c r="C220" s="25">
        <v>659</v>
      </c>
      <c r="D220" s="25">
        <f>VLOOKUP(C220,'시스템이펙트 참고자료'!$A:$D,4,FALSE)</f>
        <v>0</v>
      </c>
      <c r="E220" s="25">
        <v>0</v>
      </c>
      <c r="F220" s="25">
        <v>0</v>
      </c>
      <c r="G220" s="25">
        <f t="shared" si="21"/>
        <v>4</v>
      </c>
      <c r="H220" s="25" t="s">
        <v>395</v>
      </c>
      <c r="I220" s="25">
        <v>1</v>
      </c>
      <c r="J220" s="25" t="str">
        <f>VLOOKUP(C220,'시스템이펙트 참고자료'!$A:$C,3,FALSE)</f>
        <v>절대값만 가능</v>
      </c>
      <c r="K220" s="25">
        <v>4</v>
      </c>
      <c r="M220" s="25">
        <v>6</v>
      </c>
      <c r="N220" s="25">
        <f t="shared" si="19"/>
        <v>32</v>
      </c>
      <c r="O220" s="25">
        <v>1</v>
      </c>
      <c r="P220" s="25">
        <v>1</v>
      </c>
      <c r="Q220" s="25">
        <v>1</v>
      </c>
      <c r="R220" s="25">
        <v>1</v>
      </c>
      <c r="T220" s="25">
        <v>1</v>
      </c>
      <c r="AA220" s="25">
        <f t="shared" si="20"/>
        <v>128</v>
      </c>
      <c r="AK220" s="25">
        <v>1</v>
      </c>
      <c r="AM220" s="25">
        <v>32</v>
      </c>
      <c r="AN220" s="25">
        <v>100</v>
      </c>
      <c r="AP220" s="25">
        <f t="shared" si="22"/>
        <v>4</v>
      </c>
      <c r="AQ220" s="25" t="str">
        <f>VLOOKUP(C220,'시스템이펙트 참고자료'!$A:$B,2,FALSE)</f>
        <v>ACTIVE_ENERGY_CRITICAL_DAMAGE_UP</v>
      </c>
      <c r="AS220" s="25">
        <v>1</v>
      </c>
      <c r="BD220" s="25">
        <v>1</v>
      </c>
    </row>
    <row r="221" spans="1:56" hidden="1">
      <c r="A221" s="25">
        <v>216</v>
      </c>
      <c r="B221" s="25" t="str">
        <f>VLOOKUP(C221,'시스템이펙트 참고자료'!$A:$C,2,FALSE)</f>
        <v>ACTIVE_FOC_UP</v>
      </c>
      <c r="C221" s="25">
        <v>612</v>
      </c>
      <c r="D221" s="25">
        <f>VLOOKUP(C221,'시스템이펙트 참고자료'!$A:$D,4,FALSE)</f>
        <v>0</v>
      </c>
      <c r="E221" s="25">
        <v>0</v>
      </c>
      <c r="F221" s="25">
        <v>0</v>
      </c>
      <c r="G221" s="25">
        <f t="shared" si="21"/>
        <v>2</v>
      </c>
      <c r="H221" s="25" t="s">
        <v>395</v>
      </c>
      <c r="I221" s="25">
        <v>1</v>
      </c>
      <c r="J221" s="25" t="str">
        <f>VLOOKUP(C221,'시스템이펙트 참고자료'!$A:$C,3,FALSE)</f>
        <v>절대값/상대값(%) 가능</v>
      </c>
      <c r="K221" s="25">
        <v>4</v>
      </c>
      <c r="M221" s="25">
        <v>7</v>
      </c>
      <c r="N221" s="25">
        <f t="shared" si="19"/>
        <v>53</v>
      </c>
      <c r="O221" s="25">
        <v>1</v>
      </c>
      <c r="P221" s="25">
        <v>1</v>
      </c>
      <c r="Q221" s="25">
        <v>1</v>
      </c>
      <c r="R221" s="25">
        <v>1</v>
      </c>
      <c r="T221" s="25">
        <v>1</v>
      </c>
      <c r="AA221" s="25">
        <f t="shared" si="20"/>
        <v>128</v>
      </c>
      <c r="AK221" s="25">
        <v>1</v>
      </c>
      <c r="AM221" s="25">
        <v>53</v>
      </c>
      <c r="AN221" s="25">
        <v>100</v>
      </c>
      <c r="AP221" s="25">
        <f t="shared" si="22"/>
        <v>2</v>
      </c>
      <c r="AQ221" s="25" t="str">
        <f>VLOOKUP(C221,'시스템이펙트 참고자료'!$A:$B,2,FALSE)</f>
        <v>ACTIVE_FOC_UP</v>
      </c>
      <c r="AS221" s="25">
        <v>1</v>
      </c>
      <c r="BD221" s="25">
        <v>1</v>
      </c>
    </row>
    <row r="222" spans="1:56" hidden="1">
      <c r="A222" s="25">
        <v>217</v>
      </c>
      <c r="B222" s="25" t="str">
        <f>VLOOKUP(C222,'시스템이펙트 참고자료'!$A:$C,2,FALSE)</f>
        <v>ACTIVE_ATTACK_RATE_UP</v>
      </c>
      <c r="C222" s="25">
        <v>618</v>
      </c>
      <c r="D222" s="25">
        <f>VLOOKUP(C222,'시스템이펙트 참고자료'!$A:$D,4,FALSE)</f>
        <v>0</v>
      </c>
      <c r="E222" s="25">
        <v>0</v>
      </c>
      <c r="F222" s="25">
        <v>0</v>
      </c>
      <c r="G222" s="25">
        <f t="shared" si="21"/>
        <v>1</v>
      </c>
      <c r="H222" s="25" t="s">
        <v>395</v>
      </c>
      <c r="I222" s="25">
        <v>1</v>
      </c>
      <c r="J222" s="25" t="str">
        <f>VLOOKUP(C222,'시스템이펙트 참고자료'!$A:$C,3,FALSE)</f>
        <v>절대값/상대값(%) 가능</v>
      </c>
      <c r="K222" s="25">
        <v>4</v>
      </c>
      <c r="M222" s="25">
        <v>7</v>
      </c>
      <c r="N222" s="25">
        <f t="shared" si="19"/>
        <v>528</v>
      </c>
      <c r="O222" s="25">
        <v>1</v>
      </c>
      <c r="P222" s="25">
        <v>1</v>
      </c>
      <c r="Q222" s="25">
        <v>1</v>
      </c>
      <c r="R222" s="25">
        <v>1</v>
      </c>
      <c r="T222" s="25">
        <v>1</v>
      </c>
      <c r="AA222" s="25">
        <f t="shared" si="20"/>
        <v>128</v>
      </c>
      <c r="AK222" s="25">
        <v>1</v>
      </c>
      <c r="AM222" s="25">
        <v>528</v>
      </c>
      <c r="AN222" s="25">
        <v>100</v>
      </c>
      <c r="AP222" s="25">
        <f t="shared" si="22"/>
        <v>1</v>
      </c>
      <c r="AQ222" s="25" t="str">
        <f>VLOOKUP(C222,'시스템이펙트 참고자료'!$A:$B,2,FALSE)</f>
        <v>ACTIVE_ATTACK_RATE_UP</v>
      </c>
      <c r="AS222" s="25">
        <v>1</v>
      </c>
      <c r="BD222" s="25">
        <v>1</v>
      </c>
    </row>
    <row r="223" spans="1:56" hidden="1">
      <c r="A223" s="25">
        <v>218</v>
      </c>
      <c r="B223" s="25" t="str">
        <f>VLOOKUP(C223,'시스템이펙트 참고자료'!$A:$C,2,FALSE)</f>
        <v>ACTIVE_ENG_UP</v>
      </c>
      <c r="C223" s="25">
        <v>615</v>
      </c>
      <c r="D223" s="25">
        <f>VLOOKUP(C223,'시스템이펙트 참고자료'!$A:$D,4,FALSE)</f>
        <v>0</v>
      </c>
      <c r="E223" s="25">
        <v>0</v>
      </c>
      <c r="F223" s="25">
        <v>0</v>
      </c>
      <c r="G223" s="25">
        <f t="shared" si="21"/>
        <v>2</v>
      </c>
      <c r="H223" s="25" t="s">
        <v>395</v>
      </c>
      <c r="I223" s="25">
        <v>1</v>
      </c>
      <c r="J223" s="25" t="str">
        <f>VLOOKUP(C223,'시스템이펙트 참고자료'!$A:$C,3,FALSE)</f>
        <v>절대값/상대값(%) 가능</v>
      </c>
      <c r="K223" s="25">
        <v>4</v>
      </c>
      <c r="M223" s="25">
        <v>7</v>
      </c>
      <c r="N223" s="25">
        <f t="shared" si="19"/>
        <v>62</v>
      </c>
      <c r="O223" s="25">
        <v>1</v>
      </c>
      <c r="P223" s="25">
        <v>1</v>
      </c>
      <c r="Q223" s="25">
        <v>1</v>
      </c>
      <c r="R223" s="25">
        <v>1</v>
      </c>
      <c r="T223" s="25">
        <v>1</v>
      </c>
      <c r="AA223" s="25">
        <f t="shared" si="20"/>
        <v>128</v>
      </c>
      <c r="AK223" s="25">
        <v>1</v>
      </c>
      <c r="AM223" s="25">
        <v>62</v>
      </c>
      <c r="AN223" s="25">
        <v>100</v>
      </c>
      <c r="AP223" s="25">
        <f t="shared" si="22"/>
        <v>2</v>
      </c>
      <c r="AQ223" s="25" t="str">
        <f>VLOOKUP(C223,'시스템이펙트 참고자료'!$A:$B,2,FALSE)</f>
        <v>ACTIVE_ENG_UP</v>
      </c>
      <c r="AS223" s="25">
        <v>1</v>
      </c>
      <c r="BD223" s="25">
        <v>1</v>
      </c>
    </row>
    <row r="224" spans="1:56" hidden="1">
      <c r="A224" s="25">
        <v>219</v>
      </c>
      <c r="B224" s="25" t="str">
        <f>VLOOKUP(C224,'시스템이펙트 참고자료'!$A:$C,2,FALSE)</f>
        <v>ACTIVE_PHYSICAL_CRITICAL</v>
      </c>
      <c r="C224" s="25">
        <v>632</v>
      </c>
      <c r="D224" s="25">
        <f>VLOOKUP(C224,'시스템이펙트 참고자료'!$A:$D,4,FALSE)</f>
        <v>0</v>
      </c>
      <c r="E224" s="25">
        <v>0</v>
      </c>
      <c r="F224" s="25">
        <v>0</v>
      </c>
      <c r="G224" s="25">
        <f t="shared" si="21"/>
        <v>5</v>
      </c>
      <c r="H224" s="25" t="s">
        <v>395</v>
      </c>
      <c r="I224" s="25">
        <v>1</v>
      </c>
      <c r="J224" s="25" t="str">
        <f>VLOOKUP(C224,'시스템이펙트 참고자료'!$A:$C,3,FALSE)</f>
        <v>절대값/상대값(%) 가능</v>
      </c>
      <c r="K224" s="25">
        <v>4</v>
      </c>
      <c r="M224" s="25">
        <v>7</v>
      </c>
      <c r="N224" s="25">
        <f t="shared" si="19"/>
        <v>21</v>
      </c>
      <c r="O224" s="25">
        <v>1</v>
      </c>
      <c r="P224" s="25">
        <v>1</v>
      </c>
      <c r="Q224" s="25">
        <v>1</v>
      </c>
      <c r="R224" s="25">
        <v>1</v>
      </c>
      <c r="T224" s="25">
        <v>1</v>
      </c>
      <c r="AA224" s="25">
        <f t="shared" si="20"/>
        <v>128</v>
      </c>
      <c r="AK224" s="25">
        <v>1</v>
      </c>
      <c r="AM224" s="25">
        <v>21</v>
      </c>
      <c r="AN224" s="25">
        <v>100</v>
      </c>
      <c r="AP224" s="25">
        <f t="shared" si="22"/>
        <v>5</v>
      </c>
      <c r="AQ224" s="25" t="str">
        <f>VLOOKUP(C224,'시스템이펙트 참고자료'!$A:$B,2,FALSE)</f>
        <v>ACTIVE_PHYSICAL_CRITICAL</v>
      </c>
      <c r="AS224" s="25">
        <v>1</v>
      </c>
      <c r="BD224" s="25">
        <v>1</v>
      </c>
    </row>
    <row r="225" spans="1:56" hidden="1">
      <c r="A225" s="25">
        <v>220</v>
      </c>
      <c r="B225" s="25" t="str">
        <f>VLOOKUP(C225,'시스템이펙트 참고자료'!$A:$C,2,FALSE)</f>
        <v>ACTIVE_ENERGY_CRITICAL</v>
      </c>
      <c r="C225" s="25">
        <v>633</v>
      </c>
      <c r="D225" s="25">
        <f>VLOOKUP(C225,'시스템이펙트 참고자료'!$A:$D,4,FALSE)</f>
        <v>0</v>
      </c>
      <c r="E225" s="25">
        <v>0</v>
      </c>
      <c r="F225" s="25">
        <v>0</v>
      </c>
      <c r="G225" s="25">
        <f t="shared" si="21"/>
        <v>5</v>
      </c>
      <c r="H225" s="25" t="s">
        <v>395</v>
      </c>
      <c r="I225" s="25">
        <v>1</v>
      </c>
      <c r="J225" s="25" t="str">
        <f>VLOOKUP(C225,'시스템이펙트 참고자료'!$A:$C,3,FALSE)</f>
        <v>절대값/상대값(%) 가능</v>
      </c>
      <c r="K225" s="25">
        <v>4</v>
      </c>
      <c r="M225" s="25">
        <v>7</v>
      </c>
      <c r="N225" s="25">
        <f t="shared" si="19"/>
        <v>24</v>
      </c>
      <c r="O225" s="25">
        <v>1</v>
      </c>
      <c r="P225" s="25">
        <v>1</v>
      </c>
      <c r="Q225" s="25">
        <v>1</v>
      </c>
      <c r="R225" s="25">
        <v>1</v>
      </c>
      <c r="T225" s="25">
        <v>1</v>
      </c>
      <c r="AA225" s="25">
        <f t="shared" si="20"/>
        <v>128</v>
      </c>
      <c r="AK225" s="25">
        <v>1</v>
      </c>
      <c r="AM225" s="25">
        <v>24</v>
      </c>
      <c r="AN225" s="25">
        <v>100</v>
      </c>
      <c r="AP225" s="25">
        <f t="shared" si="22"/>
        <v>5</v>
      </c>
      <c r="AQ225" s="25" t="str">
        <f>VLOOKUP(C225,'시스템이펙트 참고자료'!$A:$B,2,FALSE)</f>
        <v>ACTIVE_ENERGY_CRITICAL</v>
      </c>
      <c r="AS225" s="25">
        <v>1</v>
      </c>
      <c r="BD225" s="25">
        <v>1</v>
      </c>
    </row>
    <row r="226" spans="1:56" hidden="1">
      <c r="A226" s="25">
        <v>221</v>
      </c>
      <c r="B226" s="25" t="str">
        <f>VLOOKUP(C226,'시스템이펙트 참고자료'!$A:$C,2,FALSE)</f>
        <v>ACTIVE_FOC_UP</v>
      </c>
      <c r="C226" s="25">
        <v>612</v>
      </c>
      <c r="D226" s="25">
        <f>VLOOKUP(C226,'시스템이펙트 참고자료'!$A:$D,4,FALSE)</f>
        <v>0</v>
      </c>
      <c r="E226" s="25">
        <v>0</v>
      </c>
      <c r="F226" s="25">
        <v>0</v>
      </c>
      <c r="G226" s="25">
        <f t="shared" si="21"/>
        <v>2</v>
      </c>
      <c r="H226" s="25" t="s">
        <v>395</v>
      </c>
      <c r="I226" s="25">
        <v>1</v>
      </c>
      <c r="J226" s="25" t="str">
        <f>VLOOKUP(C226,'시스템이펙트 참고자료'!$A:$C,3,FALSE)</f>
        <v>절대값/상대값(%) 가능</v>
      </c>
      <c r="K226" s="25">
        <v>4</v>
      </c>
      <c r="M226" s="25">
        <v>8</v>
      </c>
      <c r="N226" s="25">
        <f t="shared" si="19"/>
        <v>53</v>
      </c>
      <c r="O226" s="25">
        <v>1</v>
      </c>
      <c r="P226" s="25">
        <v>1</v>
      </c>
      <c r="Q226" s="25">
        <v>1</v>
      </c>
      <c r="R226" s="25">
        <v>1</v>
      </c>
      <c r="T226" s="25">
        <v>1</v>
      </c>
      <c r="AA226" s="25">
        <f t="shared" si="20"/>
        <v>128</v>
      </c>
      <c r="AK226" s="25">
        <v>1</v>
      </c>
      <c r="AM226" s="25">
        <v>53</v>
      </c>
      <c r="AN226" s="25">
        <v>100</v>
      </c>
      <c r="AP226" s="25">
        <f t="shared" si="22"/>
        <v>2</v>
      </c>
      <c r="AQ226" s="25" t="str">
        <f>VLOOKUP(C226,'시스템이펙트 참고자료'!$A:$B,2,FALSE)</f>
        <v>ACTIVE_FOC_UP</v>
      </c>
      <c r="AS226" s="25">
        <v>1</v>
      </c>
      <c r="BD226" s="25">
        <v>1</v>
      </c>
    </row>
    <row r="227" spans="1:56" hidden="1">
      <c r="A227" s="25">
        <v>222</v>
      </c>
      <c r="B227" s="25" t="str">
        <f>VLOOKUP(C227,'시스템이펙트 참고자료'!$A:$C,2,FALSE)</f>
        <v>ACTIVE_CON_UP</v>
      </c>
      <c r="C227" s="25">
        <v>611</v>
      </c>
      <c r="D227" s="25">
        <f>VLOOKUP(C227,'시스템이펙트 참고자료'!$A:$D,4,FALSE)</f>
        <v>0</v>
      </c>
      <c r="E227" s="25">
        <v>0</v>
      </c>
      <c r="F227" s="25">
        <v>0</v>
      </c>
      <c r="G227" s="25">
        <f t="shared" si="21"/>
        <v>3</v>
      </c>
      <c r="H227" s="25" t="s">
        <v>395</v>
      </c>
      <c r="I227" s="25">
        <v>1</v>
      </c>
      <c r="J227" s="25" t="str">
        <f>VLOOKUP(C227,'시스템이펙트 참고자료'!$A:$C,3,FALSE)</f>
        <v>절대값/상대값(%) 가능</v>
      </c>
      <c r="K227" s="25">
        <v>4</v>
      </c>
      <c r="M227" s="25">
        <v>8</v>
      </c>
      <c r="N227" s="25">
        <f t="shared" si="19"/>
        <v>48</v>
      </c>
      <c r="O227" s="25">
        <v>1</v>
      </c>
      <c r="P227" s="25">
        <v>1</v>
      </c>
      <c r="Q227" s="25">
        <v>1</v>
      </c>
      <c r="R227" s="25">
        <v>1</v>
      </c>
      <c r="T227" s="25">
        <v>1</v>
      </c>
      <c r="AA227" s="25">
        <f t="shared" si="20"/>
        <v>128</v>
      </c>
      <c r="AK227" s="25">
        <v>1</v>
      </c>
      <c r="AM227" s="25">
        <v>48</v>
      </c>
      <c r="AN227" s="25">
        <v>100</v>
      </c>
      <c r="AP227" s="25">
        <f t="shared" si="22"/>
        <v>3</v>
      </c>
      <c r="AQ227" s="25" t="str">
        <f>VLOOKUP(C227,'시스템이펙트 참고자료'!$A:$B,2,FALSE)</f>
        <v>ACTIVE_CON_UP</v>
      </c>
      <c r="AS227" s="25">
        <v>1</v>
      </c>
      <c r="BD227" s="25">
        <v>1</v>
      </c>
    </row>
    <row r="228" spans="1:56" hidden="1">
      <c r="A228" s="25">
        <v>223</v>
      </c>
      <c r="B228" s="25" t="str">
        <f>VLOOKUP(C228,'시스템이펙트 참고자료'!$A:$C,2,FALSE)</f>
        <v>ACTIVE_BLOCK_RATE_UP</v>
      </c>
      <c r="C228" s="25">
        <v>620</v>
      </c>
      <c r="D228" s="25">
        <f>VLOOKUP(C228,'시스템이펙트 참고자료'!$A:$D,4,FALSE)</f>
        <v>0</v>
      </c>
      <c r="E228" s="25">
        <v>0</v>
      </c>
      <c r="F228" s="25">
        <v>0</v>
      </c>
      <c r="G228" s="25">
        <f t="shared" si="21"/>
        <v>1</v>
      </c>
      <c r="H228" s="25" t="s">
        <v>395</v>
      </c>
      <c r="I228" s="25">
        <v>1</v>
      </c>
      <c r="J228" s="25" t="str">
        <f>VLOOKUP(C228,'시스템이펙트 참고자료'!$A:$C,3,FALSE)</f>
        <v>절대값/상대값(%) 가능</v>
      </c>
      <c r="K228" s="25">
        <v>4</v>
      </c>
      <c r="M228" s="25">
        <v>8</v>
      </c>
      <c r="N228" s="25">
        <f t="shared" si="19"/>
        <v>352</v>
      </c>
      <c r="O228" s="25">
        <v>1</v>
      </c>
      <c r="P228" s="25">
        <v>1</v>
      </c>
      <c r="Q228" s="25">
        <v>1</v>
      </c>
      <c r="R228" s="25">
        <v>1</v>
      </c>
      <c r="T228" s="25">
        <v>1</v>
      </c>
      <c r="AA228" s="25">
        <f t="shared" si="20"/>
        <v>128</v>
      </c>
      <c r="AK228" s="25">
        <v>1</v>
      </c>
      <c r="AM228" s="25">
        <v>352</v>
      </c>
      <c r="AN228" s="25">
        <v>100</v>
      </c>
      <c r="AP228" s="25">
        <f t="shared" si="22"/>
        <v>1</v>
      </c>
      <c r="AQ228" s="25" t="str">
        <f>VLOOKUP(C228,'시스템이펙트 참고자료'!$A:$B,2,FALSE)</f>
        <v>ACTIVE_BLOCK_RATE_UP</v>
      </c>
      <c r="AS228" s="25">
        <v>1</v>
      </c>
      <c r="BD228" s="25">
        <v>1</v>
      </c>
    </row>
    <row r="229" spans="1:56" hidden="1">
      <c r="A229" s="25">
        <v>224</v>
      </c>
      <c r="B229" s="25" t="str">
        <f>VLOOKUP(C229,'시스템이펙트 참고자료'!$A:$C,2,FALSE)</f>
        <v>ACTIVE_ENG_UP</v>
      </c>
      <c r="C229" s="25">
        <v>615</v>
      </c>
      <c r="D229" s="25">
        <f>VLOOKUP(C229,'시스템이펙트 참고자료'!$A:$D,4,FALSE)</f>
        <v>0</v>
      </c>
      <c r="E229" s="25">
        <v>0</v>
      </c>
      <c r="F229" s="25">
        <v>0</v>
      </c>
      <c r="G229" s="25">
        <f t="shared" si="21"/>
        <v>2</v>
      </c>
      <c r="H229" s="25" t="s">
        <v>395</v>
      </c>
      <c r="I229" s="25">
        <v>1</v>
      </c>
      <c r="J229" s="25" t="str">
        <f>VLOOKUP(C229,'시스템이펙트 참고자료'!$A:$C,3,FALSE)</f>
        <v>절대값/상대값(%) 가능</v>
      </c>
      <c r="K229" s="25">
        <v>4</v>
      </c>
      <c r="M229" s="25">
        <v>8</v>
      </c>
      <c r="N229" s="25">
        <f t="shared" si="19"/>
        <v>62</v>
      </c>
      <c r="O229" s="25">
        <v>1</v>
      </c>
      <c r="P229" s="25">
        <v>1</v>
      </c>
      <c r="Q229" s="25">
        <v>1</v>
      </c>
      <c r="R229" s="25">
        <v>1</v>
      </c>
      <c r="T229" s="25">
        <v>1</v>
      </c>
      <c r="AA229" s="25">
        <f t="shared" si="20"/>
        <v>128</v>
      </c>
      <c r="AK229" s="25">
        <v>1</v>
      </c>
      <c r="AM229" s="25">
        <v>62</v>
      </c>
      <c r="AN229" s="25">
        <v>100</v>
      </c>
      <c r="AP229" s="25">
        <f t="shared" si="22"/>
        <v>2</v>
      </c>
      <c r="AQ229" s="25" t="str">
        <f>VLOOKUP(C229,'시스템이펙트 참고자료'!$A:$B,2,FALSE)</f>
        <v>ACTIVE_ENG_UP</v>
      </c>
      <c r="AS229" s="25">
        <v>1</v>
      </c>
      <c r="BD229" s="25">
        <v>1</v>
      </c>
    </row>
    <row r="230" spans="1:56" hidden="1">
      <c r="A230" s="25">
        <v>225</v>
      </c>
      <c r="B230" s="25" t="str">
        <f>VLOOKUP(C230,'시스템이펙트 참고자료'!$A:$C,2,FALSE)</f>
        <v>ACTIVE_PHYSICAL_CRITICAL</v>
      </c>
      <c r="C230" s="25">
        <v>632</v>
      </c>
      <c r="D230" s="25">
        <f>VLOOKUP(C230,'시스템이펙트 참고자료'!$A:$D,4,FALSE)</f>
        <v>0</v>
      </c>
      <c r="E230" s="25">
        <v>0</v>
      </c>
      <c r="F230" s="25">
        <v>0</v>
      </c>
      <c r="G230" s="25">
        <f t="shared" si="21"/>
        <v>5</v>
      </c>
      <c r="H230" s="25" t="s">
        <v>395</v>
      </c>
      <c r="I230" s="25">
        <v>1</v>
      </c>
      <c r="J230" s="25" t="str">
        <f>VLOOKUP(C230,'시스템이펙트 참고자료'!$A:$C,3,FALSE)</f>
        <v>절대값/상대값(%) 가능</v>
      </c>
      <c r="K230" s="25">
        <v>4</v>
      </c>
      <c r="M230" s="25">
        <v>9</v>
      </c>
      <c r="N230" s="25">
        <f t="shared" si="19"/>
        <v>21</v>
      </c>
      <c r="O230" s="25">
        <v>1</v>
      </c>
      <c r="P230" s="25">
        <v>1</v>
      </c>
      <c r="Q230" s="25">
        <v>1</v>
      </c>
      <c r="R230" s="25">
        <v>1</v>
      </c>
      <c r="T230" s="25">
        <v>1</v>
      </c>
      <c r="AA230" s="25">
        <f t="shared" si="20"/>
        <v>128</v>
      </c>
      <c r="AK230" s="25">
        <v>1</v>
      </c>
      <c r="AM230" s="25">
        <v>21</v>
      </c>
      <c r="AN230" s="25">
        <v>100</v>
      </c>
      <c r="AP230" s="25">
        <f t="shared" si="22"/>
        <v>5</v>
      </c>
      <c r="AQ230" s="25" t="str">
        <f>VLOOKUP(C230,'시스템이펙트 참고자료'!$A:$B,2,FALSE)</f>
        <v>ACTIVE_PHYSICAL_CRITICAL</v>
      </c>
      <c r="AS230" s="25">
        <v>1</v>
      </c>
      <c r="BD230" s="25">
        <v>1</v>
      </c>
    </row>
    <row r="231" spans="1:56" hidden="1">
      <c r="A231" s="25">
        <v>226</v>
      </c>
      <c r="B231" s="25" t="str">
        <f>VLOOKUP(C231,'시스템이펙트 참고자료'!$A:$C,2,FALSE)</f>
        <v>ACTIVE_ENERGY_CRITICAL</v>
      </c>
      <c r="C231" s="25">
        <v>633</v>
      </c>
      <c r="D231" s="25">
        <f>VLOOKUP(C231,'시스템이펙트 참고자료'!$A:$D,4,FALSE)</f>
        <v>0</v>
      </c>
      <c r="E231" s="25">
        <v>0</v>
      </c>
      <c r="F231" s="25">
        <v>0</v>
      </c>
      <c r="G231" s="25">
        <f t="shared" si="21"/>
        <v>5</v>
      </c>
      <c r="H231" s="25" t="s">
        <v>395</v>
      </c>
      <c r="I231" s="25">
        <v>1</v>
      </c>
      <c r="J231" s="25" t="str">
        <f>VLOOKUP(C231,'시스템이펙트 참고자료'!$A:$C,3,FALSE)</f>
        <v>절대값/상대값(%) 가능</v>
      </c>
      <c r="K231" s="25">
        <v>4</v>
      </c>
      <c r="M231" s="25">
        <v>9</v>
      </c>
      <c r="N231" s="25">
        <f t="shared" si="19"/>
        <v>24</v>
      </c>
      <c r="O231" s="25">
        <v>1</v>
      </c>
      <c r="P231" s="25">
        <v>1</v>
      </c>
      <c r="Q231" s="25">
        <v>1</v>
      </c>
      <c r="R231" s="25">
        <v>1</v>
      </c>
      <c r="T231" s="25">
        <v>1</v>
      </c>
      <c r="AA231" s="25">
        <f t="shared" si="20"/>
        <v>128</v>
      </c>
      <c r="AK231" s="25">
        <v>1</v>
      </c>
      <c r="AM231" s="25">
        <v>24</v>
      </c>
      <c r="AN231" s="25">
        <v>100</v>
      </c>
      <c r="AP231" s="25">
        <f t="shared" si="22"/>
        <v>5</v>
      </c>
      <c r="AQ231" s="25" t="str">
        <f>VLOOKUP(C231,'시스템이펙트 참고자료'!$A:$B,2,FALSE)</f>
        <v>ACTIVE_ENERGY_CRITICAL</v>
      </c>
      <c r="AS231" s="25">
        <v>1</v>
      </c>
      <c r="BD231" s="25">
        <v>1</v>
      </c>
    </row>
    <row r="232" spans="1:56" hidden="1">
      <c r="A232" s="25">
        <v>227</v>
      </c>
      <c r="B232" s="25" t="str">
        <f>VLOOKUP(C232,'시스템이펙트 참고자료'!$A:$C,2,FALSE)</f>
        <v>ACTIVE_DEX_UP</v>
      </c>
      <c r="C232" s="25">
        <v>613</v>
      </c>
      <c r="D232" s="25">
        <f>VLOOKUP(C232,'시스템이펙트 참고자료'!$A:$D,4,FALSE)</f>
        <v>0</v>
      </c>
      <c r="E232" s="25">
        <v>0</v>
      </c>
      <c r="F232" s="25">
        <v>0</v>
      </c>
      <c r="G232" s="25">
        <f t="shared" si="21"/>
        <v>3</v>
      </c>
      <c r="H232" s="25" t="s">
        <v>395</v>
      </c>
      <c r="I232" s="25">
        <v>1</v>
      </c>
      <c r="J232" s="25" t="str">
        <f>VLOOKUP(C232,'시스템이펙트 참고자료'!$A:$C,3,FALSE)</f>
        <v>절대값/상대값(%) 가능</v>
      </c>
      <c r="K232" s="25">
        <v>4</v>
      </c>
      <c r="M232" s="25">
        <v>9</v>
      </c>
      <c r="N232" s="25">
        <f t="shared" si="19"/>
        <v>44</v>
      </c>
      <c r="O232" s="25">
        <v>1</v>
      </c>
      <c r="P232" s="25">
        <v>1</v>
      </c>
      <c r="Q232" s="25">
        <v>1</v>
      </c>
      <c r="R232" s="25">
        <v>1</v>
      </c>
      <c r="T232" s="25">
        <v>1</v>
      </c>
      <c r="AA232" s="25">
        <f t="shared" si="20"/>
        <v>128</v>
      </c>
      <c r="AK232" s="25">
        <v>1</v>
      </c>
      <c r="AM232" s="25">
        <v>44</v>
      </c>
      <c r="AN232" s="25">
        <v>100</v>
      </c>
      <c r="AP232" s="25">
        <f t="shared" si="22"/>
        <v>3</v>
      </c>
      <c r="AQ232" s="25" t="str">
        <f>VLOOKUP(C232,'시스템이펙트 참고자료'!$A:$B,2,FALSE)</f>
        <v>ACTIVE_DEX_UP</v>
      </c>
      <c r="AS232" s="25">
        <v>1</v>
      </c>
      <c r="BD232" s="25">
        <v>1</v>
      </c>
    </row>
    <row r="233" spans="1:56" hidden="1">
      <c r="A233" s="25">
        <v>228</v>
      </c>
      <c r="B233" s="25" t="str">
        <f>VLOOKUP(C233,'시스템이펙트 참고자료'!$A:$C,2,FALSE)</f>
        <v>ACTIVE_FOC_UP</v>
      </c>
      <c r="C233" s="25">
        <v>612</v>
      </c>
      <c r="D233" s="25">
        <f>VLOOKUP(C233,'시스템이펙트 참고자료'!$A:$D,4,FALSE)</f>
        <v>0</v>
      </c>
      <c r="E233" s="25">
        <v>0</v>
      </c>
      <c r="F233" s="25">
        <v>0</v>
      </c>
      <c r="G233" s="25">
        <f t="shared" si="21"/>
        <v>2</v>
      </c>
      <c r="H233" s="25" t="s">
        <v>395</v>
      </c>
      <c r="I233" s="25">
        <v>1</v>
      </c>
      <c r="J233" s="25" t="str">
        <f>VLOOKUP(C233,'시스템이펙트 참고자료'!$A:$C,3,FALSE)</f>
        <v>절대값/상대값(%) 가능</v>
      </c>
      <c r="K233" s="25">
        <v>4</v>
      </c>
      <c r="M233" s="25">
        <v>9</v>
      </c>
      <c r="N233" s="25">
        <f t="shared" si="19"/>
        <v>53</v>
      </c>
      <c r="O233" s="25">
        <v>1</v>
      </c>
      <c r="P233" s="25">
        <v>1</v>
      </c>
      <c r="Q233" s="25">
        <v>1</v>
      </c>
      <c r="R233" s="25">
        <v>1</v>
      </c>
      <c r="T233" s="25">
        <v>1</v>
      </c>
      <c r="AA233" s="25">
        <f t="shared" si="20"/>
        <v>128</v>
      </c>
      <c r="AK233" s="25">
        <v>1</v>
      </c>
      <c r="AM233" s="25">
        <v>53</v>
      </c>
      <c r="AN233" s="25">
        <v>100</v>
      </c>
      <c r="AP233" s="25">
        <f t="shared" si="22"/>
        <v>2</v>
      </c>
      <c r="AQ233" s="25" t="str">
        <f>VLOOKUP(C233,'시스템이펙트 참고자료'!$A:$B,2,FALSE)</f>
        <v>ACTIVE_FOC_UP</v>
      </c>
      <c r="AS233" s="25">
        <v>1</v>
      </c>
      <c r="BD233" s="25">
        <v>1</v>
      </c>
    </row>
    <row r="234" spans="1:56" hidden="1">
      <c r="A234" s="25">
        <v>229</v>
      </c>
      <c r="B234" s="25" t="str">
        <f>VLOOKUP(C234,'시스템이펙트 참고자료'!$A:$C,2,FALSE)</f>
        <v>ACTIVE_PHYSICAL_CRITICAL_DAMAGE_UP</v>
      </c>
      <c r="C234" s="25">
        <v>658</v>
      </c>
      <c r="D234" s="25">
        <f>VLOOKUP(C234,'시스템이펙트 참고자료'!$A:$D,4,FALSE)</f>
        <v>0</v>
      </c>
      <c r="E234" s="25">
        <v>0</v>
      </c>
      <c r="F234" s="25">
        <v>0</v>
      </c>
      <c r="G234" s="25">
        <f t="shared" si="21"/>
        <v>4</v>
      </c>
      <c r="H234" s="25" t="s">
        <v>395</v>
      </c>
      <c r="I234" s="25">
        <v>1</v>
      </c>
      <c r="J234" s="25" t="str">
        <f>VLOOKUP(C234,'시스템이펙트 참고자료'!$A:$C,3,FALSE)</f>
        <v>절대값만 가능</v>
      </c>
      <c r="K234" s="25">
        <v>4</v>
      </c>
      <c r="M234" s="25">
        <v>10</v>
      </c>
      <c r="N234" s="25">
        <f t="shared" si="19"/>
        <v>28</v>
      </c>
      <c r="O234" s="25">
        <v>1</v>
      </c>
      <c r="P234" s="25">
        <v>1</v>
      </c>
      <c r="Q234" s="25">
        <v>1</v>
      </c>
      <c r="R234" s="25">
        <v>1</v>
      </c>
      <c r="T234" s="25">
        <v>1</v>
      </c>
      <c r="AA234" s="25">
        <f t="shared" si="20"/>
        <v>128</v>
      </c>
      <c r="AK234" s="25">
        <v>1</v>
      </c>
      <c r="AM234" s="25">
        <v>28</v>
      </c>
      <c r="AN234" s="25">
        <v>100</v>
      </c>
      <c r="AP234" s="25">
        <f t="shared" si="22"/>
        <v>4</v>
      </c>
      <c r="AQ234" s="25" t="str">
        <f>VLOOKUP(C234,'시스템이펙트 참고자료'!$A:$B,2,FALSE)</f>
        <v>ACTIVE_PHYSICAL_CRITICAL_DAMAGE_UP</v>
      </c>
      <c r="AS234" s="25">
        <v>1</v>
      </c>
      <c r="BD234" s="25">
        <v>1</v>
      </c>
    </row>
    <row r="235" spans="1:56" hidden="1">
      <c r="A235" s="25">
        <v>230</v>
      </c>
      <c r="B235" s="25" t="str">
        <f>VLOOKUP(C235,'시스템이펙트 참고자료'!$A:$C,2,FALSE)</f>
        <v>ACTIVE_ENERGY_CRITICAL_DAMAGE_UP</v>
      </c>
      <c r="C235" s="25">
        <v>659</v>
      </c>
      <c r="D235" s="25">
        <f>VLOOKUP(C235,'시스템이펙트 참고자료'!$A:$D,4,FALSE)</f>
        <v>0</v>
      </c>
      <c r="E235" s="25">
        <v>0</v>
      </c>
      <c r="F235" s="25">
        <v>0</v>
      </c>
      <c r="G235" s="25">
        <f t="shared" si="21"/>
        <v>4</v>
      </c>
      <c r="H235" s="25" t="s">
        <v>395</v>
      </c>
      <c r="I235" s="25">
        <v>1</v>
      </c>
      <c r="J235" s="25" t="str">
        <f>VLOOKUP(C235,'시스템이펙트 참고자료'!$A:$C,3,FALSE)</f>
        <v>절대값만 가능</v>
      </c>
      <c r="K235" s="25">
        <v>4</v>
      </c>
      <c r="M235" s="25">
        <v>10</v>
      </c>
      <c r="N235" s="25">
        <f t="shared" si="19"/>
        <v>32</v>
      </c>
      <c r="O235" s="25">
        <v>1</v>
      </c>
      <c r="P235" s="25">
        <v>1</v>
      </c>
      <c r="Q235" s="25">
        <v>1</v>
      </c>
      <c r="R235" s="25">
        <v>1</v>
      </c>
      <c r="T235" s="25">
        <v>1</v>
      </c>
      <c r="AA235" s="25">
        <f t="shared" si="20"/>
        <v>128</v>
      </c>
      <c r="AK235" s="25">
        <v>1</v>
      </c>
      <c r="AM235" s="25">
        <v>32</v>
      </c>
      <c r="AN235" s="25">
        <v>100</v>
      </c>
      <c r="AP235" s="25">
        <f t="shared" si="22"/>
        <v>4</v>
      </c>
      <c r="AQ235" s="25" t="str">
        <f>VLOOKUP(C235,'시스템이펙트 참고자료'!$A:$B,2,FALSE)</f>
        <v>ACTIVE_ENERGY_CRITICAL_DAMAGE_UP</v>
      </c>
      <c r="AS235" s="25">
        <v>1</v>
      </c>
      <c r="BD235" s="25">
        <v>1</v>
      </c>
    </row>
    <row r="236" spans="1:56" hidden="1">
      <c r="A236" s="25">
        <v>231</v>
      </c>
      <c r="B236" s="25" t="str">
        <f>VLOOKUP(C236,'시스템이펙트 참고자료'!$A:$C,2,FALSE)</f>
        <v>ACTIVE_DEX_UP</v>
      </c>
      <c r="C236" s="25">
        <v>613</v>
      </c>
      <c r="D236" s="25">
        <f>VLOOKUP(C236,'시스템이펙트 참고자료'!$A:$D,4,FALSE)</f>
        <v>0</v>
      </c>
      <c r="E236" s="25">
        <v>0</v>
      </c>
      <c r="F236" s="25">
        <v>0</v>
      </c>
      <c r="G236" s="25">
        <f t="shared" si="21"/>
        <v>3</v>
      </c>
      <c r="H236" s="25" t="s">
        <v>395</v>
      </c>
      <c r="I236" s="25">
        <v>1</v>
      </c>
      <c r="J236" s="25" t="str">
        <f>VLOOKUP(C236,'시스템이펙트 참고자료'!$A:$C,3,FALSE)</f>
        <v>절대값/상대값(%) 가능</v>
      </c>
      <c r="K236" s="25">
        <v>4</v>
      </c>
      <c r="M236" s="25">
        <v>10</v>
      </c>
      <c r="N236" s="25">
        <f t="shared" si="19"/>
        <v>44</v>
      </c>
      <c r="O236" s="25">
        <v>1</v>
      </c>
      <c r="P236" s="25">
        <v>1</v>
      </c>
      <c r="Q236" s="25">
        <v>1</v>
      </c>
      <c r="R236" s="25">
        <v>1</v>
      </c>
      <c r="T236" s="25">
        <v>1</v>
      </c>
      <c r="AA236" s="25">
        <f t="shared" si="20"/>
        <v>128</v>
      </c>
      <c r="AK236" s="25">
        <v>1</v>
      </c>
      <c r="AM236" s="25">
        <v>44</v>
      </c>
      <c r="AN236" s="25">
        <v>100</v>
      </c>
      <c r="AP236" s="25">
        <f t="shared" si="22"/>
        <v>3</v>
      </c>
      <c r="AQ236" s="25" t="str">
        <f>VLOOKUP(C236,'시스템이펙트 참고자료'!$A:$B,2,FALSE)</f>
        <v>ACTIVE_DEX_UP</v>
      </c>
      <c r="AS236" s="25">
        <v>1</v>
      </c>
      <c r="BD236" s="25">
        <v>1</v>
      </c>
    </row>
    <row r="237" spans="1:56" hidden="1">
      <c r="A237" s="25">
        <v>232</v>
      </c>
      <c r="B237" s="25" t="str">
        <f>VLOOKUP(C237,'시스템이펙트 참고자료'!$A:$C,2,FALSE)</f>
        <v>ACTIVE_ATTACK_SPEED_UP</v>
      </c>
      <c r="C237" s="25">
        <v>617</v>
      </c>
      <c r="D237" s="25">
        <f>VLOOKUP(C237,'시스템이펙트 참고자료'!$A:$D,4,FALSE)</f>
        <v>1</v>
      </c>
      <c r="E237" s="25">
        <v>0</v>
      </c>
      <c r="F237" s="25">
        <v>0</v>
      </c>
      <c r="G237" s="25">
        <f t="shared" si="21"/>
        <v>10</v>
      </c>
      <c r="H237" s="25" t="s">
        <v>395</v>
      </c>
      <c r="I237" s="25">
        <v>1</v>
      </c>
      <c r="J237" s="25" t="str">
        <f>VLOOKUP(C237,'시스템이펙트 참고자료'!$A:$C,3,FALSE)</f>
        <v>절대값/상대값(%) 가능</v>
      </c>
      <c r="K237" s="25">
        <v>4</v>
      </c>
      <c r="M237" s="25">
        <v>10</v>
      </c>
      <c r="N237" s="25">
        <f t="shared" si="19"/>
        <v>10</v>
      </c>
      <c r="O237" s="25">
        <v>1</v>
      </c>
      <c r="P237" s="25">
        <v>1</v>
      </c>
      <c r="Q237" s="25">
        <v>1</v>
      </c>
      <c r="R237" s="25">
        <v>1</v>
      </c>
      <c r="T237" s="25">
        <v>1</v>
      </c>
      <c r="AA237" s="25">
        <f t="shared" si="20"/>
        <v>128</v>
      </c>
      <c r="AK237" s="25">
        <v>1</v>
      </c>
      <c r="AM237" s="25">
        <v>10</v>
      </c>
      <c r="AN237" s="25">
        <v>100</v>
      </c>
      <c r="AP237" s="25">
        <f t="shared" si="22"/>
        <v>10</v>
      </c>
      <c r="AQ237" s="25" t="str">
        <f>VLOOKUP(C237,'시스템이펙트 참고자료'!$A:$B,2,FALSE)</f>
        <v>ACTIVE_ATTACK_SPEED_UP</v>
      </c>
      <c r="AS237" s="25">
        <v>1</v>
      </c>
      <c r="BD237" s="25">
        <v>1</v>
      </c>
    </row>
    <row r="238" spans="1:56" hidden="1">
      <c r="A238" s="25">
        <v>233</v>
      </c>
      <c r="B238" s="25" t="str">
        <f>VLOOKUP(C238,'시스템이펙트 참고자료'!$A:$C,2,FALSE)</f>
        <v>ACTIVE_STR_UP</v>
      </c>
      <c r="C238" s="25">
        <v>610</v>
      </c>
      <c r="D238" s="25">
        <f>VLOOKUP(C238,'시스템이펙트 참고자료'!$A:$D,4,FALSE)</f>
        <v>0</v>
      </c>
      <c r="E238" s="25">
        <v>0</v>
      </c>
      <c r="F238" s="25">
        <v>0</v>
      </c>
      <c r="G238" s="25">
        <f t="shared" si="21"/>
        <v>2</v>
      </c>
      <c r="H238" s="25" t="s">
        <v>395</v>
      </c>
      <c r="I238" s="25">
        <v>1</v>
      </c>
      <c r="J238" s="25" t="str">
        <f>VLOOKUP(C238,'시스템이펙트 참고자료'!$A:$C,3,FALSE)</f>
        <v>절대값/상대값(%) 가능</v>
      </c>
      <c r="K238" s="25">
        <v>4</v>
      </c>
      <c r="M238" s="25">
        <v>11</v>
      </c>
      <c r="N238" s="25">
        <f t="shared" si="19"/>
        <v>57</v>
      </c>
      <c r="O238" s="25">
        <v>1</v>
      </c>
      <c r="P238" s="25">
        <v>1</v>
      </c>
      <c r="Q238" s="25">
        <v>1</v>
      </c>
      <c r="R238" s="25">
        <v>1</v>
      </c>
      <c r="T238" s="25">
        <v>1</v>
      </c>
      <c r="AA238" s="25">
        <f t="shared" si="20"/>
        <v>128</v>
      </c>
      <c r="AK238" s="25">
        <v>1</v>
      </c>
      <c r="AM238" s="25">
        <v>57</v>
      </c>
      <c r="AN238" s="25">
        <v>100</v>
      </c>
      <c r="AP238" s="25">
        <f t="shared" si="22"/>
        <v>2</v>
      </c>
      <c r="AQ238" s="25" t="str">
        <f>VLOOKUP(C238,'시스템이펙트 참고자료'!$A:$B,2,FALSE)</f>
        <v>ACTIVE_STR_UP</v>
      </c>
      <c r="AS238" s="25">
        <v>1</v>
      </c>
      <c r="BD238" s="25">
        <v>1</v>
      </c>
    </row>
    <row r="239" spans="1:56" hidden="1">
      <c r="A239" s="25">
        <v>234</v>
      </c>
      <c r="B239" s="25" t="str">
        <f>VLOOKUP(C239,'시스템이펙트 참고자료'!$A:$C,2,FALSE)</f>
        <v>ACTIVE_CON_UP</v>
      </c>
      <c r="C239" s="25">
        <v>611</v>
      </c>
      <c r="D239" s="25">
        <f>VLOOKUP(C239,'시스템이펙트 참고자료'!$A:$D,4,FALSE)</f>
        <v>0</v>
      </c>
      <c r="E239" s="25">
        <v>0</v>
      </c>
      <c r="F239" s="25">
        <v>0</v>
      </c>
      <c r="G239" s="25">
        <f t="shared" si="21"/>
        <v>3</v>
      </c>
      <c r="H239" s="25" t="s">
        <v>395</v>
      </c>
      <c r="I239" s="25">
        <v>1</v>
      </c>
      <c r="J239" s="25" t="str">
        <f>VLOOKUP(C239,'시스템이펙트 참고자료'!$A:$C,3,FALSE)</f>
        <v>절대값/상대값(%) 가능</v>
      </c>
      <c r="K239" s="25">
        <v>4</v>
      </c>
      <c r="M239" s="25">
        <v>11</v>
      </c>
      <c r="N239" s="25">
        <f t="shared" si="19"/>
        <v>48</v>
      </c>
      <c r="O239" s="25">
        <v>1</v>
      </c>
      <c r="P239" s="25">
        <v>1</v>
      </c>
      <c r="Q239" s="25">
        <v>1</v>
      </c>
      <c r="R239" s="25">
        <v>1</v>
      </c>
      <c r="T239" s="25">
        <v>1</v>
      </c>
      <c r="AA239" s="25">
        <f t="shared" si="20"/>
        <v>128</v>
      </c>
      <c r="AK239" s="25">
        <v>1</v>
      </c>
      <c r="AM239" s="25">
        <v>48</v>
      </c>
      <c r="AN239" s="25">
        <v>100</v>
      </c>
      <c r="AP239" s="25">
        <f t="shared" si="22"/>
        <v>3</v>
      </c>
      <c r="AQ239" s="25" t="str">
        <f>VLOOKUP(C239,'시스템이펙트 참고자료'!$A:$B,2,FALSE)</f>
        <v>ACTIVE_CON_UP</v>
      </c>
      <c r="AS239" s="25">
        <v>1</v>
      </c>
      <c r="BD239" s="25">
        <v>1</v>
      </c>
    </row>
    <row r="240" spans="1:56" hidden="1">
      <c r="A240" s="25">
        <v>235</v>
      </c>
      <c r="B240" s="25" t="str">
        <f>VLOOKUP(C240,'시스템이펙트 참고자료'!$A:$C,2,FALSE)</f>
        <v>ACTIVE_FOC_UP</v>
      </c>
      <c r="C240" s="25">
        <v>612</v>
      </c>
      <c r="D240" s="25">
        <f>VLOOKUP(C240,'시스템이펙트 참고자료'!$A:$D,4,FALSE)</f>
        <v>0</v>
      </c>
      <c r="E240" s="25">
        <v>0</v>
      </c>
      <c r="F240" s="25">
        <v>0</v>
      </c>
      <c r="G240" s="25">
        <f t="shared" si="21"/>
        <v>2</v>
      </c>
      <c r="H240" s="25" t="s">
        <v>395</v>
      </c>
      <c r="I240" s="25">
        <v>1</v>
      </c>
      <c r="J240" s="25" t="str">
        <f>VLOOKUP(C240,'시스템이펙트 참고자료'!$A:$C,3,FALSE)</f>
        <v>절대값/상대값(%) 가능</v>
      </c>
      <c r="K240" s="25">
        <v>4</v>
      </c>
      <c r="M240" s="25">
        <v>11</v>
      </c>
      <c r="N240" s="25">
        <f t="shared" si="19"/>
        <v>53</v>
      </c>
      <c r="O240" s="25">
        <v>1</v>
      </c>
      <c r="P240" s="25">
        <v>1</v>
      </c>
      <c r="Q240" s="25">
        <v>1</v>
      </c>
      <c r="R240" s="25">
        <v>1</v>
      </c>
      <c r="T240" s="25">
        <v>1</v>
      </c>
      <c r="AA240" s="25">
        <f t="shared" si="20"/>
        <v>128</v>
      </c>
      <c r="AK240" s="25">
        <v>1</v>
      </c>
      <c r="AM240" s="25">
        <v>53</v>
      </c>
      <c r="AN240" s="25">
        <v>100</v>
      </c>
      <c r="AP240" s="25">
        <f t="shared" si="22"/>
        <v>2</v>
      </c>
      <c r="AQ240" s="25" t="str">
        <f>VLOOKUP(C240,'시스템이펙트 참고자료'!$A:$B,2,FALSE)</f>
        <v>ACTIVE_FOC_UP</v>
      </c>
      <c r="AS240" s="25">
        <v>1</v>
      </c>
      <c r="BD240" s="25">
        <v>1</v>
      </c>
    </row>
    <row r="241" spans="1:56" hidden="1">
      <c r="A241" s="25">
        <v>236</v>
      </c>
      <c r="B241" s="25" t="str">
        <f>VLOOKUP(C241,'시스템이펙트 참고자료'!$A:$C,2,FALSE)</f>
        <v>ACTIVE_DEX_UP</v>
      </c>
      <c r="C241" s="25">
        <v>613</v>
      </c>
      <c r="D241" s="25">
        <f>VLOOKUP(C241,'시스템이펙트 참고자료'!$A:$D,4,FALSE)</f>
        <v>0</v>
      </c>
      <c r="E241" s="25">
        <v>0</v>
      </c>
      <c r="F241" s="25">
        <v>0</v>
      </c>
      <c r="G241" s="25">
        <f t="shared" si="21"/>
        <v>3</v>
      </c>
      <c r="H241" s="25" t="s">
        <v>395</v>
      </c>
      <c r="I241" s="25">
        <v>1</v>
      </c>
      <c r="J241" s="25" t="str">
        <f>VLOOKUP(C241,'시스템이펙트 참고자료'!$A:$C,3,FALSE)</f>
        <v>절대값/상대값(%) 가능</v>
      </c>
      <c r="K241" s="25">
        <v>4</v>
      </c>
      <c r="M241" s="25">
        <v>11</v>
      </c>
      <c r="N241" s="25">
        <f t="shared" si="19"/>
        <v>44</v>
      </c>
      <c r="O241" s="25">
        <v>1</v>
      </c>
      <c r="P241" s="25">
        <v>1</v>
      </c>
      <c r="Q241" s="25">
        <v>1</v>
      </c>
      <c r="R241" s="25">
        <v>1</v>
      </c>
      <c r="T241" s="25">
        <v>1</v>
      </c>
      <c r="AA241" s="25">
        <f t="shared" si="20"/>
        <v>128</v>
      </c>
      <c r="AK241" s="25">
        <v>1</v>
      </c>
      <c r="AM241" s="25">
        <v>44</v>
      </c>
      <c r="AN241" s="25">
        <v>100</v>
      </c>
      <c r="AP241" s="25">
        <f t="shared" si="22"/>
        <v>3</v>
      </c>
      <c r="AQ241" s="25" t="str">
        <f>VLOOKUP(C241,'시스템이펙트 참고자료'!$A:$B,2,FALSE)</f>
        <v>ACTIVE_DEX_UP</v>
      </c>
      <c r="AS241" s="25">
        <v>1</v>
      </c>
      <c r="BD241" s="25">
        <v>1</v>
      </c>
    </row>
    <row r="242" spans="1:56" hidden="1">
      <c r="A242" s="25">
        <v>237</v>
      </c>
      <c r="B242" s="25" t="str">
        <f>VLOOKUP(C242,'시스템이펙트 참고자료'!$A:$C,2,FALSE)</f>
        <v>ACTIVE_SOL_UP</v>
      </c>
      <c r="C242" s="25">
        <v>614</v>
      </c>
      <c r="D242" s="25">
        <f>VLOOKUP(C242,'시스템이펙트 참고자료'!$A:$D,4,FALSE)</f>
        <v>0</v>
      </c>
      <c r="E242" s="25">
        <v>0</v>
      </c>
      <c r="F242" s="25">
        <v>0</v>
      </c>
      <c r="G242" s="25">
        <f t="shared" si="21"/>
        <v>2</v>
      </c>
      <c r="H242" s="25" t="s">
        <v>395</v>
      </c>
      <c r="I242" s="25">
        <v>1</v>
      </c>
      <c r="J242" s="25" t="str">
        <f>VLOOKUP(C242,'시스템이펙트 참고자료'!$A:$C,3,FALSE)</f>
        <v>절대값/상대값(%) 가능</v>
      </c>
      <c r="K242" s="25">
        <v>4</v>
      </c>
      <c r="M242" s="25">
        <v>11</v>
      </c>
      <c r="N242" s="25">
        <f t="shared" si="19"/>
        <v>53</v>
      </c>
      <c r="O242" s="25">
        <v>1</v>
      </c>
      <c r="P242" s="25">
        <v>1</v>
      </c>
      <c r="Q242" s="25">
        <v>1</v>
      </c>
      <c r="R242" s="25">
        <v>1</v>
      </c>
      <c r="T242" s="25">
        <v>1</v>
      </c>
      <c r="AA242" s="25">
        <f t="shared" si="20"/>
        <v>128</v>
      </c>
      <c r="AK242" s="25">
        <v>1</v>
      </c>
      <c r="AM242" s="25">
        <v>53</v>
      </c>
      <c r="AN242" s="25">
        <v>100</v>
      </c>
      <c r="AP242" s="25">
        <f t="shared" si="22"/>
        <v>2</v>
      </c>
      <c r="AQ242" s="25" t="str">
        <f>VLOOKUP(C242,'시스템이펙트 참고자료'!$A:$B,2,FALSE)</f>
        <v>ACTIVE_SOL_UP</v>
      </c>
      <c r="AS242" s="25">
        <v>1</v>
      </c>
      <c r="BD242" s="25">
        <v>1</v>
      </c>
    </row>
    <row r="243" spans="1:56" hidden="1">
      <c r="A243" s="25">
        <v>238</v>
      </c>
      <c r="B243" s="25" t="str">
        <f>VLOOKUP(C243,'시스템이펙트 참고자료'!$A:$C,2,FALSE)</f>
        <v>ACTIVE_ENG_UP</v>
      </c>
      <c r="C243" s="25">
        <v>615</v>
      </c>
      <c r="D243" s="25">
        <f>VLOOKUP(C243,'시스템이펙트 참고자료'!$A:$D,4,FALSE)</f>
        <v>0</v>
      </c>
      <c r="E243" s="25">
        <v>0</v>
      </c>
      <c r="F243" s="25">
        <v>0</v>
      </c>
      <c r="G243" s="25">
        <f t="shared" si="21"/>
        <v>2</v>
      </c>
      <c r="H243" s="25" t="s">
        <v>395</v>
      </c>
      <c r="I243" s="25">
        <v>1</v>
      </c>
      <c r="J243" s="25" t="str">
        <f>VLOOKUP(C243,'시스템이펙트 참고자료'!$A:$C,3,FALSE)</f>
        <v>절대값/상대값(%) 가능</v>
      </c>
      <c r="K243" s="25">
        <v>4</v>
      </c>
      <c r="M243" s="25">
        <v>11</v>
      </c>
      <c r="N243" s="25">
        <f t="shared" si="19"/>
        <v>62</v>
      </c>
      <c r="O243" s="25">
        <v>1</v>
      </c>
      <c r="P243" s="25">
        <v>1</v>
      </c>
      <c r="Q243" s="25">
        <v>1</v>
      </c>
      <c r="R243" s="25">
        <v>1</v>
      </c>
      <c r="T243" s="25">
        <v>1</v>
      </c>
      <c r="AA243" s="25">
        <f t="shared" si="20"/>
        <v>128</v>
      </c>
      <c r="AK243" s="25">
        <v>1</v>
      </c>
      <c r="AM243" s="25">
        <v>62</v>
      </c>
      <c r="AN243" s="25">
        <v>100</v>
      </c>
      <c r="AP243" s="25">
        <f t="shared" si="22"/>
        <v>2</v>
      </c>
      <c r="AQ243" s="25" t="str">
        <f>VLOOKUP(C243,'시스템이펙트 참고자료'!$A:$B,2,FALSE)</f>
        <v>ACTIVE_ENG_UP</v>
      </c>
      <c r="AS243" s="25">
        <v>1</v>
      </c>
      <c r="BD243" s="25">
        <v>1</v>
      </c>
    </row>
    <row r="244" spans="1:56" hidden="1">
      <c r="A244" s="25">
        <v>239</v>
      </c>
      <c r="B244" s="25" t="str">
        <f>VLOOKUP(C244,'시스템이펙트 참고자료'!$A:$C,2,FALSE)</f>
        <v>ACTIVE_PHYSICAL_DEFENCE_UP</v>
      </c>
      <c r="C244" s="25">
        <v>608</v>
      </c>
      <c r="D244" s="25">
        <f>VLOOKUP(C244,'시스템이펙트 참고자료'!$A:$D,4,FALSE)</f>
        <v>0</v>
      </c>
      <c r="E244" s="25">
        <v>0</v>
      </c>
      <c r="F244" s="25">
        <v>0</v>
      </c>
      <c r="G244" s="25">
        <f t="shared" si="21"/>
        <v>1</v>
      </c>
      <c r="H244" s="25" t="s">
        <v>395</v>
      </c>
      <c r="I244" s="25">
        <v>1</v>
      </c>
      <c r="J244" s="25" t="str">
        <f>VLOOKUP(C244,'시스템이펙트 참고자료'!$A:$C,3,FALSE)</f>
        <v>절대값/상대값(%) 가능</v>
      </c>
      <c r="K244" s="25">
        <v>4</v>
      </c>
      <c r="M244" s="25">
        <v>12</v>
      </c>
      <c r="N244" s="25">
        <f t="shared" si="19"/>
        <v>1350</v>
      </c>
      <c r="O244" s="25">
        <v>1</v>
      </c>
      <c r="P244" s="25">
        <v>1</v>
      </c>
      <c r="Q244" s="25">
        <v>1</v>
      </c>
      <c r="R244" s="25">
        <v>1</v>
      </c>
      <c r="T244" s="25">
        <v>1</v>
      </c>
      <c r="AA244" s="25">
        <f t="shared" si="20"/>
        <v>128</v>
      </c>
      <c r="AK244" s="25">
        <v>1</v>
      </c>
      <c r="AM244" s="25">
        <v>1350</v>
      </c>
      <c r="AN244" s="25">
        <v>100</v>
      </c>
      <c r="AP244" s="25">
        <f t="shared" si="22"/>
        <v>1</v>
      </c>
      <c r="AQ244" s="25" t="str">
        <f>VLOOKUP(C244,'시스템이펙트 참고자료'!$A:$B,2,FALSE)</f>
        <v>ACTIVE_PHYSICAL_DEFENCE_UP</v>
      </c>
      <c r="AS244" s="25">
        <v>1</v>
      </c>
      <c r="BD244" s="25">
        <v>1</v>
      </c>
    </row>
    <row r="245" spans="1:56" hidden="1">
      <c r="A245" s="25">
        <v>240</v>
      </c>
      <c r="B245" s="25" t="str">
        <f>VLOOKUP(C245,'시스템이펙트 참고자료'!$A:$C,2,FALSE)</f>
        <v>ACTIVE_BLOCK_RATE_UP</v>
      </c>
      <c r="C245" s="25">
        <v>620</v>
      </c>
      <c r="D245" s="25">
        <f>VLOOKUP(C245,'시스템이펙트 참고자료'!$A:$D,4,FALSE)</f>
        <v>0</v>
      </c>
      <c r="E245" s="25">
        <v>0</v>
      </c>
      <c r="F245" s="25">
        <v>0</v>
      </c>
      <c r="G245" s="25">
        <f t="shared" si="21"/>
        <v>1</v>
      </c>
      <c r="H245" s="25" t="s">
        <v>395</v>
      </c>
      <c r="I245" s="25">
        <v>1</v>
      </c>
      <c r="J245" s="25" t="str">
        <f>VLOOKUP(C245,'시스템이펙트 참고자료'!$A:$C,3,FALSE)</f>
        <v>절대값/상대값(%) 가능</v>
      </c>
      <c r="K245" s="25">
        <v>4</v>
      </c>
      <c r="M245" s="25">
        <v>12</v>
      </c>
      <c r="N245" s="25">
        <f t="shared" si="19"/>
        <v>352</v>
      </c>
      <c r="O245" s="25">
        <v>1</v>
      </c>
      <c r="P245" s="25">
        <v>1</v>
      </c>
      <c r="Q245" s="25">
        <v>1</v>
      </c>
      <c r="R245" s="25">
        <v>1</v>
      </c>
      <c r="T245" s="25">
        <v>1</v>
      </c>
      <c r="AA245" s="25">
        <f t="shared" si="20"/>
        <v>128</v>
      </c>
      <c r="AK245" s="25">
        <v>1</v>
      </c>
      <c r="AM245" s="25">
        <v>352</v>
      </c>
      <c r="AN245" s="25">
        <v>100</v>
      </c>
      <c r="AP245" s="25">
        <f t="shared" si="22"/>
        <v>1</v>
      </c>
      <c r="AQ245" s="25" t="str">
        <f>VLOOKUP(C245,'시스템이펙트 참고자료'!$A:$B,2,FALSE)</f>
        <v>ACTIVE_BLOCK_RATE_UP</v>
      </c>
      <c r="AS245" s="25">
        <v>1</v>
      </c>
      <c r="BD245" s="25">
        <v>1</v>
      </c>
    </row>
    <row r="246" spans="1:56" hidden="1">
      <c r="A246" s="25">
        <v>241</v>
      </c>
      <c r="B246" s="25" t="str">
        <f>VLOOKUP(C246,'시스템이펙트 참고자료'!$A:$C,2,FALSE)</f>
        <v>ACTIVE_CON_UP</v>
      </c>
      <c r="C246" s="25">
        <v>611</v>
      </c>
      <c r="D246" s="25">
        <f>VLOOKUP(C246,'시스템이펙트 참고자료'!$A:$D,4,FALSE)</f>
        <v>0</v>
      </c>
      <c r="E246" s="25">
        <v>0</v>
      </c>
      <c r="F246" s="25">
        <v>0</v>
      </c>
      <c r="G246" s="25">
        <f t="shared" si="21"/>
        <v>3</v>
      </c>
      <c r="H246" s="25" t="s">
        <v>395</v>
      </c>
      <c r="I246" s="25">
        <v>1</v>
      </c>
      <c r="J246" s="25" t="str">
        <f>VLOOKUP(C246,'시스템이펙트 참고자료'!$A:$C,3,FALSE)</f>
        <v>절대값/상대값(%) 가능</v>
      </c>
      <c r="K246" s="25">
        <v>4</v>
      </c>
      <c r="M246" s="25">
        <v>12</v>
      </c>
      <c r="N246" s="25">
        <f t="shared" si="19"/>
        <v>48</v>
      </c>
      <c r="O246" s="25">
        <v>1</v>
      </c>
      <c r="P246" s="25">
        <v>1</v>
      </c>
      <c r="Q246" s="25">
        <v>1</v>
      </c>
      <c r="R246" s="25">
        <v>1</v>
      </c>
      <c r="T246" s="25">
        <v>1</v>
      </c>
      <c r="AA246" s="25">
        <f t="shared" si="20"/>
        <v>128</v>
      </c>
      <c r="AK246" s="25">
        <v>1</v>
      </c>
      <c r="AM246" s="25">
        <v>48</v>
      </c>
      <c r="AN246" s="25">
        <v>100</v>
      </c>
      <c r="AP246" s="25">
        <f t="shared" si="22"/>
        <v>3</v>
      </c>
      <c r="AQ246" s="25" t="str">
        <f>VLOOKUP(C246,'시스템이펙트 참고자료'!$A:$B,2,FALSE)</f>
        <v>ACTIVE_CON_UP</v>
      </c>
      <c r="AS246" s="25">
        <v>1</v>
      </c>
      <c r="BD246" s="25">
        <v>1</v>
      </c>
    </row>
    <row r="247" spans="1:56" hidden="1">
      <c r="A247" s="25">
        <v>242</v>
      </c>
      <c r="B247" s="25" t="str">
        <f>VLOOKUP(C247,'시스템이펙트 참고자료'!$A:$C,2,FALSE)</f>
        <v>ACTIVE_FOC_UP</v>
      </c>
      <c r="C247" s="25">
        <v>612</v>
      </c>
      <c r="D247" s="25">
        <f>VLOOKUP(C247,'시스템이펙트 참고자료'!$A:$D,4,FALSE)</f>
        <v>0</v>
      </c>
      <c r="E247" s="25">
        <v>0</v>
      </c>
      <c r="F247" s="25">
        <v>0</v>
      </c>
      <c r="G247" s="25">
        <f t="shared" si="21"/>
        <v>2</v>
      </c>
      <c r="H247" s="25" t="s">
        <v>395</v>
      </c>
      <c r="I247" s="25">
        <v>1</v>
      </c>
      <c r="J247" s="25" t="str">
        <f>VLOOKUP(C247,'시스템이펙트 참고자료'!$A:$C,3,FALSE)</f>
        <v>절대값/상대값(%) 가능</v>
      </c>
      <c r="K247" s="25">
        <v>4</v>
      </c>
      <c r="M247" s="25">
        <v>12</v>
      </c>
      <c r="N247" s="25">
        <f t="shared" si="19"/>
        <v>53</v>
      </c>
      <c r="O247" s="25">
        <v>1</v>
      </c>
      <c r="P247" s="25">
        <v>1</v>
      </c>
      <c r="Q247" s="25">
        <v>1</v>
      </c>
      <c r="R247" s="25">
        <v>1</v>
      </c>
      <c r="T247" s="25">
        <v>1</v>
      </c>
      <c r="AA247" s="25">
        <f t="shared" si="20"/>
        <v>128</v>
      </c>
      <c r="AK247" s="25">
        <v>1</v>
      </c>
      <c r="AM247" s="25">
        <v>53</v>
      </c>
      <c r="AN247" s="25">
        <v>100</v>
      </c>
      <c r="AP247" s="25">
        <f t="shared" si="22"/>
        <v>2</v>
      </c>
      <c r="AQ247" s="25" t="str">
        <f>VLOOKUP(C247,'시스템이펙트 참고자료'!$A:$B,2,FALSE)</f>
        <v>ACTIVE_FOC_UP</v>
      </c>
      <c r="AS247" s="25">
        <v>1</v>
      </c>
      <c r="BD247" s="25">
        <v>1</v>
      </c>
    </row>
    <row r="248" spans="1:56" hidden="1">
      <c r="A248" s="25">
        <v>243</v>
      </c>
      <c r="B248" s="25" t="str">
        <f>VLOOKUP(C248,'시스템이펙트 참고자료'!$A:$C,2,FALSE)</f>
        <v>ACTIVE_PHYSICAL_OFFENCE_UP</v>
      </c>
      <c r="C248" s="25">
        <v>606</v>
      </c>
      <c r="D248" s="25">
        <f>VLOOKUP(C248,'시스템이펙트 참고자료'!$A:$D,4,FALSE)</f>
        <v>0</v>
      </c>
      <c r="E248" s="25">
        <v>0</v>
      </c>
      <c r="F248" s="25">
        <v>0</v>
      </c>
      <c r="G248" s="25">
        <f t="shared" si="21"/>
        <v>1</v>
      </c>
      <c r="H248" s="25" t="s">
        <v>395</v>
      </c>
      <c r="I248" s="25">
        <v>1</v>
      </c>
      <c r="J248" s="25" t="str">
        <f>VLOOKUP(C248,'시스템이펙트 참고자료'!$A:$C,3,FALSE)</f>
        <v>절대값/상대값(%) 가능</v>
      </c>
      <c r="K248" s="25">
        <v>5</v>
      </c>
      <c r="M248" s="25">
        <v>1</v>
      </c>
      <c r="N248" s="25">
        <f t="shared" si="19"/>
        <v>125</v>
      </c>
      <c r="O248" s="25">
        <v>1</v>
      </c>
      <c r="P248" s="25">
        <v>1</v>
      </c>
      <c r="Q248" s="25">
        <v>1</v>
      </c>
      <c r="R248" s="25">
        <v>1</v>
      </c>
      <c r="T248" s="25">
        <v>1</v>
      </c>
      <c r="AA248" s="25">
        <f t="shared" si="20"/>
        <v>128</v>
      </c>
      <c r="AK248" s="25">
        <v>1</v>
      </c>
      <c r="AM248" s="25">
        <v>125</v>
      </c>
      <c r="AN248" s="25">
        <v>100</v>
      </c>
      <c r="AP248" s="25">
        <f t="shared" si="22"/>
        <v>1</v>
      </c>
      <c r="AQ248" s="25" t="str">
        <f>VLOOKUP(C248,'시스템이펙트 참고자료'!$A:$B,2,FALSE)</f>
        <v>ACTIVE_PHYSICAL_OFFENCE_UP</v>
      </c>
      <c r="AS248" s="25">
        <v>1</v>
      </c>
      <c r="BD248" s="25">
        <v>1</v>
      </c>
    </row>
    <row r="249" spans="1:56" hidden="1">
      <c r="A249" s="25">
        <v>244</v>
      </c>
      <c r="B249" s="25" t="str">
        <f>VLOOKUP(C249,'시스템이펙트 참고자료'!$A:$C,2,FALSE)</f>
        <v>ACTIVE_STR_UP</v>
      </c>
      <c r="C249" s="25">
        <v>610</v>
      </c>
      <c r="D249" s="25">
        <f>VLOOKUP(C249,'시스템이펙트 참고자료'!$A:$D,4,FALSE)</f>
        <v>0</v>
      </c>
      <c r="E249" s="25">
        <v>0</v>
      </c>
      <c r="F249" s="25">
        <v>0</v>
      </c>
      <c r="G249" s="25">
        <f t="shared" si="21"/>
        <v>2</v>
      </c>
      <c r="H249" s="25" t="s">
        <v>395</v>
      </c>
      <c r="I249" s="25">
        <v>1</v>
      </c>
      <c r="J249" s="25" t="str">
        <f>VLOOKUP(C249,'시스템이펙트 참고자료'!$A:$C,3,FALSE)</f>
        <v>절대값/상대값(%) 가능</v>
      </c>
      <c r="K249" s="25">
        <v>5</v>
      </c>
      <c r="M249" s="25">
        <v>1</v>
      </c>
      <c r="N249" s="25">
        <f t="shared" si="19"/>
        <v>57</v>
      </c>
      <c r="O249" s="25">
        <v>1</v>
      </c>
      <c r="P249" s="25">
        <v>1</v>
      </c>
      <c r="Q249" s="25">
        <v>1</v>
      </c>
      <c r="R249" s="25">
        <v>1</v>
      </c>
      <c r="T249" s="25">
        <v>1</v>
      </c>
      <c r="AA249" s="25">
        <f t="shared" si="20"/>
        <v>128</v>
      </c>
      <c r="AK249" s="25">
        <v>1</v>
      </c>
      <c r="AM249" s="25">
        <v>57</v>
      </c>
      <c r="AN249" s="25">
        <v>100</v>
      </c>
      <c r="AP249" s="25">
        <f t="shared" si="22"/>
        <v>2</v>
      </c>
      <c r="AQ249" s="25" t="str">
        <f>VLOOKUP(C249,'시스템이펙트 참고자료'!$A:$B,2,FALSE)</f>
        <v>ACTIVE_STR_UP</v>
      </c>
      <c r="AS249" s="25">
        <v>1</v>
      </c>
      <c r="BD249" s="25">
        <v>1</v>
      </c>
    </row>
    <row r="250" spans="1:56" hidden="1">
      <c r="A250" s="25">
        <v>245</v>
      </c>
      <c r="B250" s="25" t="str">
        <f>VLOOKUP(C250,'시스템이펙트 참고자료'!$A:$C,2,FALSE)</f>
        <v>ACTIVE_DEX_UP</v>
      </c>
      <c r="C250" s="25">
        <v>613</v>
      </c>
      <c r="D250" s="25">
        <f>VLOOKUP(C250,'시스템이펙트 참고자료'!$A:$D,4,FALSE)</f>
        <v>0</v>
      </c>
      <c r="E250" s="25">
        <v>0</v>
      </c>
      <c r="F250" s="25">
        <v>0</v>
      </c>
      <c r="G250" s="25">
        <f t="shared" si="21"/>
        <v>3</v>
      </c>
      <c r="H250" s="25" t="s">
        <v>395</v>
      </c>
      <c r="I250" s="25">
        <v>1</v>
      </c>
      <c r="J250" s="25" t="str">
        <f>VLOOKUP(C250,'시스템이펙트 참고자료'!$A:$C,3,FALSE)</f>
        <v>절대값/상대값(%) 가능</v>
      </c>
      <c r="K250" s="25">
        <v>5</v>
      </c>
      <c r="M250" s="25">
        <v>1</v>
      </c>
      <c r="N250" s="25">
        <f t="shared" si="19"/>
        <v>44</v>
      </c>
      <c r="O250" s="25">
        <v>1</v>
      </c>
      <c r="P250" s="25">
        <v>1</v>
      </c>
      <c r="Q250" s="25">
        <v>1</v>
      </c>
      <c r="R250" s="25">
        <v>1</v>
      </c>
      <c r="T250" s="25">
        <v>1</v>
      </c>
      <c r="AA250" s="25">
        <f t="shared" si="20"/>
        <v>128</v>
      </c>
      <c r="AK250" s="25">
        <v>1</v>
      </c>
      <c r="AM250" s="25">
        <v>44</v>
      </c>
      <c r="AN250" s="25">
        <v>100</v>
      </c>
      <c r="AP250" s="25">
        <f t="shared" si="22"/>
        <v>3</v>
      </c>
      <c r="AQ250" s="25" t="str">
        <f>VLOOKUP(C250,'시스템이펙트 참고자료'!$A:$B,2,FALSE)</f>
        <v>ACTIVE_DEX_UP</v>
      </c>
      <c r="AS250" s="25">
        <v>1</v>
      </c>
      <c r="BD250" s="25">
        <v>1</v>
      </c>
    </row>
    <row r="251" spans="1:56" hidden="1">
      <c r="A251" s="25">
        <v>246</v>
      </c>
      <c r="B251" s="25" t="str">
        <f>VLOOKUP(C251,'시스템이펙트 참고자료'!$A:$C,2,FALSE)</f>
        <v>ACTIVE_PHYSICAL_CRITICAL_DAMAGE_UP</v>
      </c>
      <c r="C251" s="25">
        <v>658</v>
      </c>
      <c r="D251" s="25">
        <f>VLOOKUP(C251,'시스템이펙트 참고자료'!$A:$D,4,FALSE)</f>
        <v>0</v>
      </c>
      <c r="E251" s="25">
        <v>0</v>
      </c>
      <c r="F251" s="25">
        <v>0</v>
      </c>
      <c r="G251" s="25">
        <f t="shared" si="21"/>
        <v>4</v>
      </c>
      <c r="H251" s="25" t="s">
        <v>395</v>
      </c>
      <c r="I251" s="25">
        <v>1</v>
      </c>
      <c r="J251" s="25" t="str">
        <f>VLOOKUP(C251,'시스템이펙트 참고자료'!$A:$C,3,FALSE)</f>
        <v>절대값만 가능</v>
      </c>
      <c r="K251" s="25">
        <v>5</v>
      </c>
      <c r="M251" s="25">
        <v>1</v>
      </c>
      <c r="N251" s="25">
        <f t="shared" si="19"/>
        <v>28</v>
      </c>
      <c r="O251" s="25">
        <v>1</v>
      </c>
      <c r="P251" s="25">
        <v>1</v>
      </c>
      <c r="Q251" s="25">
        <v>1</v>
      </c>
      <c r="R251" s="25">
        <v>1</v>
      </c>
      <c r="T251" s="25">
        <v>1</v>
      </c>
      <c r="AA251" s="25">
        <f t="shared" si="20"/>
        <v>128</v>
      </c>
      <c r="AK251" s="25">
        <v>1</v>
      </c>
      <c r="AM251" s="25">
        <v>28</v>
      </c>
      <c r="AN251" s="25">
        <v>100</v>
      </c>
      <c r="AP251" s="25">
        <f t="shared" si="22"/>
        <v>4</v>
      </c>
      <c r="AQ251" s="25" t="str">
        <f>VLOOKUP(C251,'시스템이펙트 참고자료'!$A:$B,2,FALSE)</f>
        <v>ACTIVE_PHYSICAL_CRITICAL_DAMAGE_UP</v>
      </c>
      <c r="AS251" s="25">
        <v>1</v>
      </c>
      <c r="BD251" s="25">
        <v>1</v>
      </c>
    </row>
    <row r="252" spans="1:56" hidden="1">
      <c r="A252" s="25">
        <v>247</v>
      </c>
      <c r="B252" s="25" t="str">
        <f>VLOOKUP(C252,'시스템이펙트 참고자료'!$A:$C,2,FALSE)</f>
        <v>ACTIVE_PHYSICAL_CRITICAL_DAMAGE_UP</v>
      </c>
      <c r="C252" s="25">
        <v>658</v>
      </c>
      <c r="D252" s="25">
        <f>VLOOKUP(C252,'시스템이펙트 참고자료'!$A:$D,4,FALSE)</f>
        <v>0</v>
      </c>
      <c r="E252" s="25">
        <v>0</v>
      </c>
      <c r="F252" s="25">
        <v>0</v>
      </c>
      <c r="G252" s="25">
        <f t="shared" si="21"/>
        <v>4</v>
      </c>
      <c r="H252" s="25" t="s">
        <v>395</v>
      </c>
      <c r="I252" s="25">
        <v>1</v>
      </c>
      <c r="J252" s="25" t="str">
        <f>VLOOKUP(C252,'시스템이펙트 참고자료'!$A:$C,3,FALSE)</f>
        <v>절대값만 가능</v>
      </c>
      <c r="K252" s="25">
        <v>5</v>
      </c>
      <c r="M252" s="25">
        <v>2</v>
      </c>
      <c r="N252" s="25">
        <f t="shared" si="19"/>
        <v>28</v>
      </c>
      <c r="O252" s="25">
        <v>1</v>
      </c>
      <c r="P252" s="25">
        <v>1</v>
      </c>
      <c r="Q252" s="25">
        <v>1</v>
      </c>
      <c r="R252" s="25">
        <v>1</v>
      </c>
      <c r="T252" s="25">
        <v>1</v>
      </c>
      <c r="AA252" s="25">
        <f t="shared" si="20"/>
        <v>128</v>
      </c>
      <c r="AK252" s="25">
        <v>1</v>
      </c>
      <c r="AM252" s="25">
        <v>28</v>
      </c>
      <c r="AN252" s="25">
        <v>100</v>
      </c>
      <c r="AP252" s="25">
        <f t="shared" si="22"/>
        <v>4</v>
      </c>
      <c r="AQ252" s="25" t="str">
        <f>VLOOKUP(C252,'시스템이펙트 참고자료'!$A:$B,2,FALSE)</f>
        <v>ACTIVE_PHYSICAL_CRITICAL_DAMAGE_UP</v>
      </c>
      <c r="AS252" s="25">
        <v>1</v>
      </c>
      <c r="BD252" s="25">
        <v>1</v>
      </c>
    </row>
    <row r="253" spans="1:56" hidden="1">
      <c r="A253" s="25">
        <v>248</v>
      </c>
      <c r="B253" s="25" t="str">
        <f>VLOOKUP(C253,'시스템이펙트 참고자료'!$A:$C,2,FALSE)</f>
        <v>ACTIVE_PHYSICAL_CRITICAL</v>
      </c>
      <c r="C253" s="25">
        <v>632</v>
      </c>
      <c r="D253" s="25">
        <f>VLOOKUP(C253,'시스템이펙트 참고자료'!$A:$D,4,FALSE)</f>
        <v>0</v>
      </c>
      <c r="E253" s="25">
        <v>0</v>
      </c>
      <c r="F253" s="25">
        <v>0</v>
      </c>
      <c r="G253" s="25">
        <f t="shared" si="21"/>
        <v>5</v>
      </c>
      <c r="H253" s="25" t="s">
        <v>395</v>
      </c>
      <c r="I253" s="25">
        <v>1</v>
      </c>
      <c r="J253" s="25" t="str">
        <f>VLOOKUP(C253,'시스템이펙트 참고자료'!$A:$C,3,FALSE)</f>
        <v>절대값/상대값(%) 가능</v>
      </c>
      <c r="K253" s="25">
        <v>5</v>
      </c>
      <c r="M253" s="25">
        <v>2</v>
      </c>
      <c r="N253" s="25">
        <f t="shared" si="19"/>
        <v>21</v>
      </c>
      <c r="O253" s="25">
        <v>1</v>
      </c>
      <c r="P253" s="25">
        <v>1</v>
      </c>
      <c r="Q253" s="25">
        <v>1</v>
      </c>
      <c r="R253" s="25">
        <v>1</v>
      </c>
      <c r="T253" s="25">
        <v>1</v>
      </c>
      <c r="AA253" s="25">
        <f t="shared" si="20"/>
        <v>128</v>
      </c>
      <c r="AK253" s="25">
        <v>1</v>
      </c>
      <c r="AM253" s="25">
        <v>21</v>
      </c>
      <c r="AN253" s="25">
        <v>100</v>
      </c>
      <c r="AP253" s="25">
        <f t="shared" si="22"/>
        <v>5</v>
      </c>
      <c r="AQ253" s="25" t="str">
        <f>VLOOKUP(C253,'시스템이펙트 참고자료'!$A:$B,2,FALSE)</f>
        <v>ACTIVE_PHYSICAL_CRITICAL</v>
      </c>
      <c r="AS253" s="25">
        <v>1</v>
      </c>
      <c r="BD253" s="25">
        <v>1</v>
      </c>
    </row>
    <row r="254" spans="1:56" hidden="1">
      <c r="A254" s="25">
        <v>249</v>
      </c>
      <c r="B254" s="25" t="str">
        <f>VLOOKUP(C254,'시스템이펙트 참고자료'!$A:$C,2,FALSE)</f>
        <v>ACTIVE_DEX_UP</v>
      </c>
      <c r="C254" s="25">
        <v>613</v>
      </c>
      <c r="D254" s="25">
        <f>VLOOKUP(C254,'시스템이펙트 참고자료'!$A:$D,4,FALSE)</f>
        <v>0</v>
      </c>
      <c r="E254" s="25">
        <v>0</v>
      </c>
      <c r="F254" s="25">
        <v>0</v>
      </c>
      <c r="G254" s="25">
        <f t="shared" si="21"/>
        <v>3</v>
      </c>
      <c r="H254" s="25" t="s">
        <v>395</v>
      </c>
      <c r="I254" s="25">
        <v>1</v>
      </c>
      <c r="J254" s="25" t="str">
        <f>VLOOKUP(C254,'시스템이펙트 참고자료'!$A:$C,3,FALSE)</f>
        <v>절대값/상대값(%) 가능</v>
      </c>
      <c r="K254" s="25">
        <v>5</v>
      </c>
      <c r="M254" s="25">
        <v>2</v>
      </c>
      <c r="N254" s="25">
        <f t="shared" si="19"/>
        <v>44</v>
      </c>
      <c r="O254" s="25">
        <v>1</v>
      </c>
      <c r="P254" s="25">
        <v>1</v>
      </c>
      <c r="Q254" s="25">
        <v>1</v>
      </c>
      <c r="R254" s="25">
        <v>1</v>
      </c>
      <c r="T254" s="25">
        <v>1</v>
      </c>
      <c r="AA254" s="25">
        <f t="shared" si="20"/>
        <v>128</v>
      </c>
      <c r="AK254" s="25">
        <v>1</v>
      </c>
      <c r="AM254" s="25">
        <v>44</v>
      </c>
      <c r="AN254" s="25">
        <v>100</v>
      </c>
      <c r="AP254" s="25">
        <f t="shared" si="22"/>
        <v>3</v>
      </c>
      <c r="AQ254" s="25" t="str">
        <f>VLOOKUP(C254,'시스템이펙트 참고자료'!$A:$B,2,FALSE)</f>
        <v>ACTIVE_DEX_UP</v>
      </c>
      <c r="AS254" s="25">
        <v>1</v>
      </c>
      <c r="BD254" s="25">
        <v>1</v>
      </c>
    </row>
    <row r="255" spans="1:56" hidden="1">
      <c r="A255" s="25">
        <v>250</v>
      </c>
      <c r="B255" s="25" t="str">
        <f>VLOOKUP(C255,'시스템이펙트 참고자료'!$A:$C,2,FALSE)</f>
        <v>ACTIVE_FOC_UP</v>
      </c>
      <c r="C255" s="25">
        <v>612</v>
      </c>
      <c r="D255" s="25">
        <f>VLOOKUP(C255,'시스템이펙트 참고자료'!$A:$D,4,FALSE)</f>
        <v>0</v>
      </c>
      <c r="E255" s="25">
        <v>0</v>
      </c>
      <c r="F255" s="25">
        <v>0</v>
      </c>
      <c r="G255" s="25">
        <f t="shared" si="21"/>
        <v>2</v>
      </c>
      <c r="H255" s="25" t="s">
        <v>395</v>
      </c>
      <c r="I255" s="25">
        <v>1</v>
      </c>
      <c r="J255" s="25" t="str">
        <f>VLOOKUP(C255,'시스템이펙트 참고자료'!$A:$C,3,FALSE)</f>
        <v>절대값/상대값(%) 가능</v>
      </c>
      <c r="K255" s="25">
        <v>5</v>
      </c>
      <c r="M255" s="25">
        <v>2</v>
      </c>
      <c r="N255" s="25">
        <f t="shared" si="19"/>
        <v>53</v>
      </c>
      <c r="O255" s="25">
        <v>1</v>
      </c>
      <c r="P255" s="25">
        <v>1</v>
      </c>
      <c r="Q255" s="25">
        <v>1</v>
      </c>
      <c r="R255" s="25">
        <v>1</v>
      </c>
      <c r="T255" s="25">
        <v>1</v>
      </c>
      <c r="AA255" s="25">
        <f t="shared" si="20"/>
        <v>128</v>
      </c>
      <c r="AK255" s="25">
        <v>1</v>
      </c>
      <c r="AM255" s="25">
        <v>53</v>
      </c>
      <c r="AN255" s="25">
        <v>100</v>
      </c>
      <c r="AP255" s="25">
        <f t="shared" si="22"/>
        <v>2</v>
      </c>
      <c r="AQ255" s="25" t="str">
        <f>VLOOKUP(C255,'시스템이펙트 참고자료'!$A:$B,2,FALSE)</f>
        <v>ACTIVE_FOC_UP</v>
      </c>
      <c r="AS255" s="25">
        <v>1</v>
      </c>
      <c r="BD255" s="25">
        <v>1</v>
      </c>
    </row>
    <row r="256" spans="1:56" hidden="1">
      <c r="A256" s="25">
        <v>251</v>
      </c>
      <c r="B256" s="25" t="str">
        <f>VLOOKUP(C256,'시스템이펙트 참고자료'!$A:$C,2,FALSE)</f>
        <v>ACTIVE_ENERGY_OFFENCE_UP</v>
      </c>
      <c r="C256" s="25">
        <v>607</v>
      </c>
      <c r="D256" s="25">
        <f>VLOOKUP(C256,'시스템이펙트 참고자료'!$A:$D,4,FALSE)</f>
        <v>0</v>
      </c>
      <c r="E256" s="25">
        <v>0</v>
      </c>
      <c r="F256" s="25">
        <v>0</v>
      </c>
      <c r="G256" s="25">
        <f t="shared" si="21"/>
        <v>1</v>
      </c>
      <c r="H256" s="25" t="s">
        <v>395</v>
      </c>
      <c r="I256" s="25">
        <v>1</v>
      </c>
      <c r="J256" s="25" t="str">
        <f>VLOOKUP(C256,'시스템이펙트 참고자료'!$A:$C,3,FALSE)</f>
        <v>절대값/상대값(%) 가능</v>
      </c>
      <c r="K256" s="25">
        <v>5</v>
      </c>
      <c r="M256" s="25">
        <v>3</v>
      </c>
      <c r="N256" s="25">
        <f t="shared" si="19"/>
        <v>104</v>
      </c>
      <c r="O256" s="25">
        <v>1</v>
      </c>
      <c r="P256" s="25">
        <v>1</v>
      </c>
      <c r="Q256" s="25">
        <v>1</v>
      </c>
      <c r="R256" s="25">
        <v>1</v>
      </c>
      <c r="T256" s="25">
        <v>1</v>
      </c>
      <c r="AA256" s="25">
        <f t="shared" si="20"/>
        <v>128</v>
      </c>
      <c r="AK256" s="25">
        <v>1</v>
      </c>
      <c r="AM256" s="25">
        <v>104</v>
      </c>
      <c r="AN256" s="25">
        <v>100</v>
      </c>
      <c r="AP256" s="25">
        <f t="shared" si="22"/>
        <v>1</v>
      </c>
      <c r="AQ256" s="25" t="str">
        <f>VLOOKUP(C256,'시스템이펙트 참고자료'!$A:$B,2,FALSE)</f>
        <v>ACTIVE_ENERGY_OFFENCE_UP</v>
      </c>
      <c r="AS256" s="25">
        <v>1</v>
      </c>
      <c r="BD256" s="25">
        <v>1</v>
      </c>
    </row>
    <row r="257" spans="1:56" hidden="1">
      <c r="A257" s="25">
        <v>252</v>
      </c>
      <c r="B257" s="25" t="str">
        <f>VLOOKUP(C257,'시스템이펙트 참고자료'!$A:$C,2,FALSE)</f>
        <v>ACTIVE_FOC_UP</v>
      </c>
      <c r="C257" s="25">
        <v>612</v>
      </c>
      <c r="D257" s="25">
        <f>VLOOKUP(C257,'시스템이펙트 참고자료'!$A:$D,4,FALSE)</f>
        <v>0</v>
      </c>
      <c r="E257" s="25">
        <v>0</v>
      </c>
      <c r="F257" s="25">
        <v>0</v>
      </c>
      <c r="G257" s="25">
        <f t="shared" si="21"/>
        <v>2</v>
      </c>
      <c r="H257" s="25" t="s">
        <v>395</v>
      </c>
      <c r="I257" s="25">
        <v>1</v>
      </c>
      <c r="J257" s="25" t="str">
        <f>VLOOKUP(C257,'시스템이펙트 참고자료'!$A:$C,3,FALSE)</f>
        <v>절대값/상대값(%) 가능</v>
      </c>
      <c r="K257" s="25">
        <v>5</v>
      </c>
      <c r="M257" s="25">
        <v>3</v>
      </c>
      <c r="N257" s="25">
        <f t="shared" si="19"/>
        <v>53</v>
      </c>
      <c r="O257" s="25">
        <v>1</v>
      </c>
      <c r="P257" s="25">
        <v>1</v>
      </c>
      <c r="Q257" s="25">
        <v>1</v>
      </c>
      <c r="R257" s="25">
        <v>1</v>
      </c>
      <c r="T257" s="25">
        <v>1</v>
      </c>
      <c r="AA257" s="25">
        <f t="shared" si="20"/>
        <v>128</v>
      </c>
      <c r="AK257" s="25">
        <v>1</v>
      </c>
      <c r="AM257" s="25">
        <v>53</v>
      </c>
      <c r="AN257" s="25">
        <v>100</v>
      </c>
      <c r="AP257" s="25">
        <f t="shared" si="22"/>
        <v>2</v>
      </c>
      <c r="AQ257" s="25" t="str">
        <f>VLOOKUP(C257,'시스템이펙트 참고자료'!$A:$B,2,FALSE)</f>
        <v>ACTIVE_FOC_UP</v>
      </c>
      <c r="AS257" s="25">
        <v>1</v>
      </c>
      <c r="BD257" s="25">
        <v>1</v>
      </c>
    </row>
    <row r="258" spans="1:56" hidden="1">
      <c r="A258" s="25">
        <v>253</v>
      </c>
      <c r="B258" s="25" t="str">
        <f>VLOOKUP(C258,'시스템이펙트 참고자료'!$A:$C,2,FALSE)</f>
        <v>ACTIVE_SOL_UP</v>
      </c>
      <c r="C258" s="25">
        <v>614</v>
      </c>
      <c r="D258" s="25">
        <f>VLOOKUP(C258,'시스템이펙트 참고자료'!$A:$D,4,FALSE)</f>
        <v>0</v>
      </c>
      <c r="E258" s="25">
        <v>0</v>
      </c>
      <c r="F258" s="25">
        <v>0</v>
      </c>
      <c r="G258" s="25">
        <f t="shared" si="21"/>
        <v>2</v>
      </c>
      <c r="H258" s="25" t="s">
        <v>395</v>
      </c>
      <c r="I258" s="25">
        <v>1</v>
      </c>
      <c r="J258" s="25" t="str">
        <f>VLOOKUP(C258,'시스템이펙트 참고자료'!$A:$C,3,FALSE)</f>
        <v>절대값/상대값(%) 가능</v>
      </c>
      <c r="K258" s="25">
        <v>5</v>
      </c>
      <c r="M258" s="25">
        <v>3</v>
      </c>
      <c r="N258" s="25">
        <f t="shared" si="19"/>
        <v>53</v>
      </c>
      <c r="O258" s="25">
        <v>1</v>
      </c>
      <c r="P258" s="25">
        <v>1</v>
      </c>
      <c r="Q258" s="25">
        <v>1</v>
      </c>
      <c r="R258" s="25">
        <v>1</v>
      </c>
      <c r="T258" s="25">
        <v>1</v>
      </c>
      <c r="AA258" s="25">
        <f t="shared" si="20"/>
        <v>128</v>
      </c>
      <c r="AK258" s="25">
        <v>1</v>
      </c>
      <c r="AM258" s="25">
        <v>53</v>
      </c>
      <c r="AN258" s="25">
        <v>100</v>
      </c>
      <c r="AP258" s="25">
        <f t="shared" si="22"/>
        <v>2</v>
      </c>
      <c r="AQ258" s="25" t="str">
        <f>VLOOKUP(C258,'시스템이펙트 참고자료'!$A:$B,2,FALSE)</f>
        <v>ACTIVE_SOL_UP</v>
      </c>
      <c r="AS258" s="25">
        <v>1</v>
      </c>
      <c r="BD258" s="25">
        <v>1</v>
      </c>
    </row>
    <row r="259" spans="1:56" hidden="1">
      <c r="A259" s="25">
        <v>254</v>
      </c>
      <c r="B259" s="25" t="str">
        <f>VLOOKUP(C259,'시스템이펙트 참고자료'!$A:$C,2,FALSE)</f>
        <v>ACTIVE_ENERGY_CRITICAL_DAMAGE_UP</v>
      </c>
      <c r="C259" s="25">
        <v>659</v>
      </c>
      <c r="D259" s="25">
        <f>VLOOKUP(C259,'시스템이펙트 참고자료'!$A:$D,4,FALSE)</f>
        <v>0</v>
      </c>
      <c r="E259" s="25">
        <v>0</v>
      </c>
      <c r="F259" s="25">
        <v>0</v>
      </c>
      <c r="G259" s="25">
        <f t="shared" si="21"/>
        <v>4</v>
      </c>
      <c r="H259" s="25" t="s">
        <v>395</v>
      </c>
      <c r="I259" s="25">
        <v>1</v>
      </c>
      <c r="J259" s="25" t="str">
        <f>VLOOKUP(C259,'시스템이펙트 참고자료'!$A:$C,3,FALSE)</f>
        <v>절대값만 가능</v>
      </c>
      <c r="K259" s="25">
        <v>5</v>
      </c>
      <c r="M259" s="25">
        <v>3</v>
      </c>
      <c r="N259" s="25">
        <f t="shared" si="19"/>
        <v>32</v>
      </c>
      <c r="O259" s="25">
        <v>1</v>
      </c>
      <c r="P259" s="25">
        <v>1</v>
      </c>
      <c r="Q259" s="25">
        <v>1</v>
      </c>
      <c r="R259" s="25">
        <v>1</v>
      </c>
      <c r="T259" s="25">
        <v>1</v>
      </c>
      <c r="AA259" s="25">
        <f t="shared" si="20"/>
        <v>128</v>
      </c>
      <c r="AK259" s="25">
        <v>1</v>
      </c>
      <c r="AM259" s="25">
        <v>32</v>
      </c>
      <c r="AN259" s="25">
        <v>100</v>
      </c>
      <c r="AP259" s="25">
        <f t="shared" si="22"/>
        <v>4</v>
      </c>
      <c r="AQ259" s="25" t="str">
        <f>VLOOKUP(C259,'시스템이펙트 참고자료'!$A:$B,2,FALSE)</f>
        <v>ACTIVE_ENERGY_CRITICAL_DAMAGE_UP</v>
      </c>
      <c r="AS259" s="25">
        <v>1</v>
      </c>
      <c r="BD259" s="25">
        <v>1</v>
      </c>
    </row>
    <row r="260" spans="1:56" hidden="1">
      <c r="A260" s="25">
        <v>255</v>
      </c>
      <c r="B260" s="25" t="str">
        <f>VLOOKUP(C260,'시스템이펙트 참고자료'!$A:$C,2,FALSE)</f>
        <v>ACTIVE_ENERGY_CRITICAL</v>
      </c>
      <c r="C260" s="25">
        <v>633</v>
      </c>
      <c r="D260" s="25">
        <f>VLOOKUP(C260,'시스템이펙트 참고자료'!$A:$D,4,FALSE)</f>
        <v>0</v>
      </c>
      <c r="E260" s="25">
        <v>0</v>
      </c>
      <c r="F260" s="25">
        <v>0</v>
      </c>
      <c r="G260" s="25">
        <f t="shared" si="21"/>
        <v>5</v>
      </c>
      <c r="H260" s="25" t="s">
        <v>395</v>
      </c>
      <c r="I260" s="25">
        <v>1</v>
      </c>
      <c r="J260" s="25" t="str">
        <f>VLOOKUP(C260,'시스템이펙트 참고자료'!$A:$C,3,FALSE)</f>
        <v>절대값/상대값(%) 가능</v>
      </c>
      <c r="K260" s="25">
        <v>5</v>
      </c>
      <c r="M260" s="25">
        <v>4</v>
      </c>
      <c r="N260" s="25">
        <f t="shared" si="19"/>
        <v>24</v>
      </c>
      <c r="O260" s="25">
        <v>1</v>
      </c>
      <c r="P260" s="25">
        <v>1</v>
      </c>
      <c r="Q260" s="25">
        <v>1</v>
      </c>
      <c r="R260" s="25">
        <v>1</v>
      </c>
      <c r="T260" s="25">
        <v>1</v>
      </c>
      <c r="AA260" s="25">
        <f t="shared" si="20"/>
        <v>128</v>
      </c>
      <c r="AK260" s="25">
        <v>1</v>
      </c>
      <c r="AM260" s="25">
        <v>24</v>
      </c>
      <c r="AN260" s="25">
        <v>100</v>
      </c>
      <c r="AP260" s="25">
        <f t="shared" si="22"/>
        <v>5</v>
      </c>
      <c r="AQ260" s="25" t="str">
        <f>VLOOKUP(C260,'시스템이펙트 참고자료'!$A:$B,2,FALSE)</f>
        <v>ACTIVE_ENERGY_CRITICAL</v>
      </c>
      <c r="AS260" s="25">
        <v>1</v>
      </c>
      <c r="BD260" s="25">
        <v>1</v>
      </c>
    </row>
    <row r="261" spans="1:56" hidden="1">
      <c r="A261" s="25">
        <v>256</v>
      </c>
      <c r="B261" s="25" t="str">
        <f>VLOOKUP(C261,'시스템이펙트 참고자료'!$A:$C,2,FALSE)</f>
        <v>ACTIVE_ENERGY_CRITICAL_DAMAGE_UP</v>
      </c>
      <c r="C261" s="25">
        <v>659</v>
      </c>
      <c r="D261" s="25">
        <f>VLOOKUP(C261,'시스템이펙트 참고자료'!$A:$D,4,FALSE)</f>
        <v>0</v>
      </c>
      <c r="E261" s="25">
        <v>0</v>
      </c>
      <c r="F261" s="25">
        <v>0</v>
      </c>
      <c r="G261" s="25">
        <f t="shared" si="21"/>
        <v>4</v>
      </c>
      <c r="H261" s="25" t="s">
        <v>395</v>
      </c>
      <c r="I261" s="25">
        <v>1</v>
      </c>
      <c r="J261" s="25" t="str">
        <f>VLOOKUP(C261,'시스템이펙트 참고자료'!$A:$C,3,FALSE)</f>
        <v>절대값만 가능</v>
      </c>
      <c r="K261" s="25">
        <v>5</v>
      </c>
      <c r="M261" s="25">
        <v>4</v>
      </c>
      <c r="N261" s="25">
        <f t="shared" si="19"/>
        <v>32</v>
      </c>
      <c r="O261" s="25">
        <v>1</v>
      </c>
      <c r="P261" s="25">
        <v>1</v>
      </c>
      <c r="Q261" s="25">
        <v>1</v>
      </c>
      <c r="R261" s="25">
        <v>1</v>
      </c>
      <c r="T261" s="25">
        <v>1</v>
      </c>
      <c r="AA261" s="25">
        <f t="shared" si="20"/>
        <v>128</v>
      </c>
      <c r="AK261" s="25">
        <v>1</v>
      </c>
      <c r="AM261" s="25">
        <v>32</v>
      </c>
      <c r="AN261" s="25">
        <v>100</v>
      </c>
      <c r="AP261" s="25">
        <f t="shared" si="22"/>
        <v>4</v>
      </c>
      <c r="AQ261" s="25" t="str">
        <f>VLOOKUP(C261,'시스템이펙트 참고자료'!$A:$B,2,FALSE)</f>
        <v>ACTIVE_ENERGY_CRITICAL_DAMAGE_UP</v>
      </c>
      <c r="AS261" s="25">
        <v>1</v>
      </c>
      <c r="BD261" s="25">
        <v>1</v>
      </c>
    </row>
    <row r="262" spans="1:56" hidden="1">
      <c r="A262" s="25">
        <v>257</v>
      </c>
      <c r="B262" s="25" t="str">
        <f>VLOOKUP(C262,'시스템이펙트 참고자료'!$A:$C,2,FALSE)</f>
        <v>ACTIVE_FOC_UP</v>
      </c>
      <c r="C262" s="25">
        <v>612</v>
      </c>
      <c r="D262" s="25">
        <f>VLOOKUP(C262,'시스템이펙트 참고자료'!$A:$D,4,FALSE)</f>
        <v>0</v>
      </c>
      <c r="E262" s="25">
        <v>0</v>
      </c>
      <c r="F262" s="25">
        <v>0</v>
      </c>
      <c r="G262" s="25">
        <f t="shared" si="21"/>
        <v>2</v>
      </c>
      <c r="H262" s="25" t="s">
        <v>395</v>
      </c>
      <c r="I262" s="25">
        <v>1</v>
      </c>
      <c r="J262" s="25" t="str">
        <f>VLOOKUP(C262,'시스템이펙트 참고자료'!$A:$C,3,FALSE)</f>
        <v>절대값/상대값(%) 가능</v>
      </c>
      <c r="K262" s="25">
        <v>5</v>
      </c>
      <c r="M262" s="25">
        <v>4</v>
      </c>
      <c r="N262" s="25">
        <f t="shared" si="19"/>
        <v>53</v>
      </c>
      <c r="O262" s="25">
        <v>1</v>
      </c>
      <c r="P262" s="25">
        <v>1</v>
      </c>
      <c r="Q262" s="25">
        <v>1</v>
      </c>
      <c r="R262" s="25">
        <v>1</v>
      </c>
      <c r="T262" s="25">
        <v>1</v>
      </c>
      <c r="AA262" s="25">
        <f t="shared" si="20"/>
        <v>128</v>
      </c>
      <c r="AK262" s="25">
        <v>1</v>
      </c>
      <c r="AM262" s="25">
        <v>53</v>
      </c>
      <c r="AN262" s="25">
        <v>100</v>
      </c>
      <c r="AP262" s="25">
        <f t="shared" si="22"/>
        <v>2</v>
      </c>
      <c r="AQ262" s="25" t="str">
        <f>VLOOKUP(C262,'시스템이펙트 참고자료'!$A:$B,2,FALSE)</f>
        <v>ACTIVE_FOC_UP</v>
      </c>
      <c r="AS262" s="25">
        <v>1</v>
      </c>
      <c r="BD262" s="25">
        <v>1</v>
      </c>
    </row>
    <row r="263" spans="1:56" hidden="1">
      <c r="A263" s="25">
        <v>258</v>
      </c>
      <c r="B263" s="25" t="str">
        <f>VLOOKUP(C263,'시스템이펙트 참고자료'!$A:$C,2,FALSE)</f>
        <v>ACTIVE_DEX_UP</v>
      </c>
      <c r="C263" s="25">
        <v>613</v>
      </c>
      <c r="D263" s="25">
        <f>VLOOKUP(C263,'시스템이펙트 참고자료'!$A:$D,4,FALSE)</f>
        <v>0</v>
      </c>
      <c r="E263" s="25">
        <v>0</v>
      </c>
      <c r="F263" s="25">
        <v>0</v>
      </c>
      <c r="G263" s="25">
        <f t="shared" si="21"/>
        <v>3</v>
      </c>
      <c r="H263" s="25" t="s">
        <v>395</v>
      </c>
      <c r="I263" s="25">
        <v>1</v>
      </c>
      <c r="J263" s="25" t="str">
        <f>VLOOKUP(C263,'시스템이펙트 참고자료'!$A:$C,3,FALSE)</f>
        <v>절대값/상대값(%) 가능</v>
      </c>
      <c r="K263" s="25">
        <v>5</v>
      </c>
      <c r="M263" s="25">
        <v>4</v>
      </c>
      <c r="N263" s="25">
        <f t="shared" ref="N263:N326" si="23">IF(BD263&gt;0,INT(AM263/AK263),0)</f>
        <v>44</v>
      </c>
      <c r="O263" s="25">
        <v>1</v>
      </c>
      <c r="P263" s="25">
        <v>1</v>
      </c>
      <c r="Q263" s="25">
        <v>1</v>
      </c>
      <c r="R263" s="25">
        <v>1</v>
      </c>
      <c r="T263" s="25">
        <v>1</v>
      </c>
      <c r="AA263" s="25">
        <f t="shared" si="20"/>
        <v>128</v>
      </c>
      <c r="AK263" s="25">
        <v>1</v>
      </c>
      <c r="AM263" s="25">
        <v>44</v>
      </c>
      <c r="AN263" s="25">
        <v>100</v>
      </c>
      <c r="AP263" s="25">
        <f t="shared" si="22"/>
        <v>3</v>
      </c>
      <c r="AQ263" s="25" t="str">
        <f>VLOOKUP(C263,'시스템이펙트 참고자료'!$A:$B,2,FALSE)</f>
        <v>ACTIVE_DEX_UP</v>
      </c>
      <c r="AS263" s="25">
        <v>1</v>
      </c>
      <c r="BD263" s="25">
        <v>1</v>
      </c>
    </row>
    <row r="264" spans="1:56" hidden="1">
      <c r="A264" s="25">
        <v>259</v>
      </c>
      <c r="B264" s="25" t="str">
        <f>VLOOKUP(C264,'시스템이펙트 참고자료'!$A:$C,2,FALSE)</f>
        <v>ACTIVE_ATTACK_SPEED_UP</v>
      </c>
      <c r="C264" s="25">
        <v>617</v>
      </c>
      <c r="D264" s="25">
        <f>VLOOKUP(C264,'시스템이펙트 참고자료'!$A:$D,4,FALSE)</f>
        <v>1</v>
      </c>
      <c r="E264" s="25">
        <v>0</v>
      </c>
      <c r="F264" s="25">
        <v>0</v>
      </c>
      <c r="G264" s="25">
        <f t="shared" si="21"/>
        <v>10</v>
      </c>
      <c r="H264" s="25" t="s">
        <v>395</v>
      </c>
      <c r="I264" s="25">
        <v>1</v>
      </c>
      <c r="J264" s="25" t="str">
        <f>VLOOKUP(C264,'시스템이펙트 참고자료'!$A:$C,3,FALSE)</f>
        <v>절대값/상대값(%) 가능</v>
      </c>
      <c r="K264" s="25">
        <v>5</v>
      </c>
      <c r="M264" s="25">
        <v>5</v>
      </c>
      <c r="N264" s="25">
        <f t="shared" si="23"/>
        <v>10</v>
      </c>
      <c r="O264" s="25">
        <v>1</v>
      </c>
      <c r="P264" s="25">
        <v>1</v>
      </c>
      <c r="Q264" s="25">
        <v>1</v>
      </c>
      <c r="R264" s="25">
        <v>1</v>
      </c>
      <c r="T264" s="25">
        <v>1</v>
      </c>
      <c r="AA264" s="25">
        <f t="shared" si="20"/>
        <v>128</v>
      </c>
      <c r="AK264" s="25">
        <v>1</v>
      </c>
      <c r="AM264" s="25">
        <v>10</v>
      </c>
      <c r="AN264" s="25">
        <v>100</v>
      </c>
      <c r="AP264" s="25">
        <f t="shared" si="22"/>
        <v>10</v>
      </c>
      <c r="AQ264" s="25" t="str">
        <f>VLOOKUP(C264,'시스템이펙트 참고자료'!$A:$B,2,FALSE)</f>
        <v>ACTIVE_ATTACK_SPEED_UP</v>
      </c>
      <c r="AS264" s="25">
        <v>1</v>
      </c>
      <c r="BD264" s="25">
        <v>1</v>
      </c>
    </row>
    <row r="265" spans="1:56" hidden="1">
      <c r="A265" s="25">
        <v>260</v>
      </c>
      <c r="B265" s="25" t="str">
        <f>VLOOKUP(C265,'시스템이펙트 참고자료'!$A:$C,2,FALSE)</f>
        <v>ACTIVE_DEX_UP</v>
      </c>
      <c r="C265" s="25">
        <v>613</v>
      </c>
      <c r="D265" s="25">
        <f>VLOOKUP(C265,'시스템이펙트 참고자료'!$A:$D,4,FALSE)</f>
        <v>0</v>
      </c>
      <c r="E265" s="25">
        <v>0</v>
      </c>
      <c r="F265" s="25">
        <v>0</v>
      </c>
      <c r="G265" s="25">
        <f t="shared" si="21"/>
        <v>3</v>
      </c>
      <c r="H265" s="25" t="s">
        <v>395</v>
      </c>
      <c r="I265" s="25">
        <v>1</v>
      </c>
      <c r="J265" s="25" t="str">
        <f>VLOOKUP(C265,'시스템이펙트 참고자료'!$A:$C,3,FALSE)</f>
        <v>절대값/상대값(%) 가능</v>
      </c>
      <c r="K265" s="25">
        <v>5</v>
      </c>
      <c r="M265" s="25">
        <v>5</v>
      </c>
      <c r="N265" s="25">
        <f t="shared" si="23"/>
        <v>44</v>
      </c>
      <c r="O265" s="25">
        <v>1</v>
      </c>
      <c r="P265" s="25">
        <v>1</v>
      </c>
      <c r="Q265" s="25">
        <v>1</v>
      </c>
      <c r="R265" s="25">
        <v>1</v>
      </c>
      <c r="T265" s="25">
        <v>1</v>
      </c>
      <c r="AA265" s="25">
        <f t="shared" si="20"/>
        <v>128</v>
      </c>
      <c r="AK265" s="25">
        <v>1</v>
      </c>
      <c r="AM265" s="25">
        <v>44</v>
      </c>
      <c r="AN265" s="25">
        <v>100</v>
      </c>
      <c r="AP265" s="25">
        <f t="shared" si="22"/>
        <v>3</v>
      </c>
      <c r="AQ265" s="25" t="str">
        <f>VLOOKUP(C265,'시스템이펙트 참고자료'!$A:$B,2,FALSE)</f>
        <v>ACTIVE_DEX_UP</v>
      </c>
      <c r="AS265" s="25">
        <v>1</v>
      </c>
      <c r="BD265" s="25">
        <v>1</v>
      </c>
    </row>
    <row r="266" spans="1:56" hidden="1">
      <c r="A266" s="25">
        <v>261</v>
      </c>
      <c r="B266" s="25" t="str">
        <f>VLOOKUP(C266,'시스템이펙트 참고자료'!$A:$C,2,FALSE)</f>
        <v>ACTIVE_FOC_UP</v>
      </c>
      <c r="C266" s="25">
        <v>612</v>
      </c>
      <c r="D266" s="25">
        <f>VLOOKUP(C266,'시스템이펙트 참고자료'!$A:$D,4,FALSE)</f>
        <v>0</v>
      </c>
      <c r="E266" s="25">
        <v>0</v>
      </c>
      <c r="F266" s="25">
        <v>0</v>
      </c>
      <c r="G266" s="25">
        <f t="shared" ref="G266:G311" si="24">IF(N266&gt;0,INT(100/N266+0.99),0)</f>
        <v>2</v>
      </c>
      <c r="H266" s="25" t="s">
        <v>395</v>
      </c>
      <c r="I266" s="25">
        <v>1</v>
      </c>
      <c r="J266" s="25" t="str">
        <f>VLOOKUP(C266,'시스템이펙트 참고자료'!$A:$C,3,FALSE)</f>
        <v>절대값/상대값(%) 가능</v>
      </c>
      <c r="K266" s="25">
        <v>5</v>
      </c>
      <c r="M266" s="25">
        <v>5</v>
      </c>
      <c r="N266" s="25">
        <f t="shared" si="23"/>
        <v>53</v>
      </c>
      <c r="O266" s="25">
        <v>1</v>
      </c>
      <c r="P266" s="25">
        <v>1</v>
      </c>
      <c r="Q266" s="25">
        <v>1</v>
      </c>
      <c r="R266" s="25">
        <v>1</v>
      </c>
      <c r="T266" s="25">
        <v>1</v>
      </c>
      <c r="AA266" s="25">
        <f t="shared" si="20"/>
        <v>128</v>
      </c>
      <c r="AK266" s="25">
        <v>1</v>
      </c>
      <c r="AM266" s="25">
        <v>53</v>
      </c>
      <c r="AN266" s="25">
        <v>100</v>
      </c>
      <c r="AP266" s="25">
        <f t="shared" ref="AP266:AP311" si="25">INT(100/N266+0.99)</f>
        <v>2</v>
      </c>
      <c r="AQ266" s="25" t="str">
        <f>VLOOKUP(C266,'시스템이펙트 참고자료'!$A:$B,2,FALSE)</f>
        <v>ACTIVE_FOC_UP</v>
      </c>
      <c r="AS266" s="25">
        <v>1</v>
      </c>
      <c r="BD266" s="25">
        <v>1</v>
      </c>
    </row>
    <row r="267" spans="1:56" hidden="1">
      <c r="A267" s="25">
        <v>262</v>
      </c>
      <c r="B267" s="25" t="str">
        <f>VLOOKUP(C267,'시스템이펙트 참고자료'!$A:$C,2,FALSE)</f>
        <v>ACTIVE_PHYSICAL_OFFENCE_UP</v>
      </c>
      <c r="C267" s="25">
        <v>606</v>
      </c>
      <c r="D267" s="25">
        <f>VLOOKUP(C267,'시스템이펙트 참고자료'!$A:$D,4,FALSE)</f>
        <v>0</v>
      </c>
      <c r="E267" s="25">
        <v>0</v>
      </c>
      <c r="F267" s="25">
        <v>0</v>
      </c>
      <c r="G267" s="25">
        <f t="shared" si="24"/>
        <v>1</v>
      </c>
      <c r="H267" s="25" t="s">
        <v>395</v>
      </c>
      <c r="I267" s="25">
        <v>1</v>
      </c>
      <c r="J267" s="25" t="str">
        <f>VLOOKUP(C267,'시스템이펙트 참고자료'!$A:$C,3,FALSE)</f>
        <v>절대값/상대값(%) 가능</v>
      </c>
      <c r="K267" s="25">
        <v>5</v>
      </c>
      <c r="M267" s="25">
        <v>5</v>
      </c>
      <c r="N267" s="25">
        <f t="shared" si="23"/>
        <v>125</v>
      </c>
      <c r="O267" s="25">
        <v>1</v>
      </c>
      <c r="P267" s="25">
        <v>1</v>
      </c>
      <c r="Q267" s="25">
        <v>1</v>
      </c>
      <c r="R267" s="25">
        <v>1</v>
      </c>
      <c r="T267" s="25">
        <v>1</v>
      </c>
      <c r="AA267" s="25">
        <f t="shared" si="20"/>
        <v>128</v>
      </c>
      <c r="AK267" s="25">
        <v>1</v>
      </c>
      <c r="AM267" s="25">
        <v>125</v>
      </c>
      <c r="AN267" s="25">
        <v>100</v>
      </c>
      <c r="AP267" s="25">
        <f t="shared" si="25"/>
        <v>1</v>
      </c>
      <c r="AQ267" s="25" t="str">
        <f>VLOOKUP(C267,'시스템이펙트 참고자료'!$A:$B,2,FALSE)</f>
        <v>ACTIVE_PHYSICAL_OFFENCE_UP</v>
      </c>
      <c r="AS267" s="25">
        <v>1</v>
      </c>
      <c r="BD267" s="25">
        <v>1</v>
      </c>
    </row>
    <row r="268" spans="1:56" hidden="1">
      <c r="A268" s="25">
        <v>263</v>
      </c>
      <c r="B268" s="25" t="str">
        <f>VLOOKUP(C268,'시스템이펙트 참고자료'!$A:$C,2,FALSE)</f>
        <v>ACTIVE_ENERGY_OFFENCE_UP</v>
      </c>
      <c r="C268" s="25">
        <v>607</v>
      </c>
      <c r="D268" s="25">
        <f>VLOOKUP(C268,'시스템이펙트 참고자료'!$A:$D,4,FALSE)</f>
        <v>0</v>
      </c>
      <c r="E268" s="25">
        <v>0</v>
      </c>
      <c r="F268" s="25">
        <v>0</v>
      </c>
      <c r="G268" s="25">
        <f t="shared" si="24"/>
        <v>1</v>
      </c>
      <c r="H268" s="25" t="s">
        <v>395</v>
      </c>
      <c r="I268" s="25">
        <v>1</v>
      </c>
      <c r="J268" s="25" t="str">
        <f>VLOOKUP(C268,'시스템이펙트 참고자료'!$A:$C,3,FALSE)</f>
        <v>절대값/상대값(%) 가능</v>
      </c>
      <c r="K268" s="25">
        <v>5</v>
      </c>
      <c r="M268" s="25">
        <v>5</v>
      </c>
      <c r="N268" s="25">
        <f t="shared" si="23"/>
        <v>104</v>
      </c>
      <c r="O268" s="25">
        <v>1</v>
      </c>
      <c r="P268" s="25">
        <v>1</v>
      </c>
      <c r="Q268" s="25">
        <v>1</v>
      </c>
      <c r="R268" s="25">
        <v>1</v>
      </c>
      <c r="T268" s="25">
        <v>1</v>
      </c>
      <c r="AA268" s="25">
        <f t="shared" si="20"/>
        <v>128</v>
      </c>
      <c r="AK268" s="25">
        <v>1</v>
      </c>
      <c r="AM268" s="25">
        <v>104</v>
      </c>
      <c r="AN268" s="25">
        <v>100</v>
      </c>
      <c r="AP268" s="25">
        <f t="shared" si="25"/>
        <v>1</v>
      </c>
      <c r="AQ268" s="25" t="str">
        <f>VLOOKUP(C268,'시스템이펙트 참고자료'!$A:$B,2,FALSE)</f>
        <v>ACTIVE_ENERGY_OFFENCE_UP</v>
      </c>
      <c r="AS268" s="25">
        <v>1</v>
      </c>
      <c r="BD268" s="25">
        <v>1</v>
      </c>
    </row>
    <row r="269" spans="1:56" hidden="1">
      <c r="A269" s="25">
        <v>264</v>
      </c>
      <c r="B269" s="25" t="str">
        <f>VLOOKUP(C269,'시스템이펙트 참고자료'!$A:$C,2,FALSE)</f>
        <v>ACTIVE_PHYSICAL_OFFENCE_UP</v>
      </c>
      <c r="C269" s="25">
        <v>606</v>
      </c>
      <c r="D269" s="25">
        <f>VLOOKUP(C269,'시스템이펙트 참고자료'!$A:$D,4,FALSE)</f>
        <v>0</v>
      </c>
      <c r="E269" s="25">
        <v>0</v>
      </c>
      <c r="F269" s="25">
        <v>0</v>
      </c>
      <c r="G269" s="25">
        <f t="shared" si="24"/>
        <v>1</v>
      </c>
      <c r="H269" s="25" t="s">
        <v>395</v>
      </c>
      <c r="I269" s="25">
        <v>1</v>
      </c>
      <c r="J269" s="25" t="str">
        <f>VLOOKUP(C269,'시스템이펙트 참고자료'!$A:$C,3,FALSE)</f>
        <v>절대값/상대값(%) 가능</v>
      </c>
      <c r="K269" s="25">
        <v>5</v>
      </c>
      <c r="M269" s="25">
        <v>6</v>
      </c>
      <c r="N269" s="25">
        <f t="shared" si="23"/>
        <v>125</v>
      </c>
      <c r="O269" s="25">
        <v>1</v>
      </c>
      <c r="P269" s="25">
        <v>1</v>
      </c>
      <c r="Q269" s="25">
        <v>1</v>
      </c>
      <c r="R269" s="25">
        <v>1</v>
      </c>
      <c r="T269" s="25">
        <v>1</v>
      </c>
      <c r="AA269" s="25">
        <f t="shared" si="20"/>
        <v>128</v>
      </c>
      <c r="AK269" s="25">
        <v>1</v>
      </c>
      <c r="AM269" s="25">
        <v>125</v>
      </c>
      <c r="AN269" s="25">
        <v>100</v>
      </c>
      <c r="AP269" s="25">
        <f t="shared" si="25"/>
        <v>1</v>
      </c>
      <c r="AQ269" s="25" t="str">
        <f>VLOOKUP(C269,'시스템이펙트 참고자료'!$A:$B,2,FALSE)</f>
        <v>ACTIVE_PHYSICAL_OFFENCE_UP</v>
      </c>
      <c r="AS269" s="25">
        <v>1</v>
      </c>
      <c r="BD269" s="25">
        <v>1</v>
      </c>
    </row>
    <row r="270" spans="1:56" hidden="1">
      <c r="A270" s="25">
        <v>265</v>
      </c>
      <c r="B270" s="25" t="str">
        <f>VLOOKUP(C270,'시스템이펙트 참고자료'!$A:$C,2,FALSE)</f>
        <v>ACTIVE_ENERGY_OFFENCE_UP</v>
      </c>
      <c r="C270" s="25">
        <v>607</v>
      </c>
      <c r="D270" s="25">
        <f>VLOOKUP(C270,'시스템이펙트 참고자료'!$A:$D,4,FALSE)</f>
        <v>0</v>
      </c>
      <c r="E270" s="25">
        <v>0</v>
      </c>
      <c r="F270" s="25">
        <v>0</v>
      </c>
      <c r="G270" s="25">
        <f t="shared" si="24"/>
        <v>1</v>
      </c>
      <c r="H270" s="25" t="s">
        <v>395</v>
      </c>
      <c r="I270" s="25">
        <v>1</v>
      </c>
      <c r="J270" s="25" t="str">
        <f>VLOOKUP(C270,'시스템이펙트 참고자료'!$A:$C,3,FALSE)</f>
        <v>절대값/상대값(%) 가능</v>
      </c>
      <c r="K270" s="25">
        <v>5</v>
      </c>
      <c r="M270" s="25">
        <v>6</v>
      </c>
      <c r="N270" s="25">
        <f t="shared" si="23"/>
        <v>104</v>
      </c>
      <c r="O270" s="25">
        <v>1</v>
      </c>
      <c r="P270" s="25">
        <v>1</v>
      </c>
      <c r="Q270" s="25">
        <v>1</v>
      </c>
      <c r="R270" s="25">
        <v>1</v>
      </c>
      <c r="T270" s="25">
        <v>1</v>
      </c>
      <c r="AA270" s="25">
        <f t="shared" si="20"/>
        <v>128</v>
      </c>
      <c r="AK270" s="25">
        <v>1</v>
      </c>
      <c r="AM270" s="25">
        <v>104</v>
      </c>
      <c r="AN270" s="25">
        <v>100</v>
      </c>
      <c r="AP270" s="25">
        <f t="shared" si="25"/>
        <v>1</v>
      </c>
      <c r="AQ270" s="25" t="str">
        <f>VLOOKUP(C270,'시스템이펙트 참고자료'!$A:$B,2,FALSE)</f>
        <v>ACTIVE_ENERGY_OFFENCE_UP</v>
      </c>
      <c r="AS270" s="25">
        <v>1</v>
      </c>
      <c r="BD270" s="25">
        <v>1</v>
      </c>
    </row>
    <row r="271" spans="1:56" hidden="1">
      <c r="A271" s="25">
        <v>266</v>
      </c>
      <c r="B271" s="25" t="str">
        <f>VLOOKUP(C271,'시스템이펙트 참고자료'!$A:$C,2,FALSE)</f>
        <v>ACTIVE_STR_UP</v>
      </c>
      <c r="C271" s="25">
        <v>610</v>
      </c>
      <c r="D271" s="25">
        <f>VLOOKUP(C271,'시스템이펙트 참고자료'!$A:$D,4,FALSE)</f>
        <v>0</v>
      </c>
      <c r="E271" s="25">
        <v>0</v>
      </c>
      <c r="F271" s="25">
        <v>0</v>
      </c>
      <c r="G271" s="25">
        <f t="shared" si="24"/>
        <v>2</v>
      </c>
      <c r="H271" s="25" t="s">
        <v>395</v>
      </c>
      <c r="I271" s="25">
        <v>1</v>
      </c>
      <c r="J271" s="25" t="str">
        <f>VLOOKUP(C271,'시스템이펙트 참고자료'!$A:$C,3,FALSE)</f>
        <v>절대값/상대값(%) 가능</v>
      </c>
      <c r="K271" s="25">
        <v>5</v>
      </c>
      <c r="M271" s="25">
        <v>6</v>
      </c>
      <c r="N271" s="25">
        <f t="shared" si="23"/>
        <v>57</v>
      </c>
      <c r="O271" s="25">
        <v>1</v>
      </c>
      <c r="P271" s="25">
        <v>1</v>
      </c>
      <c r="Q271" s="25">
        <v>1</v>
      </c>
      <c r="R271" s="25">
        <v>1</v>
      </c>
      <c r="T271" s="25">
        <v>1</v>
      </c>
      <c r="AA271" s="25">
        <f t="shared" si="20"/>
        <v>128</v>
      </c>
      <c r="AK271" s="25">
        <v>1</v>
      </c>
      <c r="AM271" s="25">
        <v>57</v>
      </c>
      <c r="AN271" s="25">
        <v>100</v>
      </c>
      <c r="AP271" s="25">
        <f t="shared" si="25"/>
        <v>2</v>
      </c>
      <c r="AQ271" s="25" t="str">
        <f>VLOOKUP(C271,'시스템이펙트 참고자료'!$A:$B,2,FALSE)</f>
        <v>ACTIVE_STR_UP</v>
      </c>
      <c r="AS271" s="25">
        <v>1</v>
      </c>
      <c r="BD271" s="25">
        <v>1</v>
      </c>
    </row>
    <row r="272" spans="1:56" hidden="1">
      <c r="A272" s="25">
        <v>267</v>
      </c>
      <c r="B272" s="25" t="str">
        <f>VLOOKUP(C272,'시스템이펙트 참고자료'!$A:$C,2,FALSE)</f>
        <v>ACTIVE_SOL_UP</v>
      </c>
      <c r="C272" s="25">
        <v>614</v>
      </c>
      <c r="D272" s="25">
        <f>VLOOKUP(C272,'시스템이펙트 참고자료'!$A:$D,4,FALSE)</f>
        <v>0</v>
      </c>
      <c r="E272" s="25">
        <v>0</v>
      </c>
      <c r="F272" s="25">
        <v>0</v>
      </c>
      <c r="G272" s="25">
        <f t="shared" si="24"/>
        <v>2</v>
      </c>
      <c r="H272" s="25" t="s">
        <v>395</v>
      </c>
      <c r="I272" s="25">
        <v>1</v>
      </c>
      <c r="J272" s="25" t="str">
        <f>VLOOKUP(C272,'시스템이펙트 참고자료'!$A:$C,3,FALSE)</f>
        <v>절대값/상대값(%) 가능</v>
      </c>
      <c r="K272" s="25">
        <v>5</v>
      </c>
      <c r="M272" s="25">
        <v>6</v>
      </c>
      <c r="N272" s="25">
        <f t="shared" si="23"/>
        <v>53</v>
      </c>
      <c r="O272" s="25">
        <v>1</v>
      </c>
      <c r="P272" s="25">
        <v>1</v>
      </c>
      <c r="Q272" s="25">
        <v>1</v>
      </c>
      <c r="R272" s="25">
        <v>1</v>
      </c>
      <c r="T272" s="25">
        <v>1</v>
      </c>
      <c r="AA272" s="25">
        <f t="shared" si="20"/>
        <v>128</v>
      </c>
      <c r="AK272" s="25">
        <v>1</v>
      </c>
      <c r="AM272" s="25">
        <v>53</v>
      </c>
      <c r="AN272" s="25">
        <v>100</v>
      </c>
      <c r="AP272" s="25">
        <f t="shared" si="25"/>
        <v>2</v>
      </c>
      <c r="AQ272" s="25" t="str">
        <f>VLOOKUP(C272,'시스템이펙트 참고자료'!$A:$B,2,FALSE)</f>
        <v>ACTIVE_SOL_UP</v>
      </c>
      <c r="AS272" s="25">
        <v>1</v>
      </c>
      <c r="BD272" s="25">
        <v>1</v>
      </c>
    </row>
    <row r="273" spans="1:56" hidden="1">
      <c r="A273" s="25">
        <v>268</v>
      </c>
      <c r="B273" s="25" t="str">
        <f>VLOOKUP(C273,'시스템이펙트 참고자료'!$A:$C,2,FALSE)</f>
        <v>ACTIVE_PHYSICAL_CRITICAL_DAMAGE_UP</v>
      </c>
      <c r="C273" s="25">
        <v>658</v>
      </c>
      <c r="D273" s="25">
        <f>VLOOKUP(C273,'시스템이펙트 참고자료'!$A:$D,4,FALSE)</f>
        <v>0</v>
      </c>
      <c r="E273" s="25">
        <v>0</v>
      </c>
      <c r="F273" s="25">
        <v>0</v>
      </c>
      <c r="G273" s="25">
        <f t="shared" si="24"/>
        <v>4</v>
      </c>
      <c r="H273" s="25" t="s">
        <v>395</v>
      </c>
      <c r="I273" s="25">
        <v>1</v>
      </c>
      <c r="J273" s="25" t="str">
        <f>VLOOKUP(C273,'시스템이펙트 참고자료'!$A:$C,3,FALSE)</f>
        <v>절대값만 가능</v>
      </c>
      <c r="K273" s="25">
        <v>5</v>
      </c>
      <c r="M273" s="25">
        <v>6</v>
      </c>
      <c r="N273" s="25">
        <f t="shared" si="23"/>
        <v>28</v>
      </c>
      <c r="O273" s="25">
        <v>1</v>
      </c>
      <c r="P273" s="25">
        <v>1</v>
      </c>
      <c r="Q273" s="25">
        <v>1</v>
      </c>
      <c r="R273" s="25">
        <v>1</v>
      </c>
      <c r="T273" s="25">
        <v>1</v>
      </c>
      <c r="AA273" s="25">
        <f t="shared" si="20"/>
        <v>128</v>
      </c>
      <c r="AK273" s="25">
        <v>1</v>
      </c>
      <c r="AM273" s="25">
        <v>28</v>
      </c>
      <c r="AN273" s="25">
        <v>100</v>
      </c>
      <c r="AP273" s="25">
        <f t="shared" si="25"/>
        <v>4</v>
      </c>
      <c r="AQ273" s="25" t="str">
        <f>VLOOKUP(C273,'시스템이펙트 참고자료'!$A:$B,2,FALSE)</f>
        <v>ACTIVE_PHYSICAL_CRITICAL_DAMAGE_UP</v>
      </c>
      <c r="AS273" s="25">
        <v>1</v>
      </c>
      <c r="BD273" s="25">
        <v>1</v>
      </c>
    </row>
    <row r="274" spans="1:56" hidden="1">
      <c r="A274" s="25">
        <v>269</v>
      </c>
      <c r="B274" s="25" t="str">
        <f>VLOOKUP(C274,'시스템이펙트 참고자료'!$A:$C,2,FALSE)</f>
        <v>ACTIVE_ENERGY_CRITICAL_DAMAGE_UP</v>
      </c>
      <c r="C274" s="25">
        <v>659</v>
      </c>
      <c r="D274" s="25">
        <f>VLOOKUP(C274,'시스템이펙트 참고자료'!$A:$D,4,FALSE)</f>
        <v>0</v>
      </c>
      <c r="E274" s="25">
        <v>0</v>
      </c>
      <c r="F274" s="25">
        <v>0</v>
      </c>
      <c r="G274" s="25">
        <f t="shared" si="24"/>
        <v>4</v>
      </c>
      <c r="H274" s="25" t="s">
        <v>395</v>
      </c>
      <c r="I274" s="25">
        <v>1</v>
      </c>
      <c r="J274" s="25" t="str">
        <f>VLOOKUP(C274,'시스템이펙트 참고자료'!$A:$C,3,FALSE)</f>
        <v>절대값만 가능</v>
      </c>
      <c r="K274" s="25">
        <v>5</v>
      </c>
      <c r="M274" s="25">
        <v>6</v>
      </c>
      <c r="N274" s="25">
        <f t="shared" si="23"/>
        <v>32</v>
      </c>
      <c r="O274" s="25">
        <v>1</v>
      </c>
      <c r="P274" s="25">
        <v>1</v>
      </c>
      <c r="Q274" s="25">
        <v>1</v>
      </c>
      <c r="R274" s="25">
        <v>1</v>
      </c>
      <c r="T274" s="25">
        <v>1</v>
      </c>
      <c r="AA274" s="25">
        <f t="shared" si="20"/>
        <v>128</v>
      </c>
      <c r="AK274" s="25">
        <v>1</v>
      </c>
      <c r="AM274" s="25">
        <v>32</v>
      </c>
      <c r="AN274" s="25">
        <v>100</v>
      </c>
      <c r="AP274" s="25">
        <f t="shared" si="25"/>
        <v>4</v>
      </c>
      <c r="AQ274" s="25" t="str">
        <f>VLOOKUP(C274,'시스템이펙트 참고자료'!$A:$B,2,FALSE)</f>
        <v>ACTIVE_ENERGY_CRITICAL_DAMAGE_UP</v>
      </c>
      <c r="AS274" s="25">
        <v>1</v>
      </c>
      <c r="BD274" s="25">
        <v>1</v>
      </c>
    </row>
    <row r="275" spans="1:56" hidden="1">
      <c r="A275" s="25">
        <v>270</v>
      </c>
      <c r="B275" s="25" t="str">
        <f>VLOOKUP(C275,'시스템이펙트 참고자료'!$A:$C,2,FALSE)</f>
        <v>ACTIVE_FOC_UP</v>
      </c>
      <c r="C275" s="25">
        <v>612</v>
      </c>
      <c r="D275" s="25">
        <f>VLOOKUP(C275,'시스템이펙트 참고자료'!$A:$D,4,FALSE)</f>
        <v>0</v>
      </c>
      <c r="E275" s="25">
        <v>0</v>
      </c>
      <c r="F275" s="25">
        <v>0</v>
      </c>
      <c r="G275" s="25">
        <f t="shared" si="24"/>
        <v>2</v>
      </c>
      <c r="H275" s="25" t="s">
        <v>395</v>
      </c>
      <c r="I275" s="25">
        <v>1</v>
      </c>
      <c r="J275" s="25" t="str">
        <f>VLOOKUP(C275,'시스템이펙트 참고자료'!$A:$C,3,FALSE)</f>
        <v>절대값/상대값(%) 가능</v>
      </c>
      <c r="K275" s="25">
        <v>5</v>
      </c>
      <c r="M275" s="25">
        <v>7</v>
      </c>
      <c r="N275" s="25">
        <f t="shared" si="23"/>
        <v>53</v>
      </c>
      <c r="O275" s="25">
        <v>1</v>
      </c>
      <c r="P275" s="25">
        <v>1</v>
      </c>
      <c r="Q275" s="25">
        <v>1</v>
      </c>
      <c r="R275" s="25">
        <v>1</v>
      </c>
      <c r="T275" s="25">
        <v>1</v>
      </c>
      <c r="AA275" s="25">
        <f t="shared" ref="AA275:AA338" si="26">2^AA$1</f>
        <v>128</v>
      </c>
      <c r="AK275" s="25">
        <v>1</v>
      </c>
      <c r="AM275" s="25">
        <v>53</v>
      </c>
      <c r="AN275" s="25">
        <v>100</v>
      </c>
      <c r="AP275" s="25">
        <f t="shared" si="25"/>
        <v>2</v>
      </c>
      <c r="AQ275" s="25" t="str">
        <f>VLOOKUP(C275,'시스템이펙트 참고자료'!$A:$B,2,FALSE)</f>
        <v>ACTIVE_FOC_UP</v>
      </c>
      <c r="AS275" s="25">
        <v>1</v>
      </c>
      <c r="BD275" s="25">
        <v>1</v>
      </c>
    </row>
    <row r="276" spans="1:56" hidden="1">
      <c r="A276" s="25">
        <v>271</v>
      </c>
      <c r="B276" s="25" t="str">
        <f>VLOOKUP(C276,'시스템이펙트 참고자료'!$A:$C,2,FALSE)</f>
        <v>ACTIVE_ATTACK_RATE_UP</v>
      </c>
      <c r="C276" s="25">
        <v>618</v>
      </c>
      <c r="D276" s="25">
        <f>VLOOKUP(C276,'시스템이펙트 참고자료'!$A:$D,4,FALSE)</f>
        <v>0</v>
      </c>
      <c r="E276" s="25">
        <v>0</v>
      </c>
      <c r="F276" s="25">
        <v>0</v>
      </c>
      <c r="G276" s="25">
        <f t="shared" si="24"/>
        <v>1</v>
      </c>
      <c r="H276" s="25" t="s">
        <v>395</v>
      </c>
      <c r="I276" s="25">
        <v>1</v>
      </c>
      <c r="J276" s="25" t="str">
        <f>VLOOKUP(C276,'시스템이펙트 참고자료'!$A:$C,3,FALSE)</f>
        <v>절대값/상대값(%) 가능</v>
      </c>
      <c r="K276" s="25">
        <v>5</v>
      </c>
      <c r="M276" s="25">
        <v>7</v>
      </c>
      <c r="N276" s="25">
        <f t="shared" si="23"/>
        <v>528</v>
      </c>
      <c r="O276" s="25">
        <v>1</v>
      </c>
      <c r="P276" s="25">
        <v>1</v>
      </c>
      <c r="Q276" s="25">
        <v>1</v>
      </c>
      <c r="R276" s="25">
        <v>1</v>
      </c>
      <c r="T276" s="25">
        <v>1</v>
      </c>
      <c r="AA276" s="25">
        <f t="shared" si="26"/>
        <v>128</v>
      </c>
      <c r="AK276" s="25">
        <v>1</v>
      </c>
      <c r="AM276" s="25">
        <v>528</v>
      </c>
      <c r="AN276" s="25">
        <v>100</v>
      </c>
      <c r="AP276" s="25">
        <f t="shared" si="25"/>
        <v>1</v>
      </c>
      <c r="AQ276" s="25" t="str">
        <f>VLOOKUP(C276,'시스템이펙트 참고자료'!$A:$B,2,FALSE)</f>
        <v>ACTIVE_ATTACK_RATE_UP</v>
      </c>
      <c r="AS276" s="25">
        <v>1</v>
      </c>
      <c r="BD276" s="25">
        <v>1</v>
      </c>
    </row>
    <row r="277" spans="1:56" hidden="1">
      <c r="A277" s="25">
        <v>272</v>
      </c>
      <c r="B277" s="25" t="str">
        <f>VLOOKUP(C277,'시스템이펙트 참고자료'!$A:$C,2,FALSE)</f>
        <v>ACTIVE_ENG_UP</v>
      </c>
      <c r="C277" s="25">
        <v>615</v>
      </c>
      <c r="D277" s="25">
        <f>VLOOKUP(C277,'시스템이펙트 참고자료'!$A:$D,4,FALSE)</f>
        <v>0</v>
      </c>
      <c r="E277" s="25">
        <v>0</v>
      </c>
      <c r="F277" s="25">
        <v>0</v>
      </c>
      <c r="G277" s="25">
        <f t="shared" si="24"/>
        <v>2</v>
      </c>
      <c r="H277" s="25" t="s">
        <v>395</v>
      </c>
      <c r="I277" s="25">
        <v>1</v>
      </c>
      <c r="J277" s="25" t="str">
        <f>VLOOKUP(C277,'시스템이펙트 참고자료'!$A:$C,3,FALSE)</f>
        <v>절대값/상대값(%) 가능</v>
      </c>
      <c r="K277" s="25">
        <v>5</v>
      </c>
      <c r="M277" s="25">
        <v>7</v>
      </c>
      <c r="N277" s="25">
        <f t="shared" si="23"/>
        <v>62</v>
      </c>
      <c r="O277" s="25">
        <v>1</v>
      </c>
      <c r="P277" s="25">
        <v>1</v>
      </c>
      <c r="Q277" s="25">
        <v>1</v>
      </c>
      <c r="R277" s="25">
        <v>1</v>
      </c>
      <c r="T277" s="25">
        <v>1</v>
      </c>
      <c r="AA277" s="25">
        <f t="shared" si="26"/>
        <v>128</v>
      </c>
      <c r="AK277" s="25">
        <v>1</v>
      </c>
      <c r="AM277" s="25">
        <v>62</v>
      </c>
      <c r="AN277" s="25">
        <v>100</v>
      </c>
      <c r="AP277" s="25">
        <f t="shared" si="25"/>
        <v>2</v>
      </c>
      <c r="AQ277" s="25" t="str">
        <f>VLOOKUP(C277,'시스템이펙트 참고자료'!$A:$B,2,FALSE)</f>
        <v>ACTIVE_ENG_UP</v>
      </c>
      <c r="AS277" s="25">
        <v>1</v>
      </c>
      <c r="BD277" s="25">
        <v>1</v>
      </c>
    </row>
    <row r="278" spans="1:56" hidden="1">
      <c r="A278" s="25">
        <v>273</v>
      </c>
      <c r="B278" s="25" t="str">
        <f>VLOOKUP(C278,'시스템이펙트 참고자료'!$A:$C,2,FALSE)</f>
        <v>ACTIVE_PHYSICAL_CRITICAL</v>
      </c>
      <c r="C278" s="25">
        <v>632</v>
      </c>
      <c r="D278" s="25">
        <f>VLOOKUP(C278,'시스템이펙트 참고자료'!$A:$D,4,FALSE)</f>
        <v>0</v>
      </c>
      <c r="E278" s="25">
        <v>0</v>
      </c>
      <c r="F278" s="25">
        <v>0</v>
      </c>
      <c r="G278" s="25">
        <f t="shared" si="24"/>
        <v>5</v>
      </c>
      <c r="H278" s="25" t="s">
        <v>395</v>
      </c>
      <c r="I278" s="25">
        <v>1</v>
      </c>
      <c r="J278" s="25" t="str">
        <f>VLOOKUP(C278,'시스템이펙트 참고자료'!$A:$C,3,FALSE)</f>
        <v>절대값/상대값(%) 가능</v>
      </c>
      <c r="K278" s="25">
        <v>5</v>
      </c>
      <c r="M278" s="25">
        <v>7</v>
      </c>
      <c r="N278" s="25">
        <f t="shared" si="23"/>
        <v>21</v>
      </c>
      <c r="O278" s="25">
        <v>1</v>
      </c>
      <c r="P278" s="25">
        <v>1</v>
      </c>
      <c r="Q278" s="25">
        <v>1</v>
      </c>
      <c r="R278" s="25">
        <v>1</v>
      </c>
      <c r="T278" s="25">
        <v>1</v>
      </c>
      <c r="AA278" s="25">
        <f t="shared" si="26"/>
        <v>128</v>
      </c>
      <c r="AK278" s="25">
        <v>1</v>
      </c>
      <c r="AM278" s="25">
        <v>21</v>
      </c>
      <c r="AN278" s="25">
        <v>100</v>
      </c>
      <c r="AP278" s="25">
        <f t="shared" si="25"/>
        <v>5</v>
      </c>
      <c r="AQ278" s="25" t="str">
        <f>VLOOKUP(C278,'시스템이펙트 참고자료'!$A:$B,2,FALSE)</f>
        <v>ACTIVE_PHYSICAL_CRITICAL</v>
      </c>
      <c r="AS278" s="25">
        <v>1</v>
      </c>
      <c r="BD278" s="25">
        <v>1</v>
      </c>
    </row>
    <row r="279" spans="1:56" hidden="1">
      <c r="A279" s="25">
        <v>274</v>
      </c>
      <c r="B279" s="25" t="str">
        <f>VLOOKUP(C279,'시스템이펙트 참고자료'!$A:$C,2,FALSE)</f>
        <v>ACTIVE_ENERGY_CRITICAL</v>
      </c>
      <c r="C279" s="25">
        <v>633</v>
      </c>
      <c r="D279" s="25">
        <f>VLOOKUP(C279,'시스템이펙트 참고자료'!$A:$D,4,FALSE)</f>
        <v>0</v>
      </c>
      <c r="E279" s="25">
        <v>0</v>
      </c>
      <c r="F279" s="25">
        <v>0</v>
      </c>
      <c r="G279" s="25">
        <f t="shared" si="24"/>
        <v>5</v>
      </c>
      <c r="H279" s="25" t="s">
        <v>395</v>
      </c>
      <c r="I279" s="25">
        <v>1</v>
      </c>
      <c r="J279" s="25" t="str">
        <f>VLOOKUP(C279,'시스템이펙트 참고자료'!$A:$C,3,FALSE)</f>
        <v>절대값/상대값(%) 가능</v>
      </c>
      <c r="K279" s="25">
        <v>5</v>
      </c>
      <c r="M279" s="25">
        <v>7</v>
      </c>
      <c r="N279" s="25">
        <f t="shared" si="23"/>
        <v>24</v>
      </c>
      <c r="O279" s="25">
        <v>1</v>
      </c>
      <c r="P279" s="25">
        <v>1</v>
      </c>
      <c r="Q279" s="25">
        <v>1</v>
      </c>
      <c r="R279" s="25">
        <v>1</v>
      </c>
      <c r="T279" s="25">
        <v>1</v>
      </c>
      <c r="AA279" s="25">
        <f t="shared" si="26"/>
        <v>128</v>
      </c>
      <c r="AK279" s="25">
        <v>1</v>
      </c>
      <c r="AM279" s="25">
        <v>24</v>
      </c>
      <c r="AN279" s="25">
        <v>100</v>
      </c>
      <c r="AP279" s="25">
        <f t="shared" si="25"/>
        <v>5</v>
      </c>
      <c r="AQ279" s="25" t="str">
        <f>VLOOKUP(C279,'시스템이펙트 참고자료'!$A:$B,2,FALSE)</f>
        <v>ACTIVE_ENERGY_CRITICAL</v>
      </c>
      <c r="AS279" s="25">
        <v>1</v>
      </c>
      <c r="BD279" s="25">
        <v>1</v>
      </c>
    </row>
    <row r="280" spans="1:56" hidden="1">
      <c r="A280" s="25">
        <v>275</v>
      </c>
      <c r="B280" s="25" t="str">
        <f>VLOOKUP(C280,'시스템이펙트 참고자료'!$A:$C,2,FALSE)</f>
        <v>ACTIVE_FOC_UP</v>
      </c>
      <c r="C280" s="25">
        <v>612</v>
      </c>
      <c r="D280" s="25">
        <f>VLOOKUP(C280,'시스템이펙트 참고자료'!$A:$D,4,FALSE)</f>
        <v>0</v>
      </c>
      <c r="E280" s="25">
        <v>0</v>
      </c>
      <c r="F280" s="25">
        <v>0</v>
      </c>
      <c r="G280" s="25">
        <f t="shared" si="24"/>
        <v>2</v>
      </c>
      <c r="H280" s="25" t="s">
        <v>395</v>
      </c>
      <c r="I280" s="25">
        <v>1</v>
      </c>
      <c r="J280" s="25" t="str">
        <f>VLOOKUP(C280,'시스템이펙트 참고자료'!$A:$C,3,FALSE)</f>
        <v>절대값/상대값(%) 가능</v>
      </c>
      <c r="K280" s="25">
        <v>5</v>
      </c>
      <c r="M280" s="25">
        <v>8</v>
      </c>
      <c r="N280" s="25">
        <f t="shared" si="23"/>
        <v>53</v>
      </c>
      <c r="O280" s="25">
        <v>1</v>
      </c>
      <c r="P280" s="25">
        <v>1</v>
      </c>
      <c r="Q280" s="25">
        <v>1</v>
      </c>
      <c r="R280" s="25">
        <v>1</v>
      </c>
      <c r="T280" s="25">
        <v>1</v>
      </c>
      <c r="AA280" s="25">
        <f t="shared" si="26"/>
        <v>128</v>
      </c>
      <c r="AK280" s="25">
        <v>1</v>
      </c>
      <c r="AM280" s="25">
        <v>53</v>
      </c>
      <c r="AN280" s="25">
        <v>100</v>
      </c>
      <c r="AP280" s="25">
        <f t="shared" si="25"/>
        <v>2</v>
      </c>
      <c r="AQ280" s="25" t="str">
        <f>VLOOKUP(C280,'시스템이펙트 참고자료'!$A:$B,2,FALSE)</f>
        <v>ACTIVE_FOC_UP</v>
      </c>
      <c r="AS280" s="25">
        <v>1</v>
      </c>
      <c r="BD280" s="25">
        <v>1</v>
      </c>
    </row>
    <row r="281" spans="1:56" hidden="1">
      <c r="A281" s="25">
        <v>276</v>
      </c>
      <c r="B281" s="25" t="str">
        <f>VLOOKUP(C281,'시스템이펙트 참고자료'!$A:$C,2,FALSE)</f>
        <v>ACTIVE_CON_UP</v>
      </c>
      <c r="C281" s="25">
        <v>611</v>
      </c>
      <c r="D281" s="25">
        <f>VLOOKUP(C281,'시스템이펙트 참고자료'!$A:$D,4,FALSE)</f>
        <v>0</v>
      </c>
      <c r="E281" s="25">
        <v>0</v>
      </c>
      <c r="F281" s="25">
        <v>0</v>
      </c>
      <c r="G281" s="25">
        <f t="shared" si="24"/>
        <v>3</v>
      </c>
      <c r="H281" s="25" t="s">
        <v>395</v>
      </c>
      <c r="I281" s="25">
        <v>1</v>
      </c>
      <c r="J281" s="25" t="str">
        <f>VLOOKUP(C281,'시스템이펙트 참고자료'!$A:$C,3,FALSE)</f>
        <v>절대값/상대값(%) 가능</v>
      </c>
      <c r="K281" s="25">
        <v>5</v>
      </c>
      <c r="M281" s="25">
        <v>8</v>
      </c>
      <c r="N281" s="25">
        <f t="shared" si="23"/>
        <v>48</v>
      </c>
      <c r="O281" s="25">
        <v>1</v>
      </c>
      <c r="P281" s="25">
        <v>1</v>
      </c>
      <c r="Q281" s="25">
        <v>1</v>
      </c>
      <c r="R281" s="25">
        <v>1</v>
      </c>
      <c r="T281" s="25">
        <v>1</v>
      </c>
      <c r="AA281" s="25">
        <f t="shared" si="26"/>
        <v>128</v>
      </c>
      <c r="AK281" s="25">
        <v>1</v>
      </c>
      <c r="AM281" s="25">
        <v>48</v>
      </c>
      <c r="AN281" s="25">
        <v>100</v>
      </c>
      <c r="AP281" s="25">
        <f t="shared" si="25"/>
        <v>3</v>
      </c>
      <c r="AQ281" s="25" t="str">
        <f>VLOOKUP(C281,'시스템이펙트 참고자료'!$A:$B,2,FALSE)</f>
        <v>ACTIVE_CON_UP</v>
      </c>
      <c r="AS281" s="25">
        <v>1</v>
      </c>
      <c r="BD281" s="25">
        <v>1</v>
      </c>
    </row>
    <row r="282" spans="1:56" hidden="1">
      <c r="A282" s="25">
        <v>277</v>
      </c>
      <c r="B282" s="25" t="str">
        <f>VLOOKUP(C282,'시스템이펙트 참고자료'!$A:$C,2,FALSE)</f>
        <v>ACTIVE_BLOCK_RATE_UP</v>
      </c>
      <c r="C282" s="25">
        <v>620</v>
      </c>
      <c r="D282" s="25">
        <f>VLOOKUP(C282,'시스템이펙트 참고자료'!$A:$D,4,FALSE)</f>
        <v>0</v>
      </c>
      <c r="E282" s="25">
        <v>0</v>
      </c>
      <c r="F282" s="25">
        <v>0</v>
      </c>
      <c r="G282" s="25">
        <f t="shared" si="24"/>
        <v>1</v>
      </c>
      <c r="H282" s="25" t="s">
        <v>395</v>
      </c>
      <c r="I282" s="25">
        <v>1</v>
      </c>
      <c r="J282" s="25" t="str">
        <f>VLOOKUP(C282,'시스템이펙트 참고자료'!$A:$C,3,FALSE)</f>
        <v>절대값/상대값(%) 가능</v>
      </c>
      <c r="K282" s="25">
        <v>5</v>
      </c>
      <c r="M282" s="25">
        <v>8</v>
      </c>
      <c r="N282" s="25">
        <f t="shared" si="23"/>
        <v>352</v>
      </c>
      <c r="O282" s="25">
        <v>1</v>
      </c>
      <c r="P282" s="25">
        <v>1</v>
      </c>
      <c r="Q282" s="25">
        <v>1</v>
      </c>
      <c r="R282" s="25">
        <v>1</v>
      </c>
      <c r="T282" s="25">
        <v>1</v>
      </c>
      <c r="AA282" s="25">
        <f t="shared" si="26"/>
        <v>128</v>
      </c>
      <c r="AK282" s="25">
        <v>1</v>
      </c>
      <c r="AM282" s="25">
        <v>352</v>
      </c>
      <c r="AN282" s="25">
        <v>100</v>
      </c>
      <c r="AP282" s="25">
        <f t="shared" si="25"/>
        <v>1</v>
      </c>
      <c r="AQ282" s="25" t="str">
        <f>VLOOKUP(C282,'시스템이펙트 참고자료'!$A:$B,2,FALSE)</f>
        <v>ACTIVE_BLOCK_RATE_UP</v>
      </c>
      <c r="AS282" s="25">
        <v>1</v>
      </c>
      <c r="BD282" s="25">
        <v>1</v>
      </c>
    </row>
    <row r="283" spans="1:56" hidden="1">
      <c r="A283" s="25">
        <v>278</v>
      </c>
      <c r="B283" s="25" t="str">
        <f>VLOOKUP(C283,'시스템이펙트 참고자료'!$A:$C,2,FALSE)</f>
        <v>ACTIVE_ENG_UP</v>
      </c>
      <c r="C283" s="25">
        <v>615</v>
      </c>
      <c r="D283" s="25">
        <f>VLOOKUP(C283,'시스템이펙트 참고자료'!$A:$D,4,FALSE)</f>
        <v>0</v>
      </c>
      <c r="E283" s="25">
        <v>0</v>
      </c>
      <c r="F283" s="25">
        <v>0</v>
      </c>
      <c r="G283" s="25">
        <f t="shared" si="24"/>
        <v>2</v>
      </c>
      <c r="H283" s="25" t="s">
        <v>395</v>
      </c>
      <c r="I283" s="25">
        <v>1</v>
      </c>
      <c r="J283" s="25" t="str">
        <f>VLOOKUP(C283,'시스템이펙트 참고자료'!$A:$C,3,FALSE)</f>
        <v>절대값/상대값(%) 가능</v>
      </c>
      <c r="K283" s="25">
        <v>5</v>
      </c>
      <c r="M283" s="25">
        <v>8</v>
      </c>
      <c r="N283" s="25">
        <f t="shared" si="23"/>
        <v>62</v>
      </c>
      <c r="O283" s="25">
        <v>1</v>
      </c>
      <c r="P283" s="25">
        <v>1</v>
      </c>
      <c r="Q283" s="25">
        <v>1</v>
      </c>
      <c r="R283" s="25">
        <v>1</v>
      </c>
      <c r="T283" s="25">
        <v>1</v>
      </c>
      <c r="AA283" s="25">
        <f t="shared" si="26"/>
        <v>128</v>
      </c>
      <c r="AK283" s="25">
        <v>1</v>
      </c>
      <c r="AM283" s="25">
        <v>62</v>
      </c>
      <c r="AN283" s="25">
        <v>100</v>
      </c>
      <c r="AP283" s="25">
        <f t="shared" si="25"/>
        <v>2</v>
      </c>
      <c r="AQ283" s="25" t="str">
        <f>VLOOKUP(C283,'시스템이펙트 참고자료'!$A:$B,2,FALSE)</f>
        <v>ACTIVE_ENG_UP</v>
      </c>
      <c r="AS283" s="25">
        <v>1</v>
      </c>
      <c r="BD283" s="25">
        <v>1</v>
      </c>
    </row>
    <row r="284" spans="1:56" hidden="1">
      <c r="A284" s="25">
        <v>279</v>
      </c>
      <c r="B284" s="25" t="str">
        <f>VLOOKUP(C284,'시스템이펙트 참고자료'!$A:$C,2,FALSE)</f>
        <v>ACTIVE_PHYSICAL_CRITICAL</v>
      </c>
      <c r="C284" s="25">
        <v>632</v>
      </c>
      <c r="D284" s="25">
        <f>VLOOKUP(C284,'시스템이펙트 참고자료'!$A:$D,4,FALSE)</f>
        <v>0</v>
      </c>
      <c r="E284" s="25">
        <v>0</v>
      </c>
      <c r="F284" s="25">
        <v>0</v>
      </c>
      <c r="G284" s="25">
        <f t="shared" si="24"/>
        <v>5</v>
      </c>
      <c r="H284" s="25" t="s">
        <v>395</v>
      </c>
      <c r="I284" s="25">
        <v>1</v>
      </c>
      <c r="J284" s="25" t="str">
        <f>VLOOKUP(C284,'시스템이펙트 참고자료'!$A:$C,3,FALSE)</f>
        <v>절대값/상대값(%) 가능</v>
      </c>
      <c r="K284" s="25">
        <v>5</v>
      </c>
      <c r="M284" s="25">
        <v>9</v>
      </c>
      <c r="N284" s="25">
        <f t="shared" si="23"/>
        <v>21</v>
      </c>
      <c r="O284" s="25">
        <v>1</v>
      </c>
      <c r="P284" s="25">
        <v>1</v>
      </c>
      <c r="Q284" s="25">
        <v>1</v>
      </c>
      <c r="R284" s="25">
        <v>1</v>
      </c>
      <c r="T284" s="25">
        <v>1</v>
      </c>
      <c r="AA284" s="25">
        <f t="shared" si="26"/>
        <v>128</v>
      </c>
      <c r="AK284" s="25">
        <v>1</v>
      </c>
      <c r="AM284" s="25">
        <v>21</v>
      </c>
      <c r="AN284" s="25">
        <v>100</v>
      </c>
      <c r="AP284" s="25">
        <f t="shared" si="25"/>
        <v>5</v>
      </c>
      <c r="AQ284" s="25" t="str">
        <f>VLOOKUP(C284,'시스템이펙트 참고자료'!$A:$B,2,FALSE)</f>
        <v>ACTIVE_PHYSICAL_CRITICAL</v>
      </c>
      <c r="AS284" s="25">
        <v>1</v>
      </c>
      <c r="BD284" s="25">
        <v>1</v>
      </c>
    </row>
    <row r="285" spans="1:56" hidden="1">
      <c r="A285" s="25">
        <v>280</v>
      </c>
      <c r="B285" s="25" t="str">
        <f>VLOOKUP(C285,'시스템이펙트 참고자료'!$A:$C,2,FALSE)</f>
        <v>ACTIVE_ENERGY_CRITICAL</v>
      </c>
      <c r="C285" s="25">
        <v>633</v>
      </c>
      <c r="D285" s="25">
        <f>VLOOKUP(C285,'시스템이펙트 참고자료'!$A:$D,4,FALSE)</f>
        <v>0</v>
      </c>
      <c r="E285" s="25">
        <v>0</v>
      </c>
      <c r="F285" s="25">
        <v>0</v>
      </c>
      <c r="G285" s="25">
        <f t="shared" si="24"/>
        <v>5</v>
      </c>
      <c r="H285" s="25" t="s">
        <v>395</v>
      </c>
      <c r="I285" s="25">
        <v>1</v>
      </c>
      <c r="J285" s="25" t="str">
        <f>VLOOKUP(C285,'시스템이펙트 참고자료'!$A:$C,3,FALSE)</f>
        <v>절대값/상대값(%) 가능</v>
      </c>
      <c r="K285" s="25">
        <v>5</v>
      </c>
      <c r="M285" s="25">
        <v>9</v>
      </c>
      <c r="N285" s="25">
        <f t="shared" si="23"/>
        <v>24</v>
      </c>
      <c r="O285" s="25">
        <v>1</v>
      </c>
      <c r="P285" s="25">
        <v>1</v>
      </c>
      <c r="Q285" s="25">
        <v>1</v>
      </c>
      <c r="R285" s="25">
        <v>1</v>
      </c>
      <c r="T285" s="25">
        <v>1</v>
      </c>
      <c r="AA285" s="25">
        <f t="shared" si="26"/>
        <v>128</v>
      </c>
      <c r="AK285" s="25">
        <v>1</v>
      </c>
      <c r="AM285" s="25">
        <v>24</v>
      </c>
      <c r="AN285" s="25">
        <v>100</v>
      </c>
      <c r="AP285" s="25">
        <f t="shared" si="25"/>
        <v>5</v>
      </c>
      <c r="AQ285" s="25" t="str">
        <f>VLOOKUP(C285,'시스템이펙트 참고자료'!$A:$B,2,FALSE)</f>
        <v>ACTIVE_ENERGY_CRITICAL</v>
      </c>
      <c r="AS285" s="25">
        <v>1</v>
      </c>
      <c r="BD285" s="25">
        <v>1</v>
      </c>
    </row>
    <row r="286" spans="1:56" hidden="1">
      <c r="A286" s="25">
        <v>281</v>
      </c>
      <c r="B286" s="25" t="str">
        <f>VLOOKUP(C286,'시스템이펙트 참고자료'!$A:$C,2,FALSE)</f>
        <v>ACTIVE_DEX_UP</v>
      </c>
      <c r="C286" s="25">
        <v>613</v>
      </c>
      <c r="D286" s="25">
        <f>VLOOKUP(C286,'시스템이펙트 참고자료'!$A:$D,4,FALSE)</f>
        <v>0</v>
      </c>
      <c r="E286" s="25">
        <v>0</v>
      </c>
      <c r="F286" s="25">
        <v>0</v>
      </c>
      <c r="G286" s="25">
        <f t="shared" si="24"/>
        <v>3</v>
      </c>
      <c r="H286" s="25" t="s">
        <v>395</v>
      </c>
      <c r="I286" s="25">
        <v>1</v>
      </c>
      <c r="J286" s="25" t="str">
        <f>VLOOKUP(C286,'시스템이펙트 참고자료'!$A:$C,3,FALSE)</f>
        <v>절대값/상대값(%) 가능</v>
      </c>
      <c r="K286" s="25">
        <v>5</v>
      </c>
      <c r="M286" s="25">
        <v>9</v>
      </c>
      <c r="N286" s="25">
        <f t="shared" si="23"/>
        <v>44</v>
      </c>
      <c r="O286" s="25">
        <v>1</v>
      </c>
      <c r="P286" s="25">
        <v>1</v>
      </c>
      <c r="Q286" s="25">
        <v>1</v>
      </c>
      <c r="R286" s="25">
        <v>1</v>
      </c>
      <c r="T286" s="25">
        <v>1</v>
      </c>
      <c r="AA286" s="25">
        <f t="shared" si="26"/>
        <v>128</v>
      </c>
      <c r="AK286" s="25">
        <v>1</v>
      </c>
      <c r="AM286" s="25">
        <v>44</v>
      </c>
      <c r="AN286" s="25">
        <v>100</v>
      </c>
      <c r="AP286" s="25">
        <f t="shared" si="25"/>
        <v>3</v>
      </c>
      <c r="AQ286" s="25" t="str">
        <f>VLOOKUP(C286,'시스템이펙트 참고자료'!$A:$B,2,FALSE)</f>
        <v>ACTIVE_DEX_UP</v>
      </c>
      <c r="AS286" s="25">
        <v>1</v>
      </c>
      <c r="BD286" s="25">
        <v>1</v>
      </c>
    </row>
    <row r="287" spans="1:56" hidden="1">
      <c r="A287" s="25">
        <v>282</v>
      </c>
      <c r="B287" s="25" t="str">
        <f>VLOOKUP(C287,'시스템이펙트 참고자료'!$A:$C,2,FALSE)</f>
        <v>ACTIVE_FOC_UP</v>
      </c>
      <c r="C287" s="25">
        <v>612</v>
      </c>
      <c r="D287" s="25">
        <f>VLOOKUP(C287,'시스템이펙트 참고자료'!$A:$D,4,FALSE)</f>
        <v>0</v>
      </c>
      <c r="E287" s="25">
        <v>0</v>
      </c>
      <c r="F287" s="25">
        <v>0</v>
      </c>
      <c r="G287" s="25">
        <f t="shared" si="24"/>
        <v>2</v>
      </c>
      <c r="H287" s="25" t="s">
        <v>395</v>
      </c>
      <c r="I287" s="25">
        <v>1</v>
      </c>
      <c r="J287" s="25" t="str">
        <f>VLOOKUP(C287,'시스템이펙트 참고자료'!$A:$C,3,FALSE)</f>
        <v>절대값/상대값(%) 가능</v>
      </c>
      <c r="K287" s="25">
        <v>5</v>
      </c>
      <c r="M287" s="25">
        <v>9</v>
      </c>
      <c r="N287" s="25">
        <f t="shared" si="23"/>
        <v>53</v>
      </c>
      <c r="O287" s="25">
        <v>1</v>
      </c>
      <c r="P287" s="25">
        <v>1</v>
      </c>
      <c r="Q287" s="25">
        <v>1</v>
      </c>
      <c r="R287" s="25">
        <v>1</v>
      </c>
      <c r="T287" s="25">
        <v>1</v>
      </c>
      <c r="AA287" s="25">
        <f t="shared" si="26"/>
        <v>128</v>
      </c>
      <c r="AK287" s="25">
        <v>1</v>
      </c>
      <c r="AM287" s="25">
        <v>53</v>
      </c>
      <c r="AN287" s="25">
        <v>100</v>
      </c>
      <c r="AP287" s="25">
        <f t="shared" si="25"/>
        <v>2</v>
      </c>
      <c r="AQ287" s="25" t="str">
        <f>VLOOKUP(C287,'시스템이펙트 참고자료'!$A:$B,2,FALSE)</f>
        <v>ACTIVE_FOC_UP</v>
      </c>
      <c r="AS287" s="25">
        <v>1</v>
      </c>
      <c r="BD287" s="25">
        <v>1</v>
      </c>
    </row>
    <row r="288" spans="1:56" hidden="1">
      <c r="A288" s="25">
        <v>283</v>
      </c>
      <c r="B288" s="25" t="str">
        <f>VLOOKUP(C288,'시스템이펙트 참고자료'!$A:$C,2,FALSE)</f>
        <v>ACTIVE_PHYSICAL_CRITICAL_DAMAGE_UP</v>
      </c>
      <c r="C288" s="25">
        <v>658</v>
      </c>
      <c r="D288" s="25">
        <f>VLOOKUP(C288,'시스템이펙트 참고자료'!$A:$D,4,FALSE)</f>
        <v>0</v>
      </c>
      <c r="E288" s="25">
        <v>0</v>
      </c>
      <c r="F288" s="25">
        <v>0</v>
      </c>
      <c r="G288" s="25">
        <f t="shared" si="24"/>
        <v>4</v>
      </c>
      <c r="H288" s="25" t="s">
        <v>395</v>
      </c>
      <c r="I288" s="25">
        <v>1</v>
      </c>
      <c r="J288" s="25" t="str">
        <f>VLOOKUP(C288,'시스템이펙트 참고자료'!$A:$C,3,FALSE)</f>
        <v>절대값만 가능</v>
      </c>
      <c r="K288" s="25">
        <v>5</v>
      </c>
      <c r="M288" s="25">
        <v>10</v>
      </c>
      <c r="N288" s="25">
        <f t="shared" si="23"/>
        <v>28</v>
      </c>
      <c r="O288" s="25">
        <v>1</v>
      </c>
      <c r="P288" s="25">
        <v>1</v>
      </c>
      <c r="Q288" s="25">
        <v>1</v>
      </c>
      <c r="R288" s="25">
        <v>1</v>
      </c>
      <c r="T288" s="25">
        <v>1</v>
      </c>
      <c r="AA288" s="25">
        <f t="shared" si="26"/>
        <v>128</v>
      </c>
      <c r="AK288" s="25">
        <v>1</v>
      </c>
      <c r="AM288" s="25">
        <v>28</v>
      </c>
      <c r="AN288" s="25">
        <v>100</v>
      </c>
      <c r="AP288" s="25">
        <f t="shared" si="25"/>
        <v>4</v>
      </c>
      <c r="AQ288" s="25" t="str">
        <f>VLOOKUP(C288,'시스템이펙트 참고자료'!$A:$B,2,FALSE)</f>
        <v>ACTIVE_PHYSICAL_CRITICAL_DAMAGE_UP</v>
      </c>
      <c r="AS288" s="25">
        <v>1</v>
      </c>
      <c r="BD288" s="25">
        <v>1</v>
      </c>
    </row>
    <row r="289" spans="1:56" hidden="1">
      <c r="A289" s="25">
        <v>284</v>
      </c>
      <c r="B289" s="25" t="str">
        <f>VLOOKUP(C289,'시스템이펙트 참고자료'!$A:$C,2,FALSE)</f>
        <v>ACTIVE_ENERGY_CRITICAL_DAMAGE_UP</v>
      </c>
      <c r="C289" s="25">
        <v>659</v>
      </c>
      <c r="D289" s="25">
        <f>VLOOKUP(C289,'시스템이펙트 참고자료'!$A:$D,4,FALSE)</f>
        <v>0</v>
      </c>
      <c r="E289" s="25">
        <v>0</v>
      </c>
      <c r="F289" s="25">
        <v>0</v>
      </c>
      <c r="G289" s="25">
        <f t="shared" si="24"/>
        <v>4</v>
      </c>
      <c r="H289" s="25" t="s">
        <v>395</v>
      </c>
      <c r="I289" s="25">
        <v>1</v>
      </c>
      <c r="J289" s="25" t="str">
        <f>VLOOKUP(C289,'시스템이펙트 참고자료'!$A:$C,3,FALSE)</f>
        <v>절대값만 가능</v>
      </c>
      <c r="K289" s="25">
        <v>5</v>
      </c>
      <c r="M289" s="25">
        <v>10</v>
      </c>
      <c r="N289" s="25">
        <f t="shared" si="23"/>
        <v>32</v>
      </c>
      <c r="O289" s="25">
        <v>1</v>
      </c>
      <c r="P289" s="25">
        <v>1</v>
      </c>
      <c r="Q289" s="25">
        <v>1</v>
      </c>
      <c r="R289" s="25">
        <v>1</v>
      </c>
      <c r="T289" s="25">
        <v>1</v>
      </c>
      <c r="AA289" s="25">
        <f t="shared" si="26"/>
        <v>128</v>
      </c>
      <c r="AK289" s="25">
        <v>1</v>
      </c>
      <c r="AM289" s="25">
        <v>32</v>
      </c>
      <c r="AN289" s="25">
        <v>100</v>
      </c>
      <c r="AP289" s="25">
        <f t="shared" si="25"/>
        <v>4</v>
      </c>
      <c r="AQ289" s="25" t="str">
        <f>VLOOKUP(C289,'시스템이펙트 참고자료'!$A:$B,2,FALSE)</f>
        <v>ACTIVE_ENERGY_CRITICAL_DAMAGE_UP</v>
      </c>
      <c r="AS289" s="25">
        <v>1</v>
      </c>
      <c r="BD289" s="25">
        <v>1</v>
      </c>
    </row>
    <row r="290" spans="1:56" hidden="1">
      <c r="A290" s="25">
        <v>285</v>
      </c>
      <c r="B290" s="25" t="str">
        <f>VLOOKUP(C290,'시스템이펙트 참고자료'!$A:$C,2,FALSE)</f>
        <v>ACTIVE_DEX_UP</v>
      </c>
      <c r="C290" s="25">
        <v>613</v>
      </c>
      <c r="D290" s="25">
        <f>VLOOKUP(C290,'시스템이펙트 참고자료'!$A:$D,4,FALSE)</f>
        <v>0</v>
      </c>
      <c r="E290" s="25">
        <v>0</v>
      </c>
      <c r="F290" s="25">
        <v>0</v>
      </c>
      <c r="G290" s="25">
        <f t="shared" si="24"/>
        <v>3</v>
      </c>
      <c r="H290" s="25" t="s">
        <v>395</v>
      </c>
      <c r="I290" s="25">
        <v>1</v>
      </c>
      <c r="J290" s="25" t="str">
        <f>VLOOKUP(C290,'시스템이펙트 참고자료'!$A:$C,3,FALSE)</f>
        <v>절대값/상대값(%) 가능</v>
      </c>
      <c r="K290" s="25">
        <v>5</v>
      </c>
      <c r="M290" s="25">
        <v>10</v>
      </c>
      <c r="N290" s="25">
        <f t="shared" si="23"/>
        <v>44</v>
      </c>
      <c r="O290" s="25">
        <v>1</v>
      </c>
      <c r="P290" s="25">
        <v>1</v>
      </c>
      <c r="Q290" s="25">
        <v>1</v>
      </c>
      <c r="R290" s="25">
        <v>1</v>
      </c>
      <c r="T290" s="25">
        <v>1</v>
      </c>
      <c r="AA290" s="25">
        <f t="shared" si="26"/>
        <v>128</v>
      </c>
      <c r="AK290" s="25">
        <v>1</v>
      </c>
      <c r="AM290" s="25">
        <v>44</v>
      </c>
      <c r="AN290" s="25">
        <v>100</v>
      </c>
      <c r="AP290" s="25">
        <f t="shared" si="25"/>
        <v>3</v>
      </c>
      <c r="AQ290" s="25" t="str">
        <f>VLOOKUP(C290,'시스템이펙트 참고자료'!$A:$B,2,FALSE)</f>
        <v>ACTIVE_DEX_UP</v>
      </c>
      <c r="AS290" s="25">
        <v>1</v>
      </c>
      <c r="BD290" s="25">
        <v>1</v>
      </c>
    </row>
    <row r="291" spans="1:56" hidden="1">
      <c r="A291" s="25">
        <v>286</v>
      </c>
      <c r="B291" s="25" t="str">
        <f>VLOOKUP(C291,'시스템이펙트 참고자료'!$A:$C,2,FALSE)</f>
        <v>ACTIVE_ATTACK_SPEED_UP</v>
      </c>
      <c r="C291" s="25">
        <v>617</v>
      </c>
      <c r="D291" s="25">
        <f>VLOOKUP(C291,'시스템이펙트 참고자료'!$A:$D,4,FALSE)</f>
        <v>1</v>
      </c>
      <c r="E291" s="25">
        <v>0</v>
      </c>
      <c r="F291" s="25">
        <v>0</v>
      </c>
      <c r="G291" s="25">
        <f t="shared" si="24"/>
        <v>10</v>
      </c>
      <c r="H291" s="25" t="s">
        <v>395</v>
      </c>
      <c r="I291" s="25">
        <v>1</v>
      </c>
      <c r="J291" s="25" t="str">
        <f>VLOOKUP(C291,'시스템이펙트 참고자료'!$A:$C,3,FALSE)</f>
        <v>절대값/상대값(%) 가능</v>
      </c>
      <c r="K291" s="25">
        <v>5</v>
      </c>
      <c r="M291" s="25">
        <v>10</v>
      </c>
      <c r="N291" s="25">
        <f t="shared" si="23"/>
        <v>10</v>
      </c>
      <c r="O291" s="25">
        <v>1</v>
      </c>
      <c r="P291" s="25">
        <v>1</v>
      </c>
      <c r="Q291" s="25">
        <v>1</v>
      </c>
      <c r="R291" s="25">
        <v>1</v>
      </c>
      <c r="T291" s="25">
        <v>1</v>
      </c>
      <c r="AA291" s="25">
        <f t="shared" si="26"/>
        <v>128</v>
      </c>
      <c r="AK291" s="25">
        <v>1</v>
      </c>
      <c r="AM291" s="25">
        <v>10</v>
      </c>
      <c r="AN291" s="25">
        <v>100</v>
      </c>
      <c r="AP291" s="25">
        <f t="shared" si="25"/>
        <v>10</v>
      </c>
      <c r="AQ291" s="25" t="str">
        <f>VLOOKUP(C291,'시스템이펙트 참고자료'!$A:$B,2,FALSE)</f>
        <v>ACTIVE_ATTACK_SPEED_UP</v>
      </c>
      <c r="AS291" s="25">
        <v>1</v>
      </c>
      <c r="BD291" s="25">
        <v>1</v>
      </c>
    </row>
    <row r="292" spans="1:56" hidden="1">
      <c r="A292" s="25">
        <v>287</v>
      </c>
      <c r="B292" s="25" t="str">
        <f>VLOOKUP(C292,'시스템이펙트 참고자료'!$A:$C,2,FALSE)</f>
        <v>ACTIVE_STR_UP</v>
      </c>
      <c r="C292" s="25">
        <v>610</v>
      </c>
      <c r="D292" s="25">
        <f>VLOOKUP(C292,'시스템이펙트 참고자료'!$A:$D,4,FALSE)</f>
        <v>0</v>
      </c>
      <c r="E292" s="25">
        <v>0</v>
      </c>
      <c r="F292" s="25">
        <v>0</v>
      </c>
      <c r="G292" s="25">
        <f t="shared" si="24"/>
        <v>2</v>
      </c>
      <c r="H292" s="25" t="s">
        <v>395</v>
      </c>
      <c r="I292" s="25">
        <v>1</v>
      </c>
      <c r="J292" s="25" t="str">
        <f>VLOOKUP(C292,'시스템이펙트 참고자료'!$A:$C,3,FALSE)</f>
        <v>절대값/상대값(%) 가능</v>
      </c>
      <c r="K292" s="25">
        <v>5</v>
      </c>
      <c r="M292" s="25">
        <v>11</v>
      </c>
      <c r="N292" s="25">
        <f t="shared" si="23"/>
        <v>57</v>
      </c>
      <c r="O292" s="25">
        <v>1</v>
      </c>
      <c r="P292" s="25">
        <v>1</v>
      </c>
      <c r="Q292" s="25">
        <v>1</v>
      </c>
      <c r="R292" s="25">
        <v>1</v>
      </c>
      <c r="T292" s="25">
        <v>1</v>
      </c>
      <c r="AA292" s="25">
        <f t="shared" si="26"/>
        <v>128</v>
      </c>
      <c r="AK292" s="25">
        <v>1</v>
      </c>
      <c r="AM292" s="25">
        <v>57</v>
      </c>
      <c r="AN292" s="25">
        <v>100</v>
      </c>
      <c r="AP292" s="25">
        <f t="shared" si="25"/>
        <v>2</v>
      </c>
      <c r="AQ292" s="25" t="str">
        <f>VLOOKUP(C292,'시스템이펙트 참고자료'!$A:$B,2,FALSE)</f>
        <v>ACTIVE_STR_UP</v>
      </c>
      <c r="AS292" s="25">
        <v>1</v>
      </c>
      <c r="BD292" s="25">
        <v>1</v>
      </c>
    </row>
    <row r="293" spans="1:56" hidden="1">
      <c r="A293" s="25">
        <v>288</v>
      </c>
      <c r="B293" s="25" t="str">
        <f>VLOOKUP(C293,'시스템이펙트 참고자료'!$A:$C,2,FALSE)</f>
        <v>ACTIVE_CON_UP</v>
      </c>
      <c r="C293" s="25">
        <v>611</v>
      </c>
      <c r="D293" s="25">
        <f>VLOOKUP(C293,'시스템이펙트 참고자료'!$A:$D,4,FALSE)</f>
        <v>0</v>
      </c>
      <c r="E293" s="25">
        <v>0</v>
      </c>
      <c r="F293" s="25">
        <v>0</v>
      </c>
      <c r="G293" s="25">
        <f t="shared" si="24"/>
        <v>3</v>
      </c>
      <c r="H293" s="25" t="s">
        <v>395</v>
      </c>
      <c r="I293" s="25">
        <v>1</v>
      </c>
      <c r="J293" s="25" t="str">
        <f>VLOOKUP(C293,'시스템이펙트 참고자료'!$A:$C,3,FALSE)</f>
        <v>절대값/상대값(%) 가능</v>
      </c>
      <c r="K293" s="25">
        <v>5</v>
      </c>
      <c r="M293" s="25">
        <v>11</v>
      </c>
      <c r="N293" s="25">
        <f t="shared" si="23"/>
        <v>48</v>
      </c>
      <c r="O293" s="25">
        <v>1</v>
      </c>
      <c r="P293" s="25">
        <v>1</v>
      </c>
      <c r="Q293" s="25">
        <v>1</v>
      </c>
      <c r="R293" s="25">
        <v>1</v>
      </c>
      <c r="T293" s="25">
        <v>1</v>
      </c>
      <c r="AA293" s="25">
        <f t="shared" si="26"/>
        <v>128</v>
      </c>
      <c r="AK293" s="25">
        <v>1</v>
      </c>
      <c r="AM293" s="25">
        <v>48</v>
      </c>
      <c r="AN293" s="25">
        <v>100</v>
      </c>
      <c r="AP293" s="25">
        <f t="shared" si="25"/>
        <v>3</v>
      </c>
      <c r="AQ293" s="25" t="str">
        <f>VLOOKUP(C293,'시스템이펙트 참고자료'!$A:$B,2,FALSE)</f>
        <v>ACTIVE_CON_UP</v>
      </c>
      <c r="AS293" s="25">
        <v>1</v>
      </c>
      <c r="BD293" s="25">
        <v>1</v>
      </c>
    </row>
    <row r="294" spans="1:56" hidden="1">
      <c r="A294" s="25">
        <v>289</v>
      </c>
      <c r="B294" s="25" t="str">
        <f>VLOOKUP(C294,'시스템이펙트 참고자료'!$A:$C,2,FALSE)</f>
        <v>ACTIVE_FOC_UP</v>
      </c>
      <c r="C294" s="25">
        <v>612</v>
      </c>
      <c r="D294" s="25">
        <f>VLOOKUP(C294,'시스템이펙트 참고자료'!$A:$D,4,FALSE)</f>
        <v>0</v>
      </c>
      <c r="E294" s="25">
        <v>0</v>
      </c>
      <c r="F294" s="25">
        <v>0</v>
      </c>
      <c r="G294" s="25">
        <f t="shared" si="24"/>
        <v>2</v>
      </c>
      <c r="H294" s="25" t="s">
        <v>395</v>
      </c>
      <c r="I294" s="25">
        <v>1</v>
      </c>
      <c r="J294" s="25" t="str">
        <f>VLOOKUP(C294,'시스템이펙트 참고자료'!$A:$C,3,FALSE)</f>
        <v>절대값/상대값(%) 가능</v>
      </c>
      <c r="K294" s="25">
        <v>5</v>
      </c>
      <c r="M294" s="25">
        <v>11</v>
      </c>
      <c r="N294" s="25">
        <f t="shared" si="23"/>
        <v>53</v>
      </c>
      <c r="O294" s="25">
        <v>1</v>
      </c>
      <c r="P294" s="25">
        <v>1</v>
      </c>
      <c r="Q294" s="25">
        <v>1</v>
      </c>
      <c r="R294" s="25">
        <v>1</v>
      </c>
      <c r="T294" s="25">
        <v>1</v>
      </c>
      <c r="AA294" s="25">
        <f t="shared" si="26"/>
        <v>128</v>
      </c>
      <c r="AK294" s="25">
        <v>1</v>
      </c>
      <c r="AM294" s="25">
        <v>53</v>
      </c>
      <c r="AN294" s="25">
        <v>100</v>
      </c>
      <c r="AP294" s="25">
        <f t="shared" si="25"/>
        <v>2</v>
      </c>
      <c r="AQ294" s="25" t="str">
        <f>VLOOKUP(C294,'시스템이펙트 참고자료'!$A:$B,2,FALSE)</f>
        <v>ACTIVE_FOC_UP</v>
      </c>
      <c r="AS294" s="25">
        <v>1</v>
      </c>
      <c r="BD294" s="25">
        <v>1</v>
      </c>
    </row>
    <row r="295" spans="1:56" hidden="1">
      <c r="A295" s="25">
        <v>290</v>
      </c>
      <c r="B295" s="25" t="str">
        <f>VLOOKUP(C295,'시스템이펙트 참고자료'!$A:$C,2,FALSE)</f>
        <v>ACTIVE_DEX_UP</v>
      </c>
      <c r="C295" s="25">
        <v>613</v>
      </c>
      <c r="D295" s="25">
        <f>VLOOKUP(C295,'시스템이펙트 참고자료'!$A:$D,4,FALSE)</f>
        <v>0</v>
      </c>
      <c r="E295" s="25">
        <v>0</v>
      </c>
      <c r="F295" s="25">
        <v>0</v>
      </c>
      <c r="G295" s="25">
        <f t="shared" si="24"/>
        <v>3</v>
      </c>
      <c r="H295" s="25" t="s">
        <v>395</v>
      </c>
      <c r="I295" s="25">
        <v>1</v>
      </c>
      <c r="J295" s="25" t="str">
        <f>VLOOKUP(C295,'시스템이펙트 참고자료'!$A:$C,3,FALSE)</f>
        <v>절대값/상대값(%) 가능</v>
      </c>
      <c r="K295" s="25">
        <v>5</v>
      </c>
      <c r="M295" s="25">
        <v>11</v>
      </c>
      <c r="N295" s="25">
        <f t="shared" si="23"/>
        <v>44</v>
      </c>
      <c r="O295" s="25">
        <v>1</v>
      </c>
      <c r="P295" s="25">
        <v>1</v>
      </c>
      <c r="Q295" s="25">
        <v>1</v>
      </c>
      <c r="R295" s="25">
        <v>1</v>
      </c>
      <c r="T295" s="25">
        <v>1</v>
      </c>
      <c r="AA295" s="25">
        <f t="shared" si="26"/>
        <v>128</v>
      </c>
      <c r="AK295" s="25">
        <v>1</v>
      </c>
      <c r="AM295" s="25">
        <v>44</v>
      </c>
      <c r="AN295" s="25">
        <v>100</v>
      </c>
      <c r="AP295" s="25">
        <f t="shared" si="25"/>
        <v>3</v>
      </c>
      <c r="AQ295" s="25" t="str">
        <f>VLOOKUP(C295,'시스템이펙트 참고자료'!$A:$B,2,FALSE)</f>
        <v>ACTIVE_DEX_UP</v>
      </c>
      <c r="AS295" s="25">
        <v>1</v>
      </c>
      <c r="BD295" s="25">
        <v>1</v>
      </c>
    </row>
    <row r="296" spans="1:56" hidden="1">
      <c r="A296" s="25">
        <v>291</v>
      </c>
      <c r="B296" s="25" t="str">
        <f>VLOOKUP(C296,'시스템이펙트 참고자료'!$A:$C,2,FALSE)</f>
        <v>ACTIVE_SOL_UP</v>
      </c>
      <c r="C296" s="25">
        <v>614</v>
      </c>
      <c r="D296" s="25">
        <f>VLOOKUP(C296,'시스템이펙트 참고자료'!$A:$D,4,FALSE)</f>
        <v>0</v>
      </c>
      <c r="E296" s="25">
        <v>0</v>
      </c>
      <c r="F296" s="25">
        <v>0</v>
      </c>
      <c r="G296" s="25">
        <f t="shared" si="24"/>
        <v>2</v>
      </c>
      <c r="H296" s="25" t="s">
        <v>395</v>
      </c>
      <c r="I296" s="25">
        <v>1</v>
      </c>
      <c r="J296" s="25" t="str">
        <f>VLOOKUP(C296,'시스템이펙트 참고자료'!$A:$C,3,FALSE)</f>
        <v>절대값/상대값(%) 가능</v>
      </c>
      <c r="K296" s="25">
        <v>5</v>
      </c>
      <c r="M296" s="25">
        <v>11</v>
      </c>
      <c r="N296" s="25">
        <f t="shared" si="23"/>
        <v>53</v>
      </c>
      <c r="O296" s="25">
        <v>1</v>
      </c>
      <c r="P296" s="25">
        <v>1</v>
      </c>
      <c r="Q296" s="25">
        <v>1</v>
      </c>
      <c r="R296" s="25">
        <v>1</v>
      </c>
      <c r="T296" s="25">
        <v>1</v>
      </c>
      <c r="AA296" s="25">
        <f t="shared" si="26"/>
        <v>128</v>
      </c>
      <c r="AK296" s="25">
        <v>1</v>
      </c>
      <c r="AM296" s="25">
        <v>53</v>
      </c>
      <c r="AN296" s="25">
        <v>100</v>
      </c>
      <c r="AP296" s="25">
        <f t="shared" si="25"/>
        <v>2</v>
      </c>
      <c r="AQ296" s="25" t="str">
        <f>VLOOKUP(C296,'시스템이펙트 참고자료'!$A:$B,2,FALSE)</f>
        <v>ACTIVE_SOL_UP</v>
      </c>
      <c r="AS296" s="25">
        <v>1</v>
      </c>
      <c r="BD296" s="25">
        <v>1</v>
      </c>
    </row>
    <row r="297" spans="1:56" hidden="1">
      <c r="A297" s="25">
        <v>292</v>
      </c>
      <c r="B297" s="25" t="str">
        <f>VLOOKUP(C297,'시스템이펙트 참고자료'!$A:$C,2,FALSE)</f>
        <v>ACTIVE_ENG_UP</v>
      </c>
      <c r="C297" s="25">
        <v>615</v>
      </c>
      <c r="D297" s="25">
        <f>VLOOKUP(C297,'시스템이펙트 참고자료'!$A:$D,4,FALSE)</f>
        <v>0</v>
      </c>
      <c r="E297" s="25">
        <v>0</v>
      </c>
      <c r="F297" s="25">
        <v>0</v>
      </c>
      <c r="G297" s="25">
        <f t="shared" si="24"/>
        <v>2</v>
      </c>
      <c r="H297" s="25" t="s">
        <v>395</v>
      </c>
      <c r="I297" s="25">
        <v>1</v>
      </c>
      <c r="J297" s="25" t="str">
        <f>VLOOKUP(C297,'시스템이펙트 참고자료'!$A:$C,3,FALSE)</f>
        <v>절대값/상대값(%) 가능</v>
      </c>
      <c r="K297" s="25">
        <v>5</v>
      </c>
      <c r="M297" s="25">
        <v>11</v>
      </c>
      <c r="N297" s="25">
        <f t="shared" si="23"/>
        <v>62</v>
      </c>
      <c r="O297" s="25">
        <v>1</v>
      </c>
      <c r="P297" s="25">
        <v>1</v>
      </c>
      <c r="Q297" s="25">
        <v>1</v>
      </c>
      <c r="R297" s="25">
        <v>1</v>
      </c>
      <c r="T297" s="25">
        <v>1</v>
      </c>
      <c r="AA297" s="25">
        <f t="shared" si="26"/>
        <v>128</v>
      </c>
      <c r="AK297" s="25">
        <v>1</v>
      </c>
      <c r="AM297" s="25">
        <v>62</v>
      </c>
      <c r="AN297" s="25">
        <v>100</v>
      </c>
      <c r="AP297" s="25">
        <f t="shared" si="25"/>
        <v>2</v>
      </c>
      <c r="AQ297" s="25" t="str">
        <f>VLOOKUP(C297,'시스템이펙트 참고자료'!$A:$B,2,FALSE)</f>
        <v>ACTIVE_ENG_UP</v>
      </c>
      <c r="AS297" s="25">
        <v>1</v>
      </c>
      <c r="BD297" s="25">
        <v>1</v>
      </c>
    </row>
    <row r="298" spans="1:56" hidden="1">
      <c r="A298" s="25">
        <v>293</v>
      </c>
      <c r="B298" s="25" t="str">
        <f>VLOOKUP(C298,'시스템이펙트 참고자료'!$A:$C,2,FALSE)</f>
        <v>ACTIVE_PHYSICAL_DEFENCE_UP</v>
      </c>
      <c r="C298" s="25">
        <v>608</v>
      </c>
      <c r="D298" s="25">
        <f>VLOOKUP(C298,'시스템이펙트 참고자료'!$A:$D,4,FALSE)</f>
        <v>0</v>
      </c>
      <c r="E298" s="25">
        <v>0</v>
      </c>
      <c r="F298" s="25">
        <v>0</v>
      </c>
      <c r="G298" s="25">
        <f t="shared" si="24"/>
        <v>1</v>
      </c>
      <c r="H298" s="25" t="s">
        <v>395</v>
      </c>
      <c r="I298" s="25">
        <v>1</v>
      </c>
      <c r="J298" s="25" t="str">
        <f>VLOOKUP(C298,'시스템이펙트 참고자료'!$A:$C,3,FALSE)</f>
        <v>절대값/상대값(%) 가능</v>
      </c>
      <c r="K298" s="25">
        <v>5</v>
      </c>
      <c r="M298" s="25">
        <v>12</v>
      </c>
      <c r="N298" s="25">
        <f t="shared" si="23"/>
        <v>1350</v>
      </c>
      <c r="O298" s="25">
        <v>1</v>
      </c>
      <c r="P298" s="25">
        <v>1</v>
      </c>
      <c r="Q298" s="25">
        <v>1</v>
      </c>
      <c r="R298" s="25">
        <v>1</v>
      </c>
      <c r="T298" s="25">
        <v>1</v>
      </c>
      <c r="AA298" s="25">
        <f t="shared" si="26"/>
        <v>128</v>
      </c>
      <c r="AK298" s="25">
        <v>1</v>
      </c>
      <c r="AM298" s="25">
        <v>1350</v>
      </c>
      <c r="AN298" s="25">
        <v>100</v>
      </c>
      <c r="AP298" s="25">
        <f t="shared" si="25"/>
        <v>1</v>
      </c>
      <c r="AQ298" s="25" t="str">
        <f>VLOOKUP(C298,'시스템이펙트 참고자료'!$A:$B,2,FALSE)</f>
        <v>ACTIVE_PHYSICAL_DEFENCE_UP</v>
      </c>
      <c r="AS298" s="25">
        <v>1</v>
      </c>
      <c r="BD298" s="25">
        <v>1</v>
      </c>
    </row>
    <row r="299" spans="1:56" hidden="1">
      <c r="A299" s="25">
        <v>294</v>
      </c>
      <c r="B299" s="25" t="str">
        <f>VLOOKUP(C299,'시스템이펙트 참고자료'!$A:$C,2,FALSE)</f>
        <v>ACTIVE_BLOCK_RATE_UP</v>
      </c>
      <c r="C299" s="25">
        <v>620</v>
      </c>
      <c r="D299" s="25">
        <f>VLOOKUP(C299,'시스템이펙트 참고자료'!$A:$D,4,FALSE)</f>
        <v>0</v>
      </c>
      <c r="E299" s="25">
        <v>0</v>
      </c>
      <c r="F299" s="25">
        <v>0</v>
      </c>
      <c r="G299" s="25">
        <f t="shared" si="24"/>
        <v>1</v>
      </c>
      <c r="H299" s="25" t="s">
        <v>395</v>
      </c>
      <c r="I299" s="25">
        <v>1</v>
      </c>
      <c r="J299" s="25" t="str">
        <f>VLOOKUP(C299,'시스템이펙트 참고자료'!$A:$C,3,FALSE)</f>
        <v>절대값/상대값(%) 가능</v>
      </c>
      <c r="K299" s="25">
        <v>5</v>
      </c>
      <c r="M299" s="25">
        <v>12</v>
      </c>
      <c r="N299" s="25">
        <f t="shared" si="23"/>
        <v>352</v>
      </c>
      <c r="O299" s="25">
        <v>1</v>
      </c>
      <c r="P299" s="25">
        <v>1</v>
      </c>
      <c r="Q299" s="25">
        <v>1</v>
      </c>
      <c r="R299" s="25">
        <v>1</v>
      </c>
      <c r="T299" s="25">
        <v>1</v>
      </c>
      <c r="AA299" s="25">
        <f t="shared" si="26"/>
        <v>128</v>
      </c>
      <c r="AK299" s="25">
        <v>1</v>
      </c>
      <c r="AM299" s="25">
        <v>352</v>
      </c>
      <c r="AN299" s="25">
        <v>100</v>
      </c>
      <c r="AP299" s="25">
        <f t="shared" si="25"/>
        <v>1</v>
      </c>
      <c r="AQ299" s="25" t="str">
        <f>VLOOKUP(C299,'시스템이펙트 참고자료'!$A:$B,2,FALSE)</f>
        <v>ACTIVE_BLOCK_RATE_UP</v>
      </c>
      <c r="AS299" s="25">
        <v>1</v>
      </c>
      <c r="BD299" s="25">
        <v>1</v>
      </c>
    </row>
    <row r="300" spans="1:56" hidden="1">
      <c r="A300" s="25">
        <v>295</v>
      </c>
      <c r="B300" s="25" t="str">
        <f>VLOOKUP(C300,'시스템이펙트 참고자료'!$A:$C,2,FALSE)</f>
        <v>ACTIVE_CON_UP</v>
      </c>
      <c r="C300" s="25">
        <v>611</v>
      </c>
      <c r="D300" s="25">
        <f>VLOOKUP(C300,'시스템이펙트 참고자료'!$A:$D,4,FALSE)</f>
        <v>0</v>
      </c>
      <c r="E300" s="25">
        <v>0</v>
      </c>
      <c r="F300" s="25">
        <v>0</v>
      </c>
      <c r="G300" s="25">
        <f t="shared" si="24"/>
        <v>3</v>
      </c>
      <c r="H300" s="25" t="s">
        <v>395</v>
      </c>
      <c r="I300" s="25">
        <v>1</v>
      </c>
      <c r="J300" s="25" t="str">
        <f>VLOOKUP(C300,'시스템이펙트 참고자료'!$A:$C,3,FALSE)</f>
        <v>절대값/상대값(%) 가능</v>
      </c>
      <c r="K300" s="25">
        <v>5</v>
      </c>
      <c r="M300" s="25">
        <v>12</v>
      </c>
      <c r="N300" s="25">
        <f t="shared" si="23"/>
        <v>48</v>
      </c>
      <c r="O300" s="25">
        <v>1</v>
      </c>
      <c r="P300" s="25">
        <v>1</v>
      </c>
      <c r="Q300" s="25">
        <v>1</v>
      </c>
      <c r="R300" s="25">
        <v>1</v>
      </c>
      <c r="T300" s="25">
        <v>1</v>
      </c>
      <c r="AA300" s="25">
        <f t="shared" si="26"/>
        <v>128</v>
      </c>
      <c r="AK300" s="25">
        <v>1</v>
      </c>
      <c r="AM300" s="25">
        <v>48</v>
      </c>
      <c r="AN300" s="25">
        <v>100</v>
      </c>
      <c r="AP300" s="25">
        <f t="shared" si="25"/>
        <v>3</v>
      </c>
      <c r="AQ300" s="25" t="str">
        <f>VLOOKUP(C300,'시스템이펙트 참고자료'!$A:$B,2,FALSE)</f>
        <v>ACTIVE_CON_UP</v>
      </c>
      <c r="AS300" s="25">
        <v>1</v>
      </c>
      <c r="BD300" s="25">
        <v>1</v>
      </c>
    </row>
    <row r="301" spans="1:56" hidden="1">
      <c r="A301" s="25">
        <v>296</v>
      </c>
      <c r="B301" s="25" t="str">
        <f>VLOOKUP(C301,'시스템이펙트 참고자료'!$A:$C,2,FALSE)</f>
        <v>ACTIVE_FOC_UP</v>
      </c>
      <c r="C301" s="25">
        <v>612</v>
      </c>
      <c r="D301" s="25">
        <f>VLOOKUP(C301,'시스템이펙트 참고자료'!$A:$D,4,FALSE)</f>
        <v>0</v>
      </c>
      <c r="E301" s="25">
        <v>0</v>
      </c>
      <c r="F301" s="25">
        <v>0</v>
      </c>
      <c r="G301" s="25">
        <f t="shared" si="24"/>
        <v>2</v>
      </c>
      <c r="H301" s="25" t="s">
        <v>395</v>
      </c>
      <c r="I301" s="25">
        <v>1</v>
      </c>
      <c r="J301" s="25" t="str">
        <f>VLOOKUP(C301,'시스템이펙트 참고자료'!$A:$C,3,FALSE)</f>
        <v>절대값/상대값(%) 가능</v>
      </c>
      <c r="K301" s="25">
        <v>5</v>
      </c>
      <c r="M301" s="25">
        <v>12</v>
      </c>
      <c r="N301" s="25">
        <f t="shared" si="23"/>
        <v>53</v>
      </c>
      <c r="O301" s="25">
        <v>1</v>
      </c>
      <c r="P301" s="25">
        <v>1</v>
      </c>
      <c r="Q301" s="25">
        <v>1</v>
      </c>
      <c r="R301" s="25">
        <v>1</v>
      </c>
      <c r="T301" s="25">
        <v>1</v>
      </c>
      <c r="AA301" s="25">
        <f t="shared" si="26"/>
        <v>128</v>
      </c>
      <c r="AK301" s="25">
        <v>1</v>
      </c>
      <c r="AM301" s="25">
        <v>53</v>
      </c>
      <c r="AN301" s="25">
        <v>100</v>
      </c>
      <c r="AP301" s="25">
        <f t="shared" si="25"/>
        <v>2</v>
      </c>
      <c r="AQ301" s="25" t="str">
        <f>VLOOKUP(C301,'시스템이펙트 참고자료'!$A:$B,2,FALSE)</f>
        <v>ACTIVE_FOC_UP</v>
      </c>
      <c r="AS301" s="25">
        <v>1</v>
      </c>
      <c r="BD301" s="25">
        <v>1</v>
      </c>
    </row>
    <row r="302" spans="1:56" hidden="1">
      <c r="A302" s="25">
        <v>297</v>
      </c>
      <c r="B302" s="25" t="str">
        <f>VLOOKUP(C302,'시스템이펙트 참고자료'!$A:$C,2,FALSE)</f>
        <v>ACTIVE_ENERGY_OFFENCE_UP</v>
      </c>
      <c r="C302" s="25">
        <v>607</v>
      </c>
      <c r="D302" s="25">
        <f>VLOOKUP(C302,'시스템이펙트 참고자료'!$A:$D,4,FALSE)</f>
        <v>0</v>
      </c>
      <c r="E302" s="25">
        <v>0</v>
      </c>
      <c r="F302" s="25">
        <v>0</v>
      </c>
      <c r="G302" s="25">
        <f t="shared" si="24"/>
        <v>1</v>
      </c>
      <c r="H302" s="25" t="s">
        <v>395</v>
      </c>
      <c r="I302" s="25">
        <v>1</v>
      </c>
      <c r="J302" s="25" t="str">
        <f>VLOOKUP(C302,'시스템이펙트 참고자료'!$A:$C,3,FALSE)</f>
        <v>절대값/상대값(%) 가능</v>
      </c>
      <c r="K302" s="25">
        <v>6</v>
      </c>
      <c r="M302" s="25">
        <v>3</v>
      </c>
      <c r="N302" s="25">
        <f t="shared" si="23"/>
        <v>104</v>
      </c>
      <c r="O302" s="25">
        <v>1</v>
      </c>
      <c r="P302" s="25">
        <v>1</v>
      </c>
      <c r="Q302" s="25">
        <v>1</v>
      </c>
      <c r="R302" s="25">
        <v>1</v>
      </c>
      <c r="T302" s="25">
        <v>1</v>
      </c>
      <c r="AA302" s="25">
        <f t="shared" si="26"/>
        <v>128</v>
      </c>
      <c r="AK302" s="25">
        <v>1</v>
      </c>
      <c r="AM302" s="25">
        <v>104</v>
      </c>
      <c r="AN302" s="25">
        <v>100</v>
      </c>
      <c r="AP302" s="25">
        <f t="shared" si="25"/>
        <v>1</v>
      </c>
      <c r="AQ302" s="25" t="str">
        <f>VLOOKUP(C302,'시스템이펙트 참고자료'!$A:$B,2,FALSE)</f>
        <v>ACTIVE_ENERGY_OFFENCE_UP</v>
      </c>
      <c r="AS302" s="25">
        <v>1</v>
      </c>
      <c r="BD302" s="25">
        <v>1</v>
      </c>
    </row>
    <row r="303" spans="1:56" hidden="1">
      <c r="A303" s="25">
        <v>298</v>
      </c>
      <c r="B303" s="25" t="str">
        <f>VLOOKUP(C303,'시스템이펙트 참고자료'!$A:$C,2,FALSE)</f>
        <v>ACTIVE_FOC_UP</v>
      </c>
      <c r="C303" s="25">
        <v>612</v>
      </c>
      <c r="D303" s="25">
        <f>VLOOKUP(C303,'시스템이펙트 참고자료'!$A:$D,4,FALSE)</f>
        <v>0</v>
      </c>
      <c r="E303" s="25">
        <v>0</v>
      </c>
      <c r="F303" s="25">
        <v>0</v>
      </c>
      <c r="G303" s="25">
        <f t="shared" si="24"/>
        <v>2</v>
      </c>
      <c r="H303" s="25" t="s">
        <v>395</v>
      </c>
      <c r="I303" s="25">
        <v>1</v>
      </c>
      <c r="J303" s="25" t="str">
        <f>VLOOKUP(C303,'시스템이펙트 참고자료'!$A:$C,3,FALSE)</f>
        <v>절대값/상대값(%) 가능</v>
      </c>
      <c r="K303" s="25">
        <v>6</v>
      </c>
      <c r="M303" s="25">
        <v>3</v>
      </c>
      <c r="N303" s="25">
        <f t="shared" si="23"/>
        <v>53</v>
      </c>
      <c r="O303" s="25">
        <v>1</v>
      </c>
      <c r="P303" s="25">
        <v>1</v>
      </c>
      <c r="Q303" s="25">
        <v>1</v>
      </c>
      <c r="R303" s="25">
        <v>1</v>
      </c>
      <c r="T303" s="25">
        <v>1</v>
      </c>
      <c r="AA303" s="25">
        <f t="shared" si="26"/>
        <v>128</v>
      </c>
      <c r="AK303" s="25">
        <v>1</v>
      </c>
      <c r="AM303" s="25">
        <v>53</v>
      </c>
      <c r="AN303" s="25">
        <v>100</v>
      </c>
      <c r="AP303" s="25">
        <f t="shared" si="25"/>
        <v>2</v>
      </c>
      <c r="AQ303" s="25" t="str">
        <f>VLOOKUP(C303,'시스템이펙트 참고자료'!$A:$B,2,FALSE)</f>
        <v>ACTIVE_FOC_UP</v>
      </c>
      <c r="AS303" s="25">
        <v>1</v>
      </c>
      <c r="BD303" s="25">
        <v>1</v>
      </c>
    </row>
    <row r="304" spans="1:56" hidden="1">
      <c r="A304" s="25">
        <v>299</v>
      </c>
      <c r="B304" s="25" t="str">
        <f>VLOOKUP(C304,'시스템이펙트 참고자료'!$A:$C,2,FALSE)</f>
        <v>ACTIVE_SOL_UP</v>
      </c>
      <c r="C304" s="25">
        <v>614</v>
      </c>
      <c r="D304" s="25">
        <f>VLOOKUP(C304,'시스템이펙트 참고자료'!$A:$D,4,FALSE)</f>
        <v>0</v>
      </c>
      <c r="E304" s="25">
        <v>0</v>
      </c>
      <c r="F304" s="25">
        <v>0</v>
      </c>
      <c r="G304" s="25">
        <f t="shared" si="24"/>
        <v>2</v>
      </c>
      <c r="H304" s="25" t="s">
        <v>395</v>
      </c>
      <c r="I304" s="25">
        <v>1</v>
      </c>
      <c r="J304" s="25" t="str">
        <f>VLOOKUP(C304,'시스템이펙트 참고자료'!$A:$C,3,FALSE)</f>
        <v>절대값/상대값(%) 가능</v>
      </c>
      <c r="K304" s="25">
        <v>6</v>
      </c>
      <c r="M304" s="25">
        <v>3</v>
      </c>
      <c r="N304" s="25">
        <f t="shared" si="23"/>
        <v>53</v>
      </c>
      <c r="O304" s="25">
        <v>1</v>
      </c>
      <c r="P304" s="25">
        <v>1</v>
      </c>
      <c r="Q304" s="25">
        <v>1</v>
      </c>
      <c r="R304" s="25">
        <v>1</v>
      </c>
      <c r="T304" s="25">
        <v>1</v>
      </c>
      <c r="AA304" s="25">
        <f t="shared" si="26"/>
        <v>128</v>
      </c>
      <c r="AK304" s="25">
        <v>1</v>
      </c>
      <c r="AM304" s="25">
        <v>53</v>
      </c>
      <c r="AN304" s="25">
        <v>100</v>
      </c>
      <c r="AP304" s="25">
        <f t="shared" si="25"/>
        <v>2</v>
      </c>
      <c r="AQ304" s="25" t="str">
        <f>VLOOKUP(C304,'시스템이펙트 참고자료'!$A:$B,2,FALSE)</f>
        <v>ACTIVE_SOL_UP</v>
      </c>
      <c r="AS304" s="25">
        <v>1</v>
      </c>
      <c r="BD304" s="25">
        <v>1</v>
      </c>
    </row>
    <row r="305" spans="1:56" hidden="1">
      <c r="A305" s="25">
        <v>300</v>
      </c>
      <c r="B305" s="25" t="str">
        <f>VLOOKUP(C305,'시스템이펙트 참고자료'!$A:$C,2,FALSE)</f>
        <v>ACTIVE_ENERGY_CRITICAL_DAMAGE_UP</v>
      </c>
      <c r="C305" s="25">
        <v>659</v>
      </c>
      <c r="D305" s="25">
        <f>VLOOKUP(C305,'시스템이펙트 참고자료'!$A:$D,4,FALSE)</f>
        <v>0</v>
      </c>
      <c r="E305" s="25">
        <v>0</v>
      </c>
      <c r="F305" s="25">
        <v>0</v>
      </c>
      <c r="G305" s="25">
        <f t="shared" si="24"/>
        <v>4</v>
      </c>
      <c r="H305" s="25" t="s">
        <v>395</v>
      </c>
      <c r="I305" s="25">
        <v>1</v>
      </c>
      <c r="J305" s="25" t="str">
        <f>VLOOKUP(C305,'시스템이펙트 참고자료'!$A:$C,3,FALSE)</f>
        <v>절대값만 가능</v>
      </c>
      <c r="K305" s="25">
        <v>6</v>
      </c>
      <c r="M305" s="25">
        <v>3</v>
      </c>
      <c r="N305" s="25">
        <f t="shared" si="23"/>
        <v>32</v>
      </c>
      <c r="O305" s="25">
        <v>1</v>
      </c>
      <c r="P305" s="25">
        <v>1</v>
      </c>
      <c r="Q305" s="25">
        <v>1</v>
      </c>
      <c r="R305" s="25">
        <v>1</v>
      </c>
      <c r="T305" s="25">
        <v>1</v>
      </c>
      <c r="AA305" s="25">
        <f t="shared" si="26"/>
        <v>128</v>
      </c>
      <c r="AK305" s="25">
        <v>1</v>
      </c>
      <c r="AM305" s="25">
        <v>32</v>
      </c>
      <c r="AN305" s="25">
        <v>100</v>
      </c>
      <c r="AP305" s="25">
        <f t="shared" si="25"/>
        <v>4</v>
      </c>
      <c r="AQ305" s="25" t="str">
        <f>VLOOKUP(C305,'시스템이펙트 참고자료'!$A:$B,2,FALSE)</f>
        <v>ACTIVE_ENERGY_CRITICAL_DAMAGE_UP</v>
      </c>
      <c r="AS305" s="25">
        <v>1</v>
      </c>
      <c r="BD305" s="25">
        <v>1</v>
      </c>
    </row>
    <row r="306" spans="1:56" hidden="1">
      <c r="A306" s="25">
        <v>301</v>
      </c>
      <c r="B306" s="25" t="str">
        <f>VLOOKUP(C306,'시스템이펙트 참고자료'!$A:$C,2,FALSE)</f>
        <v>ACTIVE_ENERGY_CRITICAL</v>
      </c>
      <c r="C306" s="25">
        <v>633</v>
      </c>
      <c r="D306" s="25">
        <f>VLOOKUP(C306,'시스템이펙트 참고자료'!$A:$D,4,FALSE)</f>
        <v>0</v>
      </c>
      <c r="E306" s="25">
        <v>0</v>
      </c>
      <c r="F306" s="25">
        <v>0</v>
      </c>
      <c r="G306" s="25">
        <f t="shared" si="24"/>
        <v>5</v>
      </c>
      <c r="H306" s="25" t="s">
        <v>395</v>
      </c>
      <c r="I306" s="25">
        <v>1</v>
      </c>
      <c r="J306" s="25" t="str">
        <f>VLOOKUP(C306,'시스템이펙트 참고자료'!$A:$C,3,FALSE)</f>
        <v>절대값/상대값(%) 가능</v>
      </c>
      <c r="K306" s="25">
        <v>6</v>
      </c>
      <c r="M306" s="25">
        <v>4</v>
      </c>
      <c r="N306" s="25">
        <f t="shared" si="23"/>
        <v>24</v>
      </c>
      <c r="O306" s="25">
        <v>1</v>
      </c>
      <c r="P306" s="25">
        <v>1</v>
      </c>
      <c r="Q306" s="25">
        <v>1</v>
      </c>
      <c r="R306" s="25">
        <v>1</v>
      </c>
      <c r="T306" s="25">
        <v>1</v>
      </c>
      <c r="AA306" s="25">
        <f t="shared" si="26"/>
        <v>128</v>
      </c>
      <c r="AK306" s="25">
        <v>1</v>
      </c>
      <c r="AM306" s="25">
        <v>24</v>
      </c>
      <c r="AN306" s="25">
        <v>100</v>
      </c>
      <c r="AP306" s="25">
        <f t="shared" si="25"/>
        <v>5</v>
      </c>
      <c r="AQ306" s="25" t="str">
        <f>VLOOKUP(C306,'시스템이펙트 참고자료'!$A:$B,2,FALSE)</f>
        <v>ACTIVE_ENERGY_CRITICAL</v>
      </c>
      <c r="AS306" s="25">
        <v>1</v>
      </c>
      <c r="BD306" s="25">
        <v>1</v>
      </c>
    </row>
    <row r="307" spans="1:56" hidden="1">
      <c r="A307" s="25">
        <v>302</v>
      </c>
      <c r="B307" s="25" t="str">
        <f>VLOOKUP(C307,'시스템이펙트 참고자료'!$A:$C,2,FALSE)</f>
        <v>ACTIVE_ENERGY_CRITICAL_DAMAGE_UP</v>
      </c>
      <c r="C307" s="25">
        <v>659</v>
      </c>
      <c r="D307" s="25">
        <f>VLOOKUP(C307,'시스템이펙트 참고자료'!$A:$D,4,FALSE)</f>
        <v>0</v>
      </c>
      <c r="E307" s="25">
        <v>0</v>
      </c>
      <c r="F307" s="25">
        <v>0</v>
      </c>
      <c r="G307" s="25">
        <f t="shared" si="24"/>
        <v>4</v>
      </c>
      <c r="H307" s="25" t="s">
        <v>395</v>
      </c>
      <c r="I307" s="25">
        <v>1</v>
      </c>
      <c r="J307" s="25" t="str">
        <f>VLOOKUP(C307,'시스템이펙트 참고자료'!$A:$C,3,FALSE)</f>
        <v>절대값만 가능</v>
      </c>
      <c r="K307" s="25">
        <v>6</v>
      </c>
      <c r="M307" s="25">
        <v>4</v>
      </c>
      <c r="N307" s="25">
        <f t="shared" si="23"/>
        <v>32</v>
      </c>
      <c r="O307" s="25">
        <v>1</v>
      </c>
      <c r="P307" s="25">
        <v>1</v>
      </c>
      <c r="Q307" s="25">
        <v>1</v>
      </c>
      <c r="R307" s="25">
        <v>1</v>
      </c>
      <c r="T307" s="25">
        <v>1</v>
      </c>
      <c r="AA307" s="25">
        <f t="shared" si="26"/>
        <v>128</v>
      </c>
      <c r="AK307" s="25">
        <v>1</v>
      </c>
      <c r="AM307" s="25">
        <v>32</v>
      </c>
      <c r="AN307" s="25">
        <v>100</v>
      </c>
      <c r="AP307" s="25">
        <f t="shared" si="25"/>
        <v>4</v>
      </c>
      <c r="AQ307" s="25" t="str">
        <f>VLOOKUP(C307,'시스템이펙트 참고자료'!$A:$B,2,FALSE)</f>
        <v>ACTIVE_ENERGY_CRITICAL_DAMAGE_UP</v>
      </c>
      <c r="AS307" s="25">
        <v>1</v>
      </c>
      <c r="BD307" s="25">
        <v>1</v>
      </c>
    </row>
    <row r="308" spans="1:56" hidden="1">
      <c r="A308" s="25">
        <v>303</v>
      </c>
      <c r="B308" s="25" t="str">
        <f>VLOOKUP(C308,'시스템이펙트 참고자료'!$A:$C,2,FALSE)</f>
        <v>ACTIVE_FOC_UP</v>
      </c>
      <c r="C308" s="25">
        <v>612</v>
      </c>
      <c r="D308" s="25">
        <f>VLOOKUP(C308,'시스템이펙트 참고자료'!$A:$D,4,FALSE)</f>
        <v>0</v>
      </c>
      <c r="E308" s="25">
        <v>0</v>
      </c>
      <c r="F308" s="25">
        <v>0</v>
      </c>
      <c r="G308" s="25">
        <f t="shared" si="24"/>
        <v>2</v>
      </c>
      <c r="H308" s="25" t="s">
        <v>395</v>
      </c>
      <c r="I308" s="25">
        <v>1</v>
      </c>
      <c r="J308" s="25" t="str">
        <f>VLOOKUP(C308,'시스템이펙트 참고자료'!$A:$C,3,FALSE)</f>
        <v>절대값/상대값(%) 가능</v>
      </c>
      <c r="K308" s="25">
        <v>6</v>
      </c>
      <c r="M308" s="25">
        <v>4</v>
      </c>
      <c r="N308" s="25">
        <f t="shared" si="23"/>
        <v>53</v>
      </c>
      <c r="O308" s="25">
        <v>1</v>
      </c>
      <c r="P308" s="25">
        <v>1</v>
      </c>
      <c r="Q308" s="25">
        <v>1</v>
      </c>
      <c r="R308" s="25">
        <v>1</v>
      </c>
      <c r="T308" s="25">
        <v>1</v>
      </c>
      <c r="AA308" s="25">
        <f t="shared" si="26"/>
        <v>128</v>
      </c>
      <c r="AK308" s="25">
        <v>1</v>
      </c>
      <c r="AM308" s="25">
        <v>53</v>
      </c>
      <c r="AN308" s="25">
        <v>100</v>
      </c>
      <c r="AP308" s="25">
        <f t="shared" si="25"/>
        <v>2</v>
      </c>
      <c r="AQ308" s="25" t="str">
        <f>VLOOKUP(C308,'시스템이펙트 참고자료'!$A:$B,2,FALSE)</f>
        <v>ACTIVE_FOC_UP</v>
      </c>
      <c r="AS308" s="25">
        <v>1</v>
      </c>
      <c r="BD308" s="25">
        <v>1</v>
      </c>
    </row>
    <row r="309" spans="1:56" hidden="1">
      <c r="A309" s="25">
        <v>304</v>
      </c>
      <c r="B309" s="25" t="str">
        <f>VLOOKUP(C309,'시스템이펙트 참고자료'!$A:$C,2,FALSE)</f>
        <v>ACTIVE_DEX_UP</v>
      </c>
      <c r="C309" s="25">
        <v>613</v>
      </c>
      <c r="D309" s="25">
        <f>VLOOKUP(C309,'시스템이펙트 참고자료'!$A:$D,4,FALSE)</f>
        <v>0</v>
      </c>
      <c r="E309" s="25">
        <v>0</v>
      </c>
      <c r="F309" s="25">
        <v>0</v>
      </c>
      <c r="G309" s="25">
        <f t="shared" si="24"/>
        <v>3</v>
      </c>
      <c r="H309" s="25" t="s">
        <v>395</v>
      </c>
      <c r="I309" s="25">
        <v>1</v>
      </c>
      <c r="J309" s="25" t="str">
        <f>VLOOKUP(C309,'시스템이펙트 참고자료'!$A:$C,3,FALSE)</f>
        <v>절대값/상대값(%) 가능</v>
      </c>
      <c r="K309" s="25">
        <v>6</v>
      </c>
      <c r="M309" s="25">
        <v>4</v>
      </c>
      <c r="N309" s="25">
        <f t="shared" si="23"/>
        <v>44</v>
      </c>
      <c r="O309" s="25">
        <v>1</v>
      </c>
      <c r="P309" s="25">
        <v>1</v>
      </c>
      <c r="Q309" s="25">
        <v>1</v>
      </c>
      <c r="R309" s="25">
        <v>1</v>
      </c>
      <c r="T309" s="25">
        <v>1</v>
      </c>
      <c r="AA309" s="25">
        <f t="shared" si="26"/>
        <v>128</v>
      </c>
      <c r="AK309" s="25">
        <v>1</v>
      </c>
      <c r="AM309" s="25">
        <v>44</v>
      </c>
      <c r="AN309" s="25">
        <v>100</v>
      </c>
      <c r="AP309" s="25">
        <f t="shared" si="25"/>
        <v>3</v>
      </c>
      <c r="AQ309" s="25" t="str">
        <f>VLOOKUP(C309,'시스템이펙트 참고자료'!$A:$B,2,FALSE)</f>
        <v>ACTIVE_DEX_UP</v>
      </c>
      <c r="AS309" s="25">
        <v>1</v>
      </c>
      <c r="BD309" s="25">
        <v>1</v>
      </c>
    </row>
    <row r="310" spans="1:56" hidden="1">
      <c r="A310" s="25">
        <v>305</v>
      </c>
      <c r="B310" s="25" t="str">
        <f>VLOOKUP(C310,'시스템이펙트 참고자료'!$A:$C,2,FALSE)</f>
        <v>ACTIVE_ATTACK_SPEED_UP</v>
      </c>
      <c r="C310" s="25">
        <v>617</v>
      </c>
      <c r="D310" s="25">
        <f>VLOOKUP(C310,'시스템이펙트 참고자료'!$A:$D,4,FALSE)</f>
        <v>1</v>
      </c>
      <c r="E310" s="25">
        <v>0</v>
      </c>
      <c r="F310" s="25">
        <v>0</v>
      </c>
      <c r="G310" s="25">
        <f t="shared" si="24"/>
        <v>10</v>
      </c>
      <c r="H310" s="25" t="s">
        <v>395</v>
      </c>
      <c r="I310" s="25">
        <v>1</v>
      </c>
      <c r="J310" s="25" t="str">
        <f>VLOOKUP(C310,'시스템이펙트 참고자료'!$A:$C,3,FALSE)</f>
        <v>절대값/상대값(%) 가능</v>
      </c>
      <c r="K310" s="25">
        <v>6</v>
      </c>
      <c r="M310" s="25">
        <v>5</v>
      </c>
      <c r="N310" s="25">
        <f t="shared" si="23"/>
        <v>10</v>
      </c>
      <c r="O310" s="25">
        <v>1</v>
      </c>
      <c r="P310" s="25">
        <v>1</v>
      </c>
      <c r="Q310" s="25">
        <v>1</v>
      </c>
      <c r="R310" s="25">
        <v>1</v>
      </c>
      <c r="T310" s="25">
        <v>1</v>
      </c>
      <c r="AA310" s="25">
        <f t="shared" si="26"/>
        <v>128</v>
      </c>
      <c r="AK310" s="25">
        <v>1</v>
      </c>
      <c r="AM310" s="25">
        <v>10</v>
      </c>
      <c r="AN310" s="25">
        <v>100</v>
      </c>
      <c r="AP310" s="25">
        <f t="shared" si="25"/>
        <v>10</v>
      </c>
      <c r="AQ310" s="25" t="str">
        <f>VLOOKUP(C310,'시스템이펙트 참고자료'!$A:$B,2,FALSE)</f>
        <v>ACTIVE_ATTACK_SPEED_UP</v>
      </c>
      <c r="AS310" s="25">
        <v>1</v>
      </c>
      <c r="BD310" s="25">
        <v>1</v>
      </c>
    </row>
    <row r="311" spans="1:56" hidden="1">
      <c r="A311" s="25">
        <v>306</v>
      </c>
      <c r="B311" s="25" t="str">
        <f>VLOOKUP(C311,'시스템이펙트 참고자료'!$A:$C,2,FALSE)</f>
        <v>ACTIVE_DEX_UP</v>
      </c>
      <c r="C311" s="25">
        <v>613</v>
      </c>
      <c r="D311" s="25">
        <f>VLOOKUP(C311,'시스템이펙트 참고자료'!$A:$D,4,FALSE)</f>
        <v>0</v>
      </c>
      <c r="E311" s="25">
        <v>0</v>
      </c>
      <c r="F311" s="25">
        <v>0</v>
      </c>
      <c r="G311" s="25">
        <f t="shared" si="24"/>
        <v>3</v>
      </c>
      <c r="H311" s="25" t="s">
        <v>395</v>
      </c>
      <c r="I311" s="25">
        <v>1</v>
      </c>
      <c r="J311" s="25" t="str">
        <f>VLOOKUP(C311,'시스템이펙트 참고자료'!$A:$C,3,FALSE)</f>
        <v>절대값/상대값(%) 가능</v>
      </c>
      <c r="K311" s="25">
        <v>6</v>
      </c>
      <c r="M311" s="25">
        <v>5</v>
      </c>
      <c r="N311" s="25">
        <f t="shared" si="23"/>
        <v>44</v>
      </c>
      <c r="O311" s="25">
        <v>1</v>
      </c>
      <c r="P311" s="25">
        <v>1</v>
      </c>
      <c r="Q311" s="25">
        <v>1</v>
      </c>
      <c r="R311" s="25">
        <v>1</v>
      </c>
      <c r="T311" s="25">
        <v>1</v>
      </c>
      <c r="AA311" s="25">
        <f t="shared" si="26"/>
        <v>128</v>
      </c>
      <c r="AK311" s="25">
        <v>1</v>
      </c>
      <c r="AM311" s="25">
        <v>44</v>
      </c>
      <c r="AN311" s="25">
        <v>100</v>
      </c>
      <c r="AP311" s="25">
        <f t="shared" si="25"/>
        <v>3</v>
      </c>
      <c r="AQ311" s="25" t="str">
        <f>VLOOKUP(C311,'시스템이펙트 참고자료'!$A:$B,2,FALSE)</f>
        <v>ACTIVE_DEX_UP</v>
      </c>
      <c r="AS311" s="25">
        <v>1</v>
      </c>
      <c r="BD311" s="25">
        <v>1</v>
      </c>
    </row>
    <row r="312" spans="1:56" hidden="1">
      <c r="A312" s="25">
        <v>307</v>
      </c>
      <c r="B312" s="25" t="str">
        <f>VLOOKUP(C312,'시스템이펙트 참고자료'!$A:$C,2,FALSE)</f>
        <v>ACTIVE_FOC_UP</v>
      </c>
      <c r="C312" s="25">
        <v>612</v>
      </c>
      <c r="D312" s="25">
        <f>VLOOKUP(C312,'시스템이펙트 참고자료'!$A:$D,4,FALSE)</f>
        <v>0</v>
      </c>
      <c r="E312" s="25">
        <v>0</v>
      </c>
      <c r="F312" s="25">
        <v>0</v>
      </c>
      <c r="G312" s="25">
        <f t="shared" ref="G312:G357" si="27">IF(N312&gt;0,INT(100/N312+0.99),0)</f>
        <v>2</v>
      </c>
      <c r="H312" s="25" t="s">
        <v>395</v>
      </c>
      <c r="I312" s="25">
        <v>1</v>
      </c>
      <c r="J312" s="25" t="str">
        <f>VLOOKUP(C312,'시스템이펙트 참고자료'!$A:$C,3,FALSE)</f>
        <v>절대값/상대값(%) 가능</v>
      </c>
      <c r="K312" s="25">
        <v>6</v>
      </c>
      <c r="M312" s="25">
        <v>5</v>
      </c>
      <c r="N312" s="25">
        <f t="shared" si="23"/>
        <v>53</v>
      </c>
      <c r="O312" s="25">
        <v>1</v>
      </c>
      <c r="P312" s="25">
        <v>1</v>
      </c>
      <c r="Q312" s="25">
        <v>1</v>
      </c>
      <c r="R312" s="25">
        <v>1</v>
      </c>
      <c r="T312" s="25">
        <v>1</v>
      </c>
      <c r="AA312" s="25">
        <f t="shared" si="26"/>
        <v>128</v>
      </c>
      <c r="AK312" s="25">
        <v>1</v>
      </c>
      <c r="AM312" s="25">
        <v>53</v>
      </c>
      <c r="AN312" s="25">
        <v>100</v>
      </c>
      <c r="AP312" s="25">
        <f t="shared" ref="AP312:AP357" si="28">INT(100/N312+0.99)</f>
        <v>2</v>
      </c>
      <c r="AQ312" s="25" t="str">
        <f>VLOOKUP(C312,'시스템이펙트 참고자료'!$A:$B,2,FALSE)</f>
        <v>ACTIVE_FOC_UP</v>
      </c>
      <c r="AS312" s="25">
        <v>1</v>
      </c>
      <c r="BD312" s="25">
        <v>1</v>
      </c>
    </row>
    <row r="313" spans="1:56" hidden="1">
      <c r="A313" s="25">
        <v>308</v>
      </c>
      <c r="B313" s="25" t="str">
        <f>VLOOKUP(C313,'시스템이펙트 참고자료'!$A:$C,2,FALSE)</f>
        <v>ACTIVE_PHYSICAL_OFFENCE_UP</v>
      </c>
      <c r="C313" s="25">
        <v>606</v>
      </c>
      <c r="D313" s="25">
        <f>VLOOKUP(C313,'시스템이펙트 참고자료'!$A:$D,4,FALSE)</f>
        <v>0</v>
      </c>
      <c r="E313" s="25">
        <v>0</v>
      </c>
      <c r="F313" s="25">
        <v>0</v>
      </c>
      <c r="G313" s="25">
        <f t="shared" si="27"/>
        <v>1</v>
      </c>
      <c r="H313" s="25" t="s">
        <v>395</v>
      </c>
      <c r="I313" s="25">
        <v>1</v>
      </c>
      <c r="J313" s="25" t="str">
        <f>VLOOKUP(C313,'시스템이펙트 참고자료'!$A:$C,3,FALSE)</f>
        <v>절대값/상대값(%) 가능</v>
      </c>
      <c r="K313" s="25">
        <v>6</v>
      </c>
      <c r="M313" s="25">
        <v>5</v>
      </c>
      <c r="N313" s="25">
        <f t="shared" si="23"/>
        <v>125</v>
      </c>
      <c r="O313" s="25">
        <v>1</v>
      </c>
      <c r="P313" s="25">
        <v>1</v>
      </c>
      <c r="Q313" s="25">
        <v>1</v>
      </c>
      <c r="R313" s="25">
        <v>1</v>
      </c>
      <c r="T313" s="25">
        <v>1</v>
      </c>
      <c r="AA313" s="25">
        <f t="shared" si="26"/>
        <v>128</v>
      </c>
      <c r="AK313" s="25">
        <v>1</v>
      </c>
      <c r="AM313" s="25">
        <v>125</v>
      </c>
      <c r="AN313" s="25">
        <v>100</v>
      </c>
      <c r="AP313" s="25">
        <f t="shared" si="28"/>
        <v>1</v>
      </c>
      <c r="AQ313" s="25" t="str">
        <f>VLOOKUP(C313,'시스템이펙트 참고자료'!$A:$B,2,FALSE)</f>
        <v>ACTIVE_PHYSICAL_OFFENCE_UP</v>
      </c>
      <c r="AS313" s="25">
        <v>1</v>
      </c>
      <c r="BD313" s="25">
        <v>1</v>
      </c>
    </row>
    <row r="314" spans="1:56" hidden="1">
      <c r="A314" s="25">
        <v>309</v>
      </c>
      <c r="B314" s="25" t="str">
        <f>VLOOKUP(C314,'시스템이펙트 참고자료'!$A:$C,2,FALSE)</f>
        <v>ACTIVE_ENERGY_OFFENCE_UP</v>
      </c>
      <c r="C314" s="25">
        <v>607</v>
      </c>
      <c r="D314" s="25">
        <f>VLOOKUP(C314,'시스템이펙트 참고자료'!$A:$D,4,FALSE)</f>
        <v>0</v>
      </c>
      <c r="E314" s="25">
        <v>0</v>
      </c>
      <c r="F314" s="25">
        <v>0</v>
      </c>
      <c r="G314" s="25">
        <f t="shared" si="27"/>
        <v>1</v>
      </c>
      <c r="H314" s="25" t="s">
        <v>395</v>
      </c>
      <c r="I314" s="25">
        <v>1</v>
      </c>
      <c r="J314" s="25" t="str">
        <f>VLOOKUP(C314,'시스템이펙트 참고자료'!$A:$C,3,FALSE)</f>
        <v>절대값/상대값(%) 가능</v>
      </c>
      <c r="K314" s="25">
        <v>6</v>
      </c>
      <c r="M314" s="25">
        <v>5</v>
      </c>
      <c r="N314" s="25">
        <f t="shared" si="23"/>
        <v>104</v>
      </c>
      <c r="O314" s="25">
        <v>1</v>
      </c>
      <c r="P314" s="25">
        <v>1</v>
      </c>
      <c r="Q314" s="25">
        <v>1</v>
      </c>
      <c r="R314" s="25">
        <v>1</v>
      </c>
      <c r="T314" s="25">
        <v>1</v>
      </c>
      <c r="AA314" s="25">
        <f t="shared" si="26"/>
        <v>128</v>
      </c>
      <c r="AK314" s="25">
        <v>1</v>
      </c>
      <c r="AM314" s="25">
        <v>104</v>
      </c>
      <c r="AN314" s="25">
        <v>100</v>
      </c>
      <c r="AP314" s="25">
        <f t="shared" si="28"/>
        <v>1</v>
      </c>
      <c r="AQ314" s="25" t="str">
        <f>VLOOKUP(C314,'시스템이펙트 참고자료'!$A:$B,2,FALSE)</f>
        <v>ACTIVE_ENERGY_OFFENCE_UP</v>
      </c>
      <c r="AS314" s="25">
        <v>1</v>
      </c>
      <c r="BD314" s="25">
        <v>1</v>
      </c>
    </row>
    <row r="315" spans="1:56" hidden="1">
      <c r="A315" s="25">
        <v>310</v>
      </c>
      <c r="B315" s="25" t="str">
        <f>VLOOKUP(C315,'시스템이펙트 참고자료'!$A:$C,2,FALSE)</f>
        <v>ACTIVE_PHYSICAL_OFFENCE_UP</v>
      </c>
      <c r="C315" s="25">
        <v>606</v>
      </c>
      <c r="D315" s="25">
        <f>VLOOKUP(C315,'시스템이펙트 참고자료'!$A:$D,4,FALSE)</f>
        <v>0</v>
      </c>
      <c r="E315" s="25">
        <v>0</v>
      </c>
      <c r="F315" s="25">
        <v>0</v>
      </c>
      <c r="G315" s="25">
        <f t="shared" si="27"/>
        <v>1</v>
      </c>
      <c r="H315" s="25" t="s">
        <v>395</v>
      </c>
      <c r="I315" s="25">
        <v>1</v>
      </c>
      <c r="J315" s="25" t="str">
        <f>VLOOKUP(C315,'시스템이펙트 참고자료'!$A:$C,3,FALSE)</f>
        <v>절대값/상대값(%) 가능</v>
      </c>
      <c r="K315" s="25">
        <v>6</v>
      </c>
      <c r="M315" s="25">
        <v>6</v>
      </c>
      <c r="N315" s="25">
        <f t="shared" si="23"/>
        <v>125</v>
      </c>
      <c r="O315" s="25">
        <v>1</v>
      </c>
      <c r="P315" s="25">
        <v>1</v>
      </c>
      <c r="Q315" s="25">
        <v>1</v>
      </c>
      <c r="R315" s="25">
        <v>1</v>
      </c>
      <c r="T315" s="25">
        <v>1</v>
      </c>
      <c r="AA315" s="25">
        <f t="shared" si="26"/>
        <v>128</v>
      </c>
      <c r="AK315" s="25">
        <v>1</v>
      </c>
      <c r="AM315" s="25">
        <v>125</v>
      </c>
      <c r="AN315" s="25">
        <v>100</v>
      </c>
      <c r="AP315" s="25">
        <f t="shared" si="28"/>
        <v>1</v>
      </c>
      <c r="AQ315" s="25" t="str">
        <f>VLOOKUP(C315,'시스템이펙트 참고자료'!$A:$B,2,FALSE)</f>
        <v>ACTIVE_PHYSICAL_OFFENCE_UP</v>
      </c>
      <c r="AS315" s="25">
        <v>1</v>
      </c>
      <c r="BD315" s="25">
        <v>1</v>
      </c>
    </row>
    <row r="316" spans="1:56" hidden="1">
      <c r="A316" s="25">
        <v>311</v>
      </c>
      <c r="B316" s="25" t="str">
        <f>VLOOKUP(C316,'시스템이펙트 참고자료'!$A:$C,2,FALSE)</f>
        <v>ACTIVE_ENERGY_OFFENCE_UP</v>
      </c>
      <c r="C316" s="25">
        <v>607</v>
      </c>
      <c r="D316" s="25">
        <f>VLOOKUP(C316,'시스템이펙트 참고자료'!$A:$D,4,FALSE)</f>
        <v>0</v>
      </c>
      <c r="E316" s="25">
        <v>0</v>
      </c>
      <c r="F316" s="25">
        <v>0</v>
      </c>
      <c r="G316" s="25">
        <f t="shared" si="27"/>
        <v>1</v>
      </c>
      <c r="H316" s="25" t="s">
        <v>395</v>
      </c>
      <c r="I316" s="25">
        <v>1</v>
      </c>
      <c r="J316" s="25" t="str">
        <f>VLOOKUP(C316,'시스템이펙트 참고자료'!$A:$C,3,FALSE)</f>
        <v>절대값/상대값(%) 가능</v>
      </c>
      <c r="K316" s="25">
        <v>6</v>
      </c>
      <c r="M316" s="25">
        <v>6</v>
      </c>
      <c r="N316" s="25">
        <f t="shared" si="23"/>
        <v>104</v>
      </c>
      <c r="O316" s="25">
        <v>1</v>
      </c>
      <c r="P316" s="25">
        <v>1</v>
      </c>
      <c r="Q316" s="25">
        <v>1</v>
      </c>
      <c r="R316" s="25">
        <v>1</v>
      </c>
      <c r="T316" s="25">
        <v>1</v>
      </c>
      <c r="AA316" s="25">
        <f t="shared" si="26"/>
        <v>128</v>
      </c>
      <c r="AK316" s="25">
        <v>1</v>
      </c>
      <c r="AM316" s="25">
        <v>104</v>
      </c>
      <c r="AN316" s="25">
        <v>100</v>
      </c>
      <c r="AP316" s="25">
        <f t="shared" si="28"/>
        <v>1</v>
      </c>
      <c r="AQ316" s="25" t="str">
        <f>VLOOKUP(C316,'시스템이펙트 참고자료'!$A:$B,2,FALSE)</f>
        <v>ACTIVE_ENERGY_OFFENCE_UP</v>
      </c>
      <c r="AS316" s="25">
        <v>1</v>
      </c>
      <c r="BD316" s="25">
        <v>1</v>
      </c>
    </row>
    <row r="317" spans="1:56" hidden="1">
      <c r="A317" s="25">
        <v>312</v>
      </c>
      <c r="B317" s="25" t="str">
        <f>VLOOKUP(C317,'시스템이펙트 참고자료'!$A:$C,2,FALSE)</f>
        <v>ACTIVE_STR_UP</v>
      </c>
      <c r="C317" s="25">
        <v>610</v>
      </c>
      <c r="D317" s="25">
        <f>VLOOKUP(C317,'시스템이펙트 참고자료'!$A:$D,4,FALSE)</f>
        <v>0</v>
      </c>
      <c r="E317" s="25">
        <v>0</v>
      </c>
      <c r="F317" s="25">
        <v>0</v>
      </c>
      <c r="G317" s="25">
        <f t="shared" si="27"/>
        <v>2</v>
      </c>
      <c r="H317" s="25" t="s">
        <v>395</v>
      </c>
      <c r="I317" s="25">
        <v>1</v>
      </c>
      <c r="J317" s="25" t="str">
        <f>VLOOKUP(C317,'시스템이펙트 참고자료'!$A:$C,3,FALSE)</f>
        <v>절대값/상대값(%) 가능</v>
      </c>
      <c r="K317" s="25">
        <v>6</v>
      </c>
      <c r="M317" s="25">
        <v>6</v>
      </c>
      <c r="N317" s="25">
        <f t="shared" si="23"/>
        <v>57</v>
      </c>
      <c r="O317" s="25">
        <v>1</v>
      </c>
      <c r="P317" s="25">
        <v>1</v>
      </c>
      <c r="Q317" s="25">
        <v>1</v>
      </c>
      <c r="R317" s="25">
        <v>1</v>
      </c>
      <c r="T317" s="25">
        <v>1</v>
      </c>
      <c r="AA317" s="25">
        <f t="shared" si="26"/>
        <v>128</v>
      </c>
      <c r="AK317" s="25">
        <v>1</v>
      </c>
      <c r="AM317" s="25">
        <v>57</v>
      </c>
      <c r="AN317" s="25">
        <v>100</v>
      </c>
      <c r="AP317" s="25">
        <f t="shared" si="28"/>
        <v>2</v>
      </c>
      <c r="AQ317" s="25" t="str">
        <f>VLOOKUP(C317,'시스템이펙트 참고자료'!$A:$B,2,FALSE)</f>
        <v>ACTIVE_STR_UP</v>
      </c>
      <c r="AS317" s="25">
        <v>1</v>
      </c>
      <c r="BD317" s="25">
        <v>1</v>
      </c>
    </row>
    <row r="318" spans="1:56" hidden="1">
      <c r="A318" s="25">
        <v>313</v>
      </c>
      <c r="B318" s="25" t="str">
        <f>VLOOKUP(C318,'시스템이펙트 참고자료'!$A:$C,2,FALSE)</f>
        <v>ACTIVE_SOL_UP</v>
      </c>
      <c r="C318" s="25">
        <v>614</v>
      </c>
      <c r="D318" s="25">
        <f>VLOOKUP(C318,'시스템이펙트 참고자료'!$A:$D,4,FALSE)</f>
        <v>0</v>
      </c>
      <c r="E318" s="25">
        <v>0</v>
      </c>
      <c r="F318" s="25">
        <v>0</v>
      </c>
      <c r="G318" s="25">
        <f t="shared" si="27"/>
        <v>2</v>
      </c>
      <c r="H318" s="25" t="s">
        <v>395</v>
      </c>
      <c r="I318" s="25">
        <v>1</v>
      </c>
      <c r="J318" s="25" t="str">
        <f>VLOOKUP(C318,'시스템이펙트 참고자료'!$A:$C,3,FALSE)</f>
        <v>절대값/상대값(%) 가능</v>
      </c>
      <c r="K318" s="25">
        <v>6</v>
      </c>
      <c r="M318" s="25">
        <v>6</v>
      </c>
      <c r="N318" s="25">
        <f t="shared" si="23"/>
        <v>53</v>
      </c>
      <c r="O318" s="25">
        <v>1</v>
      </c>
      <c r="P318" s="25">
        <v>1</v>
      </c>
      <c r="Q318" s="25">
        <v>1</v>
      </c>
      <c r="R318" s="25">
        <v>1</v>
      </c>
      <c r="T318" s="25">
        <v>1</v>
      </c>
      <c r="AA318" s="25">
        <f t="shared" si="26"/>
        <v>128</v>
      </c>
      <c r="AK318" s="25">
        <v>1</v>
      </c>
      <c r="AM318" s="25">
        <v>53</v>
      </c>
      <c r="AN318" s="25">
        <v>100</v>
      </c>
      <c r="AP318" s="25">
        <f t="shared" si="28"/>
        <v>2</v>
      </c>
      <c r="AQ318" s="25" t="str">
        <f>VLOOKUP(C318,'시스템이펙트 참고자료'!$A:$B,2,FALSE)</f>
        <v>ACTIVE_SOL_UP</v>
      </c>
      <c r="AS318" s="25">
        <v>1</v>
      </c>
      <c r="BD318" s="25">
        <v>1</v>
      </c>
    </row>
    <row r="319" spans="1:56" hidden="1">
      <c r="A319" s="25">
        <v>314</v>
      </c>
      <c r="B319" s="25" t="str">
        <f>VLOOKUP(C319,'시스템이펙트 참고자료'!$A:$C,2,FALSE)</f>
        <v>ACTIVE_PHYSICAL_CRITICAL_DAMAGE_UP</v>
      </c>
      <c r="C319" s="25">
        <v>658</v>
      </c>
      <c r="D319" s="25">
        <f>VLOOKUP(C319,'시스템이펙트 참고자료'!$A:$D,4,FALSE)</f>
        <v>0</v>
      </c>
      <c r="E319" s="25">
        <v>0</v>
      </c>
      <c r="F319" s="25">
        <v>0</v>
      </c>
      <c r="G319" s="25">
        <f t="shared" si="27"/>
        <v>4</v>
      </c>
      <c r="H319" s="25" t="s">
        <v>395</v>
      </c>
      <c r="I319" s="25">
        <v>1</v>
      </c>
      <c r="J319" s="25" t="str">
        <f>VLOOKUP(C319,'시스템이펙트 참고자료'!$A:$C,3,FALSE)</f>
        <v>절대값만 가능</v>
      </c>
      <c r="K319" s="25">
        <v>6</v>
      </c>
      <c r="M319" s="25">
        <v>6</v>
      </c>
      <c r="N319" s="25">
        <f t="shared" si="23"/>
        <v>28</v>
      </c>
      <c r="O319" s="25">
        <v>1</v>
      </c>
      <c r="P319" s="25">
        <v>1</v>
      </c>
      <c r="Q319" s="25">
        <v>1</v>
      </c>
      <c r="R319" s="25">
        <v>1</v>
      </c>
      <c r="T319" s="25">
        <v>1</v>
      </c>
      <c r="AA319" s="25">
        <f t="shared" si="26"/>
        <v>128</v>
      </c>
      <c r="AK319" s="25">
        <v>1</v>
      </c>
      <c r="AM319" s="25">
        <v>28</v>
      </c>
      <c r="AN319" s="25">
        <v>100</v>
      </c>
      <c r="AP319" s="25">
        <f t="shared" si="28"/>
        <v>4</v>
      </c>
      <c r="AQ319" s="25" t="str">
        <f>VLOOKUP(C319,'시스템이펙트 참고자료'!$A:$B,2,FALSE)</f>
        <v>ACTIVE_PHYSICAL_CRITICAL_DAMAGE_UP</v>
      </c>
      <c r="AS319" s="25">
        <v>1</v>
      </c>
      <c r="BD319" s="25">
        <v>1</v>
      </c>
    </row>
    <row r="320" spans="1:56" hidden="1">
      <c r="A320" s="25">
        <v>315</v>
      </c>
      <c r="B320" s="25" t="str">
        <f>VLOOKUP(C320,'시스템이펙트 참고자료'!$A:$C,2,FALSE)</f>
        <v>ACTIVE_ENERGY_CRITICAL_DAMAGE_UP</v>
      </c>
      <c r="C320" s="25">
        <v>659</v>
      </c>
      <c r="D320" s="25">
        <f>VLOOKUP(C320,'시스템이펙트 참고자료'!$A:$D,4,FALSE)</f>
        <v>0</v>
      </c>
      <c r="E320" s="25">
        <v>0</v>
      </c>
      <c r="F320" s="25">
        <v>0</v>
      </c>
      <c r="G320" s="25">
        <f t="shared" si="27"/>
        <v>4</v>
      </c>
      <c r="H320" s="25" t="s">
        <v>395</v>
      </c>
      <c r="I320" s="25">
        <v>1</v>
      </c>
      <c r="J320" s="25" t="str">
        <f>VLOOKUP(C320,'시스템이펙트 참고자료'!$A:$C,3,FALSE)</f>
        <v>절대값만 가능</v>
      </c>
      <c r="K320" s="25">
        <v>6</v>
      </c>
      <c r="M320" s="25">
        <v>6</v>
      </c>
      <c r="N320" s="25">
        <f t="shared" si="23"/>
        <v>32</v>
      </c>
      <c r="O320" s="25">
        <v>1</v>
      </c>
      <c r="P320" s="25">
        <v>1</v>
      </c>
      <c r="Q320" s="25">
        <v>1</v>
      </c>
      <c r="R320" s="25">
        <v>1</v>
      </c>
      <c r="T320" s="25">
        <v>1</v>
      </c>
      <c r="AA320" s="25">
        <f t="shared" si="26"/>
        <v>128</v>
      </c>
      <c r="AK320" s="25">
        <v>1</v>
      </c>
      <c r="AM320" s="25">
        <v>32</v>
      </c>
      <c r="AN320" s="25">
        <v>100</v>
      </c>
      <c r="AP320" s="25">
        <f t="shared" si="28"/>
        <v>4</v>
      </c>
      <c r="AQ320" s="25" t="str">
        <f>VLOOKUP(C320,'시스템이펙트 참고자료'!$A:$B,2,FALSE)</f>
        <v>ACTIVE_ENERGY_CRITICAL_DAMAGE_UP</v>
      </c>
      <c r="AS320" s="25">
        <v>1</v>
      </c>
      <c r="BD320" s="25">
        <v>1</v>
      </c>
    </row>
    <row r="321" spans="1:56" hidden="1">
      <c r="A321" s="25">
        <v>316</v>
      </c>
      <c r="B321" s="25" t="str">
        <f>VLOOKUP(C321,'시스템이펙트 참고자료'!$A:$C,2,FALSE)</f>
        <v>ACTIVE_FOC_UP</v>
      </c>
      <c r="C321" s="25">
        <v>612</v>
      </c>
      <c r="D321" s="25">
        <f>VLOOKUP(C321,'시스템이펙트 참고자료'!$A:$D,4,FALSE)</f>
        <v>0</v>
      </c>
      <c r="E321" s="25">
        <v>0</v>
      </c>
      <c r="F321" s="25">
        <v>0</v>
      </c>
      <c r="G321" s="25">
        <f t="shared" si="27"/>
        <v>2</v>
      </c>
      <c r="H321" s="25" t="s">
        <v>395</v>
      </c>
      <c r="I321" s="25">
        <v>1</v>
      </c>
      <c r="J321" s="25" t="str">
        <f>VLOOKUP(C321,'시스템이펙트 참고자료'!$A:$C,3,FALSE)</f>
        <v>절대값/상대값(%) 가능</v>
      </c>
      <c r="K321" s="25">
        <v>6</v>
      </c>
      <c r="M321" s="25">
        <v>7</v>
      </c>
      <c r="N321" s="25">
        <f t="shared" si="23"/>
        <v>53</v>
      </c>
      <c r="O321" s="25">
        <v>1</v>
      </c>
      <c r="P321" s="25">
        <v>1</v>
      </c>
      <c r="Q321" s="25">
        <v>1</v>
      </c>
      <c r="R321" s="25">
        <v>1</v>
      </c>
      <c r="T321" s="25">
        <v>1</v>
      </c>
      <c r="AA321" s="25">
        <f t="shared" si="26"/>
        <v>128</v>
      </c>
      <c r="AK321" s="25">
        <v>1</v>
      </c>
      <c r="AM321" s="25">
        <v>53</v>
      </c>
      <c r="AN321" s="25">
        <v>100</v>
      </c>
      <c r="AP321" s="25">
        <f t="shared" si="28"/>
        <v>2</v>
      </c>
      <c r="AQ321" s="25" t="str">
        <f>VLOOKUP(C321,'시스템이펙트 참고자료'!$A:$B,2,FALSE)</f>
        <v>ACTIVE_FOC_UP</v>
      </c>
      <c r="AS321" s="25">
        <v>1</v>
      </c>
      <c r="BD321" s="25">
        <v>1</v>
      </c>
    </row>
    <row r="322" spans="1:56" hidden="1">
      <c r="A322" s="25">
        <v>317</v>
      </c>
      <c r="B322" s="25" t="str">
        <f>VLOOKUP(C322,'시스템이펙트 참고자료'!$A:$C,2,FALSE)</f>
        <v>ACTIVE_ATTACK_RATE_UP</v>
      </c>
      <c r="C322" s="25">
        <v>618</v>
      </c>
      <c r="D322" s="25">
        <f>VLOOKUP(C322,'시스템이펙트 참고자료'!$A:$D,4,FALSE)</f>
        <v>0</v>
      </c>
      <c r="E322" s="25">
        <v>0</v>
      </c>
      <c r="F322" s="25">
        <v>0</v>
      </c>
      <c r="G322" s="25">
        <f t="shared" si="27"/>
        <v>1</v>
      </c>
      <c r="H322" s="25" t="s">
        <v>395</v>
      </c>
      <c r="I322" s="25">
        <v>1</v>
      </c>
      <c r="J322" s="25" t="str">
        <f>VLOOKUP(C322,'시스템이펙트 참고자료'!$A:$C,3,FALSE)</f>
        <v>절대값/상대값(%) 가능</v>
      </c>
      <c r="K322" s="25">
        <v>6</v>
      </c>
      <c r="M322" s="25">
        <v>7</v>
      </c>
      <c r="N322" s="25">
        <f t="shared" si="23"/>
        <v>528</v>
      </c>
      <c r="O322" s="25">
        <v>1</v>
      </c>
      <c r="P322" s="25">
        <v>1</v>
      </c>
      <c r="Q322" s="25">
        <v>1</v>
      </c>
      <c r="R322" s="25">
        <v>1</v>
      </c>
      <c r="T322" s="25">
        <v>1</v>
      </c>
      <c r="AA322" s="25">
        <f t="shared" si="26"/>
        <v>128</v>
      </c>
      <c r="AK322" s="25">
        <v>1</v>
      </c>
      <c r="AM322" s="25">
        <v>528</v>
      </c>
      <c r="AN322" s="25">
        <v>100</v>
      </c>
      <c r="AP322" s="25">
        <f t="shared" si="28"/>
        <v>1</v>
      </c>
      <c r="AQ322" s="25" t="str">
        <f>VLOOKUP(C322,'시스템이펙트 참고자료'!$A:$B,2,FALSE)</f>
        <v>ACTIVE_ATTACK_RATE_UP</v>
      </c>
      <c r="AS322" s="25">
        <v>1</v>
      </c>
      <c r="BD322" s="25">
        <v>1</v>
      </c>
    </row>
    <row r="323" spans="1:56" hidden="1">
      <c r="A323" s="25">
        <v>318</v>
      </c>
      <c r="B323" s="25" t="str">
        <f>VLOOKUP(C323,'시스템이펙트 참고자료'!$A:$C,2,FALSE)</f>
        <v>ACTIVE_ENG_UP</v>
      </c>
      <c r="C323" s="25">
        <v>615</v>
      </c>
      <c r="D323" s="25">
        <f>VLOOKUP(C323,'시스템이펙트 참고자료'!$A:$D,4,FALSE)</f>
        <v>0</v>
      </c>
      <c r="E323" s="25">
        <v>0</v>
      </c>
      <c r="F323" s="25">
        <v>0</v>
      </c>
      <c r="G323" s="25">
        <f t="shared" si="27"/>
        <v>2</v>
      </c>
      <c r="H323" s="25" t="s">
        <v>395</v>
      </c>
      <c r="I323" s="25">
        <v>1</v>
      </c>
      <c r="J323" s="25" t="str">
        <f>VLOOKUP(C323,'시스템이펙트 참고자료'!$A:$C,3,FALSE)</f>
        <v>절대값/상대값(%) 가능</v>
      </c>
      <c r="K323" s="25">
        <v>6</v>
      </c>
      <c r="M323" s="25">
        <v>7</v>
      </c>
      <c r="N323" s="25">
        <f t="shared" si="23"/>
        <v>62</v>
      </c>
      <c r="O323" s="25">
        <v>1</v>
      </c>
      <c r="P323" s="25">
        <v>1</v>
      </c>
      <c r="Q323" s="25">
        <v>1</v>
      </c>
      <c r="R323" s="25">
        <v>1</v>
      </c>
      <c r="T323" s="25">
        <v>1</v>
      </c>
      <c r="AA323" s="25">
        <f t="shared" si="26"/>
        <v>128</v>
      </c>
      <c r="AK323" s="25">
        <v>1</v>
      </c>
      <c r="AM323" s="25">
        <v>62</v>
      </c>
      <c r="AN323" s="25">
        <v>100</v>
      </c>
      <c r="AP323" s="25">
        <f t="shared" si="28"/>
        <v>2</v>
      </c>
      <c r="AQ323" s="25" t="str">
        <f>VLOOKUP(C323,'시스템이펙트 참고자료'!$A:$B,2,FALSE)</f>
        <v>ACTIVE_ENG_UP</v>
      </c>
      <c r="AS323" s="25">
        <v>1</v>
      </c>
      <c r="BD323" s="25">
        <v>1</v>
      </c>
    </row>
    <row r="324" spans="1:56" hidden="1">
      <c r="A324" s="25">
        <v>319</v>
      </c>
      <c r="B324" s="25" t="str">
        <f>VLOOKUP(C324,'시스템이펙트 참고자료'!$A:$C,2,FALSE)</f>
        <v>ACTIVE_PHYSICAL_CRITICAL</v>
      </c>
      <c r="C324" s="25">
        <v>632</v>
      </c>
      <c r="D324" s="25">
        <f>VLOOKUP(C324,'시스템이펙트 참고자료'!$A:$D,4,FALSE)</f>
        <v>0</v>
      </c>
      <c r="E324" s="25">
        <v>0</v>
      </c>
      <c r="F324" s="25">
        <v>0</v>
      </c>
      <c r="G324" s="25">
        <f t="shared" si="27"/>
        <v>5</v>
      </c>
      <c r="H324" s="25" t="s">
        <v>395</v>
      </c>
      <c r="I324" s="25">
        <v>1</v>
      </c>
      <c r="J324" s="25" t="str">
        <f>VLOOKUP(C324,'시스템이펙트 참고자료'!$A:$C,3,FALSE)</f>
        <v>절대값/상대값(%) 가능</v>
      </c>
      <c r="K324" s="25">
        <v>6</v>
      </c>
      <c r="M324" s="25">
        <v>7</v>
      </c>
      <c r="N324" s="25">
        <f t="shared" si="23"/>
        <v>21</v>
      </c>
      <c r="O324" s="25">
        <v>1</v>
      </c>
      <c r="P324" s="25">
        <v>1</v>
      </c>
      <c r="Q324" s="25">
        <v>1</v>
      </c>
      <c r="R324" s="25">
        <v>1</v>
      </c>
      <c r="T324" s="25">
        <v>1</v>
      </c>
      <c r="AA324" s="25">
        <f t="shared" si="26"/>
        <v>128</v>
      </c>
      <c r="AK324" s="25">
        <v>1</v>
      </c>
      <c r="AM324" s="25">
        <v>21</v>
      </c>
      <c r="AN324" s="25">
        <v>100</v>
      </c>
      <c r="AP324" s="25">
        <f t="shared" si="28"/>
        <v>5</v>
      </c>
      <c r="AQ324" s="25" t="str">
        <f>VLOOKUP(C324,'시스템이펙트 참고자료'!$A:$B,2,FALSE)</f>
        <v>ACTIVE_PHYSICAL_CRITICAL</v>
      </c>
      <c r="AS324" s="25">
        <v>1</v>
      </c>
      <c r="BD324" s="25">
        <v>1</v>
      </c>
    </row>
    <row r="325" spans="1:56" hidden="1">
      <c r="A325" s="25">
        <v>320</v>
      </c>
      <c r="B325" s="25" t="str">
        <f>VLOOKUP(C325,'시스템이펙트 참고자료'!$A:$C,2,FALSE)</f>
        <v>ACTIVE_ENERGY_CRITICAL</v>
      </c>
      <c r="C325" s="25">
        <v>633</v>
      </c>
      <c r="D325" s="25">
        <f>VLOOKUP(C325,'시스템이펙트 참고자료'!$A:$D,4,FALSE)</f>
        <v>0</v>
      </c>
      <c r="E325" s="25">
        <v>0</v>
      </c>
      <c r="F325" s="25">
        <v>0</v>
      </c>
      <c r="G325" s="25">
        <f t="shared" si="27"/>
        <v>5</v>
      </c>
      <c r="H325" s="25" t="s">
        <v>395</v>
      </c>
      <c r="I325" s="25">
        <v>1</v>
      </c>
      <c r="J325" s="25" t="str">
        <f>VLOOKUP(C325,'시스템이펙트 참고자료'!$A:$C,3,FALSE)</f>
        <v>절대값/상대값(%) 가능</v>
      </c>
      <c r="K325" s="25">
        <v>6</v>
      </c>
      <c r="M325" s="25">
        <v>7</v>
      </c>
      <c r="N325" s="25">
        <f t="shared" si="23"/>
        <v>24</v>
      </c>
      <c r="O325" s="25">
        <v>1</v>
      </c>
      <c r="P325" s="25">
        <v>1</v>
      </c>
      <c r="Q325" s="25">
        <v>1</v>
      </c>
      <c r="R325" s="25">
        <v>1</v>
      </c>
      <c r="T325" s="25">
        <v>1</v>
      </c>
      <c r="AA325" s="25">
        <f t="shared" si="26"/>
        <v>128</v>
      </c>
      <c r="AK325" s="25">
        <v>1</v>
      </c>
      <c r="AM325" s="25">
        <v>24</v>
      </c>
      <c r="AN325" s="25">
        <v>100</v>
      </c>
      <c r="AP325" s="25">
        <f t="shared" si="28"/>
        <v>5</v>
      </c>
      <c r="AQ325" s="25" t="str">
        <f>VLOOKUP(C325,'시스템이펙트 참고자료'!$A:$B,2,FALSE)</f>
        <v>ACTIVE_ENERGY_CRITICAL</v>
      </c>
      <c r="AS325" s="25">
        <v>1</v>
      </c>
      <c r="BD325" s="25">
        <v>1</v>
      </c>
    </row>
    <row r="326" spans="1:56" hidden="1">
      <c r="A326" s="25">
        <v>321</v>
      </c>
      <c r="B326" s="25" t="str">
        <f>VLOOKUP(C326,'시스템이펙트 참고자료'!$A:$C,2,FALSE)</f>
        <v>ACTIVE_FOC_UP</v>
      </c>
      <c r="C326" s="25">
        <v>612</v>
      </c>
      <c r="D326" s="25">
        <f>VLOOKUP(C326,'시스템이펙트 참고자료'!$A:$D,4,FALSE)</f>
        <v>0</v>
      </c>
      <c r="E326" s="25">
        <v>0</v>
      </c>
      <c r="F326" s="25">
        <v>0</v>
      </c>
      <c r="G326" s="25">
        <f t="shared" si="27"/>
        <v>2</v>
      </c>
      <c r="H326" s="25" t="s">
        <v>395</v>
      </c>
      <c r="I326" s="25">
        <v>1</v>
      </c>
      <c r="J326" s="25" t="str">
        <f>VLOOKUP(C326,'시스템이펙트 참고자료'!$A:$C,3,FALSE)</f>
        <v>절대값/상대값(%) 가능</v>
      </c>
      <c r="K326" s="25">
        <v>6</v>
      </c>
      <c r="M326" s="25">
        <v>8</v>
      </c>
      <c r="N326" s="25">
        <f t="shared" si="23"/>
        <v>53</v>
      </c>
      <c r="O326" s="25">
        <v>1</v>
      </c>
      <c r="P326" s="25">
        <v>1</v>
      </c>
      <c r="Q326" s="25">
        <v>1</v>
      </c>
      <c r="R326" s="25">
        <v>1</v>
      </c>
      <c r="T326" s="25">
        <v>1</v>
      </c>
      <c r="AA326" s="25">
        <f t="shared" si="26"/>
        <v>128</v>
      </c>
      <c r="AK326" s="25">
        <v>1</v>
      </c>
      <c r="AM326" s="25">
        <v>53</v>
      </c>
      <c r="AN326" s="25">
        <v>100</v>
      </c>
      <c r="AP326" s="25">
        <f t="shared" si="28"/>
        <v>2</v>
      </c>
      <c r="AQ326" s="25" t="str">
        <f>VLOOKUP(C326,'시스템이펙트 참고자료'!$A:$B,2,FALSE)</f>
        <v>ACTIVE_FOC_UP</v>
      </c>
      <c r="AS326" s="25">
        <v>1</v>
      </c>
      <c r="BD326" s="25">
        <v>1</v>
      </c>
    </row>
    <row r="327" spans="1:56" hidden="1">
      <c r="A327" s="25">
        <v>322</v>
      </c>
      <c r="B327" s="25" t="str">
        <f>VLOOKUP(C327,'시스템이펙트 참고자료'!$A:$C,2,FALSE)</f>
        <v>ACTIVE_CON_UP</v>
      </c>
      <c r="C327" s="25">
        <v>611</v>
      </c>
      <c r="D327" s="25">
        <f>VLOOKUP(C327,'시스템이펙트 참고자료'!$A:$D,4,FALSE)</f>
        <v>0</v>
      </c>
      <c r="E327" s="25">
        <v>0</v>
      </c>
      <c r="F327" s="25">
        <v>0</v>
      </c>
      <c r="G327" s="25">
        <f t="shared" si="27"/>
        <v>3</v>
      </c>
      <c r="H327" s="25" t="s">
        <v>395</v>
      </c>
      <c r="I327" s="25">
        <v>1</v>
      </c>
      <c r="J327" s="25" t="str">
        <f>VLOOKUP(C327,'시스템이펙트 참고자료'!$A:$C,3,FALSE)</f>
        <v>절대값/상대값(%) 가능</v>
      </c>
      <c r="K327" s="25">
        <v>6</v>
      </c>
      <c r="M327" s="25">
        <v>8</v>
      </c>
      <c r="N327" s="25">
        <f t="shared" ref="N327:N390" si="29">IF(BD327&gt;0,INT(AM327/AK327),0)</f>
        <v>48</v>
      </c>
      <c r="O327" s="25">
        <v>1</v>
      </c>
      <c r="P327" s="25">
        <v>1</v>
      </c>
      <c r="Q327" s="25">
        <v>1</v>
      </c>
      <c r="R327" s="25">
        <v>1</v>
      </c>
      <c r="T327" s="25">
        <v>1</v>
      </c>
      <c r="AA327" s="25">
        <f t="shared" si="26"/>
        <v>128</v>
      </c>
      <c r="AK327" s="25">
        <v>1</v>
      </c>
      <c r="AM327" s="25">
        <v>48</v>
      </c>
      <c r="AN327" s="25">
        <v>100</v>
      </c>
      <c r="AP327" s="25">
        <f t="shared" si="28"/>
        <v>3</v>
      </c>
      <c r="AQ327" s="25" t="str">
        <f>VLOOKUP(C327,'시스템이펙트 참고자료'!$A:$B,2,FALSE)</f>
        <v>ACTIVE_CON_UP</v>
      </c>
      <c r="AS327" s="25">
        <v>1</v>
      </c>
      <c r="BD327" s="25">
        <v>1</v>
      </c>
    </row>
    <row r="328" spans="1:56" hidden="1">
      <c r="A328" s="25">
        <v>323</v>
      </c>
      <c r="B328" s="25" t="str">
        <f>VLOOKUP(C328,'시스템이펙트 참고자료'!$A:$C,2,FALSE)</f>
        <v>ACTIVE_BLOCK_RATE_UP</v>
      </c>
      <c r="C328" s="25">
        <v>620</v>
      </c>
      <c r="D328" s="25">
        <f>VLOOKUP(C328,'시스템이펙트 참고자료'!$A:$D,4,FALSE)</f>
        <v>0</v>
      </c>
      <c r="E328" s="25">
        <v>0</v>
      </c>
      <c r="F328" s="25">
        <v>0</v>
      </c>
      <c r="G328" s="25">
        <f t="shared" si="27"/>
        <v>1</v>
      </c>
      <c r="H328" s="25" t="s">
        <v>395</v>
      </c>
      <c r="I328" s="25">
        <v>1</v>
      </c>
      <c r="J328" s="25" t="str">
        <f>VLOOKUP(C328,'시스템이펙트 참고자료'!$A:$C,3,FALSE)</f>
        <v>절대값/상대값(%) 가능</v>
      </c>
      <c r="K328" s="25">
        <v>6</v>
      </c>
      <c r="M328" s="25">
        <v>8</v>
      </c>
      <c r="N328" s="25">
        <f t="shared" si="29"/>
        <v>352</v>
      </c>
      <c r="O328" s="25">
        <v>1</v>
      </c>
      <c r="P328" s="25">
        <v>1</v>
      </c>
      <c r="Q328" s="25">
        <v>1</v>
      </c>
      <c r="R328" s="25">
        <v>1</v>
      </c>
      <c r="T328" s="25">
        <v>1</v>
      </c>
      <c r="AA328" s="25">
        <f t="shared" si="26"/>
        <v>128</v>
      </c>
      <c r="AK328" s="25">
        <v>1</v>
      </c>
      <c r="AM328" s="25">
        <v>352</v>
      </c>
      <c r="AN328" s="25">
        <v>100</v>
      </c>
      <c r="AP328" s="25">
        <f t="shared" si="28"/>
        <v>1</v>
      </c>
      <c r="AQ328" s="25" t="str">
        <f>VLOOKUP(C328,'시스템이펙트 참고자료'!$A:$B,2,FALSE)</f>
        <v>ACTIVE_BLOCK_RATE_UP</v>
      </c>
      <c r="AS328" s="25">
        <v>1</v>
      </c>
      <c r="BD328" s="25">
        <v>1</v>
      </c>
    </row>
    <row r="329" spans="1:56" hidden="1">
      <c r="A329" s="25">
        <v>324</v>
      </c>
      <c r="B329" s="25" t="str">
        <f>VLOOKUP(C329,'시스템이펙트 참고자료'!$A:$C,2,FALSE)</f>
        <v>ACTIVE_ENG_UP</v>
      </c>
      <c r="C329" s="25">
        <v>615</v>
      </c>
      <c r="D329" s="25">
        <f>VLOOKUP(C329,'시스템이펙트 참고자료'!$A:$D,4,FALSE)</f>
        <v>0</v>
      </c>
      <c r="E329" s="25">
        <v>0</v>
      </c>
      <c r="F329" s="25">
        <v>0</v>
      </c>
      <c r="G329" s="25">
        <f t="shared" si="27"/>
        <v>2</v>
      </c>
      <c r="H329" s="25" t="s">
        <v>395</v>
      </c>
      <c r="I329" s="25">
        <v>1</v>
      </c>
      <c r="J329" s="25" t="str">
        <f>VLOOKUP(C329,'시스템이펙트 참고자료'!$A:$C,3,FALSE)</f>
        <v>절대값/상대값(%) 가능</v>
      </c>
      <c r="K329" s="25">
        <v>6</v>
      </c>
      <c r="M329" s="25">
        <v>8</v>
      </c>
      <c r="N329" s="25">
        <f t="shared" si="29"/>
        <v>62</v>
      </c>
      <c r="O329" s="25">
        <v>1</v>
      </c>
      <c r="P329" s="25">
        <v>1</v>
      </c>
      <c r="Q329" s="25">
        <v>1</v>
      </c>
      <c r="R329" s="25">
        <v>1</v>
      </c>
      <c r="T329" s="25">
        <v>1</v>
      </c>
      <c r="AA329" s="25">
        <f t="shared" si="26"/>
        <v>128</v>
      </c>
      <c r="AK329" s="25">
        <v>1</v>
      </c>
      <c r="AM329" s="25">
        <v>62</v>
      </c>
      <c r="AN329" s="25">
        <v>100</v>
      </c>
      <c r="AP329" s="25">
        <f t="shared" si="28"/>
        <v>2</v>
      </c>
      <c r="AQ329" s="25" t="str">
        <f>VLOOKUP(C329,'시스템이펙트 참고자료'!$A:$B,2,FALSE)</f>
        <v>ACTIVE_ENG_UP</v>
      </c>
      <c r="AS329" s="25">
        <v>1</v>
      </c>
      <c r="BD329" s="25">
        <v>1</v>
      </c>
    </row>
    <row r="330" spans="1:56" hidden="1">
      <c r="A330" s="25">
        <v>325</v>
      </c>
      <c r="B330" s="25" t="str">
        <f>VLOOKUP(C330,'시스템이펙트 참고자료'!$A:$C,2,FALSE)</f>
        <v>ACTIVE_PHYSICAL_CRITICAL</v>
      </c>
      <c r="C330" s="25">
        <v>632</v>
      </c>
      <c r="D330" s="25">
        <f>VLOOKUP(C330,'시스템이펙트 참고자료'!$A:$D,4,FALSE)</f>
        <v>0</v>
      </c>
      <c r="E330" s="25">
        <v>0</v>
      </c>
      <c r="F330" s="25">
        <v>0</v>
      </c>
      <c r="G330" s="25">
        <f t="shared" si="27"/>
        <v>5</v>
      </c>
      <c r="H330" s="25" t="s">
        <v>395</v>
      </c>
      <c r="I330" s="25">
        <v>1</v>
      </c>
      <c r="J330" s="25" t="str">
        <f>VLOOKUP(C330,'시스템이펙트 참고자료'!$A:$C,3,FALSE)</f>
        <v>절대값/상대값(%) 가능</v>
      </c>
      <c r="K330" s="25">
        <v>6</v>
      </c>
      <c r="M330" s="25">
        <v>9</v>
      </c>
      <c r="N330" s="25">
        <f t="shared" si="29"/>
        <v>21</v>
      </c>
      <c r="O330" s="25">
        <v>1</v>
      </c>
      <c r="P330" s="25">
        <v>1</v>
      </c>
      <c r="Q330" s="25">
        <v>1</v>
      </c>
      <c r="R330" s="25">
        <v>1</v>
      </c>
      <c r="T330" s="25">
        <v>1</v>
      </c>
      <c r="AA330" s="25">
        <f t="shared" si="26"/>
        <v>128</v>
      </c>
      <c r="AK330" s="25">
        <v>1</v>
      </c>
      <c r="AM330" s="25">
        <v>21</v>
      </c>
      <c r="AN330" s="25">
        <v>100</v>
      </c>
      <c r="AP330" s="25">
        <f t="shared" si="28"/>
        <v>5</v>
      </c>
      <c r="AQ330" s="25" t="str">
        <f>VLOOKUP(C330,'시스템이펙트 참고자료'!$A:$B,2,FALSE)</f>
        <v>ACTIVE_PHYSICAL_CRITICAL</v>
      </c>
      <c r="AS330" s="25">
        <v>1</v>
      </c>
      <c r="BD330" s="25">
        <v>1</v>
      </c>
    </row>
    <row r="331" spans="1:56" hidden="1">
      <c r="A331" s="25">
        <v>326</v>
      </c>
      <c r="B331" s="25" t="str">
        <f>VLOOKUP(C331,'시스템이펙트 참고자료'!$A:$C,2,FALSE)</f>
        <v>ACTIVE_ENERGY_CRITICAL</v>
      </c>
      <c r="C331" s="25">
        <v>633</v>
      </c>
      <c r="D331" s="25">
        <f>VLOOKUP(C331,'시스템이펙트 참고자료'!$A:$D,4,FALSE)</f>
        <v>0</v>
      </c>
      <c r="E331" s="25">
        <v>0</v>
      </c>
      <c r="F331" s="25">
        <v>0</v>
      </c>
      <c r="G331" s="25">
        <f t="shared" si="27"/>
        <v>5</v>
      </c>
      <c r="H331" s="25" t="s">
        <v>395</v>
      </c>
      <c r="I331" s="25">
        <v>1</v>
      </c>
      <c r="J331" s="25" t="str">
        <f>VLOOKUP(C331,'시스템이펙트 참고자료'!$A:$C,3,FALSE)</f>
        <v>절대값/상대값(%) 가능</v>
      </c>
      <c r="K331" s="25">
        <v>6</v>
      </c>
      <c r="M331" s="25">
        <v>9</v>
      </c>
      <c r="N331" s="25">
        <f t="shared" si="29"/>
        <v>24</v>
      </c>
      <c r="O331" s="25">
        <v>1</v>
      </c>
      <c r="P331" s="25">
        <v>1</v>
      </c>
      <c r="Q331" s="25">
        <v>1</v>
      </c>
      <c r="R331" s="25">
        <v>1</v>
      </c>
      <c r="T331" s="25">
        <v>1</v>
      </c>
      <c r="AA331" s="25">
        <f t="shared" si="26"/>
        <v>128</v>
      </c>
      <c r="AK331" s="25">
        <v>1</v>
      </c>
      <c r="AM331" s="25">
        <v>24</v>
      </c>
      <c r="AN331" s="25">
        <v>100</v>
      </c>
      <c r="AP331" s="25">
        <f t="shared" si="28"/>
        <v>5</v>
      </c>
      <c r="AQ331" s="25" t="str">
        <f>VLOOKUP(C331,'시스템이펙트 참고자료'!$A:$B,2,FALSE)</f>
        <v>ACTIVE_ENERGY_CRITICAL</v>
      </c>
      <c r="AS331" s="25">
        <v>1</v>
      </c>
      <c r="BD331" s="25">
        <v>1</v>
      </c>
    </row>
    <row r="332" spans="1:56" hidden="1">
      <c r="A332" s="25">
        <v>327</v>
      </c>
      <c r="B332" s="25" t="str">
        <f>VLOOKUP(C332,'시스템이펙트 참고자료'!$A:$C,2,FALSE)</f>
        <v>ACTIVE_DEX_UP</v>
      </c>
      <c r="C332" s="25">
        <v>613</v>
      </c>
      <c r="D332" s="25">
        <f>VLOOKUP(C332,'시스템이펙트 참고자료'!$A:$D,4,FALSE)</f>
        <v>0</v>
      </c>
      <c r="E332" s="25">
        <v>0</v>
      </c>
      <c r="F332" s="25">
        <v>0</v>
      </c>
      <c r="G332" s="25">
        <f t="shared" si="27"/>
        <v>3</v>
      </c>
      <c r="H332" s="25" t="s">
        <v>395</v>
      </c>
      <c r="I332" s="25">
        <v>1</v>
      </c>
      <c r="J332" s="25" t="str">
        <f>VLOOKUP(C332,'시스템이펙트 참고자료'!$A:$C,3,FALSE)</f>
        <v>절대값/상대값(%) 가능</v>
      </c>
      <c r="K332" s="25">
        <v>6</v>
      </c>
      <c r="M332" s="25">
        <v>9</v>
      </c>
      <c r="N332" s="25">
        <f t="shared" si="29"/>
        <v>44</v>
      </c>
      <c r="O332" s="25">
        <v>1</v>
      </c>
      <c r="P332" s="25">
        <v>1</v>
      </c>
      <c r="Q332" s="25">
        <v>1</v>
      </c>
      <c r="R332" s="25">
        <v>1</v>
      </c>
      <c r="T332" s="25">
        <v>1</v>
      </c>
      <c r="AA332" s="25">
        <f t="shared" si="26"/>
        <v>128</v>
      </c>
      <c r="AK332" s="25">
        <v>1</v>
      </c>
      <c r="AM332" s="25">
        <v>44</v>
      </c>
      <c r="AN332" s="25">
        <v>100</v>
      </c>
      <c r="AP332" s="25">
        <f t="shared" si="28"/>
        <v>3</v>
      </c>
      <c r="AQ332" s="25" t="str">
        <f>VLOOKUP(C332,'시스템이펙트 참고자료'!$A:$B,2,FALSE)</f>
        <v>ACTIVE_DEX_UP</v>
      </c>
      <c r="AS332" s="25">
        <v>1</v>
      </c>
      <c r="BD332" s="25">
        <v>1</v>
      </c>
    </row>
    <row r="333" spans="1:56" hidden="1">
      <c r="A333" s="25">
        <v>328</v>
      </c>
      <c r="B333" s="25" t="str">
        <f>VLOOKUP(C333,'시스템이펙트 참고자료'!$A:$C,2,FALSE)</f>
        <v>ACTIVE_FOC_UP</v>
      </c>
      <c r="C333" s="25">
        <v>612</v>
      </c>
      <c r="D333" s="25">
        <f>VLOOKUP(C333,'시스템이펙트 참고자료'!$A:$D,4,FALSE)</f>
        <v>0</v>
      </c>
      <c r="E333" s="25">
        <v>0</v>
      </c>
      <c r="F333" s="25">
        <v>0</v>
      </c>
      <c r="G333" s="25">
        <f t="shared" si="27"/>
        <v>2</v>
      </c>
      <c r="H333" s="25" t="s">
        <v>395</v>
      </c>
      <c r="I333" s="25">
        <v>1</v>
      </c>
      <c r="J333" s="25" t="str">
        <f>VLOOKUP(C333,'시스템이펙트 참고자료'!$A:$C,3,FALSE)</f>
        <v>절대값/상대값(%) 가능</v>
      </c>
      <c r="K333" s="25">
        <v>6</v>
      </c>
      <c r="M333" s="25">
        <v>9</v>
      </c>
      <c r="N333" s="25">
        <f t="shared" si="29"/>
        <v>53</v>
      </c>
      <c r="O333" s="25">
        <v>1</v>
      </c>
      <c r="P333" s="25">
        <v>1</v>
      </c>
      <c r="Q333" s="25">
        <v>1</v>
      </c>
      <c r="R333" s="25">
        <v>1</v>
      </c>
      <c r="T333" s="25">
        <v>1</v>
      </c>
      <c r="AA333" s="25">
        <f t="shared" si="26"/>
        <v>128</v>
      </c>
      <c r="AK333" s="25">
        <v>1</v>
      </c>
      <c r="AM333" s="25">
        <v>53</v>
      </c>
      <c r="AN333" s="25">
        <v>100</v>
      </c>
      <c r="AP333" s="25">
        <f t="shared" si="28"/>
        <v>2</v>
      </c>
      <c r="AQ333" s="25" t="str">
        <f>VLOOKUP(C333,'시스템이펙트 참고자료'!$A:$B,2,FALSE)</f>
        <v>ACTIVE_FOC_UP</v>
      </c>
      <c r="AS333" s="25">
        <v>1</v>
      </c>
      <c r="BD333" s="25">
        <v>1</v>
      </c>
    </row>
    <row r="334" spans="1:56" hidden="1">
      <c r="A334" s="25">
        <v>329</v>
      </c>
      <c r="B334" s="25" t="str">
        <f>VLOOKUP(C334,'시스템이펙트 참고자료'!$A:$C,2,FALSE)</f>
        <v>ACTIVE_PHYSICAL_CRITICAL_DAMAGE_UP</v>
      </c>
      <c r="C334" s="25">
        <v>658</v>
      </c>
      <c r="D334" s="25">
        <f>VLOOKUP(C334,'시스템이펙트 참고자료'!$A:$D,4,FALSE)</f>
        <v>0</v>
      </c>
      <c r="E334" s="25">
        <v>0</v>
      </c>
      <c r="F334" s="25">
        <v>0</v>
      </c>
      <c r="G334" s="25">
        <f t="shared" si="27"/>
        <v>4</v>
      </c>
      <c r="H334" s="25" t="s">
        <v>395</v>
      </c>
      <c r="I334" s="25">
        <v>1</v>
      </c>
      <c r="J334" s="25" t="str">
        <f>VLOOKUP(C334,'시스템이펙트 참고자료'!$A:$C,3,FALSE)</f>
        <v>절대값만 가능</v>
      </c>
      <c r="K334" s="25">
        <v>6</v>
      </c>
      <c r="M334" s="25">
        <v>10</v>
      </c>
      <c r="N334" s="25">
        <f t="shared" si="29"/>
        <v>28</v>
      </c>
      <c r="O334" s="25">
        <v>1</v>
      </c>
      <c r="P334" s="25">
        <v>1</v>
      </c>
      <c r="Q334" s="25">
        <v>1</v>
      </c>
      <c r="R334" s="25">
        <v>1</v>
      </c>
      <c r="T334" s="25">
        <v>1</v>
      </c>
      <c r="AA334" s="25">
        <f t="shared" si="26"/>
        <v>128</v>
      </c>
      <c r="AK334" s="25">
        <v>1</v>
      </c>
      <c r="AM334" s="25">
        <v>28</v>
      </c>
      <c r="AN334" s="25">
        <v>100</v>
      </c>
      <c r="AP334" s="25">
        <f t="shared" si="28"/>
        <v>4</v>
      </c>
      <c r="AQ334" s="25" t="str">
        <f>VLOOKUP(C334,'시스템이펙트 참고자료'!$A:$B,2,FALSE)</f>
        <v>ACTIVE_PHYSICAL_CRITICAL_DAMAGE_UP</v>
      </c>
      <c r="AS334" s="25">
        <v>1</v>
      </c>
      <c r="BD334" s="25">
        <v>1</v>
      </c>
    </row>
    <row r="335" spans="1:56" hidden="1">
      <c r="A335" s="25">
        <v>330</v>
      </c>
      <c r="B335" s="25" t="str">
        <f>VLOOKUP(C335,'시스템이펙트 참고자료'!$A:$C,2,FALSE)</f>
        <v>ACTIVE_ENERGY_CRITICAL_DAMAGE_UP</v>
      </c>
      <c r="C335" s="25">
        <v>659</v>
      </c>
      <c r="D335" s="25">
        <f>VLOOKUP(C335,'시스템이펙트 참고자료'!$A:$D,4,FALSE)</f>
        <v>0</v>
      </c>
      <c r="E335" s="25">
        <v>0</v>
      </c>
      <c r="F335" s="25">
        <v>0</v>
      </c>
      <c r="G335" s="25">
        <f t="shared" si="27"/>
        <v>4</v>
      </c>
      <c r="H335" s="25" t="s">
        <v>395</v>
      </c>
      <c r="I335" s="25">
        <v>1</v>
      </c>
      <c r="J335" s="25" t="str">
        <f>VLOOKUP(C335,'시스템이펙트 참고자료'!$A:$C,3,FALSE)</f>
        <v>절대값만 가능</v>
      </c>
      <c r="K335" s="25">
        <v>6</v>
      </c>
      <c r="M335" s="25">
        <v>10</v>
      </c>
      <c r="N335" s="25">
        <f t="shared" si="29"/>
        <v>32</v>
      </c>
      <c r="O335" s="25">
        <v>1</v>
      </c>
      <c r="P335" s="25">
        <v>1</v>
      </c>
      <c r="Q335" s="25">
        <v>1</v>
      </c>
      <c r="R335" s="25">
        <v>1</v>
      </c>
      <c r="T335" s="25">
        <v>1</v>
      </c>
      <c r="AA335" s="25">
        <f t="shared" si="26"/>
        <v>128</v>
      </c>
      <c r="AK335" s="25">
        <v>1</v>
      </c>
      <c r="AM335" s="25">
        <v>32</v>
      </c>
      <c r="AN335" s="25">
        <v>100</v>
      </c>
      <c r="AP335" s="25">
        <f t="shared" si="28"/>
        <v>4</v>
      </c>
      <c r="AQ335" s="25" t="str">
        <f>VLOOKUP(C335,'시스템이펙트 참고자료'!$A:$B,2,FALSE)</f>
        <v>ACTIVE_ENERGY_CRITICAL_DAMAGE_UP</v>
      </c>
      <c r="AS335" s="25">
        <v>1</v>
      </c>
      <c r="BD335" s="25">
        <v>1</v>
      </c>
    </row>
    <row r="336" spans="1:56" hidden="1">
      <c r="A336" s="25">
        <v>331</v>
      </c>
      <c r="B336" s="25" t="str">
        <f>VLOOKUP(C336,'시스템이펙트 참고자료'!$A:$C,2,FALSE)</f>
        <v>ACTIVE_DEX_UP</v>
      </c>
      <c r="C336" s="25">
        <v>613</v>
      </c>
      <c r="D336" s="25">
        <f>VLOOKUP(C336,'시스템이펙트 참고자료'!$A:$D,4,FALSE)</f>
        <v>0</v>
      </c>
      <c r="E336" s="25">
        <v>0</v>
      </c>
      <c r="F336" s="25">
        <v>0</v>
      </c>
      <c r="G336" s="25">
        <f t="shared" si="27"/>
        <v>3</v>
      </c>
      <c r="H336" s="25" t="s">
        <v>395</v>
      </c>
      <c r="I336" s="25">
        <v>1</v>
      </c>
      <c r="J336" s="25" t="str">
        <f>VLOOKUP(C336,'시스템이펙트 참고자료'!$A:$C,3,FALSE)</f>
        <v>절대값/상대값(%) 가능</v>
      </c>
      <c r="K336" s="25">
        <v>6</v>
      </c>
      <c r="M336" s="25">
        <v>10</v>
      </c>
      <c r="N336" s="25">
        <f t="shared" si="29"/>
        <v>44</v>
      </c>
      <c r="O336" s="25">
        <v>1</v>
      </c>
      <c r="P336" s="25">
        <v>1</v>
      </c>
      <c r="Q336" s="25">
        <v>1</v>
      </c>
      <c r="R336" s="25">
        <v>1</v>
      </c>
      <c r="T336" s="25">
        <v>1</v>
      </c>
      <c r="AA336" s="25">
        <f t="shared" si="26"/>
        <v>128</v>
      </c>
      <c r="AK336" s="25">
        <v>1</v>
      </c>
      <c r="AM336" s="25">
        <v>44</v>
      </c>
      <c r="AN336" s="25">
        <v>100</v>
      </c>
      <c r="AP336" s="25">
        <f t="shared" si="28"/>
        <v>3</v>
      </c>
      <c r="AQ336" s="25" t="str">
        <f>VLOOKUP(C336,'시스템이펙트 참고자료'!$A:$B,2,FALSE)</f>
        <v>ACTIVE_DEX_UP</v>
      </c>
      <c r="AS336" s="25">
        <v>1</v>
      </c>
      <c r="BD336" s="25">
        <v>1</v>
      </c>
    </row>
    <row r="337" spans="1:56" hidden="1">
      <c r="A337" s="25">
        <v>332</v>
      </c>
      <c r="B337" s="25" t="str">
        <f>VLOOKUP(C337,'시스템이펙트 참고자료'!$A:$C,2,FALSE)</f>
        <v>ACTIVE_ATTACK_SPEED_UP</v>
      </c>
      <c r="C337" s="25">
        <v>617</v>
      </c>
      <c r="D337" s="25">
        <f>VLOOKUP(C337,'시스템이펙트 참고자료'!$A:$D,4,FALSE)</f>
        <v>1</v>
      </c>
      <c r="E337" s="25">
        <v>0</v>
      </c>
      <c r="F337" s="25">
        <v>0</v>
      </c>
      <c r="G337" s="25">
        <f t="shared" si="27"/>
        <v>10</v>
      </c>
      <c r="H337" s="25" t="s">
        <v>395</v>
      </c>
      <c r="I337" s="25">
        <v>1</v>
      </c>
      <c r="J337" s="25" t="str">
        <f>VLOOKUP(C337,'시스템이펙트 참고자료'!$A:$C,3,FALSE)</f>
        <v>절대값/상대값(%) 가능</v>
      </c>
      <c r="K337" s="25">
        <v>6</v>
      </c>
      <c r="M337" s="25">
        <v>10</v>
      </c>
      <c r="N337" s="25">
        <f t="shared" si="29"/>
        <v>10</v>
      </c>
      <c r="O337" s="25">
        <v>1</v>
      </c>
      <c r="P337" s="25">
        <v>1</v>
      </c>
      <c r="Q337" s="25">
        <v>1</v>
      </c>
      <c r="R337" s="25">
        <v>1</v>
      </c>
      <c r="T337" s="25">
        <v>1</v>
      </c>
      <c r="AA337" s="25">
        <f t="shared" si="26"/>
        <v>128</v>
      </c>
      <c r="AK337" s="25">
        <v>1</v>
      </c>
      <c r="AM337" s="25">
        <v>10</v>
      </c>
      <c r="AN337" s="25">
        <v>100</v>
      </c>
      <c r="AP337" s="25">
        <f t="shared" si="28"/>
        <v>10</v>
      </c>
      <c r="AQ337" s="25" t="str">
        <f>VLOOKUP(C337,'시스템이펙트 참고자료'!$A:$B,2,FALSE)</f>
        <v>ACTIVE_ATTACK_SPEED_UP</v>
      </c>
      <c r="AS337" s="25">
        <v>1</v>
      </c>
      <c r="BD337" s="25">
        <v>1</v>
      </c>
    </row>
    <row r="338" spans="1:56" hidden="1">
      <c r="A338" s="25">
        <v>333</v>
      </c>
      <c r="B338" s="25" t="str">
        <f>VLOOKUP(C338,'시스템이펙트 참고자료'!$A:$C,2,FALSE)</f>
        <v>ACTIVE_STR_UP</v>
      </c>
      <c r="C338" s="25">
        <v>610</v>
      </c>
      <c r="D338" s="25">
        <f>VLOOKUP(C338,'시스템이펙트 참고자료'!$A:$D,4,FALSE)</f>
        <v>0</v>
      </c>
      <c r="E338" s="25">
        <v>0</v>
      </c>
      <c r="F338" s="25">
        <v>0</v>
      </c>
      <c r="G338" s="25">
        <f t="shared" si="27"/>
        <v>2</v>
      </c>
      <c r="H338" s="25" t="s">
        <v>395</v>
      </c>
      <c r="I338" s="25">
        <v>1</v>
      </c>
      <c r="J338" s="25" t="str">
        <f>VLOOKUP(C338,'시스템이펙트 참고자료'!$A:$C,3,FALSE)</f>
        <v>절대값/상대값(%) 가능</v>
      </c>
      <c r="K338" s="25">
        <v>6</v>
      </c>
      <c r="M338" s="25">
        <v>11</v>
      </c>
      <c r="N338" s="25">
        <f t="shared" si="29"/>
        <v>57</v>
      </c>
      <c r="O338" s="25">
        <v>1</v>
      </c>
      <c r="P338" s="25">
        <v>1</v>
      </c>
      <c r="Q338" s="25">
        <v>1</v>
      </c>
      <c r="R338" s="25">
        <v>1</v>
      </c>
      <c r="T338" s="25">
        <v>1</v>
      </c>
      <c r="AA338" s="25">
        <f t="shared" si="26"/>
        <v>128</v>
      </c>
      <c r="AK338" s="25">
        <v>1</v>
      </c>
      <c r="AM338" s="25">
        <v>57</v>
      </c>
      <c r="AN338" s="25">
        <v>100</v>
      </c>
      <c r="AP338" s="25">
        <f t="shared" si="28"/>
        <v>2</v>
      </c>
      <c r="AQ338" s="25" t="str">
        <f>VLOOKUP(C338,'시스템이펙트 참고자료'!$A:$B,2,FALSE)</f>
        <v>ACTIVE_STR_UP</v>
      </c>
      <c r="AS338" s="25">
        <v>1</v>
      </c>
      <c r="BD338" s="25">
        <v>1</v>
      </c>
    </row>
    <row r="339" spans="1:56" hidden="1">
      <c r="A339" s="25">
        <v>334</v>
      </c>
      <c r="B339" s="25" t="str">
        <f>VLOOKUP(C339,'시스템이펙트 참고자료'!$A:$C,2,FALSE)</f>
        <v>ACTIVE_CON_UP</v>
      </c>
      <c r="C339" s="25">
        <v>611</v>
      </c>
      <c r="D339" s="25">
        <f>VLOOKUP(C339,'시스템이펙트 참고자료'!$A:$D,4,FALSE)</f>
        <v>0</v>
      </c>
      <c r="E339" s="25">
        <v>0</v>
      </c>
      <c r="F339" s="25">
        <v>0</v>
      </c>
      <c r="G339" s="25">
        <f t="shared" si="27"/>
        <v>3</v>
      </c>
      <c r="H339" s="25" t="s">
        <v>395</v>
      </c>
      <c r="I339" s="25">
        <v>1</v>
      </c>
      <c r="J339" s="25" t="str">
        <f>VLOOKUP(C339,'시스템이펙트 참고자료'!$A:$C,3,FALSE)</f>
        <v>절대값/상대값(%) 가능</v>
      </c>
      <c r="K339" s="25">
        <v>6</v>
      </c>
      <c r="M339" s="25">
        <v>11</v>
      </c>
      <c r="N339" s="25">
        <f t="shared" si="29"/>
        <v>48</v>
      </c>
      <c r="O339" s="25">
        <v>1</v>
      </c>
      <c r="P339" s="25">
        <v>1</v>
      </c>
      <c r="Q339" s="25">
        <v>1</v>
      </c>
      <c r="R339" s="25">
        <v>1</v>
      </c>
      <c r="T339" s="25">
        <v>1</v>
      </c>
      <c r="AA339" s="25">
        <f t="shared" ref="AA339:AA402" si="30">2^AA$1</f>
        <v>128</v>
      </c>
      <c r="AK339" s="25">
        <v>1</v>
      </c>
      <c r="AM339" s="25">
        <v>48</v>
      </c>
      <c r="AN339" s="25">
        <v>100</v>
      </c>
      <c r="AP339" s="25">
        <f t="shared" si="28"/>
        <v>3</v>
      </c>
      <c r="AQ339" s="25" t="str">
        <f>VLOOKUP(C339,'시스템이펙트 참고자료'!$A:$B,2,FALSE)</f>
        <v>ACTIVE_CON_UP</v>
      </c>
      <c r="AS339" s="25">
        <v>1</v>
      </c>
      <c r="BD339" s="25">
        <v>1</v>
      </c>
    </row>
    <row r="340" spans="1:56" hidden="1">
      <c r="A340" s="25">
        <v>335</v>
      </c>
      <c r="B340" s="25" t="str">
        <f>VLOOKUP(C340,'시스템이펙트 참고자료'!$A:$C,2,FALSE)</f>
        <v>ACTIVE_FOC_UP</v>
      </c>
      <c r="C340" s="25">
        <v>612</v>
      </c>
      <c r="D340" s="25">
        <f>VLOOKUP(C340,'시스템이펙트 참고자료'!$A:$D,4,FALSE)</f>
        <v>0</v>
      </c>
      <c r="E340" s="25">
        <v>0</v>
      </c>
      <c r="F340" s="25">
        <v>0</v>
      </c>
      <c r="G340" s="25">
        <f t="shared" si="27"/>
        <v>2</v>
      </c>
      <c r="H340" s="25" t="s">
        <v>395</v>
      </c>
      <c r="I340" s="25">
        <v>1</v>
      </c>
      <c r="J340" s="25" t="str">
        <f>VLOOKUP(C340,'시스템이펙트 참고자료'!$A:$C,3,FALSE)</f>
        <v>절대값/상대값(%) 가능</v>
      </c>
      <c r="K340" s="25">
        <v>6</v>
      </c>
      <c r="M340" s="25">
        <v>11</v>
      </c>
      <c r="N340" s="25">
        <f t="shared" si="29"/>
        <v>53</v>
      </c>
      <c r="O340" s="25">
        <v>1</v>
      </c>
      <c r="P340" s="25">
        <v>1</v>
      </c>
      <c r="Q340" s="25">
        <v>1</v>
      </c>
      <c r="R340" s="25">
        <v>1</v>
      </c>
      <c r="T340" s="25">
        <v>1</v>
      </c>
      <c r="AA340" s="25">
        <f t="shared" si="30"/>
        <v>128</v>
      </c>
      <c r="AK340" s="25">
        <v>1</v>
      </c>
      <c r="AM340" s="25">
        <v>53</v>
      </c>
      <c r="AN340" s="25">
        <v>100</v>
      </c>
      <c r="AP340" s="25">
        <f t="shared" si="28"/>
        <v>2</v>
      </c>
      <c r="AQ340" s="25" t="str">
        <f>VLOOKUP(C340,'시스템이펙트 참고자료'!$A:$B,2,FALSE)</f>
        <v>ACTIVE_FOC_UP</v>
      </c>
      <c r="AS340" s="25">
        <v>1</v>
      </c>
      <c r="BD340" s="25">
        <v>1</v>
      </c>
    </row>
    <row r="341" spans="1:56" hidden="1">
      <c r="A341" s="25">
        <v>336</v>
      </c>
      <c r="B341" s="25" t="str">
        <f>VLOOKUP(C341,'시스템이펙트 참고자료'!$A:$C,2,FALSE)</f>
        <v>ACTIVE_DEX_UP</v>
      </c>
      <c r="C341" s="25">
        <v>613</v>
      </c>
      <c r="D341" s="25">
        <f>VLOOKUP(C341,'시스템이펙트 참고자료'!$A:$D,4,FALSE)</f>
        <v>0</v>
      </c>
      <c r="E341" s="25">
        <v>0</v>
      </c>
      <c r="F341" s="25">
        <v>0</v>
      </c>
      <c r="G341" s="25">
        <f t="shared" si="27"/>
        <v>3</v>
      </c>
      <c r="H341" s="25" t="s">
        <v>395</v>
      </c>
      <c r="I341" s="25">
        <v>1</v>
      </c>
      <c r="J341" s="25" t="str">
        <f>VLOOKUP(C341,'시스템이펙트 참고자료'!$A:$C,3,FALSE)</f>
        <v>절대값/상대값(%) 가능</v>
      </c>
      <c r="K341" s="25">
        <v>6</v>
      </c>
      <c r="M341" s="25">
        <v>11</v>
      </c>
      <c r="N341" s="25">
        <f t="shared" si="29"/>
        <v>44</v>
      </c>
      <c r="O341" s="25">
        <v>1</v>
      </c>
      <c r="P341" s="25">
        <v>1</v>
      </c>
      <c r="Q341" s="25">
        <v>1</v>
      </c>
      <c r="R341" s="25">
        <v>1</v>
      </c>
      <c r="T341" s="25">
        <v>1</v>
      </c>
      <c r="AA341" s="25">
        <f t="shared" si="30"/>
        <v>128</v>
      </c>
      <c r="AK341" s="25">
        <v>1</v>
      </c>
      <c r="AM341" s="25">
        <v>44</v>
      </c>
      <c r="AN341" s="25">
        <v>100</v>
      </c>
      <c r="AP341" s="25">
        <f t="shared" si="28"/>
        <v>3</v>
      </c>
      <c r="AQ341" s="25" t="str">
        <f>VLOOKUP(C341,'시스템이펙트 참고자료'!$A:$B,2,FALSE)</f>
        <v>ACTIVE_DEX_UP</v>
      </c>
      <c r="AS341" s="25">
        <v>1</v>
      </c>
      <c r="BD341" s="25">
        <v>1</v>
      </c>
    </row>
    <row r="342" spans="1:56" hidden="1">
      <c r="A342" s="25">
        <v>337</v>
      </c>
      <c r="B342" s="25" t="str">
        <f>VLOOKUP(C342,'시스템이펙트 참고자료'!$A:$C,2,FALSE)</f>
        <v>ACTIVE_SOL_UP</v>
      </c>
      <c r="C342" s="25">
        <v>614</v>
      </c>
      <c r="D342" s="25">
        <f>VLOOKUP(C342,'시스템이펙트 참고자료'!$A:$D,4,FALSE)</f>
        <v>0</v>
      </c>
      <c r="E342" s="25">
        <v>0</v>
      </c>
      <c r="F342" s="25">
        <v>0</v>
      </c>
      <c r="G342" s="25">
        <f t="shared" si="27"/>
        <v>2</v>
      </c>
      <c r="H342" s="25" t="s">
        <v>395</v>
      </c>
      <c r="I342" s="25">
        <v>1</v>
      </c>
      <c r="J342" s="25" t="str">
        <f>VLOOKUP(C342,'시스템이펙트 참고자료'!$A:$C,3,FALSE)</f>
        <v>절대값/상대값(%) 가능</v>
      </c>
      <c r="K342" s="25">
        <v>6</v>
      </c>
      <c r="M342" s="25">
        <v>11</v>
      </c>
      <c r="N342" s="25">
        <f t="shared" si="29"/>
        <v>53</v>
      </c>
      <c r="O342" s="25">
        <v>1</v>
      </c>
      <c r="P342" s="25">
        <v>1</v>
      </c>
      <c r="Q342" s="25">
        <v>1</v>
      </c>
      <c r="R342" s="25">
        <v>1</v>
      </c>
      <c r="T342" s="25">
        <v>1</v>
      </c>
      <c r="AA342" s="25">
        <f t="shared" si="30"/>
        <v>128</v>
      </c>
      <c r="AK342" s="25">
        <v>1</v>
      </c>
      <c r="AM342" s="25">
        <v>53</v>
      </c>
      <c r="AN342" s="25">
        <v>100</v>
      </c>
      <c r="AP342" s="25">
        <f t="shared" si="28"/>
        <v>2</v>
      </c>
      <c r="AQ342" s="25" t="str">
        <f>VLOOKUP(C342,'시스템이펙트 참고자료'!$A:$B,2,FALSE)</f>
        <v>ACTIVE_SOL_UP</v>
      </c>
      <c r="AS342" s="25">
        <v>1</v>
      </c>
      <c r="BD342" s="25">
        <v>1</v>
      </c>
    </row>
    <row r="343" spans="1:56" hidden="1">
      <c r="A343" s="25">
        <v>338</v>
      </c>
      <c r="B343" s="25" t="str">
        <f>VLOOKUP(C343,'시스템이펙트 참고자료'!$A:$C,2,FALSE)</f>
        <v>ACTIVE_ENG_UP</v>
      </c>
      <c r="C343" s="25">
        <v>615</v>
      </c>
      <c r="D343" s="25">
        <f>VLOOKUP(C343,'시스템이펙트 참고자료'!$A:$D,4,FALSE)</f>
        <v>0</v>
      </c>
      <c r="E343" s="25">
        <v>0</v>
      </c>
      <c r="F343" s="25">
        <v>0</v>
      </c>
      <c r="G343" s="25">
        <f t="shared" si="27"/>
        <v>2</v>
      </c>
      <c r="H343" s="25" t="s">
        <v>395</v>
      </c>
      <c r="I343" s="25">
        <v>1</v>
      </c>
      <c r="J343" s="25" t="str">
        <f>VLOOKUP(C343,'시스템이펙트 참고자료'!$A:$C,3,FALSE)</f>
        <v>절대값/상대값(%) 가능</v>
      </c>
      <c r="K343" s="25">
        <v>6</v>
      </c>
      <c r="M343" s="25">
        <v>11</v>
      </c>
      <c r="N343" s="25">
        <f t="shared" si="29"/>
        <v>62</v>
      </c>
      <c r="O343" s="25">
        <v>1</v>
      </c>
      <c r="P343" s="25">
        <v>1</v>
      </c>
      <c r="Q343" s="25">
        <v>1</v>
      </c>
      <c r="R343" s="25">
        <v>1</v>
      </c>
      <c r="T343" s="25">
        <v>1</v>
      </c>
      <c r="AA343" s="25">
        <f t="shared" si="30"/>
        <v>128</v>
      </c>
      <c r="AK343" s="25">
        <v>1</v>
      </c>
      <c r="AM343" s="25">
        <v>62</v>
      </c>
      <c r="AN343" s="25">
        <v>100</v>
      </c>
      <c r="AP343" s="25">
        <f t="shared" si="28"/>
        <v>2</v>
      </c>
      <c r="AQ343" s="25" t="str">
        <f>VLOOKUP(C343,'시스템이펙트 참고자료'!$A:$B,2,FALSE)</f>
        <v>ACTIVE_ENG_UP</v>
      </c>
      <c r="AS343" s="25">
        <v>1</v>
      </c>
      <c r="BD343" s="25">
        <v>1</v>
      </c>
    </row>
    <row r="344" spans="1:56" hidden="1">
      <c r="A344" s="25">
        <v>339</v>
      </c>
      <c r="B344" s="25" t="str">
        <f>VLOOKUP(C344,'시스템이펙트 참고자료'!$A:$C,2,FALSE)</f>
        <v>ACTIVE_PHYSICAL_DEFENCE_UP</v>
      </c>
      <c r="C344" s="25">
        <v>608</v>
      </c>
      <c r="D344" s="25">
        <f>VLOOKUP(C344,'시스템이펙트 참고자료'!$A:$D,4,FALSE)</f>
        <v>0</v>
      </c>
      <c r="E344" s="25">
        <v>0</v>
      </c>
      <c r="F344" s="25">
        <v>0</v>
      </c>
      <c r="G344" s="25">
        <f t="shared" si="27"/>
        <v>1</v>
      </c>
      <c r="H344" s="25" t="s">
        <v>395</v>
      </c>
      <c r="I344" s="25">
        <v>1</v>
      </c>
      <c r="J344" s="25" t="str">
        <f>VLOOKUP(C344,'시스템이펙트 참고자료'!$A:$C,3,FALSE)</f>
        <v>절대값/상대값(%) 가능</v>
      </c>
      <c r="K344" s="25">
        <v>6</v>
      </c>
      <c r="M344" s="25">
        <v>12</v>
      </c>
      <c r="N344" s="25">
        <f t="shared" si="29"/>
        <v>1350</v>
      </c>
      <c r="O344" s="25">
        <v>1</v>
      </c>
      <c r="P344" s="25">
        <v>1</v>
      </c>
      <c r="Q344" s="25">
        <v>1</v>
      </c>
      <c r="R344" s="25">
        <v>1</v>
      </c>
      <c r="T344" s="25">
        <v>1</v>
      </c>
      <c r="AA344" s="25">
        <f t="shared" si="30"/>
        <v>128</v>
      </c>
      <c r="AK344" s="25">
        <v>1</v>
      </c>
      <c r="AM344" s="25">
        <v>1350</v>
      </c>
      <c r="AN344" s="25">
        <v>100</v>
      </c>
      <c r="AP344" s="25">
        <f t="shared" si="28"/>
        <v>1</v>
      </c>
      <c r="AQ344" s="25" t="str">
        <f>VLOOKUP(C344,'시스템이펙트 참고자료'!$A:$B,2,FALSE)</f>
        <v>ACTIVE_PHYSICAL_DEFENCE_UP</v>
      </c>
      <c r="AS344" s="25">
        <v>1</v>
      </c>
      <c r="BD344" s="25">
        <v>1</v>
      </c>
    </row>
    <row r="345" spans="1:56" hidden="1">
      <c r="A345" s="25">
        <v>340</v>
      </c>
      <c r="B345" s="25" t="str">
        <f>VLOOKUP(C345,'시스템이펙트 참고자료'!$A:$C,2,FALSE)</f>
        <v>ACTIVE_BLOCK_RATE_UP</v>
      </c>
      <c r="C345" s="25">
        <v>620</v>
      </c>
      <c r="D345" s="25">
        <f>VLOOKUP(C345,'시스템이펙트 참고자료'!$A:$D,4,FALSE)</f>
        <v>0</v>
      </c>
      <c r="E345" s="25">
        <v>0</v>
      </c>
      <c r="F345" s="25">
        <v>0</v>
      </c>
      <c r="G345" s="25">
        <f t="shared" si="27"/>
        <v>1</v>
      </c>
      <c r="H345" s="25" t="s">
        <v>395</v>
      </c>
      <c r="I345" s="25">
        <v>1</v>
      </c>
      <c r="J345" s="25" t="str">
        <f>VLOOKUP(C345,'시스템이펙트 참고자료'!$A:$C,3,FALSE)</f>
        <v>절대값/상대값(%) 가능</v>
      </c>
      <c r="K345" s="25">
        <v>6</v>
      </c>
      <c r="M345" s="25">
        <v>12</v>
      </c>
      <c r="N345" s="25">
        <f t="shared" si="29"/>
        <v>352</v>
      </c>
      <c r="O345" s="25">
        <v>1</v>
      </c>
      <c r="P345" s="25">
        <v>1</v>
      </c>
      <c r="Q345" s="25">
        <v>1</v>
      </c>
      <c r="R345" s="25">
        <v>1</v>
      </c>
      <c r="T345" s="25">
        <v>1</v>
      </c>
      <c r="AA345" s="25">
        <f t="shared" si="30"/>
        <v>128</v>
      </c>
      <c r="AK345" s="25">
        <v>1</v>
      </c>
      <c r="AM345" s="25">
        <v>352</v>
      </c>
      <c r="AN345" s="25">
        <v>100</v>
      </c>
      <c r="AP345" s="25">
        <f t="shared" si="28"/>
        <v>1</v>
      </c>
      <c r="AQ345" s="25" t="str">
        <f>VLOOKUP(C345,'시스템이펙트 참고자료'!$A:$B,2,FALSE)</f>
        <v>ACTIVE_BLOCK_RATE_UP</v>
      </c>
      <c r="AS345" s="25">
        <v>1</v>
      </c>
      <c r="BD345" s="25">
        <v>1</v>
      </c>
    </row>
    <row r="346" spans="1:56" hidden="1">
      <c r="A346" s="25">
        <v>341</v>
      </c>
      <c r="B346" s="25" t="str">
        <f>VLOOKUP(C346,'시스템이펙트 참고자료'!$A:$C,2,FALSE)</f>
        <v>ACTIVE_CON_UP</v>
      </c>
      <c r="C346" s="25">
        <v>611</v>
      </c>
      <c r="D346" s="25">
        <f>VLOOKUP(C346,'시스템이펙트 참고자료'!$A:$D,4,FALSE)</f>
        <v>0</v>
      </c>
      <c r="E346" s="25">
        <v>0</v>
      </c>
      <c r="F346" s="25">
        <v>0</v>
      </c>
      <c r="G346" s="25">
        <f t="shared" si="27"/>
        <v>3</v>
      </c>
      <c r="H346" s="25" t="s">
        <v>395</v>
      </c>
      <c r="I346" s="25">
        <v>1</v>
      </c>
      <c r="J346" s="25" t="str">
        <f>VLOOKUP(C346,'시스템이펙트 참고자료'!$A:$C,3,FALSE)</f>
        <v>절대값/상대값(%) 가능</v>
      </c>
      <c r="K346" s="25">
        <v>6</v>
      </c>
      <c r="M346" s="25">
        <v>12</v>
      </c>
      <c r="N346" s="25">
        <f t="shared" si="29"/>
        <v>48</v>
      </c>
      <c r="O346" s="25">
        <v>1</v>
      </c>
      <c r="P346" s="25">
        <v>1</v>
      </c>
      <c r="Q346" s="25">
        <v>1</v>
      </c>
      <c r="R346" s="25">
        <v>1</v>
      </c>
      <c r="T346" s="25">
        <v>1</v>
      </c>
      <c r="AA346" s="25">
        <f t="shared" si="30"/>
        <v>128</v>
      </c>
      <c r="AK346" s="25">
        <v>1</v>
      </c>
      <c r="AM346" s="25">
        <v>48</v>
      </c>
      <c r="AN346" s="25">
        <v>100</v>
      </c>
      <c r="AP346" s="25">
        <f t="shared" si="28"/>
        <v>3</v>
      </c>
      <c r="AQ346" s="25" t="str">
        <f>VLOOKUP(C346,'시스템이펙트 참고자료'!$A:$B,2,FALSE)</f>
        <v>ACTIVE_CON_UP</v>
      </c>
      <c r="AS346" s="25">
        <v>1</v>
      </c>
      <c r="BD346" s="25">
        <v>1</v>
      </c>
    </row>
    <row r="347" spans="1:56" hidden="1">
      <c r="A347" s="25">
        <v>342</v>
      </c>
      <c r="B347" s="25" t="str">
        <f>VLOOKUP(C347,'시스템이펙트 참고자료'!$A:$C,2,FALSE)</f>
        <v>ACTIVE_FOC_UP</v>
      </c>
      <c r="C347" s="25">
        <v>612</v>
      </c>
      <c r="D347" s="25">
        <f>VLOOKUP(C347,'시스템이펙트 참고자료'!$A:$D,4,FALSE)</f>
        <v>0</v>
      </c>
      <c r="E347" s="25">
        <v>0</v>
      </c>
      <c r="F347" s="25">
        <v>0</v>
      </c>
      <c r="G347" s="25">
        <f t="shared" si="27"/>
        <v>2</v>
      </c>
      <c r="H347" s="25" t="s">
        <v>395</v>
      </c>
      <c r="I347" s="25">
        <v>1</v>
      </c>
      <c r="J347" s="25" t="str">
        <f>VLOOKUP(C347,'시스템이펙트 참고자료'!$A:$C,3,FALSE)</f>
        <v>절대값/상대값(%) 가능</v>
      </c>
      <c r="K347" s="25">
        <v>6</v>
      </c>
      <c r="M347" s="25">
        <v>12</v>
      </c>
      <c r="N347" s="25">
        <f t="shared" si="29"/>
        <v>53</v>
      </c>
      <c r="O347" s="25">
        <v>1</v>
      </c>
      <c r="P347" s="25">
        <v>1</v>
      </c>
      <c r="Q347" s="25">
        <v>1</v>
      </c>
      <c r="R347" s="25">
        <v>1</v>
      </c>
      <c r="T347" s="25">
        <v>1</v>
      </c>
      <c r="AA347" s="25">
        <f t="shared" si="30"/>
        <v>128</v>
      </c>
      <c r="AK347" s="25">
        <v>1</v>
      </c>
      <c r="AM347" s="25">
        <v>53</v>
      </c>
      <c r="AN347" s="25">
        <v>100</v>
      </c>
      <c r="AP347" s="25">
        <f t="shared" si="28"/>
        <v>2</v>
      </c>
      <c r="AQ347" s="25" t="str">
        <f>VLOOKUP(C347,'시스템이펙트 참고자료'!$A:$B,2,FALSE)</f>
        <v>ACTIVE_FOC_UP</v>
      </c>
      <c r="AS347" s="25">
        <v>1</v>
      </c>
      <c r="BD347" s="25">
        <v>1</v>
      </c>
    </row>
    <row r="348" spans="1:56" hidden="1">
      <c r="A348" s="25">
        <v>343</v>
      </c>
      <c r="B348" s="25" t="str">
        <f>VLOOKUP(C348,'시스템이펙트 참고자료'!$A:$C,2,FALSE)</f>
        <v>ACTIVE_ENERGY_OFFENCE_UP</v>
      </c>
      <c r="C348" s="25">
        <v>607</v>
      </c>
      <c r="D348" s="25">
        <f>VLOOKUP(C348,'시스템이펙트 참고자료'!$A:$D,4,FALSE)</f>
        <v>0</v>
      </c>
      <c r="E348" s="25">
        <v>0</v>
      </c>
      <c r="F348" s="25">
        <v>0</v>
      </c>
      <c r="G348" s="25">
        <f t="shared" si="27"/>
        <v>1</v>
      </c>
      <c r="H348" s="25" t="s">
        <v>395</v>
      </c>
      <c r="I348" s="25">
        <v>1</v>
      </c>
      <c r="J348" s="25" t="str">
        <f>VLOOKUP(C348,'시스템이펙트 참고자료'!$A:$C,3,FALSE)</f>
        <v>절대값/상대값(%) 가능</v>
      </c>
      <c r="K348" s="25">
        <v>7</v>
      </c>
      <c r="M348" s="25">
        <v>3</v>
      </c>
      <c r="N348" s="25">
        <f t="shared" si="29"/>
        <v>104</v>
      </c>
      <c r="O348" s="25">
        <v>1</v>
      </c>
      <c r="P348" s="25">
        <v>1</v>
      </c>
      <c r="Q348" s="25">
        <v>1</v>
      </c>
      <c r="R348" s="25">
        <v>1</v>
      </c>
      <c r="T348" s="25">
        <v>1</v>
      </c>
      <c r="AA348" s="25">
        <f t="shared" si="30"/>
        <v>128</v>
      </c>
      <c r="AK348" s="25">
        <v>1</v>
      </c>
      <c r="AM348" s="25">
        <v>104</v>
      </c>
      <c r="AN348" s="25">
        <v>100</v>
      </c>
      <c r="AP348" s="25">
        <f t="shared" si="28"/>
        <v>1</v>
      </c>
      <c r="AQ348" s="25" t="str">
        <f>VLOOKUP(C348,'시스템이펙트 참고자료'!$A:$B,2,FALSE)</f>
        <v>ACTIVE_ENERGY_OFFENCE_UP</v>
      </c>
      <c r="AS348" s="25">
        <v>1</v>
      </c>
      <c r="BD348" s="25">
        <v>1</v>
      </c>
    </row>
    <row r="349" spans="1:56" hidden="1">
      <c r="A349" s="25">
        <v>344</v>
      </c>
      <c r="B349" s="25" t="str">
        <f>VLOOKUP(C349,'시스템이펙트 참고자료'!$A:$C,2,FALSE)</f>
        <v>ACTIVE_FOC_UP</v>
      </c>
      <c r="C349" s="25">
        <v>612</v>
      </c>
      <c r="D349" s="25">
        <f>VLOOKUP(C349,'시스템이펙트 참고자료'!$A:$D,4,FALSE)</f>
        <v>0</v>
      </c>
      <c r="E349" s="25">
        <v>0</v>
      </c>
      <c r="F349" s="25">
        <v>0</v>
      </c>
      <c r="G349" s="25">
        <f t="shared" si="27"/>
        <v>2</v>
      </c>
      <c r="H349" s="25" t="s">
        <v>395</v>
      </c>
      <c r="I349" s="25">
        <v>1</v>
      </c>
      <c r="J349" s="25" t="str">
        <f>VLOOKUP(C349,'시스템이펙트 참고자료'!$A:$C,3,FALSE)</f>
        <v>절대값/상대값(%) 가능</v>
      </c>
      <c r="K349" s="25">
        <v>7</v>
      </c>
      <c r="M349" s="25">
        <v>3</v>
      </c>
      <c r="N349" s="25">
        <f t="shared" si="29"/>
        <v>53</v>
      </c>
      <c r="O349" s="25">
        <v>1</v>
      </c>
      <c r="P349" s="25">
        <v>1</v>
      </c>
      <c r="Q349" s="25">
        <v>1</v>
      </c>
      <c r="R349" s="25">
        <v>1</v>
      </c>
      <c r="T349" s="25">
        <v>1</v>
      </c>
      <c r="AA349" s="25">
        <f t="shared" si="30"/>
        <v>128</v>
      </c>
      <c r="AK349" s="25">
        <v>1</v>
      </c>
      <c r="AM349" s="25">
        <v>53</v>
      </c>
      <c r="AN349" s="25">
        <v>100</v>
      </c>
      <c r="AP349" s="25">
        <f t="shared" si="28"/>
        <v>2</v>
      </c>
      <c r="AQ349" s="25" t="str">
        <f>VLOOKUP(C349,'시스템이펙트 참고자료'!$A:$B,2,FALSE)</f>
        <v>ACTIVE_FOC_UP</v>
      </c>
      <c r="AS349" s="25">
        <v>1</v>
      </c>
      <c r="BD349" s="25">
        <v>1</v>
      </c>
    </row>
    <row r="350" spans="1:56" hidden="1">
      <c r="A350" s="25">
        <v>345</v>
      </c>
      <c r="B350" s="25" t="str">
        <f>VLOOKUP(C350,'시스템이펙트 참고자료'!$A:$C,2,FALSE)</f>
        <v>ACTIVE_SOL_UP</v>
      </c>
      <c r="C350" s="25">
        <v>614</v>
      </c>
      <c r="D350" s="25">
        <f>VLOOKUP(C350,'시스템이펙트 참고자료'!$A:$D,4,FALSE)</f>
        <v>0</v>
      </c>
      <c r="E350" s="25">
        <v>0</v>
      </c>
      <c r="F350" s="25">
        <v>0</v>
      </c>
      <c r="G350" s="25">
        <f t="shared" si="27"/>
        <v>2</v>
      </c>
      <c r="H350" s="25" t="s">
        <v>395</v>
      </c>
      <c r="I350" s="25">
        <v>1</v>
      </c>
      <c r="J350" s="25" t="str">
        <f>VLOOKUP(C350,'시스템이펙트 참고자료'!$A:$C,3,FALSE)</f>
        <v>절대값/상대값(%) 가능</v>
      </c>
      <c r="K350" s="25">
        <v>7</v>
      </c>
      <c r="M350" s="25">
        <v>3</v>
      </c>
      <c r="N350" s="25">
        <f t="shared" si="29"/>
        <v>53</v>
      </c>
      <c r="O350" s="25">
        <v>1</v>
      </c>
      <c r="P350" s="25">
        <v>1</v>
      </c>
      <c r="Q350" s="25">
        <v>1</v>
      </c>
      <c r="R350" s="25">
        <v>1</v>
      </c>
      <c r="T350" s="25">
        <v>1</v>
      </c>
      <c r="AA350" s="25">
        <f t="shared" si="30"/>
        <v>128</v>
      </c>
      <c r="AK350" s="25">
        <v>1</v>
      </c>
      <c r="AM350" s="25">
        <v>53</v>
      </c>
      <c r="AN350" s="25">
        <v>100</v>
      </c>
      <c r="AP350" s="25">
        <f t="shared" si="28"/>
        <v>2</v>
      </c>
      <c r="AQ350" s="25" t="str">
        <f>VLOOKUP(C350,'시스템이펙트 참고자료'!$A:$B,2,FALSE)</f>
        <v>ACTIVE_SOL_UP</v>
      </c>
      <c r="AS350" s="25">
        <v>1</v>
      </c>
      <c r="BD350" s="25">
        <v>1</v>
      </c>
    </row>
    <row r="351" spans="1:56" hidden="1">
      <c r="A351" s="25">
        <v>346</v>
      </c>
      <c r="B351" s="25" t="str">
        <f>VLOOKUP(C351,'시스템이펙트 참고자료'!$A:$C,2,FALSE)</f>
        <v>ACTIVE_ENERGY_CRITICAL_DAMAGE_UP</v>
      </c>
      <c r="C351" s="25">
        <v>659</v>
      </c>
      <c r="D351" s="25">
        <f>VLOOKUP(C351,'시스템이펙트 참고자료'!$A:$D,4,FALSE)</f>
        <v>0</v>
      </c>
      <c r="E351" s="25">
        <v>0</v>
      </c>
      <c r="F351" s="25">
        <v>0</v>
      </c>
      <c r="G351" s="25">
        <f t="shared" si="27"/>
        <v>4</v>
      </c>
      <c r="H351" s="25" t="s">
        <v>395</v>
      </c>
      <c r="I351" s="25">
        <v>1</v>
      </c>
      <c r="J351" s="25" t="str">
        <f>VLOOKUP(C351,'시스템이펙트 참고자료'!$A:$C,3,FALSE)</f>
        <v>절대값만 가능</v>
      </c>
      <c r="K351" s="25">
        <v>7</v>
      </c>
      <c r="M351" s="25">
        <v>3</v>
      </c>
      <c r="N351" s="25">
        <f t="shared" si="29"/>
        <v>32</v>
      </c>
      <c r="O351" s="25">
        <v>1</v>
      </c>
      <c r="P351" s="25">
        <v>1</v>
      </c>
      <c r="Q351" s="25">
        <v>1</v>
      </c>
      <c r="R351" s="25">
        <v>1</v>
      </c>
      <c r="T351" s="25">
        <v>1</v>
      </c>
      <c r="AA351" s="25">
        <f t="shared" si="30"/>
        <v>128</v>
      </c>
      <c r="AK351" s="25">
        <v>1</v>
      </c>
      <c r="AM351" s="25">
        <v>32</v>
      </c>
      <c r="AN351" s="25">
        <v>100</v>
      </c>
      <c r="AP351" s="25">
        <f t="shared" si="28"/>
        <v>4</v>
      </c>
      <c r="AQ351" s="25" t="str">
        <f>VLOOKUP(C351,'시스템이펙트 참고자료'!$A:$B,2,FALSE)</f>
        <v>ACTIVE_ENERGY_CRITICAL_DAMAGE_UP</v>
      </c>
      <c r="AS351" s="25">
        <v>1</v>
      </c>
      <c r="BD351" s="25">
        <v>1</v>
      </c>
    </row>
    <row r="352" spans="1:56" hidden="1">
      <c r="A352" s="25">
        <v>347</v>
      </c>
      <c r="B352" s="25" t="str">
        <f>VLOOKUP(C352,'시스템이펙트 참고자료'!$A:$C,2,FALSE)</f>
        <v>ACTIVE_ENERGY_CRITICAL</v>
      </c>
      <c r="C352" s="25">
        <v>633</v>
      </c>
      <c r="D352" s="25">
        <f>VLOOKUP(C352,'시스템이펙트 참고자료'!$A:$D,4,FALSE)</f>
        <v>0</v>
      </c>
      <c r="E352" s="25">
        <v>0</v>
      </c>
      <c r="F352" s="25">
        <v>0</v>
      </c>
      <c r="G352" s="25">
        <f t="shared" si="27"/>
        <v>5</v>
      </c>
      <c r="H352" s="25" t="s">
        <v>395</v>
      </c>
      <c r="I352" s="25">
        <v>1</v>
      </c>
      <c r="J352" s="25" t="str">
        <f>VLOOKUP(C352,'시스템이펙트 참고자료'!$A:$C,3,FALSE)</f>
        <v>절대값/상대값(%) 가능</v>
      </c>
      <c r="K352" s="25">
        <v>7</v>
      </c>
      <c r="M352" s="25">
        <v>4</v>
      </c>
      <c r="N352" s="25">
        <f t="shared" si="29"/>
        <v>24</v>
      </c>
      <c r="O352" s="25">
        <v>1</v>
      </c>
      <c r="P352" s="25">
        <v>1</v>
      </c>
      <c r="Q352" s="25">
        <v>1</v>
      </c>
      <c r="R352" s="25">
        <v>1</v>
      </c>
      <c r="T352" s="25">
        <v>1</v>
      </c>
      <c r="AA352" s="25">
        <f t="shared" si="30"/>
        <v>128</v>
      </c>
      <c r="AK352" s="25">
        <v>1</v>
      </c>
      <c r="AM352" s="25">
        <v>24</v>
      </c>
      <c r="AN352" s="25">
        <v>100</v>
      </c>
      <c r="AP352" s="25">
        <f t="shared" si="28"/>
        <v>5</v>
      </c>
      <c r="AQ352" s="25" t="str">
        <f>VLOOKUP(C352,'시스템이펙트 참고자료'!$A:$B,2,FALSE)</f>
        <v>ACTIVE_ENERGY_CRITICAL</v>
      </c>
      <c r="AS352" s="25">
        <v>1</v>
      </c>
      <c r="BD352" s="25">
        <v>1</v>
      </c>
    </row>
    <row r="353" spans="1:56" hidden="1">
      <c r="A353" s="25">
        <v>348</v>
      </c>
      <c r="B353" s="25" t="str">
        <f>VLOOKUP(C353,'시스템이펙트 참고자료'!$A:$C,2,FALSE)</f>
        <v>ACTIVE_ENERGY_CRITICAL_DAMAGE_UP</v>
      </c>
      <c r="C353" s="25">
        <v>659</v>
      </c>
      <c r="D353" s="25">
        <f>VLOOKUP(C353,'시스템이펙트 참고자료'!$A:$D,4,FALSE)</f>
        <v>0</v>
      </c>
      <c r="E353" s="25">
        <v>0</v>
      </c>
      <c r="F353" s="25">
        <v>0</v>
      </c>
      <c r="G353" s="25">
        <f t="shared" si="27"/>
        <v>4</v>
      </c>
      <c r="H353" s="25" t="s">
        <v>395</v>
      </c>
      <c r="I353" s="25">
        <v>1</v>
      </c>
      <c r="J353" s="25" t="str">
        <f>VLOOKUP(C353,'시스템이펙트 참고자료'!$A:$C,3,FALSE)</f>
        <v>절대값만 가능</v>
      </c>
      <c r="K353" s="25">
        <v>7</v>
      </c>
      <c r="M353" s="25">
        <v>4</v>
      </c>
      <c r="N353" s="25">
        <f t="shared" si="29"/>
        <v>32</v>
      </c>
      <c r="O353" s="25">
        <v>1</v>
      </c>
      <c r="P353" s="25">
        <v>1</v>
      </c>
      <c r="Q353" s="25">
        <v>1</v>
      </c>
      <c r="R353" s="25">
        <v>1</v>
      </c>
      <c r="T353" s="25">
        <v>1</v>
      </c>
      <c r="AA353" s="25">
        <f t="shared" si="30"/>
        <v>128</v>
      </c>
      <c r="AK353" s="25">
        <v>1</v>
      </c>
      <c r="AM353" s="25">
        <v>32</v>
      </c>
      <c r="AN353" s="25">
        <v>100</v>
      </c>
      <c r="AP353" s="25">
        <f t="shared" si="28"/>
        <v>4</v>
      </c>
      <c r="AQ353" s="25" t="str">
        <f>VLOOKUP(C353,'시스템이펙트 참고자료'!$A:$B,2,FALSE)</f>
        <v>ACTIVE_ENERGY_CRITICAL_DAMAGE_UP</v>
      </c>
      <c r="AS353" s="25">
        <v>1</v>
      </c>
      <c r="BD353" s="25">
        <v>1</v>
      </c>
    </row>
    <row r="354" spans="1:56" hidden="1">
      <c r="A354" s="25">
        <v>349</v>
      </c>
      <c r="B354" s="25" t="str">
        <f>VLOOKUP(C354,'시스템이펙트 참고자료'!$A:$C,2,FALSE)</f>
        <v>ACTIVE_FOC_UP</v>
      </c>
      <c r="C354" s="25">
        <v>612</v>
      </c>
      <c r="D354" s="25">
        <f>VLOOKUP(C354,'시스템이펙트 참고자료'!$A:$D,4,FALSE)</f>
        <v>0</v>
      </c>
      <c r="E354" s="25">
        <v>0</v>
      </c>
      <c r="F354" s="25">
        <v>0</v>
      </c>
      <c r="G354" s="25">
        <f t="shared" si="27"/>
        <v>2</v>
      </c>
      <c r="H354" s="25" t="s">
        <v>395</v>
      </c>
      <c r="I354" s="25">
        <v>1</v>
      </c>
      <c r="J354" s="25" t="str">
        <f>VLOOKUP(C354,'시스템이펙트 참고자료'!$A:$C,3,FALSE)</f>
        <v>절대값/상대값(%) 가능</v>
      </c>
      <c r="K354" s="25">
        <v>7</v>
      </c>
      <c r="M354" s="25">
        <v>4</v>
      </c>
      <c r="N354" s="25">
        <f t="shared" si="29"/>
        <v>53</v>
      </c>
      <c r="O354" s="25">
        <v>1</v>
      </c>
      <c r="P354" s="25">
        <v>1</v>
      </c>
      <c r="Q354" s="25">
        <v>1</v>
      </c>
      <c r="R354" s="25">
        <v>1</v>
      </c>
      <c r="T354" s="25">
        <v>1</v>
      </c>
      <c r="AA354" s="25">
        <f t="shared" si="30"/>
        <v>128</v>
      </c>
      <c r="AK354" s="25">
        <v>1</v>
      </c>
      <c r="AM354" s="25">
        <v>53</v>
      </c>
      <c r="AN354" s="25">
        <v>100</v>
      </c>
      <c r="AP354" s="25">
        <f t="shared" si="28"/>
        <v>2</v>
      </c>
      <c r="AQ354" s="25" t="str">
        <f>VLOOKUP(C354,'시스템이펙트 참고자료'!$A:$B,2,FALSE)</f>
        <v>ACTIVE_FOC_UP</v>
      </c>
      <c r="AS354" s="25">
        <v>1</v>
      </c>
      <c r="BD354" s="25">
        <v>1</v>
      </c>
    </row>
    <row r="355" spans="1:56" hidden="1">
      <c r="A355" s="25">
        <v>350</v>
      </c>
      <c r="B355" s="25" t="str">
        <f>VLOOKUP(C355,'시스템이펙트 참고자료'!$A:$C,2,FALSE)</f>
        <v>ACTIVE_DEX_UP</v>
      </c>
      <c r="C355" s="25">
        <v>613</v>
      </c>
      <c r="D355" s="25">
        <f>VLOOKUP(C355,'시스템이펙트 참고자료'!$A:$D,4,FALSE)</f>
        <v>0</v>
      </c>
      <c r="E355" s="25">
        <v>0</v>
      </c>
      <c r="F355" s="25">
        <v>0</v>
      </c>
      <c r="G355" s="25">
        <f t="shared" si="27"/>
        <v>3</v>
      </c>
      <c r="H355" s="25" t="s">
        <v>395</v>
      </c>
      <c r="I355" s="25">
        <v>1</v>
      </c>
      <c r="J355" s="25" t="str">
        <f>VLOOKUP(C355,'시스템이펙트 참고자료'!$A:$C,3,FALSE)</f>
        <v>절대값/상대값(%) 가능</v>
      </c>
      <c r="K355" s="25">
        <v>7</v>
      </c>
      <c r="M355" s="25">
        <v>4</v>
      </c>
      <c r="N355" s="25">
        <f t="shared" si="29"/>
        <v>44</v>
      </c>
      <c r="O355" s="25">
        <v>1</v>
      </c>
      <c r="P355" s="25">
        <v>1</v>
      </c>
      <c r="Q355" s="25">
        <v>1</v>
      </c>
      <c r="R355" s="25">
        <v>1</v>
      </c>
      <c r="T355" s="25">
        <v>1</v>
      </c>
      <c r="AA355" s="25">
        <f t="shared" si="30"/>
        <v>128</v>
      </c>
      <c r="AK355" s="25">
        <v>1</v>
      </c>
      <c r="AM355" s="25">
        <v>44</v>
      </c>
      <c r="AN355" s="25">
        <v>100</v>
      </c>
      <c r="AP355" s="25">
        <f t="shared" si="28"/>
        <v>3</v>
      </c>
      <c r="AQ355" s="25" t="str">
        <f>VLOOKUP(C355,'시스템이펙트 참고자료'!$A:$B,2,FALSE)</f>
        <v>ACTIVE_DEX_UP</v>
      </c>
      <c r="AS355" s="25">
        <v>1</v>
      </c>
      <c r="BD355" s="25">
        <v>1</v>
      </c>
    </row>
    <row r="356" spans="1:56" hidden="1">
      <c r="A356" s="25">
        <v>351</v>
      </c>
      <c r="B356" s="25" t="str">
        <f>VLOOKUP(C356,'시스템이펙트 참고자료'!$A:$C,2,FALSE)</f>
        <v>ACTIVE_ATTACK_SPEED_UP</v>
      </c>
      <c r="C356" s="25">
        <v>617</v>
      </c>
      <c r="D356" s="25">
        <f>VLOOKUP(C356,'시스템이펙트 참고자료'!$A:$D,4,FALSE)</f>
        <v>1</v>
      </c>
      <c r="E356" s="25">
        <v>0</v>
      </c>
      <c r="F356" s="25">
        <v>0</v>
      </c>
      <c r="G356" s="25">
        <f t="shared" si="27"/>
        <v>10</v>
      </c>
      <c r="H356" s="25" t="s">
        <v>395</v>
      </c>
      <c r="I356" s="25">
        <v>1</v>
      </c>
      <c r="J356" s="25" t="str">
        <f>VLOOKUP(C356,'시스템이펙트 참고자료'!$A:$C,3,FALSE)</f>
        <v>절대값/상대값(%) 가능</v>
      </c>
      <c r="K356" s="25">
        <v>7</v>
      </c>
      <c r="M356" s="25">
        <v>5</v>
      </c>
      <c r="N356" s="25">
        <f t="shared" si="29"/>
        <v>10</v>
      </c>
      <c r="O356" s="25">
        <v>1</v>
      </c>
      <c r="P356" s="25">
        <v>1</v>
      </c>
      <c r="Q356" s="25">
        <v>1</v>
      </c>
      <c r="R356" s="25">
        <v>1</v>
      </c>
      <c r="T356" s="25">
        <v>1</v>
      </c>
      <c r="AA356" s="25">
        <f t="shared" si="30"/>
        <v>128</v>
      </c>
      <c r="AK356" s="25">
        <v>1</v>
      </c>
      <c r="AM356" s="25">
        <v>10</v>
      </c>
      <c r="AN356" s="25">
        <v>100</v>
      </c>
      <c r="AP356" s="25">
        <f t="shared" si="28"/>
        <v>10</v>
      </c>
      <c r="AQ356" s="25" t="str">
        <f>VLOOKUP(C356,'시스템이펙트 참고자료'!$A:$B,2,FALSE)</f>
        <v>ACTIVE_ATTACK_SPEED_UP</v>
      </c>
      <c r="AS356" s="25">
        <v>1</v>
      </c>
      <c r="BD356" s="25">
        <v>1</v>
      </c>
    </row>
    <row r="357" spans="1:56" hidden="1">
      <c r="A357" s="25">
        <v>352</v>
      </c>
      <c r="B357" s="25" t="str">
        <f>VLOOKUP(C357,'시스템이펙트 참고자료'!$A:$C,2,FALSE)</f>
        <v>ACTIVE_DEX_UP</v>
      </c>
      <c r="C357" s="25">
        <v>613</v>
      </c>
      <c r="D357" s="25">
        <f>VLOOKUP(C357,'시스템이펙트 참고자료'!$A:$D,4,FALSE)</f>
        <v>0</v>
      </c>
      <c r="E357" s="25">
        <v>0</v>
      </c>
      <c r="F357" s="25">
        <v>0</v>
      </c>
      <c r="G357" s="25">
        <f t="shared" si="27"/>
        <v>3</v>
      </c>
      <c r="H357" s="25" t="s">
        <v>395</v>
      </c>
      <c r="I357" s="25">
        <v>1</v>
      </c>
      <c r="J357" s="25" t="str">
        <f>VLOOKUP(C357,'시스템이펙트 참고자료'!$A:$C,3,FALSE)</f>
        <v>절대값/상대값(%) 가능</v>
      </c>
      <c r="K357" s="25">
        <v>7</v>
      </c>
      <c r="M357" s="25">
        <v>5</v>
      </c>
      <c r="N357" s="25">
        <f t="shared" si="29"/>
        <v>44</v>
      </c>
      <c r="O357" s="25">
        <v>1</v>
      </c>
      <c r="P357" s="25">
        <v>1</v>
      </c>
      <c r="Q357" s="25">
        <v>1</v>
      </c>
      <c r="R357" s="25">
        <v>1</v>
      </c>
      <c r="T357" s="25">
        <v>1</v>
      </c>
      <c r="AA357" s="25">
        <f t="shared" si="30"/>
        <v>128</v>
      </c>
      <c r="AK357" s="25">
        <v>1</v>
      </c>
      <c r="AM357" s="25">
        <v>44</v>
      </c>
      <c r="AN357" s="25">
        <v>100</v>
      </c>
      <c r="AP357" s="25">
        <f t="shared" si="28"/>
        <v>3</v>
      </c>
      <c r="AQ357" s="25" t="str">
        <f>VLOOKUP(C357,'시스템이펙트 참고자료'!$A:$B,2,FALSE)</f>
        <v>ACTIVE_DEX_UP</v>
      </c>
      <c r="AS357" s="25">
        <v>1</v>
      </c>
      <c r="BD357" s="25">
        <v>1</v>
      </c>
    </row>
    <row r="358" spans="1:56" hidden="1">
      <c r="A358" s="25">
        <v>353</v>
      </c>
      <c r="B358" s="25" t="str">
        <f>VLOOKUP(C358,'시스템이펙트 참고자료'!$A:$C,2,FALSE)</f>
        <v>ACTIVE_FOC_UP</v>
      </c>
      <c r="C358" s="25">
        <v>612</v>
      </c>
      <c r="D358" s="25">
        <f>VLOOKUP(C358,'시스템이펙트 참고자료'!$A:$D,4,FALSE)</f>
        <v>0</v>
      </c>
      <c r="E358" s="25">
        <v>0</v>
      </c>
      <c r="F358" s="25">
        <v>0</v>
      </c>
      <c r="G358" s="25">
        <f t="shared" ref="G358:G393" si="31">IF(N358&gt;0,INT(100/N358+0.99),0)</f>
        <v>2</v>
      </c>
      <c r="H358" s="25" t="s">
        <v>395</v>
      </c>
      <c r="I358" s="25">
        <v>1</v>
      </c>
      <c r="J358" s="25" t="str">
        <f>VLOOKUP(C358,'시스템이펙트 참고자료'!$A:$C,3,FALSE)</f>
        <v>절대값/상대값(%) 가능</v>
      </c>
      <c r="K358" s="25">
        <v>7</v>
      </c>
      <c r="M358" s="25">
        <v>5</v>
      </c>
      <c r="N358" s="25">
        <f t="shared" si="29"/>
        <v>53</v>
      </c>
      <c r="O358" s="25">
        <v>1</v>
      </c>
      <c r="P358" s="25">
        <v>1</v>
      </c>
      <c r="Q358" s="25">
        <v>1</v>
      </c>
      <c r="R358" s="25">
        <v>1</v>
      </c>
      <c r="T358" s="25">
        <v>1</v>
      </c>
      <c r="AA358" s="25">
        <f t="shared" si="30"/>
        <v>128</v>
      </c>
      <c r="AK358" s="25">
        <v>1</v>
      </c>
      <c r="AM358" s="25">
        <v>53</v>
      </c>
      <c r="AN358" s="25">
        <v>100</v>
      </c>
      <c r="AP358" s="25">
        <f t="shared" ref="AP358:AP393" si="32">INT(100/N358+0.99)</f>
        <v>2</v>
      </c>
      <c r="AQ358" s="25" t="str">
        <f>VLOOKUP(C358,'시스템이펙트 참고자료'!$A:$B,2,FALSE)</f>
        <v>ACTIVE_FOC_UP</v>
      </c>
      <c r="AS358" s="25">
        <v>1</v>
      </c>
      <c r="BD358" s="25">
        <v>1</v>
      </c>
    </row>
    <row r="359" spans="1:56" hidden="1">
      <c r="A359" s="25">
        <v>354</v>
      </c>
      <c r="B359" s="25" t="str">
        <f>VLOOKUP(C359,'시스템이펙트 참고자료'!$A:$C,2,FALSE)</f>
        <v>ACTIVE_PHYSICAL_OFFENCE_UP</v>
      </c>
      <c r="C359" s="25">
        <v>606</v>
      </c>
      <c r="D359" s="25">
        <f>VLOOKUP(C359,'시스템이펙트 참고자료'!$A:$D,4,FALSE)</f>
        <v>0</v>
      </c>
      <c r="E359" s="25">
        <v>0</v>
      </c>
      <c r="F359" s="25">
        <v>0</v>
      </c>
      <c r="G359" s="25">
        <f t="shared" si="31"/>
        <v>1</v>
      </c>
      <c r="H359" s="25" t="s">
        <v>395</v>
      </c>
      <c r="I359" s="25">
        <v>1</v>
      </c>
      <c r="J359" s="25" t="str">
        <f>VLOOKUP(C359,'시스템이펙트 참고자료'!$A:$C,3,FALSE)</f>
        <v>절대값/상대값(%) 가능</v>
      </c>
      <c r="K359" s="25">
        <v>7</v>
      </c>
      <c r="M359" s="25">
        <v>5</v>
      </c>
      <c r="N359" s="25">
        <f t="shared" si="29"/>
        <v>125</v>
      </c>
      <c r="O359" s="25">
        <v>1</v>
      </c>
      <c r="P359" s="25">
        <v>1</v>
      </c>
      <c r="Q359" s="25">
        <v>1</v>
      </c>
      <c r="R359" s="25">
        <v>1</v>
      </c>
      <c r="T359" s="25">
        <v>1</v>
      </c>
      <c r="AA359" s="25">
        <f t="shared" si="30"/>
        <v>128</v>
      </c>
      <c r="AK359" s="25">
        <v>1</v>
      </c>
      <c r="AM359" s="25">
        <v>125</v>
      </c>
      <c r="AN359" s="25">
        <v>100</v>
      </c>
      <c r="AP359" s="25">
        <f t="shared" si="32"/>
        <v>1</v>
      </c>
      <c r="AQ359" s="25" t="str">
        <f>VLOOKUP(C359,'시스템이펙트 참고자료'!$A:$B,2,FALSE)</f>
        <v>ACTIVE_PHYSICAL_OFFENCE_UP</v>
      </c>
      <c r="AS359" s="25">
        <v>1</v>
      </c>
      <c r="BD359" s="25">
        <v>1</v>
      </c>
    </row>
    <row r="360" spans="1:56" hidden="1">
      <c r="A360" s="25">
        <v>355</v>
      </c>
      <c r="B360" s="25" t="str">
        <f>VLOOKUP(C360,'시스템이펙트 참고자료'!$A:$C,2,FALSE)</f>
        <v>ACTIVE_ENERGY_OFFENCE_UP</v>
      </c>
      <c r="C360" s="25">
        <v>607</v>
      </c>
      <c r="D360" s="25">
        <f>VLOOKUP(C360,'시스템이펙트 참고자료'!$A:$D,4,FALSE)</f>
        <v>0</v>
      </c>
      <c r="E360" s="25">
        <v>0</v>
      </c>
      <c r="F360" s="25">
        <v>0</v>
      </c>
      <c r="G360" s="25">
        <f t="shared" si="31"/>
        <v>1</v>
      </c>
      <c r="H360" s="25" t="s">
        <v>395</v>
      </c>
      <c r="I360" s="25">
        <v>1</v>
      </c>
      <c r="J360" s="25" t="str">
        <f>VLOOKUP(C360,'시스템이펙트 참고자료'!$A:$C,3,FALSE)</f>
        <v>절대값/상대값(%) 가능</v>
      </c>
      <c r="K360" s="25">
        <v>7</v>
      </c>
      <c r="M360" s="25">
        <v>5</v>
      </c>
      <c r="N360" s="25">
        <f t="shared" si="29"/>
        <v>104</v>
      </c>
      <c r="O360" s="25">
        <v>1</v>
      </c>
      <c r="P360" s="25">
        <v>1</v>
      </c>
      <c r="Q360" s="25">
        <v>1</v>
      </c>
      <c r="R360" s="25">
        <v>1</v>
      </c>
      <c r="T360" s="25">
        <v>1</v>
      </c>
      <c r="AA360" s="25">
        <f t="shared" si="30"/>
        <v>128</v>
      </c>
      <c r="AK360" s="25">
        <v>1</v>
      </c>
      <c r="AM360" s="25">
        <v>104</v>
      </c>
      <c r="AN360" s="25">
        <v>100</v>
      </c>
      <c r="AP360" s="25">
        <f t="shared" si="32"/>
        <v>1</v>
      </c>
      <c r="AQ360" s="25" t="str">
        <f>VLOOKUP(C360,'시스템이펙트 참고자료'!$A:$B,2,FALSE)</f>
        <v>ACTIVE_ENERGY_OFFENCE_UP</v>
      </c>
      <c r="AS360" s="25">
        <v>1</v>
      </c>
      <c r="BD360" s="25">
        <v>1</v>
      </c>
    </row>
    <row r="361" spans="1:56" hidden="1">
      <c r="A361" s="25">
        <v>356</v>
      </c>
      <c r="B361" s="25" t="str">
        <f>VLOOKUP(C361,'시스템이펙트 참고자료'!$A:$C,2,FALSE)</f>
        <v>ACTIVE_PHYSICAL_OFFENCE_UP</v>
      </c>
      <c r="C361" s="25">
        <v>606</v>
      </c>
      <c r="D361" s="25">
        <f>VLOOKUP(C361,'시스템이펙트 참고자료'!$A:$D,4,FALSE)</f>
        <v>0</v>
      </c>
      <c r="E361" s="25">
        <v>0</v>
      </c>
      <c r="F361" s="25">
        <v>0</v>
      </c>
      <c r="G361" s="25">
        <f t="shared" si="31"/>
        <v>1</v>
      </c>
      <c r="H361" s="25" t="s">
        <v>395</v>
      </c>
      <c r="I361" s="25">
        <v>1</v>
      </c>
      <c r="J361" s="25" t="str">
        <f>VLOOKUP(C361,'시스템이펙트 참고자료'!$A:$C,3,FALSE)</f>
        <v>절대값/상대값(%) 가능</v>
      </c>
      <c r="K361" s="25">
        <v>7</v>
      </c>
      <c r="M361" s="25">
        <v>6</v>
      </c>
      <c r="N361" s="25">
        <f t="shared" si="29"/>
        <v>125</v>
      </c>
      <c r="O361" s="25">
        <v>1</v>
      </c>
      <c r="P361" s="25">
        <v>1</v>
      </c>
      <c r="Q361" s="25">
        <v>1</v>
      </c>
      <c r="R361" s="25">
        <v>1</v>
      </c>
      <c r="T361" s="25">
        <v>1</v>
      </c>
      <c r="AA361" s="25">
        <f t="shared" si="30"/>
        <v>128</v>
      </c>
      <c r="AK361" s="25">
        <v>1</v>
      </c>
      <c r="AM361" s="25">
        <v>125</v>
      </c>
      <c r="AN361" s="25">
        <v>100</v>
      </c>
      <c r="AP361" s="25">
        <f t="shared" si="32"/>
        <v>1</v>
      </c>
      <c r="AQ361" s="25" t="str">
        <f>VLOOKUP(C361,'시스템이펙트 참고자료'!$A:$B,2,FALSE)</f>
        <v>ACTIVE_PHYSICAL_OFFENCE_UP</v>
      </c>
      <c r="AS361" s="25">
        <v>1</v>
      </c>
      <c r="BD361" s="25">
        <v>1</v>
      </c>
    </row>
    <row r="362" spans="1:56" hidden="1">
      <c r="A362" s="25">
        <v>357</v>
      </c>
      <c r="B362" s="25" t="str">
        <f>VLOOKUP(C362,'시스템이펙트 참고자료'!$A:$C,2,FALSE)</f>
        <v>ACTIVE_ENERGY_OFFENCE_UP</v>
      </c>
      <c r="C362" s="25">
        <v>607</v>
      </c>
      <c r="D362" s="25">
        <f>VLOOKUP(C362,'시스템이펙트 참고자료'!$A:$D,4,FALSE)</f>
        <v>0</v>
      </c>
      <c r="E362" s="25">
        <v>0</v>
      </c>
      <c r="F362" s="25">
        <v>0</v>
      </c>
      <c r="G362" s="25">
        <f t="shared" si="31"/>
        <v>1</v>
      </c>
      <c r="H362" s="25" t="s">
        <v>395</v>
      </c>
      <c r="I362" s="25">
        <v>1</v>
      </c>
      <c r="J362" s="25" t="str">
        <f>VLOOKUP(C362,'시스템이펙트 참고자료'!$A:$C,3,FALSE)</f>
        <v>절대값/상대값(%) 가능</v>
      </c>
      <c r="K362" s="25">
        <v>7</v>
      </c>
      <c r="M362" s="25">
        <v>6</v>
      </c>
      <c r="N362" s="25">
        <f t="shared" si="29"/>
        <v>104</v>
      </c>
      <c r="O362" s="25">
        <v>1</v>
      </c>
      <c r="P362" s="25">
        <v>1</v>
      </c>
      <c r="Q362" s="25">
        <v>1</v>
      </c>
      <c r="R362" s="25">
        <v>1</v>
      </c>
      <c r="T362" s="25">
        <v>1</v>
      </c>
      <c r="AA362" s="25">
        <f t="shared" si="30"/>
        <v>128</v>
      </c>
      <c r="AK362" s="25">
        <v>1</v>
      </c>
      <c r="AM362" s="25">
        <v>104</v>
      </c>
      <c r="AN362" s="25">
        <v>100</v>
      </c>
      <c r="AP362" s="25">
        <f t="shared" si="32"/>
        <v>1</v>
      </c>
      <c r="AQ362" s="25" t="str">
        <f>VLOOKUP(C362,'시스템이펙트 참고자료'!$A:$B,2,FALSE)</f>
        <v>ACTIVE_ENERGY_OFFENCE_UP</v>
      </c>
      <c r="AS362" s="25">
        <v>1</v>
      </c>
      <c r="BD362" s="25">
        <v>1</v>
      </c>
    </row>
    <row r="363" spans="1:56" hidden="1">
      <c r="A363" s="25">
        <v>358</v>
      </c>
      <c r="B363" s="25" t="str">
        <f>VLOOKUP(C363,'시스템이펙트 참고자료'!$A:$C,2,FALSE)</f>
        <v>ACTIVE_STR_UP</v>
      </c>
      <c r="C363" s="25">
        <v>610</v>
      </c>
      <c r="D363" s="25">
        <f>VLOOKUP(C363,'시스템이펙트 참고자료'!$A:$D,4,FALSE)</f>
        <v>0</v>
      </c>
      <c r="E363" s="25">
        <v>0</v>
      </c>
      <c r="F363" s="25">
        <v>0</v>
      </c>
      <c r="G363" s="25">
        <f t="shared" si="31"/>
        <v>2</v>
      </c>
      <c r="H363" s="25" t="s">
        <v>395</v>
      </c>
      <c r="I363" s="25">
        <v>1</v>
      </c>
      <c r="J363" s="25" t="str">
        <f>VLOOKUP(C363,'시스템이펙트 참고자료'!$A:$C,3,FALSE)</f>
        <v>절대값/상대값(%) 가능</v>
      </c>
      <c r="K363" s="25">
        <v>7</v>
      </c>
      <c r="M363" s="25">
        <v>6</v>
      </c>
      <c r="N363" s="25">
        <f t="shared" si="29"/>
        <v>57</v>
      </c>
      <c r="O363" s="25">
        <v>1</v>
      </c>
      <c r="P363" s="25">
        <v>1</v>
      </c>
      <c r="Q363" s="25">
        <v>1</v>
      </c>
      <c r="R363" s="25">
        <v>1</v>
      </c>
      <c r="T363" s="25">
        <v>1</v>
      </c>
      <c r="AA363" s="25">
        <f t="shared" si="30"/>
        <v>128</v>
      </c>
      <c r="AK363" s="25">
        <v>1</v>
      </c>
      <c r="AM363" s="25">
        <v>57</v>
      </c>
      <c r="AN363" s="25">
        <v>100</v>
      </c>
      <c r="AP363" s="25">
        <f t="shared" si="32"/>
        <v>2</v>
      </c>
      <c r="AQ363" s="25" t="str">
        <f>VLOOKUP(C363,'시스템이펙트 참고자료'!$A:$B,2,FALSE)</f>
        <v>ACTIVE_STR_UP</v>
      </c>
      <c r="AS363" s="25">
        <v>1</v>
      </c>
      <c r="BD363" s="25">
        <v>1</v>
      </c>
    </row>
    <row r="364" spans="1:56" hidden="1">
      <c r="A364" s="25">
        <v>359</v>
      </c>
      <c r="B364" s="25" t="str">
        <f>VLOOKUP(C364,'시스템이펙트 참고자료'!$A:$C,2,FALSE)</f>
        <v>ACTIVE_SOL_UP</v>
      </c>
      <c r="C364" s="25">
        <v>614</v>
      </c>
      <c r="D364" s="25">
        <f>VLOOKUP(C364,'시스템이펙트 참고자료'!$A:$D,4,FALSE)</f>
        <v>0</v>
      </c>
      <c r="E364" s="25">
        <v>0</v>
      </c>
      <c r="F364" s="25">
        <v>0</v>
      </c>
      <c r="G364" s="25">
        <f t="shared" si="31"/>
        <v>2</v>
      </c>
      <c r="H364" s="25" t="s">
        <v>395</v>
      </c>
      <c r="I364" s="25">
        <v>1</v>
      </c>
      <c r="J364" s="25" t="str">
        <f>VLOOKUP(C364,'시스템이펙트 참고자료'!$A:$C,3,FALSE)</f>
        <v>절대값/상대값(%) 가능</v>
      </c>
      <c r="K364" s="25">
        <v>7</v>
      </c>
      <c r="M364" s="25">
        <v>6</v>
      </c>
      <c r="N364" s="25">
        <f t="shared" si="29"/>
        <v>53</v>
      </c>
      <c r="O364" s="25">
        <v>1</v>
      </c>
      <c r="P364" s="25">
        <v>1</v>
      </c>
      <c r="Q364" s="25">
        <v>1</v>
      </c>
      <c r="R364" s="25">
        <v>1</v>
      </c>
      <c r="T364" s="25">
        <v>1</v>
      </c>
      <c r="AA364" s="25">
        <f t="shared" si="30"/>
        <v>128</v>
      </c>
      <c r="AK364" s="25">
        <v>1</v>
      </c>
      <c r="AM364" s="25">
        <v>53</v>
      </c>
      <c r="AN364" s="25">
        <v>100</v>
      </c>
      <c r="AP364" s="25">
        <f t="shared" si="32"/>
        <v>2</v>
      </c>
      <c r="AQ364" s="25" t="str">
        <f>VLOOKUP(C364,'시스템이펙트 참고자료'!$A:$B,2,FALSE)</f>
        <v>ACTIVE_SOL_UP</v>
      </c>
      <c r="AS364" s="25">
        <v>1</v>
      </c>
      <c r="BD364" s="25">
        <v>1</v>
      </c>
    </row>
    <row r="365" spans="1:56" hidden="1">
      <c r="A365" s="25">
        <v>360</v>
      </c>
      <c r="B365" s="25" t="str">
        <f>VLOOKUP(C365,'시스템이펙트 참고자료'!$A:$C,2,FALSE)</f>
        <v>ACTIVE_PHYSICAL_CRITICAL_DAMAGE_UP</v>
      </c>
      <c r="C365" s="25">
        <v>658</v>
      </c>
      <c r="D365" s="25">
        <f>VLOOKUP(C365,'시스템이펙트 참고자료'!$A:$D,4,FALSE)</f>
        <v>0</v>
      </c>
      <c r="E365" s="25">
        <v>0</v>
      </c>
      <c r="F365" s="25">
        <v>0</v>
      </c>
      <c r="G365" s="25">
        <f t="shared" si="31"/>
        <v>4</v>
      </c>
      <c r="H365" s="25" t="s">
        <v>395</v>
      </c>
      <c r="I365" s="25">
        <v>1</v>
      </c>
      <c r="J365" s="25" t="str">
        <f>VLOOKUP(C365,'시스템이펙트 참고자료'!$A:$C,3,FALSE)</f>
        <v>절대값만 가능</v>
      </c>
      <c r="K365" s="25">
        <v>7</v>
      </c>
      <c r="M365" s="25">
        <v>6</v>
      </c>
      <c r="N365" s="25">
        <f t="shared" si="29"/>
        <v>28</v>
      </c>
      <c r="O365" s="25">
        <v>1</v>
      </c>
      <c r="P365" s="25">
        <v>1</v>
      </c>
      <c r="Q365" s="25">
        <v>1</v>
      </c>
      <c r="R365" s="25">
        <v>1</v>
      </c>
      <c r="T365" s="25">
        <v>1</v>
      </c>
      <c r="AA365" s="25">
        <f t="shared" si="30"/>
        <v>128</v>
      </c>
      <c r="AK365" s="25">
        <v>1</v>
      </c>
      <c r="AM365" s="25">
        <v>28</v>
      </c>
      <c r="AN365" s="25">
        <v>100</v>
      </c>
      <c r="AP365" s="25">
        <f t="shared" si="32"/>
        <v>4</v>
      </c>
      <c r="AQ365" s="25" t="str">
        <f>VLOOKUP(C365,'시스템이펙트 참고자료'!$A:$B,2,FALSE)</f>
        <v>ACTIVE_PHYSICAL_CRITICAL_DAMAGE_UP</v>
      </c>
      <c r="AS365" s="25">
        <v>1</v>
      </c>
      <c r="BD365" s="25">
        <v>1</v>
      </c>
    </row>
    <row r="366" spans="1:56" hidden="1">
      <c r="A366" s="25">
        <v>361</v>
      </c>
      <c r="B366" s="25" t="str">
        <f>VLOOKUP(C366,'시스템이펙트 참고자료'!$A:$C,2,FALSE)</f>
        <v>ACTIVE_ENERGY_CRITICAL_DAMAGE_UP</v>
      </c>
      <c r="C366" s="25">
        <v>659</v>
      </c>
      <c r="D366" s="25">
        <f>VLOOKUP(C366,'시스템이펙트 참고자료'!$A:$D,4,FALSE)</f>
        <v>0</v>
      </c>
      <c r="E366" s="25">
        <v>0</v>
      </c>
      <c r="F366" s="25">
        <v>0</v>
      </c>
      <c r="G366" s="25">
        <f t="shared" si="31"/>
        <v>4</v>
      </c>
      <c r="H366" s="25" t="s">
        <v>395</v>
      </c>
      <c r="I366" s="25">
        <v>1</v>
      </c>
      <c r="J366" s="25" t="str">
        <f>VLOOKUP(C366,'시스템이펙트 참고자료'!$A:$C,3,FALSE)</f>
        <v>절대값만 가능</v>
      </c>
      <c r="K366" s="25">
        <v>7</v>
      </c>
      <c r="M366" s="25">
        <v>6</v>
      </c>
      <c r="N366" s="25">
        <f t="shared" si="29"/>
        <v>32</v>
      </c>
      <c r="O366" s="25">
        <v>1</v>
      </c>
      <c r="P366" s="25">
        <v>1</v>
      </c>
      <c r="Q366" s="25">
        <v>1</v>
      </c>
      <c r="R366" s="25">
        <v>1</v>
      </c>
      <c r="T366" s="25">
        <v>1</v>
      </c>
      <c r="AA366" s="25">
        <f t="shared" si="30"/>
        <v>128</v>
      </c>
      <c r="AK366" s="25">
        <v>1</v>
      </c>
      <c r="AM366" s="25">
        <v>32</v>
      </c>
      <c r="AN366" s="25">
        <v>100</v>
      </c>
      <c r="AP366" s="25">
        <f t="shared" si="32"/>
        <v>4</v>
      </c>
      <c r="AQ366" s="25" t="str">
        <f>VLOOKUP(C366,'시스템이펙트 참고자료'!$A:$B,2,FALSE)</f>
        <v>ACTIVE_ENERGY_CRITICAL_DAMAGE_UP</v>
      </c>
      <c r="AS366" s="25">
        <v>1</v>
      </c>
      <c r="BD366" s="25">
        <v>1</v>
      </c>
    </row>
    <row r="367" spans="1:56" hidden="1">
      <c r="A367" s="25">
        <v>362</v>
      </c>
      <c r="B367" s="25" t="str">
        <f>VLOOKUP(C367,'시스템이펙트 참고자료'!$A:$C,2,FALSE)</f>
        <v>ACTIVE_FOC_UP</v>
      </c>
      <c r="C367" s="25">
        <v>612</v>
      </c>
      <c r="D367" s="25">
        <f>VLOOKUP(C367,'시스템이펙트 참고자료'!$A:$D,4,FALSE)</f>
        <v>0</v>
      </c>
      <c r="E367" s="25">
        <v>0</v>
      </c>
      <c r="F367" s="25">
        <v>0</v>
      </c>
      <c r="G367" s="25">
        <f t="shared" si="31"/>
        <v>2</v>
      </c>
      <c r="H367" s="25" t="s">
        <v>395</v>
      </c>
      <c r="I367" s="25">
        <v>1</v>
      </c>
      <c r="J367" s="25" t="str">
        <f>VLOOKUP(C367,'시스템이펙트 참고자료'!$A:$C,3,FALSE)</f>
        <v>절대값/상대값(%) 가능</v>
      </c>
      <c r="K367" s="25">
        <v>7</v>
      </c>
      <c r="M367" s="25">
        <v>7</v>
      </c>
      <c r="N367" s="25">
        <f t="shared" si="29"/>
        <v>53</v>
      </c>
      <c r="O367" s="25">
        <v>1</v>
      </c>
      <c r="P367" s="25">
        <v>1</v>
      </c>
      <c r="Q367" s="25">
        <v>1</v>
      </c>
      <c r="R367" s="25">
        <v>1</v>
      </c>
      <c r="T367" s="25">
        <v>1</v>
      </c>
      <c r="AA367" s="25">
        <f t="shared" si="30"/>
        <v>128</v>
      </c>
      <c r="AK367" s="25">
        <v>1</v>
      </c>
      <c r="AM367" s="25">
        <v>53</v>
      </c>
      <c r="AN367" s="25">
        <v>100</v>
      </c>
      <c r="AP367" s="25">
        <f t="shared" si="32"/>
        <v>2</v>
      </c>
      <c r="AQ367" s="25" t="str">
        <f>VLOOKUP(C367,'시스템이펙트 참고자료'!$A:$B,2,FALSE)</f>
        <v>ACTIVE_FOC_UP</v>
      </c>
      <c r="AS367" s="25">
        <v>1</v>
      </c>
      <c r="BD367" s="25">
        <v>1</v>
      </c>
    </row>
    <row r="368" spans="1:56" hidden="1">
      <c r="A368" s="25">
        <v>363</v>
      </c>
      <c r="B368" s="25" t="str">
        <f>VLOOKUP(C368,'시스템이펙트 참고자료'!$A:$C,2,FALSE)</f>
        <v>ACTIVE_ATTACK_RATE_UP</v>
      </c>
      <c r="C368" s="25">
        <v>618</v>
      </c>
      <c r="D368" s="25">
        <f>VLOOKUP(C368,'시스템이펙트 참고자료'!$A:$D,4,FALSE)</f>
        <v>0</v>
      </c>
      <c r="E368" s="25">
        <v>0</v>
      </c>
      <c r="F368" s="25">
        <v>0</v>
      </c>
      <c r="G368" s="25">
        <f t="shared" si="31"/>
        <v>1</v>
      </c>
      <c r="H368" s="25" t="s">
        <v>395</v>
      </c>
      <c r="I368" s="25">
        <v>1</v>
      </c>
      <c r="J368" s="25" t="str">
        <f>VLOOKUP(C368,'시스템이펙트 참고자료'!$A:$C,3,FALSE)</f>
        <v>절대값/상대값(%) 가능</v>
      </c>
      <c r="K368" s="25">
        <v>7</v>
      </c>
      <c r="M368" s="25">
        <v>7</v>
      </c>
      <c r="N368" s="25">
        <f t="shared" si="29"/>
        <v>528</v>
      </c>
      <c r="O368" s="25">
        <v>1</v>
      </c>
      <c r="P368" s="25">
        <v>1</v>
      </c>
      <c r="Q368" s="25">
        <v>1</v>
      </c>
      <c r="R368" s="25">
        <v>1</v>
      </c>
      <c r="T368" s="25">
        <v>1</v>
      </c>
      <c r="AA368" s="25">
        <f t="shared" si="30"/>
        <v>128</v>
      </c>
      <c r="AK368" s="25">
        <v>1</v>
      </c>
      <c r="AM368" s="25">
        <v>528</v>
      </c>
      <c r="AN368" s="25">
        <v>100</v>
      </c>
      <c r="AP368" s="25">
        <f t="shared" si="32"/>
        <v>1</v>
      </c>
      <c r="AQ368" s="25" t="str">
        <f>VLOOKUP(C368,'시스템이펙트 참고자료'!$A:$B,2,FALSE)</f>
        <v>ACTIVE_ATTACK_RATE_UP</v>
      </c>
      <c r="AS368" s="25">
        <v>1</v>
      </c>
      <c r="BD368" s="25">
        <v>1</v>
      </c>
    </row>
    <row r="369" spans="1:56" hidden="1">
      <c r="A369" s="25">
        <v>364</v>
      </c>
      <c r="B369" s="25" t="str">
        <f>VLOOKUP(C369,'시스템이펙트 참고자료'!$A:$C,2,FALSE)</f>
        <v>ACTIVE_ENG_UP</v>
      </c>
      <c r="C369" s="25">
        <v>615</v>
      </c>
      <c r="D369" s="25">
        <f>VLOOKUP(C369,'시스템이펙트 참고자료'!$A:$D,4,FALSE)</f>
        <v>0</v>
      </c>
      <c r="E369" s="25">
        <v>0</v>
      </c>
      <c r="F369" s="25">
        <v>0</v>
      </c>
      <c r="G369" s="25">
        <f t="shared" si="31"/>
        <v>2</v>
      </c>
      <c r="H369" s="25" t="s">
        <v>395</v>
      </c>
      <c r="I369" s="25">
        <v>1</v>
      </c>
      <c r="J369" s="25" t="str">
        <f>VLOOKUP(C369,'시스템이펙트 참고자료'!$A:$C,3,FALSE)</f>
        <v>절대값/상대값(%) 가능</v>
      </c>
      <c r="K369" s="25">
        <v>7</v>
      </c>
      <c r="M369" s="25">
        <v>7</v>
      </c>
      <c r="N369" s="25">
        <f t="shared" si="29"/>
        <v>62</v>
      </c>
      <c r="O369" s="25">
        <v>1</v>
      </c>
      <c r="P369" s="25">
        <v>1</v>
      </c>
      <c r="Q369" s="25">
        <v>1</v>
      </c>
      <c r="R369" s="25">
        <v>1</v>
      </c>
      <c r="T369" s="25">
        <v>1</v>
      </c>
      <c r="AA369" s="25">
        <f t="shared" si="30"/>
        <v>128</v>
      </c>
      <c r="AK369" s="25">
        <v>1</v>
      </c>
      <c r="AM369" s="25">
        <v>62</v>
      </c>
      <c r="AN369" s="25">
        <v>100</v>
      </c>
      <c r="AP369" s="25">
        <f t="shared" si="32"/>
        <v>2</v>
      </c>
      <c r="AQ369" s="25" t="str">
        <f>VLOOKUP(C369,'시스템이펙트 참고자료'!$A:$B,2,FALSE)</f>
        <v>ACTIVE_ENG_UP</v>
      </c>
      <c r="AS369" s="25">
        <v>1</v>
      </c>
      <c r="BD369" s="25">
        <v>1</v>
      </c>
    </row>
    <row r="370" spans="1:56" hidden="1">
      <c r="A370" s="25">
        <v>365</v>
      </c>
      <c r="B370" s="25" t="str">
        <f>VLOOKUP(C370,'시스템이펙트 참고자료'!$A:$C,2,FALSE)</f>
        <v>ACTIVE_PHYSICAL_CRITICAL</v>
      </c>
      <c r="C370" s="25">
        <v>632</v>
      </c>
      <c r="D370" s="25">
        <f>VLOOKUP(C370,'시스템이펙트 참고자료'!$A:$D,4,FALSE)</f>
        <v>0</v>
      </c>
      <c r="E370" s="25">
        <v>0</v>
      </c>
      <c r="F370" s="25">
        <v>0</v>
      </c>
      <c r="G370" s="25">
        <f t="shared" si="31"/>
        <v>5</v>
      </c>
      <c r="H370" s="25" t="s">
        <v>395</v>
      </c>
      <c r="I370" s="25">
        <v>1</v>
      </c>
      <c r="J370" s="25" t="str">
        <f>VLOOKUP(C370,'시스템이펙트 참고자료'!$A:$C,3,FALSE)</f>
        <v>절대값/상대값(%) 가능</v>
      </c>
      <c r="K370" s="25">
        <v>7</v>
      </c>
      <c r="M370" s="25">
        <v>7</v>
      </c>
      <c r="N370" s="25">
        <f t="shared" si="29"/>
        <v>21</v>
      </c>
      <c r="O370" s="25">
        <v>1</v>
      </c>
      <c r="P370" s="25">
        <v>1</v>
      </c>
      <c r="Q370" s="25">
        <v>1</v>
      </c>
      <c r="R370" s="25">
        <v>1</v>
      </c>
      <c r="T370" s="25">
        <v>1</v>
      </c>
      <c r="AA370" s="25">
        <f t="shared" si="30"/>
        <v>128</v>
      </c>
      <c r="AK370" s="25">
        <v>1</v>
      </c>
      <c r="AM370" s="25">
        <v>21</v>
      </c>
      <c r="AN370" s="25">
        <v>100</v>
      </c>
      <c r="AP370" s="25">
        <f t="shared" si="32"/>
        <v>5</v>
      </c>
      <c r="AQ370" s="25" t="str">
        <f>VLOOKUP(C370,'시스템이펙트 참고자료'!$A:$B,2,FALSE)</f>
        <v>ACTIVE_PHYSICAL_CRITICAL</v>
      </c>
      <c r="AS370" s="25">
        <v>1</v>
      </c>
      <c r="BD370" s="25">
        <v>1</v>
      </c>
    </row>
    <row r="371" spans="1:56" hidden="1">
      <c r="A371" s="25">
        <v>366</v>
      </c>
      <c r="B371" s="25" t="str">
        <f>VLOOKUP(C371,'시스템이펙트 참고자료'!$A:$C,2,FALSE)</f>
        <v>ACTIVE_ENERGY_CRITICAL</v>
      </c>
      <c r="C371" s="25">
        <v>633</v>
      </c>
      <c r="D371" s="25">
        <f>VLOOKUP(C371,'시스템이펙트 참고자료'!$A:$D,4,FALSE)</f>
        <v>0</v>
      </c>
      <c r="E371" s="25">
        <v>0</v>
      </c>
      <c r="F371" s="25">
        <v>0</v>
      </c>
      <c r="G371" s="25">
        <f t="shared" si="31"/>
        <v>5</v>
      </c>
      <c r="H371" s="25" t="s">
        <v>395</v>
      </c>
      <c r="I371" s="25">
        <v>1</v>
      </c>
      <c r="J371" s="25" t="str">
        <f>VLOOKUP(C371,'시스템이펙트 참고자료'!$A:$C,3,FALSE)</f>
        <v>절대값/상대값(%) 가능</v>
      </c>
      <c r="K371" s="25">
        <v>7</v>
      </c>
      <c r="M371" s="25">
        <v>7</v>
      </c>
      <c r="N371" s="25">
        <f t="shared" si="29"/>
        <v>24</v>
      </c>
      <c r="O371" s="25">
        <v>1</v>
      </c>
      <c r="P371" s="25">
        <v>1</v>
      </c>
      <c r="Q371" s="25">
        <v>1</v>
      </c>
      <c r="R371" s="25">
        <v>1</v>
      </c>
      <c r="T371" s="25">
        <v>1</v>
      </c>
      <c r="AA371" s="25">
        <f t="shared" si="30"/>
        <v>128</v>
      </c>
      <c r="AK371" s="25">
        <v>1</v>
      </c>
      <c r="AM371" s="25">
        <v>24</v>
      </c>
      <c r="AN371" s="25">
        <v>100</v>
      </c>
      <c r="AP371" s="25">
        <f t="shared" si="32"/>
        <v>5</v>
      </c>
      <c r="AQ371" s="25" t="str">
        <f>VLOOKUP(C371,'시스템이펙트 참고자료'!$A:$B,2,FALSE)</f>
        <v>ACTIVE_ENERGY_CRITICAL</v>
      </c>
      <c r="AS371" s="25">
        <v>1</v>
      </c>
      <c r="BD371" s="25">
        <v>1</v>
      </c>
    </row>
    <row r="372" spans="1:56" hidden="1">
      <c r="A372" s="25">
        <v>367</v>
      </c>
      <c r="B372" s="25" t="str">
        <f>VLOOKUP(C372,'시스템이펙트 참고자료'!$A:$C,2,FALSE)</f>
        <v>ACTIVE_FOC_UP</v>
      </c>
      <c r="C372" s="25">
        <v>612</v>
      </c>
      <c r="D372" s="25">
        <f>VLOOKUP(C372,'시스템이펙트 참고자료'!$A:$D,4,FALSE)</f>
        <v>0</v>
      </c>
      <c r="E372" s="25">
        <v>0</v>
      </c>
      <c r="F372" s="25">
        <v>0</v>
      </c>
      <c r="G372" s="25">
        <f t="shared" si="31"/>
        <v>2</v>
      </c>
      <c r="H372" s="25" t="s">
        <v>395</v>
      </c>
      <c r="I372" s="25">
        <v>1</v>
      </c>
      <c r="J372" s="25" t="str">
        <f>VLOOKUP(C372,'시스템이펙트 참고자료'!$A:$C,3,FALSE)</f>
        <v>절대값/상대값(%) 가능</v>
      </c>
      <c r="K372" s="25">
        <v>7</v>
      </c>
      <c r="M372" s="25">
        <v>8</v>
      </c>
      <c r="N372" s="25">
        <f t="shared" si="29"/>
        <v>53</v>
      </c>
      <c r="O372" s="25">
        <v>1</v>
      </c>
      <c r="P372" s="25">
        <v>1</v>
      </c>
      <c r="Q372" s="25">
        <v>1</v>
      </c>
      <c r="R372" s="25">
        <v>1</v>
      </c>
      <c r="T372" s="25">
        <v>1</v>
      </c>
      <c r="AA372" s="25">
        <f t="shared" si="30"/>
        <v>128</v>
      </c>
      <c r="AK372" s="25">
        <v>1</v>
      </c>
      <c r="AM372" s="25">
        <v>53</v>
      </c>
      <c r="AN372" s="25">
        <v>100</v>
      </c>
      <c r="AP372" s="25">
        <f t="shared" si="32"/>
        <v>2</v>
      </c>
      <c r="AQ372" s="25" t="str">
        <f>VLOOKUP(C372,'시스템이펙트 참고자료'!$A:$B,2,FALSE)</f>
        <v>ACTIVE_FOC_UP</v>
      </c>
      <c r="AS372" s="25">
        <v>1</v>
      </c>
      <c r="BD372" s="25">
        <v>1</v>
      </c>
    </row>
    <row r="373" spans="1:56" hidden="1">
      <c r="A373" s="25">
        <v>368</v>
      </c>
      <c r="B373" s="25" t="str">
        <f>VLOOKUP(C373,'시스템이펙트 참고자료'!$A:$C,2,FALSE)</f>
        <v>ACTIVE_CON_UP</v>
      </c>
      <c r="C373" s="25">
        <v>611</v>
      </c>
      <c r="D373" s="25">
        <f>VLOOKUP(C373,'시스템이펙트 참고자료'!$A:$D,4,FALSE)</f>
        <v>0</v>
      </c>
      <c r="E373" s="25">
        <v>0</v>
      </c>
      <c r="F373" s="25">
        <v>0</v>
      </c>
      <c r="G373" s="25">
        <f t="shared" si="31"/>
        <v>3</v>
      </c>
      <c r="H373" s="25" t="s">
        <v>395</v>
      </c>
      <c r="I373" s="25">
        <v>1</v>
      </c>
      <c r="J373" s="25" t="str">
        <f>VLOOKUP(C373,'시스템이펙트 참고자료'!$A:$C,3,FALSE)</f>
        <v>절대값/상대값(%) 가능</v>
      </c>
      <c r="K373" s="25">
        <v>7</v>
      </c>
      <c r="M373" s="25">
        <v>8</v>
      </c>
      <c r="N373" s="25">
        <f t="shared" si="29"/>
        <v>48</v>
      </c>
      <c r="O373" s="25">
        <v>1</v>
      </c>
      <c r="P373" s="25">
        <v>1</v>
      </c>
      <c r="Q373" s="25">
        <v>1</v>
      </c>
      <c r="R373" s="25">
        <v>1</v>
      </c>
      <c r="T373" s="25">
        <v>1</v>
      </c>
      <c r="AA373" s="25">
        <f t="shared" si="30"/>
        <v>128</v>
      </c>
      <c r="AK373" s="25">
        <v>1</v>
      </c>
      <c r="AM373" s="25">
        <v>48</v>
      </c>
      <c r="AN373" s="25">
        <v>100</v>
      </c>
      <c r="AP373" s="25">
        <f t="shared" si="32"/>
        <v>3</v>
      </c>
      <c r="AQ373" s="25" t="str">
        <f>VLOOKUP(C373,'시스템이펙트 참고자료'!$A:$B,2,FALSE)</f>
        <v>ACTIVE_CON_UP</v>
      </c>
      <c r="AS373" s="25">
        <v>1</v>
      </c>
      <c r="BD373" s="25">
        <v>1</v>
      </c>
    </row>
    <row r="374" spans="1:56" hidden="1">
      <c r="A374" s="25">
        <v>369</v>
      </c>
      <c r="B374" s="25" t="str">
        <f>VLOOKUP(C374,'시스템이펙트 참고자료'!$A:$C,2,FALSE)</f>
        <v>ACTIVE_BLOCK_RATE_UP</v>
      </c>
      <c r="C374" s="25">
        <v>620</v>
      </c>
      <c r="D374" s="25">
        <f>VLOOKUP(C374,'시스템이펙트 참고자료'!$A:$D,4,FALSE)</f>
        <v>0</v>
      </c>
      <c r="E374" s="25">
        <v>0</v>
      </c>
      <c r="F374" s="25">
        <v>0</v>
      </c>
      <c r="G374" s="25">
        <f t="shared" si="31"/>
        <v>1</v>
      </c>
      <c r="H374" s="25" t="s">
        <v>395</v>
      </c>
      <c r="I374" s="25">
        <v>1</v>
      </c>
      <c r="J374" s="25" t="str">
        <f>VLOOKUP(C374,'시스템이펙트 참고자료'!$A:$C,3,FALSE)</f>
        <v>절대값/상대값(%) 가능</v>
      </c>
      <c r="K374" s="25">
        <v>7</v>
      </c>
      <c r="M374" s="25">
        <v>8</v>
      </c>
      <c r="N374" s="25">
        <f t="shared" si="29"/>
        <v>352</v>
      </c>
      <c r="O374" s="25">
        <v>1</v>
      </c>
      <c r="P374" s="25">
        <v>1</v>
      </c>
      <c r="Q374" s="25">
        <v>1</v>
      </c>
      <c r="R374" s="25">
        <v>1</v>
      </c>
      <c r="T374" s="25">
        <v>1</v>
      </c>
      <c r="AA374" s="25">
        <f t="shared" si="30"/>
        <v>128</v>
      </c>
      <c r="AK374" s="25">
        <v>1</v>
      </c>
      <c r="AM374" s="25">
        <v>352</v>
      </c>
      <c r="AN374" s="25">
        <v>100</v>
      </c>
      <c r="AP374" s="25">
        <f t="shared" si="32"/>
        <v>1</v>
      </c>
      <c r="AQ374" s="25" t="str">
        <f>VLOOKUP(C374,'시스템이펙트 참고자료'!$A:$B,2,FALSE)</f>
        <v>ACTIVE_BLOCK_RATE_UP</v>
      </c>
      <c r="AS374" s="25">
        <v>1</v>
      </c>
      <c r="BD374" s="25">
        <v>1</v>
      </c>
    </row>
    <row r="375" spans="1:56" hidden="1">
      <c r="A375" s="25">
        <v>370</v>
      </c>
      <c r="B375" s="25" t="str">
        <f>VLOOKUP(C375,'시스템이펙트 참고자료'!$A:$C,2,FALSE)</f>
        <v>ACTIVE_ENG_UP</v>
      </c>
      <c r="C375" s="25">
        <v>615</v>
      </c>
      <c r="D375" s="25">
        <f>VLOOKUP(C375,'시스템이펙트 참고자료'!$A:$D,4,FALSE)</f>
        <v>0</v>
      </c>
      <c r="E375" s="25">
        <v>0</v>
      </c>
      <c r="F375" s="25">
        <v>0</v>
      </c>
      <c r="G375" s="25">
        <f t="shared" si="31"/>
        <v>2</v>
      </c>
      <c r="H375" s="25" t="s">
        <v>395</v>
      </c>
      <c r="I375" s="25">
        <v>1</v>
      </c>
      <c r="J375" s="25" t="str">
        <f>VLOOKUP(C375,'시스템이펙트 참고자료'!$A:$C,3,FALSE)</f>
        <v>절대값/상대값(%) 가능</v>
      </c>
      <c r="K375" s="25">
        <v>7</v>
      </c>
      <c r="M375" s="25">
        <v>8</v>
      </c>
      <c r="N375" s="25">
        <f t="shared" si="29"/>
        <v>62</v>
      </c>
      <c r="O375" s="25">
        <v>1</v>
      </c>
      <c r="P375" s="25">
        <v>1</v>
      </c>
      <c r="Q375" s="25">
        <v>1</v>
      </c>
      <c r="R375" s="25">
        <v>1</v>
      </c>
      <c r="T375" s="25">
        <v>1</v>
      </c>
      <c r="AA375" s="25">
        <f t="shared" si="30"/>
        <v>128</v>
      </c>
      <c r="AK375" s="25">
        <v>1</v>
      </c>
      <c r="AM375" s="25">
        <v>62</v>
      </c>
      <c r="AN375" s="25">
        <v>100</v>
      </c>
      <c r="AP375" s="25">
        <f t="shared" si="32"/>
        <v>2</v>
      </c>
      <c r="AQ375" s="25" t="str">
        <f>VLOOKUP(C375,'시스템이펙트 참고자료'!$A:$B,2,FALSE)</f>
        <v>ACTIVE_ENG_UP</v>
      </c>
      <c r="AS375" s="25">
        <v>1</v>
      </c>
      <c r="BD375" s="25">
        <v>1</v>
      </c>
    </row>
    <row r="376" spans="1:56" hidden="1">
      <c r="A376" s="25">
        <v>371</v>
      </c>
      <c r="B376" s="25" t="str">
        <f>VLOOKUP(C376,'시스템이펙트 참고자료'!$A:$C,2,FALSE)</f>
        <v>ACTIVE_PHYSICAL_CRITICAL</v>
      </c>
      <c r="C376" s="25">
        <v>632</v>
      </c>
      <c r="D376" s="25">
        <f>VLOOKUP(C376,'시스템이펙트 참고자료'!$A:$D,4,FALSE)</f>
        <v>0</v>
      </c>
      <c r="E376" s="25">
        <v>0</v>
      </c>
      <c r="F376" s="25">
        <v>0</v>
      </c>
      <c r="G376" s="25">
        <f t="shared" si="31"/>
        <v>5</v>
      </c>
      <c r="H376" s="25" t="s">
        <v>395</v>
      </c>
      <c r="I376" s="25">
        <v>1</v>
      </c>
      <c r="J376" s="25" t="str">
        <f>VLOOKUP(C376,'시스템이펙트 참고자료'!$A:$C,3,FALSE)</f>
        <v>절대값/상대값(%) 가능</v>
      </c>
      <c r="K376" s="25">
        <v>7</v>
      </c>
      <c r="M376" s="25">
        <v>9</v>
      </c>
      <c r="N376" s="25">
        <f t="shared" si="29"/>
        <v>21</v>
      </c>
      <c r="O376" s="25">
        <v>1</v>
      </c>
      <c r="P376" s="25">
        <v>1</v>
      </c>
      <c r="Q376" s="25">
        <v>1</v>
      </c>
      <c r="R376" s="25">
        <v>1</v>
      </c>
      <c r="T376" s="25">
        <v>1</v>
      </c>
      <c r="AA376" s="25">
        <f t="shared" si="30"/>
        <v>128</v>
      </c>
      <c r="AK376" s="25">
        <v>1</v>
      </c>
      <c r="AM376" s="25">
        <v>21</v>
      </c>
      <c r="AN376" s="25">
        <v>100</v>
      </c>
      <c r="AP376" s="25">
        <f t="shared" si="32"/>
        <v>5</v>
      </c>
      <c r="AQ376" s="25" t="str">
        <f>VLOOKUP(C376,'시스템이펙트 참고자료'!$A:$B,2,FALSE)</f>
        <v>ACTIVE_PHYSICAL_CRITICAL</v>
      </c>
      <c r="AS376" s="25">
        <v>1</v>
      </c>
      <c r="BD376" s="25">
        <v>1</v>
      </c>
    </row>
    <row r="377" spans="1:56" hidden="1">
      <c r="A377" s="25">
        <v>372</v>
      </c>
      <c r="B377" s="25" t="str">
        <f>VLOOKUP(C377,'시스템이펙트 참고자료'!$A:$C,2,FALSE)</f>
        <v>ACTIVE_ENERGY_CRITICAL</v>
      </c>
      <c r="C377" s="25">
        <v>633</v>
      </c>
      <c r="D377" s="25">
        <f>VLOOKUP(C377,'시스템이펙트 참고자료'!$A:$D,4,FALSE)</f>
        <v>0</v>
      </c>
      <c r="E377" s="25">
        <v>0</v>
      </c>
      <c r="F377" s="25">
        <v>0</v>
      </c>
      <c r="G377" s="25">
        <f t="shared" si="31"/>
        <v>5</v>
      </c>
      <c r="H377" s="25" t="s">
        <v>395</v>
      </c>
      <c r="I377" s="25">
        <v>1</v>
      </c>
      <c r="J377" s="25" t="str">
        <f>VLOOKUP(C377,'시스템이펙트 참고자료'!$A:$C,3,FALSE)</f>
        <v>절대값/상대값(%) 가능</v>
      </c>
      <c r="K377" s="25">
        <v>7</v>
      </c>
      <c r="M377" s="25">
        <v>9</v>
      </c>
      <c r="N377" s="25">
        <f t="shared" si="29"/>
        <v>24</v>
      </c>
      <c r="O377" s="25">
        <v>1</v>
      </c>
      <c r="P377" s="25">
        <v>1</v>
      </c>
      <c r="Q377" s="25">
        <v>1</v>
      </c>
      <c r="R377" s="25">
        <v>1</v>
      </c>
      <c r="T377" s="25">
        <v>1</v>
      </c>
      <c r="AA377" s="25">
        <f t="shared" si="30"/>
        <v>128</v>
      </c>
      <c r="AK377" s="25">
        <v>1</v>
      </c>
      <c r="AM377" s="25">
        <v>24</v>
      </c>
      <c r="AN377" s="25">
        <v>100</v>
      </c>
      <c r="AP377" s="25">
        <f t="shared" si="32"/>
        <v>5</v>
      </c>
      <c r="AQ377" s="25" t="str">
        <f>VLOOKUP(C377,'시스템이펙트 참고자료'!$A:$B,2,FALSE)</f>
        <v>ACTIVE_ENERGY_CRITICAL</v>
      </c>
      <c r="AS377" s="25">
        <v>1</v>
      </c>
      <c r="BD377" s="25">
        <v>1</v>
      </c>
    </row>
    <row r="378" spans="1:56" hidden="1">
      <c r="A378" s="25">
        <v>373</v>
      </c>
      <c r="B378" s="25" t="str">
        <f>VLOOKUP(C378,'시스템이펙트 참고자료'!$A:$C,2,FALSE)</f>
        <v>ACTIVE_DEX_UP</v>
      </c>
      <c r="C378" s="25">
        <v>613</v>
      </c>
      <c r="D378" s="25">
        <f>VLOOKUP(C378,'시스템이펙트 참고자료'!$A:$D,4,FALSE)</f>
        <v>0</v>
      </c>
      <c r="E378" s="25">
        <v>0</v>
      </c>
      <c r="F378" s="25">
        <v>0</v>
      </c>
      <c r="G378" s="25">
        <f t="shared" si="31"/>
        <v>3</v>
      </c>
      <c r="H378" s="25" t="s">
        <v>395</v>
      </c>
      <c r="I378" s="25">
        <v>1</v>
      </c>
      <c r="J378" s="25" t="str">
        <f>VLOOKUP(C378,'시스템이펙트 참고자료'!$A:$C,3,FALSE)</f>
        <v>절대값/상대값(%) 가능</v>
      </c>
      <c r="K378" s="25">
        <v>7</v>
      </c>
      <c r="M378" s="25">
        <v>9</v>
      </c>
      <c r="N378" s="25">
        <f t="shared" si="29"/>
        <v>44</v>
      </c>
      <c r="O378" s="25">
        <v>1</v>
      </c>
      <c r="P378" s="25">
        <v>1</v>
      </c>
      <c r="Q378" s="25">
        <v>1</v>
      </c>
      <c r="R378" s="25">
        <v>1</v>
      </c>
      <c r="T378" s="25">
        <v>1</v>
      </c>
      <c r="AA378" s="25">
        <f t="shared" si="30"/>
        <v>128</v>
      </c>
      <c r="AK378" s="25">
        <v>1</v>
      </c>
      <c r="AM378" s="25">
        <v>44</v>
      </c>
      <c r="AN378" s="25">
        <v>100</v>
      </c>
      <c r="AP378" s="25">
        <f t="shared" si="32"/>
        <v>3</v>
      </c>
      <c r="AQ378" s="25" t="str">
        <f>VLOOKUP(C378,'시스템이펙트 참고자료'!$A:$B,2,FALSE)</f>
        <v>ACTIVE_DEX_UP</v>
      </c>
      <c r="AS378" s="25">
        <v>1</v>
      </c>
      <c r="BD378" s="25">
        <v>1</v>
      </c>
    </row>
    <row r="379" spans="1:56" hidden="1">
      <c r="A379" s="25">
        <v>374</v>
      </c>
      <c r="B379" s="25" t="str">
        <f>VLOOKUP(C379,'시스템이펙트 참고자료'!$A:$C,2,FALSE)</f>
        <v>ACTIVE_FOC_UP</v>
      </c>
      <c r="C379" s="25">
        <v>612</v>
      </c>
      <c r="D379" s="25">
        <f>VLOOKUP(C379,'시스템이펙트 참고자료'!$A:$D,4,FALSE)</f>
        <v>0</v>
      </c>
      <c r="E379" s="25">
        <v>0</v>
      </c>
      <c r="F379" s="25">
        <v>0</v>
      </c>
      <c r="G379" s="25">
        <f t="shared" si="31"/>
        <v>2</v>
      </c>
      <c r="H379" s="25" t="s">
        <v>395</v>
      </c>
      <c r="I379" s="25">
        <v>1</v>
      </c>
      <c r="J379" s="25" t="str">
        <f>VLOOKUP(C379,'시스템이펙트 참고자료'!$A:$C,3,FALSE)</f>
        <v>절대값/상대값(%) 가능</v>
      </c>
      <c r="K379" s="25">
        <v>7</v>
      </c>
      <c r="M379" s="25">
        <v>9</v>
      </c>
      <c r="N379" s="25">
        <f t="shared" si="29"/>
        <v>53</v>
      </c>
      <c r="O379" s="25">
        <v>1</v>
      </c>
      <c r="P379" s="25">
        <v>1</v>
      </c>
      <c r="Q379" s="25">
        <v>1</v>
      </c>
      <c r="R379" s="25">
        <v>1</v>
      </c>
      <c r="T379" s="25">
        <v>1</v>
      </c>
      <c r="AA379" s="25">
        <f t="shared" si="30"/>
        <v>128</v>
      </c>
      <c r="AK379" s="25">
        <v>1</v>
      </c>
      <c r="AM379" s="25">
        <v>53</v>
      </c>
      <c r="AN379" s="25">
        <v>100</v>
      </c>
      <c r="AP379" s="25">
        <f t="shared" si="32"/>
        <v>2</v>
      </c>
      <c r="AQ379" s="25" t="str">
        <f>VLOOKUP(C379,'시스템이펙트 참고자료'!$A:$B,2,FALSE)</f>
        <v>ACTIVE_FOC_UP</v>
      </c>
      <c r="AS379" s="25">
        <v>1</v>
      </c>
      <c r="BD379" s="25">
        <v>1</v>
      </c>
    </row>
    <row r="380" spans="1:56" hidden="1">
      <c r="A380" s="25">
        <v>375</v>
      </c>
      <c r="B380" s="25" t="str">
        <f>VLOOKUP(C380,'시스템이펙트 참고자료'!$A:$C,2,FALSE)</f>
        <v>ACTIVE_PHYSICAL_CRITICAL_DAMAGE_UP</v>
      </c>
      <c r="C380" s="25">
        <v>658</v>
      </c>
      <c r="D380" s="25">
        <f>VLOOKUP(C380,'시스템이펙트 참고자료'!$A:$D,4,FALSE)</f>
        <v>0</v>
      </c>
      <c r="E380" s="25">
        <v>0</v>
      </c>
      <c r="F380" s="25">
        <v>0</v>
      </c>
      <c r="G380" s="25">
        <f t="shared" si="31"/>
        <v>4</v>
      </c>
      <c r="H380" s="25" t="s">
        <v>395</v>
      </c>
      <c r="I380" s="25">
        <v>1</v>
      </c>
      <c r="J380" s="25" t="str">
        <f>VLOOKUP(C380,'시스템이펙트 참고자료'!$A:$C,3,FALSE)</f>
        <v>절대값만 가능</v>
      </c>
      <c r="K380" s="25">
        <v>7</v>
      </c>
      <c r="M380" s="25">
        <v>10</v>
      </c>
      <c r="N380" s="25">
        <f t="shared" si="29"/>
        <v>28</v>
      </c>
      <c r="O380" s="25">
        <v>1</v>
      </c>
      <c r="P380" s="25">
        <v>1</v>
      </c>
      <c r="Q380" s="25">
        <v>1</v>
      </c>
      <c r="R380" s="25">
        <v>1</v>
      </c>
      <c r="T380" s="25">
        <v>1</v>
      </c>
      <c r="AA380" s="25">
        <f t="shared" si="30"/>
        <v>128</v>
      </c>
      <c r="AK380" s="25">
        <v>1</v>
      </c>
      <c r="AM380" s="25">
        <v>28</v>
      </c>
      <c r="AN380" s="25">
        <v>100</v>
      </c>
      <c r="AP380" s="25">
        <f t="shared" si="32"/>
        <v>4</v>
      </c>
      <c r="AQ380" s="25" t="str">
        <f>VLOOKUP(C380,'시스템이펙트 참고자료'!$A:$B,2,FALSE)</f>
        <v>ACTIVE_PHYSICAL_CRITICAL_DAMAGE_UP</v>
      </c>
      <c r="AS380" s="25">
        <v>1</v>
      </c>
      <c r="BD380" s="25">
        <v>1</v>
      </c>
    </row>
    <row r="381" spans="1:56" hidden="1">
      <c r="A381" s="25">
        <v>376</v>
      </c>
      <c r="B381" s="25" t="str">
        <f>VLOOKUP(C381,'시스템이펙트 참고자료'!$A:$C,2,FALSE)</f>
        <v>ACTIVE_ENERGY_CRITICAL_DAMAGE_UP</v>
      </c>
      <c r="C381" s="25">
        <v>659</v>
      </c>
      <c r="D381" s="25">
        <f>VLOOKUP(C381,'시스템이펙트 참고자료'!$A:$D,4,FALSE)</f>
        <v>0</v>
      </c>
      <c r="E381" s="25">
        <v>0</v>
      </c>
      <c r="F381" s="25">
        <v>0</v>
      </c>
      <c r="G381" s="25">
        <f t="shared" si="31"/>
        <v>4</v>
      </c>
      <c r="H381" s="25" t="s">
        <v>395</v>
      </c>
      <c r="I381" s="25">
        <v>1</v>
      </c>
      <c r="J381" s="25" t="str">
        <f>VLOOKUP(C381,'시스템이펙트 참고자료'!$A:$C,3,FALSE)</f>
        <v>절대값만 가능</v>
      </c>
      <c r="K381" s="25">
        <v>7</v>
      </c>
      <c r="M381" s="25">
        <v>10</v>
      </c>
      <c r="N381" s="25">
        <f t="shared" si="29"/>
        <v>32</v>
      </c>
      <c r="O381" s="25">
        <v>1</v>
      </c>
      <c r="P381" s="25">
        <v>1</v>
      </c>
      <c r="Q381" s="25">
        <v>1</v>
      </c>
      <c r="R381" s="25">
        <v>1</v>
      </c>
      <c r="T381" s="25">
        <v>1</v>
      </c>
      <c r="AA381" s="25">
        <f t="shared" si="30"/>
        <v>128</v>
      </c>
      <c r="AK381" s="25">
        <v>1</v>
      </c>
      <c r="AM381" s="25">
        <v>32</v>
      </c>
      <c r="AN381" s="25">
        <v>100</v>
      </c>
      <c r="AP381" s="25">
        <f t="shared" si="32"/>
        <v>4</v>
      </c>
      <c r="AQ381" s="25" t="str">
        <f>VLOOKUP(C381,'시스템이펙트 참고자료'!$A:$B,2,FALSE)</f>
        <v>ACTIVE_ENERGY_CRITICAL_DAMAGE_UP</v>
      </c>
      <c r="AS381" s="25">
        <v>1</v>
      </c>
      <c r="BD381" s="25">
        <v>1</v>
      </c>
    </row>
    <row r="382" spans="1:56" hidden="1">
      <c r="A382" s="25">
        <v>377</v>
      </c>
      <c r="B382" s="25" t="str">
        <f>VLOOKUP(C382,'시스템이펙트 참고자료'!$A:$C,2,FALSE)</f>
        <v>ACTIVE_DEX_UP</v>
      </c>
      <c r="C382" s="25">
        <v>613</v>
      </c>
      <c r="D382" s="25">
        <f>VLOOKUP(C382,'시스템이펙트 참고자료'!$A:$D,4,FALSE)</f>
        <v>0</v>
      </c>
      <c r="E382" s="25">
        <v>0</v>
      </c>
      <c r="F382" s="25">
        <v>0</v>
      </c>
      <c r="G382" s="25">
        <f t="shared" si="31"/>
        <v>3</v>
      </c>
      <c r="H382" s="25" t="s">
        <v>395</v>
      </c>
      <c r="I382" s="25">
        <v>1</v>
      </c>
      <c r="J382" s="25" t="str">
        <f>VLOOKUP(C382,'시스템이펙트 참고자료'!$A:$C,3,FALSE)</f>
        <v>절대값/상대값(%) 가능</v>
      </c>
      <c r="K382" s="25">
        <v>7</v>
      </c>
      <c r="M382" s="25">
        <v>10</v>
      </c>
      <c r="N382" s="25">
        <f t="shared" si="29"/>
        <v>44</v>
      </c>
      <c r="O382" s="25">
        <v>1</v>
      </c>
      <c r="P382" s="25">
        <v>1</v>
      </c>
      <c r="Q382" s="25">
        <v>1</v>
      </c>
      <c r="R382" s="25">
        <v>1</v>
      </c>
      <c r="T382" s="25">
        <v>1</v>
      </c>
      <c r="AA382" s="25">
        <f t="shared" si="30"/>
        <v>128</v>
      </c>
      <c r="AK382" s="25">
        <v>1</v>
      </c>
      <c r="AM382" s="25">
        <v>44</v>
      </c>
      <c r="AN382" s="25">
        <v>100</v>
      </c>
      <c r="AP382" s="25">
        <f t="shared" si="32"/>
        <v>3</v>
      </c>
      <c r="AQ382" s="25" t="str">
        <f>VLOOKUP(C382,'시스템이펙트 참고자료'!$A:$B,2,FALSE)</f>
        <v>ACTIVE_DEX_UP</v>
      </c>
      <c r="AS382" s="25">
        <v>1</v>
      </c>
      <c r="BD382" s="25">
        <v>1</v>
      </c>
    </row>
    <row r="383" spans="1:56" hidden="1">
      <c r="A383" s="25">
        <v>378</v>
      </c>
      <c r="B383" s="25" t="str">
        <f>VLOOKUP(C383,'시스템이펙트 참고자료'!$A:$C,2,FALSE)</f>
        <v>ACTIVE_ATTACK_SPEED_UP</v>
      </c>
      <c r="C383" s="25">
        <v>617</v>
      </c>
      <c r="D383" s="25">
        <f>VLOOKUP(C383,'시스템이펙트 참고자료'!$A:$D,4,FALSE)</f>
        <v>1</v>
      </c>
      <c r="E383" s="25">
        <v>0</v>
      </c>
      <c r="F383" s="25">
        <v>0</v>
      </c>
      <c r="G383" s="25">
        <f t="shared" si="31"/>
        <v>10</v>
      </c>
      <c r="H383" s="25" t="s">
        <v>395</v>
      </c>
      <c r="I383" s="25">
        <v>1</v>
      </c>
      <c r="J383" s="25" t="str">
        <f>VLOOKUP(C383,'시스템이펙트 참고자료'!$A:$C,3,FALSE)</f>
        <v>절대값/상대값(%) 가능</v>
      </c>
      <c r="K383" s="25">
        <v>7</v>
      </c>
      <c r="M383" s="25">
        <v>10</v>
      </c>
      <c r="N383" s="25">
        <f t="shared" si="29"/>
        <v>10</v>
      </c>
      <c r="O383" s="25">
        <v>1</v>
      </c>
      <c r="P383" s="25">
        <v>1</v>
      </c>
      <c r="Q383" s="25">
        <v>1</v>
      </c>
      <c r="R383" s="25">
        <v>1</v>
      </c>
      <c r="T383" s="25">
        <v>1</v>
      </c>
      <c r="AA383" s="25">
        <f t="shared" si="30"/>
        <v>128</v>
      </c>
      <c r="AK383" s="25">
        <v>1</v>
      </c>
      <c r="AM383" s="25">
        <v>10</v>
      </c>
      <c r="AN383" s="25">
        <v>100</v>
      </c>
      <c r="AP383" s="25">
        <f t="shared" si="32"/>
        <v>10</v>
      </c>
      <c r="AQ383" s="25" t="str">
        <f>VLOOKUP(C383,'시스템이펙트 참고자료'!$A:$B,2,FALSE)</f>
        <v>ACTIVE_ATTACK_SPEED_UP</v>
      </c>
      <c r="AS383" s="25">
        <v>1</v>
      </c>
      <c r="BD383" s="25">
        <v>1</v>
      </c>
    </row>
    <row r="384" spans="1:56" hidden="1">
      <c r="A384" s="25">
        <v>379</v>
      </c>
      <c r="B384" s="25" t="str">
        <f>VLOOKUP(C384,'시스템이펙트 참고자료'!$A:$C,2,FALSE)</f>
        <v>ACTIVE_STR_UP</v>
      </c>
      <c r="C384" s="25">
        <v>610</v>
      </c>
      <c r="D384" s="25">
        <f>VLOOKUP(C384,'시스템이펙트 참고자료'!$A:$D,4,FALSE)</f>
        <v>0</v>
      </c>
      <c r="E384" s="25">
        <v>0</v>
      </c>
      <c r="F384" s="25">
        <v>0</v>
      </c>
      <c r="G384" s="25">
        <f t="shared" si="31"/>
        <v>2</v>
      </c>
      <c r="H384" s="25" t="s">
        <v>395</v>
      </c>
      <c r="I384" s="25">
        <v>1</v>
      </c>
      <c r="J384" s="25" t="str">
        <f>VLOOKUP(C384,'시스템이펙트 참고자료'!$A:$C,3,FALSE)</f>
        <v>절대값/상대값(%) 가능</v>
      </c>
      <c r="K384" s="25">
        <v>7</v>
      </c>
      <c r="M384" s="25">
        <v>11</v>
      </c>
      <c r="N384" s="25">
        <f t="shared" si="29"/>
        <v>57</v>
      </c>
      <c r="O384" s="25">
        <v>1</v>
      </c>
      <c r="P384" s="25">
        <v>1</v>
      </c>
      <c r="Q384" s="25">
        <v>1</v>
      </c>
      <c r="R384" s="25">
        <v>1</v>
      </c>
      <c r="T384" s="25">
        <v>1</v>
      </c>
      <c r="AA384" s="25">
        <f t="shared" si="30"/>
        <v>128</v>
      </c>
      <c r="AK384" s="25">
        <v>1</v>
      </c>
      <c r="AM384" s="25">
        <v>57</v>
      </c>
      <c r="AN384" s="25">
        <v>100</v>
      </c>
      <c r="AP384" s="25">
        <f t="shared" si="32"/>
        <v>2</v>
      </c>
      <c r="AQ384" s="25" t="str">
        <f>VLOOKUP(C384,'시스템이펙트 참고자료'!$A:$B,2,FALSE)</f>
        <v>ACTIVE_STR_UP</v>
      </c>
      <c r="AS384" s="25">
        <v>1</v>
      </c>
      <c r="BD384" s="25">
        <v>1</v>
      </c>
    </row>
    <row r="385" spans="1:56" hidden="1">
      <c r="A385" s="25">
        <v>380</v>
      </c>
      <c r="B385" s="25" t="str">
        <f>VLOOKUP(C385,'시스템이펙트 참고자료'!$A:$C,2,FALSE)</f>
        <v>ACTIVE_CON_UP</v>
      </c>
      <c r="C385" s="25">
        <v>611</v>
      </c>
      <c r="D385" s="25">
        <f>VLOOKUP(C385,'시스템이펙트 참고자료'!$A:$D,4,FALSE)</f>
        <v>0</v>
      </c>
      <c r="E385" s="25">
        <v>0</v>
      </c>
      <c r="F385" s="25">
        <v>0</v>
      </c>
      <c r="G385" s="25">
        <f t="shared" si="31"/>
        <v>3</v>
      </c>
      <c r="H385" s="25" t="s">
        <v>395</v>
      </c>
      <c r="I385" s="25">
        <v>1</v>
      </c>
      <c r="J385" s="25" t="str">
        <f>VLOOKUP(C385,'시스템이펙트 참고자료'!$A:$C,3,FALSE)</f>
        <v>절대값/상대값(%) 가능</v>
      </c>
      <c r="K385" s="25">
        <v>7</v>
      </c>
      <c r="M385" s="25">
        <v>11</v>
      </c>
      <c r="N385" s="25">
        <f t="shared" si="29"/>
        <v>48</v>
      </c>
      <c r="O385" s="25">
        <v>1</v>
      </c>
      <c r="P385" s="25">
        <v>1</v>
      </c>
      <c r="Q385" s="25">
        <v>1</v>
      </c>
      <c r="R385" s="25">
        <v>1</v>
      </c>
      <c r="T385" s="25">
        <v>1</v>
      </c>
      <c r="AA385" s="25">
        <f t="shared" si="30"/>
        <v>128</v>
      </c>
      <c r="AK385" s="25">
        <v>1</v>
      </c>
      <c r="AM385" s="25">
        <v>48</v>
      </c>
      <c r="AN385" s="25">
        <v>100</v>
      </c>
      <c r="AP385" s="25">
        <f t="shared" si="32"/>
        <v>3</v>
      </c>
      <c r="AQ385" s="25" t="str">
        <f>VLOOKUP(C385,'시스템이펙트 참고자료'!$A:$B,2,FALSE)</f>
        <v>ACTIVE_CON_UP</v>
      </c>
      <c r="AS385" s="25">
        <v>1</v>
      </c>
      <c r="BD385" s="25">
        <v>1</v>
      </c>
    </row>
    <row r="386" spans="1:56" hidden="1">
      <c r="A386" s="25">
        <v>381</v>
      </c>
      <c r="B386" s="25" t="str">
        <f>VLOOKUP(C386,'시스템이펙트 참고자료'!$A:$C,2,FALSE)</f>
        <v>ACTIVE_FOC_UP</v>
      </c>
      <c r="C386" s="25">
        <v>612</v>
      </c>
      <c r="D386" s="25">
        <f>VLOOKUP(C386,'시스템이펙트 참고자료'!$A:$D,4,FALSE)</f>
        <v>0</v>
      </c>
      <c r="E386" s="25">
        <v>0</v>
      </c>
      <c r="F386" s="25">
        <v>0</v>
      </c>
      <c r="G386" s="25">
        <f t="shared" si="31"/>
        <v>2</v>
      </c>
      <c r="H386" s="25" t="s">
        <v>395</v>
      </c>
      <c r="I386" s="25">
        <v>1</v>
      </c>
      <c r="J386" s="25" t="str">
        <f>VLOOKUP(C386,'시스템이펙트 참고자료'!$A:$C,3,FALSE)</f>
        <v>절대값/상대값(%) 가능</v>
      </c>
      <c r="K386" s="25">
        <v>7</v>
      </c>
      <c r="M386" s="25">
        <v>11</v>
      </c>
      <c r="N386" s="25">
        <f t="shared" si="29"/>
        <v>53</v>
      </c>
      <c r="O386" s="25">
        <v>1</v>
      </c>
      <c r="P386" s="25">
        <v>1</v>
      </c>
      <c r="Q386" s="25">
        <v>1</v>
      </c>
      <c r="R386" s="25">
        <v>1</v>
      </c>
      <c r="T386" s="25">
        <v>1</v>
      </c>
      <c r="AA386" s="25">
        <f t="shared" si="30"/>
        <v>128</v>
      </c>
      <c r="AK386" s="25">
        <v>1</v>
      </c>
      <c r="AM386" s="25">
        <v>53</v>
      </c>
      <c r="AN386" s="25">
        <v>100</v>
      </c>
      <c r="AP386" s="25">
        <f t="shared" si="32"/>
        <v>2</v>
      </c>
      <c r="AQ386" s="25" t="str">
        <f>VLOOKUP(C386,'시스템이펙트 참고자료'!$A:$B,2,FALSE)</f>
        <v>ACTIVE_FOC_UP</v>
      </c>
      <c r="AS386" s="25">
        <v>1</v>
      </c>
      <c r="BD386" s="25">
        <v>1</v>
      </c>
    </row>
    <row r="387" spans="1:56" hidden="1">
      <c r="A387" s="25">
        <v>382</v>
      </c>
      <c r="B387" s="25" t="str">
        <f>VLOOKUP(C387,'시스템이펙트 참고자료'!$A:$C,2,FALSE)</f>
        <v>ACTIVE_DEX_UP</v>
      </c>
      <c r="C387" s="25">
        <v>613</v>
      </c>
      <c r="D387" s="25">
        <f>VLOOKUP(C387,'시스템이펙트 참고자료'!$A:$D,4,FALSE)</f>
        <v>0</v>
      </c>
      <c r="E387" s="25">
        <v>0</v>
      </c>
      <c r="F387" s="25">
        <v>0</v>
      </c>
      <c r="G387" s="25">
        <f t="shared" si="31"/>
        <v>3</v>
      </c>
      <c r="H387" s="25" t="s">
        <v>395</v>
      </c>
      <c r="I387" s="25">
        <v>1</v>
      </c>
      <c r="J387" s="25" t="str">
        <f>VLOOKUP(C387,'시스템이펙트 참고자료'!$A:$C,3,FALSE)</f>
        <v>절대값/상대값(%) 가능</v>
      </c>
      <c r="K387" s="25">
        <v>7</v>
      </c>
      <c r="M387" s="25">
        <v>11</v>
      </c>
      <c r="N387" s="25">
        <f t="shared" si="29"/>
        <v>44</v>
      </c>
      <c r="O387" s="25">
        <v>1</v>
      </c>
      <c r="P387" s="25">
        <v>1</v>
      </c>
      <c r="Q387" s="25">
        <v>1</v>
      </c>
      <c r="R387" s="25">
        <v>1</v>
      </c>
      <c r="T387" s="25">
        <v>1</v>
      </c>
      <c r="AA387" s="25">
        <f t="shared" si="30"/>
        <v>128</v>
      </c>
      <c r="AK387" s="25">
        <v>1</v>
      </c>
      <c r="AM387" s="25">
        <v>44</v>
      </c>
      <c r="AN387" s="25">
        <v>100</v>
      </c>
      <c r="AP387" s="25">
        <f t="shared" si="32"/>
        <v>3</v>
      </c>
      <c r="AQ387" s="25" t="str">
        <f>VLOOKUP(C387,'시스템이펙트 참고자료'!$A:$B,2,FALSE)</f>
        <v>ACTIVE_DEX_UP</v>
      </c>
      <c r="AS387" s="25">
        <v>1</v>
      </c>
      <c r="BD387" s="25">
        <v>1</v>
      </c>
    </row>
    <row r="388" spans="1:56" hidden="1">
      <c r="A388" s="25">
        <v>383</v>
      </c>
      <c r="B388" s="25" t="str">
        <f>VLOOKUP(C388,'시스템이펙트 참고자료'!$A:$C,2,FALSE)</f>
        <v>ACTIVE_SOL_UP</v>
      </c>
      <c r="C388" s="25">
        <v>614</v>
      </c>
      <c r="D388" s="25">
        <f>VLOOKUP(C388,'시스템이펙트 참고자료'!$A:$D,4,FALSE)</f>
        <v>0</v>
      </c>
      <c r="E388" s="25">
        <v>0</v>
      </c>
      <c r="F388" s="25">
        <v>0</v>
      </c>
      <c r="G388" s="25">
        <f t="shared" si="31"/>
        <v>2</v>
      </c>
      <c r="H388" s="25" t="s">
        <v>395</v>
      </c>
      <c r="I388" s="25">
        <v>1</v>
      </c>
      <c r="J388" s="25" t="str">
        <f>VLOOKUP(C388,'시스템이펙트 참고자료'!$A:$C,3,FALSE)</f>
        <v>절대값/상대값(%) 가능</v>
      </c>
      <c r="K388" s="25">
        <v>7</v>
      </c>
      <c r="M388" s="25">
        <v>11</v>
      </c>
      <c r="N388" s="25">
        <f t="shared" si="29"/>
        <v>53</v>
      </c>
      <c r="O388" s="25">
        <v>1</v>
      </c>
      <c r="P388" s="25">
        <v>1</v>
      </c>
      <c r="Q388" s="25">
        <v>1</v>
      </c>
      <c r="R388" s="25">
        <v>1</v>
      </c>
      <c r="T388" s="25">
        <v>1</v>
      </c>
      <c r="AA388" s="25">
        <f t="shared" si="30"/>
        <v>128</v>
      </c>
      <c r="AK388" s="25">
        <v>1</v>
      </c>
      <c r="AM388" s="25">
        <v>53</v>
      </c>
      <c r="AN388" s="25">
        <v>100</v>
      </c>
      <c r="AP388" s="25">
        <f t="shared" si="32"/>
        <v>2</v>
      </c>
      <c r="AQ388" s="25" t="str">
        <f>VLOOKUP(C388,'시스템이펙트 참고자료'!$A:$B,2,FALSE)</f>
        <v>ACTIVE_SOL_UP</v>
      </c>
      <c r="AS388" s="25">
        <v>1</v>
      </c>
      <c r="BD388" s="25">
        <v>1</v>
      </c>
    </row>
    <row r="389" spans="1:56" hidden="1">
      <c r="A389" s="25">
        <v>384</v>
      </c>
      <c r="B389" s="25" t="str">
        <f>VLOOKUP(C389,'시스템이펙트 참고자료'!$A:$C,2,FALSE)</f>
        <v>ACTIVE_ENG_UP</v>
      </c>
      <c r="C389" s="25">
        <v>615</v>
      </c>
      <c r="D389" s="25">
        <f>VLOOKUP(C389,'시스템이펙트 참고자료'!$A:$D,4,FALSE)</f>
        <v>0</v>
      </c>
      <c r="E389" s="25">
        <v>0</v>
      </c>
      <c r="F389" s="25">
        <v>0</v>
      </c>
      <c r="G389" s="25">
        <f t="shared" si="31"/>
        <v>2</v>
      </c>
      <c r="H389" s="25" t="s">
        <v>395</v>
      </c>
      <c r="I389" s="25">
        <v>1</v>
      </c>
      <c r="J389" s="25" t="str">
        <f>VLOOKUP(C389,'시스템이펙트 참고자료'!$A:$C,3,FALSE)</f>
        <v>절대값/상대값(%) 가능</v>
      </c>
      <c r="K389" s="25">
        <v>7</v>
      </c>
      <c r="M389" s="25">
        <v>11</v>
      </c>
      <c r="N389" s="25">
        <f t="shared" si="29"/>
        <v>62</v>
      </c>
      <c r="O389" s="25">
        <v>1</v>
      </c>
      <c r="P389" s="25">
        <v>1</v>
      </c>
      <c r="Q389" s="25">
        <v>1</v>
      </c>
      <c r="R389" s="25">
        <v>1</v>
      </c>
      <c r="T389" s="25">
        <v>1</v>
      </c>
      <c r="AA389" s="25">
        <f t="shared" si="30"/>
        <v>128</v>
      </c>
      <c r="AK389" s="25">
        <v>1</v>
      </c>
      <c r="AM389" s="25">
        <v>62</v>
      </c>
      <c r="AN389" s="25">
        <v>100</v>
      </c>
      <c r="AP389" s="25">
        <f t="shared" si="32"/>
        <v>2</v>
      </c>
      <c r="AQ389" s="25" t="str">
        <f>VLOOKUP(C389,'시스템이펙트 참고자료'!$A:$B,2,FALSE)</f>
        <v>ACTIVE_ENG_UP</v>
      </c>
      <c r="AS389" s="25">
        <v>1</v>
      </c>
      <c r="BD389" s="25">
        <v>1</v>
      </c>
    </row>
    <row r="390" spans="1:56" hidden="1">
      <c r="A390" s="25">
        <v>385</v>
      </c>
      <c r="B390" s="25" t="str">
        <f>VLOOKUP(C390,'시스템이펙트 참고자료'!$A:$C,2,FALSE)</f>
        <v>ACTIVE_PHYSICAL_DEFENCE_UP</v>
      </c>
      <c r="C390" s="25">
        <v>608</v>
      </c>
      <c r="D390" s="25">
        <f>VLOOKUP(C390,'시스템이펙트 참고자료'!$A:$D,4,FALSE)</f>
        <v>0</v>
      </c>
      <c r="E390" s="25">
        <v>0</v>
      </c>
      <c r="F390" s="25">
        <v>0</v>
      </c>
      <c r="G390" s="25">
        <f t="shared" si="31"/>
        <v>1</v>
      </c>
      <c r="H390" s="25" t="s">
        <v>395</v>
      </c>
      <c r="I390" s="25">
        <v>1</v>
      </c>
      <c r="J390" s="25" t="str">
        <f>VLOOKUP(C390,'시스템이펙트 참고자료'!$A:$C,3,FALSE)</f>
        <v>절대값/상대값(%) 가능</v>
      </c>
      <c r="K390" s="25">
        <v>7</v>
      </c>
      <c r="M390" s="25">
        <v>12</v>
      </c>
      <c r="N390" s="25">
        <f t="shared" si="29"/>
        <v>1350</v>
      </c>
      <c r="O390" s="25">
        <v>1</v>
      </c>
      <c r="P390" s="25">
        <v>1</v>
      </c>
      <c r="Q390" s="25">
        <v>1</v>
      </c>
      <c r="R390" s="25">
        <v>1</v>
      </c>
      <c r="T390" s="25">
        <v>1</v>
      </c>
      <c r="AA390" s="25">
        <f t="shared" si="30"/>
        <v>128</v>
      </c>
      <c r="AK390" s="25">
        <v>1</v>
      </c>
      <c r="AM390" s="25">
        <v>1350</v>
      </c>
      <c r="AN390" s="25">
        <v>100</v>
      </c>
      <c r="AP390" s="25">
        <f t="shared" si="32"/>
        <v>1</v>
      </c>
      <c r="AQ390" s="25" t="str">
        <f>VLOOKUP(C390,'시스템이펙트 참고자료'!$A:$B,2,FALSE)</f>
        <v>ACTIVE_PHYSICAL_DEFENCE_UP</v>
      </c>
      <c r="AS390" s="25">
        <v>1</v>
      </c>
      <c r="BD390" s="25">
        <v>1</v>
      </c>
    </row>
    <row r="391" spans="1:56" hidden="1">
      <c r="A391" s="25">
        <v>386</v>
      </c>
      <c r="B391" s="25" t="str">
        <f>VLOOKUP(C391,'시스템이펙트 참고자료'!$A:$C,2,FALSE)</f>
        <v>ACTIVE_BLOCK_RATE_UP</v>
      </c>
      <c r="C391" s="25">
        <v>620</v>
      </c>
      <c r="D391" s="25">
        <f>VLOOKUP(C391,'시스템이펙트 참고자료'!$A:$D,4,FALSE)</f>
        <v>0</v>
      </c>
      <c r="E391" s="25">
        <v>0</v>
      </c>
      <c r="F391" s="25">
        <v>0</v>
      </c>
      <c r="G391" s="25">
        <f t="shared" si="31"/>
        <v>1</v>
      </c>
      <c r="H391" s="25" t="s">
        <v>395</v>
      </c>
      <c r="I391" s="25">
        <v>1</v>
      </c>
      <c r="J391" s="25" t="str">
        <f>VLOOKUP(C391,'시스템이펙트 참고자료'!$A:$C,3,FALSE)</f>
        <v>절대값/상대값(%) 가능</v>
      </c>
      <c r="K391" s="25">
        <v>7</v>
      </c>
      <c r="M391" s="25">
        <v>12</v>
      </c>
      <c r="N391" s="25">
        <f t="shared" ref="N391:N454" si="33">IF(BD391&gt;0,INT(AM391/AK391),0)</f>
        <v>352</v>
      </c>
      <c r="O391" s="25">
        <v>1</v>
      </c>
      <c r="P391" s="25">
        <v>1</v>
      </c>
      <c r="Q391" s="25">
        <v>1</v>
      </c>
      <c r="R391" s="25">
        <v>1</v>
      </c>
      <c r="T391" s="25">
        <v>1</v>
      </c>
      <c r="AA391" s="25">
        <f t="shared" si="30"/>
        <v>128</v>
      </c>
      <c r="AK391" s="25">
        <v>1</v>
      </c>
      <c r="AM391" s="25">
        <v>352</v>
      </c>
      <c r="AN391" s="25">
        <v>100</v>
      </c>
      <c r="AP391" s="25">
        <f t="shared" si="32"/>
        <v>1</v>
      </c>
      <c r="AQ391" s="25" t="str">
        <f>VLOOKUP(C391,'시스템이펙트 참고자료'!$A:$B,2,FALSE)</f>
        <v>ACTIVE_BLOCK_RATE_UP</v>
      </c>
      <c r="AS391" s="25">
        <v>1</v>
      </c>
      <c r="BD391" s="25">
        <v>1</v>
      </c>
    </row>
    <row r="392" spans="1:56" hidden="1">
      <c r="A392" s="25">
        <v>387</v>
      </c>
      <c r="B392" s="25" t="str">
        <f>VLOOKUP(C392,'시스템이펙트 참고자료'!$A:$C,2,FALSE)</f>
        <v>ACTIVE_CON_UP</v>
      </c>
      <c r="C392" s="25">
        <v>611</v>
      </c>
      <c r="D392" s="25">
        <f>VLOOKUP(C392,'시스템이펙트 참고자료'!$A:$D,4,FALSE)</f>
        <v>0</v>
      </c>
      <c r="E392" s="25">
        <v>0</v>
      </c>
      <c r="F392" s="25">
        <v>0</v>
      </c>
      <c r="G392" s="25">
        <f t="shared" si="31"/>
        <v>3</v>
      </c>
      <c r="H392" s="25" t="s">
        <v>395</v>
      </c>
      <c r="I392" s="25">
        <v>1</v>
      </c>
      <c r="J392" s="25" t="str">
        <f>VLOOKUP(C392,'시스템이펙트 참고자료'!$A:$C,3,FALSE)</f>
        <v>절대값/상대값(%) 가능</v>
      </c>
      <c r="K392" s="25">
        <v>7</v>
      </c>
      <c r="M392" s="25">
        <v>12</v>
      </c>
      <c r="N392" s="25">
        <f t="shared" si="33"/>
        <v>48</v>
      </c>
      <c r="O392" s="25">
        <v>1</v>
      </c>
      <c r="P392" s="25">
        <v>1</v>
      </c>
      <c r="Q392" s="25">
        <v>1</v>
      </c>
      <c r="R392" s="25">
        <v>1</v>
      </c>
      <c r="T392" s="25">
        <v>1</v>
      </c>
      <c r="AA392" s="25">
        <f t="shared" si="30"/>
        <v>128</v>
      </c>
      <c r="AK392" s="25">
        <v>1</v>
      </c>
      <c r="AM392" s="25">
        <v>48</v>
      </c>
      <c r="AN392" s="25">
        <v>100</v>
      </c>
      <c r="AP392" s="25">
        <f t="shared" si="32"/>
        <v>3</v>
      </c>
      <c r="AQ392" s="25" t="str">
        <f>VLOOKUP(C392,'시스템이펙트 참고자료'!$A:$B,2,FALSE)</f>
        <v>ACTIVE_CON_UP</v>
      </c>
      <c r="AS392" s="25">
        <v>1</v>
      </c>
      <c r="BD392" s="25">
        <v>1</v>
      </c>
    </row>
    <row r="393" spans="1:56" hidden="1">
      <c r="A393" s="25">
        <v>388</v>
      </c>
      <c r="B393" s="25" t="str">
        <f>VLOOKUP(C393,'시스템이펙트 참고자료'!$A:$C,2,FALSE)</f>
        <v>ACTIVE_FOC_UP</v>
      </c>
      <c r="C393" s="25">
        <v>612</v>
      </c>
      <c r="D393" s="25">
        <f>VLOOKUP(C393,'시스템이펙트 참고자료'!$A:$D,4,FALSE)</f>
        <v>0</v>
      </c>
      <c r="E393" s="25">
        <v>0</v>
      </c>
      <c r="F393" s="25">
        <v>0</v>
      </c>
      <c r="G393" s="25">
        <f t="shared" si="31"/>
        <v>2</v>
      </c>
      <c r="H393" s="25" t="s">
        <v>395</v>
      </c>
      <c r="I393" s="25">
        <v>1</v>
      </c>
      <c r="J393" s="25" t="str">
        <f>VLOOKUP(C393,'시스템이펙트 참고자료'!$A:$C,3,FALSE)</f>
        <v>절대값/상대값(%) 가능</v>
      </c>
      <c r="K393" s="25">
        <v>7</v>
      </c>
      <c r="M393" s="25">
        <v>12</v>
      </c>
      <c r="N393" s="25">
        <f t="shared" si="33"/>
        <v>53</v>
      </c>
      <c r="O393" s="25">
        <v>1</v>
      </c>
      <c r="P393" s="25">
        <v>1</v>
      </c>
      <c r="Q393" s="25">
        <v>1</v>
      </c>
      <c r="R393" s="25">
        <v>1</v>
      </c>
      <c r="T393" s="25">
        <v>1</v>
      </c>
      <c r="AA393" s="25">
        <f t="shared" si="30"/>
        <v>128</v>
      </c>
      <c r="AK393" s="25">
        <v>1</v>
      </c>
      <c r="AM393" s="25">
        <v>53</v>
      </c>
      <c r="AN393" s="25">
        <v>100</v>
      </c>
      <c r="AP393" s="25">
        <f t="shared" si="32"/>
        <v>2</v>
      </c>
      <c r="AQ393" s="25" t="str">
        <f>VLOOKUP(C393,'시스템이펙트 참고자료'!$A:$B,2,FALSE)</f>
        <v>ACTIVE_FOC_UP</v>
      </c>
      <c r="AS393" s="25">
        <v>1</v>
      </c>
      <c r="BD393" s="25">
        <v>1</v>
      </c>
    </row>
    <row r="394" spans="1:56" hidden="1">
      <c r="A394" s="25">
        <v>389</v>
      </c>
      <c r="B394" s="25" t="str">
        <f>VLOOKUP(C394,'시스템이펙트 참고자료'!$A:$C,2,FALSE)</f>
        <v>ACTIVE_PHYSICAL_OFFENCE_UP</v>
      </c>
      <c r="C394" s="25">
        <v>606</v>
      </c>
      <c r="D394" s="25">
        <f>VLOOKUP(C394,'시스템이펙트 참고자료'!$A:$D,4,FALSE)</f>
        <v>0</v>
      </c>
      <c r="E394" s="25">
        <v>0</v>
      </c>
      <c r="F394" s="25">
        <v>0</v>
      </c>
      <c r="G394" s="25">
        <f t="shared" ref="G394:G447" si="34">IF(N394&gt;0,INT(100/N394+0.99),0)</f>
        <v>1</v>
      </c>
      <c r="H394" s="25" t="s">
        <v>395</v>
      </c>
      <c r="I394" s="25">
        <v>1</v>
      </c>
      <c r="J394" s="25" t="str">
        <f>VLOOKUP(C394,'시스템이펙트 참고자료'!$A:$C,3,FALSE)</f>
        <v>절대값/상대값(%) 가능</v>
      </c>
      <c r="K394" s="25">
        <v>8</v>
      </c>
      <c r="M394" s="25">
        <v>1</v>
      </c>
      <c r="N394" s="25">
        <f t="shared" si="33"/>
        <v>125</v>
      </c>
      <c r="O394" s="25">
        <v>1</v>
      </c>
      <c r="P394" s="25">
        <v>1</v>
      </c>
      <c r="Q394" s="25">
        <v>1</v>
      </c>
      <c r="R394" s="25">
        <v>1</v>
      </c>
      <c r="T394" s="25">
        <v>1</v>
      </c>
      <c r="AA394" s="25">
        <f t="shared" si="30"/>
        <v>128</v>
      </c>
      <c r="AK394" s="25">
        <v>1</v>
      </c>
      <c r="AM394" s="25">
        <v>125</v>
      </c>
      <c r="AN394" s="25">
        <v>100</v>
      </c>
      <c r="AP394" s="25">
        <f t="shared" ref="AP394:AP447" si="35">INT(100/N394+0.99)</f>
        <v>1</v>
      </c>
      <c r="AQ394" s="25" t="str">
        <f>VLOOKUP(C394,'시스템이펙트 참고자료'!$A:$B,2,FALSE)</f>
        <v>ACTIVE_PHYSICAL_OFFENCE_UP</v>
      </c>
      <c r="AS394" s="25">
        <v>1</v>
      </c>
      <c r="BD394" s="25">
        <v>1</v>
      </c>
    </row>
    <row r="395" spans="1:56" hidden="1">
      <c r="A395" s="25">
        <v>390</v>
      </c>
      <c r="B395" s="25" t="str">
        <f>VLOOKUP(C395,'시스템이펙트 참고자료'!$A:$C,2,FALSE)</f>
        <v>ACTIVE_STR_UP</v>
      </c>
      <c r="C395" s="25">
        <v>610</v>
      </c>
      <c r="D395" s="25">
        <f>VLOOKUP(C395,'시스템이펙트 참고자료'!$A:$D,4,FALSE)</f>
        <v>0</v>
      </c>
      <c r="E395" s="25">
        <v>0</v>
      </c>
      <c r="F395" s="25">
        <v>0</v>
      </c>
      <c r="G395" s="25">
        <f t="shared" si="34"/>
        <v>2</v>
      </c>
      <c r="H395" s="25" t="s">
        <v>395</v>
      </c>
      <c r="I395" s="25">
        <v>1</v>
      </c>
      <c r="J395" s="25" t="str">
        <f>VLOOKUP(C395,'시스템이펙트 참고자료'!$A:$C,3,FALSE)</f>
        <v>절대값/상대값(%) 가능</v>
      </c>
      <c r="K395" s="25">
        <v>8</v>
      </c>
      <c r="M395" s="25">
        <v>1</v>
      </c>
      <c r="N395" s="25">
        <f t="shared" si="33"/>
        <v>57</v>
      </c>
      <c r="O395" s="25">
        <v>1</v>
      </c>
      <c r="P395" s="25">
        <v>1</v>
      </c>
      <c r="Q395" s="25">
        <v>1</v>
      </c>
      <c r="R395" s="25">
        <v>1</v>
      </c>
      <c r="T395" s="25">
        <v>1</v>
      </c>
      <c r="AA395" s="25">
        <f t="shared" si="30"/>
        <v>128</v>
      </c>
      <c r="AK395" s="25">
        <v>1</v>
      </c>
      <c r="AM395" s="25">
        <v>57</v>
      </c>
      <c r="AN395" s="25">
        <v>100</v>
      </c>
      <c r="AP395" s="25">
        <f t="shared" si="35"/>
        <v>2</v>
      </c>
      <c r="AQ395" s="25" t="str">
        <f>VLOOKUP(C395,'시스템이펙트 참고자료'!$A:$B,2,FALSE)</f>
        <v>ACTIVE_STR_UP</v>
      </c>
      <c r="AS395" s="25">
        <v>1</v>
      </c>
      <c r="BD395" s="25">
        <v>1</v>
      </c>
    </row>
    <row r="396" spans="1:56" hidden="1">
      <c r="A396" s="25">
        <v>391</v>
      </c>
      <c r="B396" s="25" t="str">
        <f>VLOOKUP(C396,'시스템이펙트 참고자료'!$A:$C,2,FALSE)</f>
        <v>ACTIVE_DEX_UP</v>
      </c>
      <c r="C396" s="25">
        <v>613</v>
      </c>
      <c r="D396" s="25">
        <f>VLOOKUP(C396,'시스템이펙트 참고자료'!$A:$D,4,FALSE)</f>
        <v>0</v>
      </c>
      <c r="E396" s="25">
        <v>0</v>
      </c>
      <c r="F396" s="25">
        <v>0</v>
      </c>
      <c r="G396" s="25">
        <f t="shared" si="34"/>
        <v>3</v>
      </c>
      <c r="H396" s="25" t="s">
        <v>395</v>
      </c>
      <c r="I396" s="25">
        <v>1</v>
      </c>
      <c r="J396" s="25" t="str">
        <f>VLOOKUP(C396,'시스템이펙트 참고자료'!$A:$C,3,FALSE)</f>
        <v>절대값/상대값(%) 가능</v>
      </c>
      <c r="K396" s="25">
        <v>8</v>
      </c>
      <c r="M396" s="25">
        <v>1</v>
      </c>
      <c r="N396" s="25">
        <f t="shared" si="33"/>
        <v>44</v>
      </c>
      <c r="O396" s="25">
        <v>1</v>
      </c>
      <c r="P396" s="25">
        <v>1</v>
      </c>
      <c r="Q396" s="25">
        <v>1</v>
      </c>
      <c r="R396" s="25">
        <v>1</v>
      </c>
      <c r="T396" s="25">
        <v>1</v>
      </c>
      <c r="AA396" s="25">
        <f t="shared" si="30"/>
        <v>128</v>
      </c>
      <c r="AK396" s="25">
        <v>1</v>
      </c>
      <c r="AM396" s="25">
        <v>44</v>
      </c>
      <c r="AN396" s="25">
        <v>100</v>
      </c>
      <c r="AP396" s="25">
        <f t="shared" si="35"/>
        <v>3</v>
      </c>
      <c r="AQ396" s="25" t="str">
        <f>VLOOKUP(C396,'시스템이펙트 참고자료'!$A:$B,2,FALSE)</f>
        <v>ACTIVE_DEX_UP</v>
      </c>
      <c r="AS396" s="25">
        <v>1</v>
      </c>
      <c r="BD396" s="25">
        <v>1</v>
      </c>
    </row>
    <row r="397" spans="1:56" hidden="1">
      <c r="A397" s="25">
        <v>392</v>
      </c>
      <c r="B397" s="25" t="str">
        <f>VLOOKUP(C397,'시스템이펙트 참고자료'!$A:$C,2,FALSE)</f>
        <v>ACTIVE_PHYSICAL_CRITICAL_DAMAGE_UP</v>
      </c>
      <c r="C397" s="25">
        <v>658</v>
      </c>
      <c r="D397" s="25">
        <f>VLOOKUP(C397,'시스템이펙트 참고자료'!$A:$D,4,FALSE)</f>
        <v>0</v>
      </c>
      <c r="E397" s="25">
        <v>0</v>
      </c>
      <c r="F397" s="25">
        <v>0</v>
      </c>
      <c r="G397" s="25">
        <f t="shared" si="34"/>
        <v>4</v>
      </c>
      <c r="H397" s="25" t="s">
        <v>395</v>
      </c>
      <c r="I397" s="25">
        <v>1</v>
      </c>
      <c r="J397" s="25" t="str">
        <f>VLOOKUP(C397,'시스템이펙트 참고자료'!$A:$C,3,FALSE)</f>
        <v>절대값만 가능</v>
      </c>
      <c r="K397" s="25">
        <v>8</v>
      </c>
      <c r="M397" s="25">
        <v>1</v>
      </c>
      <c r="N397" s="25">
        <f t="shared" si="33"/>
        <v>28</v>
      </c>
      <c r="O397" s="25">
        <v>1</v>
      </c>
      <c r="P397" s="25">
        <v>1</v>
      </c>
      <c r="Q397" s="25">
        <v>1</v>
      </c>
      <c r="R397" s="25">
        <v>1</v>
      </c>
      <c r="T397" s="25">
        <v>1</v>
      </c>
      <c r="AA397" s="25">
        <f t="shared" si="30"/>
        <v>128</v>
      </c>
      <c r="AK397" s="25">
        <v>1</v>
      </c>
      <c r="AM397" s="25">
        <v>28</v>
      </c>
      <c r="AN397" s="25">
        <v>100</v>
      </c>
      <c r="AP397" s="25">
        <f t="shared" si="35"/>
        <v>4</v>
      </c>
      <c r="AQ397" s="25" t="str">
        <f>VLOOKUP(C397,'시스템이펙트 참고자료'!$A:$B,2,FALSE)</f>
        <v>ACTIVE_PHYSICAL_CRITICAL_DAMAGE_UP</v>
      </c>
      <c r="AS397" s="25">
        <v>1</v>
      </c>
      <c r="BD397" s="25">
        <v>1</v>
      </c>
    </row>
    <row r="398" spans="1:56" hidden="1">
      <c r="A398" s="25">
        <v>393</v>
      </c>
      <c r="B398" s="25" t="str">
        <f>VLOOKUP(C398,'시스템이펙트 참고자료'!$A:$C,2,FALSE)</f>
        <v>ACTIVE_PHYSICAL_CRITICAL_DAMAGE_UP</v>
      </c>
      <c r="C398" s="25">
        <v>658</v>
      </c>
      <c r="D398" s="25">
        <f>VLOOKUP(C398,'시스템이펙트 참고자료'!$A:$D,4,FALSE)</f>
        <v>0</v>
      </c>
      <c r="E398" s="25">
        <v>0</v>
      </c>
      <c r="F398" s="25">
        <v>0</v>
      </c>
      <c r="G398" s="25">
        <f t="shared" si="34"/>
        <v>4</v>
      </c>
      <c r="H398" s="25" t="s">
        <v>395</v>
      </c>
      <c r="I398" s="25">
        <v>1</v>
      </c>
      <c r="J398" s="25" t="str">
        <f>VLOOKUP(C398,'시스템이펙트 참고자료'!$A:$C,3,FALSE)</f>
        <v>절대값만 가능</v>
      </c>
      <c r="K398" s="25">
        <v>8</v>
      </c>
      <c r="M398" s="25">
        <v>2</v>
      </c>
      <c r="N398" s="25">
        <f t="shared" si="33"/>
        <v>28</v>
      </c>
      <c r="O398" s="25">
        <v>1</v>
      </c>
      <c r="P398" s="25">
        <v>1</v>
      </c>
      <c r="Q398" s="25">
        <v>1</v>
      </c>
      <c r="R398" s="25">
        <v>1</v>
      </c>
      <c r="T398" s="25">
        <v>1</v>
      </c>
      <c r="AA398" s="25">
        <f t="shared" si="30"/>
        <v>128</v>
      </c>
      <c r="AK398" s="25">
        <v>1</v>
      </c>
      <c r="AM398" s="25">
        <v>28</v>
      </c>
      <c r="AN398" s="25">
        <v>100</v>
      </c>
      <c r="AP398" s="25">
        <f t="shared" si="35"/>
        <v>4</v>
      </c>
      <c r="AQ398" s="25" t="str">
        <f>VLOOKUP(C398,'시스템이펙트 참고자료'!$A:$B,2,FALSE)</f>
        <v>ACTIVE_PHYSICAL_CRITICAL_DAMAGE_UP</v>
      </c>
      <c r="AS398" s="25">
        <v>1</v>
      </c>
      <c r="BD398" s="25">
        <v>1</v>
      </c>
    </row>
    <row r="399" spans="1:56" hidden="1">
      <c r="A399" s="25">
        <v>394</v>
      </c>
      <c r="B399" s="25" t="str">
        <f>VLOOKUP(C399,'시스템이펙트 참고자료'!$A:$C,2,FALSE)</f>
        <v>ACTIVE_PHYSICAL_CRITICAL</v>
      </c>
      <c r="C399" s="25">
        <v>632</v>
      </c>
      <c r="D399" s="25">
        <f>VLOOKUP(C399,'시스템이펙트 참고자료'!$A:$D,4,FALSE)</f>
        <v>0</v>
      </c>
      <c r="E399" s="25">
        <v>0</v>
      </c>
      <c r="F399" s="25">
        <v>0</v>
      </c>
      <c r="G399" s="25">
        <f t="shared" si="34"/>
        <v>5</v>
      </c>
      <c r="H399" s="25" t="s">
        <v>395</v>
      </c>
      <c r="I399" s="25">
        <v>1</v>
      </c>
      <c r="J399" s="25" t="str">
        <f>VLOOKUP(C399,'시스템이펙트 참고자료'!$A:$C,3,FALSE)</f>
        <v>절대값/상대값(%) 가능</v>
      </c>
      <c r="K399" s="25">
        <v>8</v>
      </c>
      <c r="M399" s="25">
        <v>2</v>
      </c>
      <c r="N399" s="25">
        <f t="shared" si="33"/>
        <v>21</v>
      </c>
      <c r="O399" s="25">
        <v>1</v>
      </c>
      <c r="P399" s="25">
        <v>1</v>
      </c>
      <c r="Q399" s="25">
        <v>1</v>
      </c>
      <c r="R399" s="25">
        <v>1</v>
      </c>
      <c r="T399" s="25">
        <v>1</v>
      </c>
      <c r="AA399" s="25">
        <f t="shared" si="30"/>
        <v>128</v>
      </c>
      <c r="AK399" s="25">
        <v>1</v>
      </c>
      <c r="AM399" s="25">
        <v>21</v>
      </c>
      <c r="AN399" s="25">
        <v>100</v>
      </c>
      <c r="AP399" s="25">
        <f t="shared" si="35"/>
        <v>5</v>
      </c>
      <c r="AQ399" s="25" t="str">
        <f>VLOOKUP(C399,'시스템이펙트 참고자료'!$A:$B,2,FALSE)</f>
        <v>ACTIVE_PHYSICAL_CRITICAL</v>
      </c>
      <c r="AS399" s="25">
        <v>1</v>
      </c>
      <c r="BD399" s="25">
        <v>1</v>
      </c>
    </row>
    <row r="400" spans="1:56" hidden="1">
      <c r="A400" s="25">
        <v>395</v>
      </c>
      <c r="B400" s="25" t="str">
        <f>VLOOKUP(C400,'시스템이펙트 참고자료'!$A:$C,2,FALSE)</f>
        <v>ACTIVE_DEX_UP</v>
      </c>
      <c r="C400" s="25">
        <v>613</v>
      </c>
      <c r="D400" s="25">
        <f>VLOOKUP(C400,'시스템이펙트 참고자료'!$A:$D,4,FALSE)</f>
        <v>0</v>
      </c>
      <c r="E400" s="25">
        <v>0</v>
      </c>
      <c r="F400" s="25">
        <v>0</v>
      </c>
      <c r="G400" s="25">
        <f t="shared" si="34"/>
        <v>3</v>
      </c>
      <c r="H400" s="25" t="s">
        <v>395</v>
      </c>
      <c r="I400" s="25">
        <v>1</v>
      </c>
      <c r="J400" s="25" t="str">
        <f>VLOOKUP(C400,'시스템이펙트 참고자료'!$A:$C,3,FALSE)</f>
        <v>절대값/상대값(%) 가능</v>
      </c>
      <c r="K400" s="25">
        <v>8</v>
      </c>
      <c r="M400" s="25">
        <v>2</v>
      </c>
      <c r="N400" s="25">
        <f t="shared" si="33"/>
        <v>44</v>
      </c>
      <c r="O400" s="25">
        <v>1</v>
      </c>
      <c r="P400" s="25">
        <v>1</v>
      </c>
      <c r="Q400" s="25">
        <v>1</v>
      </c>
      <c r="R400" s="25">
        <v>1</v>
      </c>
      <c r="T400" s="25">
        <v>1</v>
      </c>
      <c r="AA400" s="25">
        <f t="shared" si="30"/>
        <v>128</v>
      </c>
      <c r="AK400" s="25">
        <v>1</v>
      </c>
      <c r="AM400" s="25">
        <v>44</v>
      </c>
      <c r="AN400" s="25">
        <v>100</v>
      </c>
      <c r="AP400" s="25">
        <f t="shared" si="35"/>
        <v>3</v>
      </c>
      <c r="AQ400" s="25" t="str">
        <f>VLOOKUP(C400,'시스템이펙트 참고자료'!$A:$B,2,FALSE)</f>
        <v>ACTIVE_DEX_UP</v>
      </c>
      <c r="AS400" s="25">
        <v>1</v>
      </c>
      <c r="BD400" s="25">
        <v>1</v>
      </c>
    </row>
    <row r="401" spans="1:56" hidden="1">
      <c r="A401" s="25">
        <v>396</v>
      </c>
      <c r="B401" s="25" t="str">
        <f>VLOOKUP(C401,'시스템이펙트 참고자료'!$A:$C,2,FALSE)</f>
        <v>ACTIVE_FOC_UP</v>
      </c>
      <c r="C401" s="25">
        <v>612</v>
      </c>
      <c r="D401" s="25">
        <f>VLOOKUP(C401,'시스템이펙트 참고자료'!$A:$D,4,FALSE)</f>
        <v>0</v>
      </c>
      <c r="E401" s="25">
        <v>0</v>
      </c>
      <c r="F401" s="25">
        <v>0</v>
      </c>
      <c r="G401" s="25">
        <f t="shared" si="34"/>
        <v>2</v>
      </c>
      <c r="H401" s="25" t="s">
        <v>395</v>
      </c>
      <c r="I401" s="25">
        <v>1</v>
      </c>
      <c r="J401" s="25" t="str">
        <f>VLOOKUP(C401,'시스템이펙트 참고자료'!$A:$C,3,FALSE)</f>
        <v>절대값/상대값(%) 가능</v>
      </c>
      <c r="K401" s="25">
        <v>8</v>
      </c>
      <c r="M401" s="25">
        <v>2</v>
      </c>
      <c r="N401" s="25">
        <f t="shared" si="33"/>
        <v>53</v>
      </c>
      <c r="O401" s="25">
        <v>1</v>
      </c>
      <c r="P401" s="25">
        <v>1</v>
      </c>
      <c r="Q401" s="25">
        <v>1</v>
      </c>
      <c r="R401" s="25">
        <v>1</v>
      </c>
      <c r="T401" s="25">
        <v>1</v>
      </c>
      <c r="AA401" s="25">
        <f t="shared" si="30"/>
        <v>128</v>
      </c>
      <c r="AK401" s="25">
        <v>1</v>
      </c>
      <c r="AM401" s="25">
        <v>53</v>
      </c>
      <c r="AN401" s="25">
        <v>100</v>
      </c>
      <c r="AP401" s="25">
        <f t="shared" si="35"/>
        <v>2</v>
      </c>
      <c r="AQ401" s="25" t="str">
        <f>VLOOKUP(C401,'시스템이펙트 참고자료'!$A:$B,2,FALSE)</f>
        <v>ACTIVE_FOC_UP</v>
      </c>
      <c r="AS401" s="25">
        <v>1</v>
      </c>
      <c r="BD401" s="25">
        <v>1</v>
      </c>
    </row>
    <row r="402" spans="1:56" hidden="1">
      <c r="A402" s="25">
        <v>397</v>
      </c>
      <c r="B402" s="25" t="str">
        <f>VLOOKUP(C402,'시스템이펙트 참고자료'!$A:$C,2,FALSE)</f>
        <v>ACTIVE_ENERGY_OFFENCE_UP</v>
      </c>
      <c r="C402" s="25">
        <v>607</v>
      </c>
      <c r="D402" s="25">
        <f>VLOOKUP(C402,'시스템이펙트 참고자료'!$A:$D,4,FALSE)</f>
        <v>0</v>
      </c>
      <c r="E402" s="25">
        <v>0</v>
      </c>
      <c r="F402" s="25">
        <v>0</v>
      </c>
      <c r="G402" s="25">
        <f t="shared" si="34"/>
        <v>1</v>
      </c>
      <c r="H402" s="25" t="s">
        <v>395</v>
      </c>
      <c r="I402" s="25">
        <v>1</v>
      </c>
      <c r="J402" s="25" t="str">
        <f>VLOOKUP(C402,'시스템이펙트 참고자료'!$A:$C,3,FALSE)</f>
        <v>절대값/상대값(%) 가능</v>
      </c>
      <c r="K402" s="25">
        <v>8</v>
      </c>
      <c r="M402" s="25">
        <v>3</v>
      </c>
      <c r="N402" s="25">
        <f t="shared" si="33"/>
        <v>104</v>
      </c>
      <c r="O402" s="25">
        <v>1</v>
      </c>
      <c r="P402" s="25">
        <v>1</v>
      </c>
      <c r="Q402" s="25">
        <v>1</v>
      </c>
      <c r="R402" s="25">
        <v>1</v>
      </c>
      <c r="T402" s="25">
        <v>1</v>
      </c>
      <c r="AA402" s="25">
        <f t="shared" si="30"/>
        <v>128</v>
      </c>
      <c r="AK402" s="25">
        <v>1</v>
      </c>
      <c r="AM402" s="25">
        <v>104</v>
      </c>
      <c r="AN402" s="25">
        <v>100</v>
      </c>
      <c r="AP402" s="25">
        <f t="shared" si="35"/>
        <v>1</v>
      </c>
      <c r="AQ402" s="25" t="str">
        <f>VLOOKUP(C402,'시스템이펙트 참고자료'!$A:$B,2,FALSE)</f>
        <v>ACTIVE_ENERGY_OFFENCE_UP</v>
      </c>
      <c r="AS402" s="25">
        <v>1</v>
      </c>
      <c r="BD402" s="25">
        <v>1</v>
      </c>
    </row>
    <row r="403" spans="1:56" hidden="1">
      <c r="A403" s="25">
        <v>398</v>
      </c>
      <c r="B403" s="25" t="str">
        <f>VLOOKUP(C403,'시스템이펙트 참고자료'!$A:$C,2,FALSE)</f>
        <v>ACTIVE_FOC_UP</v>
      </c>
      <c r="C403" s="25">
        <v>612</v>
      </c>
      <c r="D403" s="25">
        <f>VLOOKUP(C403,'시스템이펙트 참고자료'!$A:$D,4,FALSE)</f>
        <v>0</v>
      </c>
      <c r="E403" s="25">
        <v>0</v>
      </c>
      <c r="F403" s="25">
        <v>0</v>
      </c>
      <c r="G403" s="25">
        <f t="shared" si="34"/>
        <v>2</v>
      </c>
      <c r="H403" s="25" t="s">
        <v>395</v>
      </c>
      <c r="I403" s="25">
        <v>1</v>
      </c>
      <c r="J403" s="25" t="str">
        <f>VLOOKUP(C403,'시스템이펙트 참고자료'!$A:$C,3,FALSE)</f>
        <v>절대값/상대값(%) 가능</v>
      </c>
      <c r="K403" s="25">
        <v>8</v>
      </c>
      <c r="M403" s="25">
        <v>3</v>
      </c>
      <c r="N403" s="25">
        <f t="shared" si="33"/>
        <v>53</v>
      </c>
      <c r="O403" s="25">
        <v>1</v>
      </c>
      <c r="P403" s="25">
        <v>1</v>
      </c>
      <c r="Q403" s="25">
        <v>1</v>
      </c>
      <c r="R403" s="25">
        <v>1</v>
      </c>
      <c r="T403" s="25">
        <v>1</v>
      </c>
      <c r="AA403" s="25">
        <f t="shared" ref="AA403:AA466" si="36">2^AA$1</f>
        <v>128</v>
      </c>
      <c r="AK403" s="25">
        <v>1</v>
      </c>
      <c r="AM403" s="25">
        <v>53</v>
      </c>
      <c r="AN403" s="25">
        <v>100</v>
      </c>
      <c r="AP403" s="25">
        <f t="shared" si="35"/>
        <v>2</v>
      </c>
      <c r="AQ403" s="25" t="str">
        <f>VLOOKUP(C403,'시스템이펙트 참고자료'!$A:$B,2,FALSE)</f>
        <v>ACTIVE_FOC_UP</v>
      </c>
      <c r="AS403" s="25">
        <v>1</v>
      </c>
      <c r="BD403" s="25">
        <v>1</v>
      </c>
    </row>
    <row r="404" spans="1:56" hidden="1">
      <c r="A404" s="25">
        <v>399</v>
      </c>
      <c r="B404" s="25" t="str">
        <f>VLOOKUP(C404,'시스템이펙트 참고자료'!$A:$C,2,FALSE)</f>
        <v>ACTIVE_SOL_UP</v>
      </c>
      <c r="C404" s="25">
        <v>614</v>
      </c>
      <c r="D404" s="25">
        <f>VLOOKUP(C404,'시스템이펙트 참고자료'!$A:$D,4,FALSE)</f>
        <v>0</v>
      </c>
      <c r="E404" s="25">
        <v>0</v>
      </c>
      <c r="F404" s="25">
        <v>0</v>
      </c>
      <c r="G404" s="25">
        <f t="shared" si="34"/>
        <v>2</v>
      </c>
      <c r="H404" s="25" t="s">
        <v>395</v>
      </c>
      <c r="I404" s="25">
        <v>1</v>
      </c>
      <c r="J404" s="25" t="str">
        <f>VLOOKUP(C404,'시스템이펙트 참고자료'!$A:$C,3,FALSE)</f>
        <v>절대값/상대값(%) 가능</v>
      </c>
      <c r="K404" s="25">
        <v>8</v>
      </c>
      <c r="M404" s="25">
        <v>3</v>
      </c>
      <c r="N404" s="25">
        <f t="shared" si="33"/>
        <v>53</v>
      </c>
      <c r="O404" s="25">
        <v>1</v>
      </c>
      <c r="P404" s="25">
        <v>1</v>
      </c>
      <c r="Q404" s="25">
        <v>1</v>
      </c>
      <c r="R404" s="25">
        <v>1</v>
      </c>
      <c r="T404" s="25">
        <v>1</v>
      </c>
      <c r="AA404" s="25">
        <f t="shared" si="36"/>
        <v>128</v>
      </c>
      <c r="AK404" s="25">
        <v>1</v>
      </c>
      <c r="AM404" s="25">
        <v>53</v>
      </c>
      <c r="AN404" s="25">
        <v>100</v>
      </c>
      <c r="AP404" s="25">
        <f t="shared" si="35"/>
        <v>2</v>
      </c>
      <c r="AQ404" s="25" t="str">
        <f>VLOOKUP(C404,'시스템이펙트 참고자료'!$A:$B,2,FALSE)</f>
        <v>ACTIVE_SOL_UP</v>
      </c>
      <c r="AS404" s="25">
        <v>1</v>
      </c>
      <c r="BD404" s="25">
        <v>1</v>
      </c>
    </row>
    <row r="405" spans="1:56" hidden="1">
      <c r="A405" s="25">
        <v>400</v>
      </c>
      <c r="B405" s="25" t="str">
        <f>VLOOKUP(C405,'시스템이펙트 참고자료'!$A:$C,2,FALSE)</f>
        <v>ACTIVE_ENERGY_CRITICAL_DAMAGE_UP</v>
      </c>
      <c r="C405" s="25">
        <v>659</v>
      </c>
      <c r="D405" s="25">
        <f>VLOOKUP(C405,'시스템이펙트 참고자료'!$A:$D,4,FALSE)</f>
        <v>0</v>
      </c>
      <c r="E405" s="25">
        <v>0</v>
      </c>
      <c r="F405" s="25">
        <v>0</v>
      </c>
      <c r="G405" s="25">
        <f t="shared" si="34"/>
        <v>4</v>
      </c>
      <c r="H405" s="25" t="s">
        <v>395</v>
      </c>
      <c r="I405" s="25">
        <v>1</v>
      </c>
      <c r="J405" s="25" t="str">
        <f>VLOOKUP(C405,'시스템이펙트 참고자료'!$A:$C,3,FALSE)</f>
        <v>절대값만 가능</v>
      </c>
      <c r="K405" s="25">
        <v>8</v>
      </c>
      <c r="M405" s="25">
        <v>3</v>
      </c>
      <c r="N405" s="25">
        <f t="shared" si="33"/>
        <v>32</v>
      </c>
      <c r="O405" s="25">
        <v>1</v>
      </c>
      <c r="P405" s="25">
        <v>1</v>
      </c>
      <c r="Q405" s="25">
        <v>1</v>
      </c>
      <c r="R405" s="25">
        <v>1</v>
      </c>
      <c r="T405" s="25">
        <v>1</v>
      </c>
      <c r="AA405" s="25">
        <f t="shared" si="36"/>
        <v>128</v>
      </c>
      <c r="AK405" s="25">
        <v>1</v>
      </c>
      <c r="AM405" s="25">
        <v>32</v>
      </c>
      <c r="AN405" s="25">
        <v>100</v>
      </c>
      <c r="AP405" s="25">
        <f t="shared" si="35"/>
        <v>4</v>
      </c>
      <c r="AQ405" s="25" t="str">
        <f>VLOOKUP(C405,'시스템이펙트 참고자료'!$A:$B,2,FALSE)</f>
        <v>ACTIVE_ENERGY_CRITICAL_DAMAGE_UP</v>
      </c>
      <c r="AS405" s="25">
        <v>1</v>
      </c>
      <c r="BD405" s="25">
        <v>1</v>
      </c>
    </row>
    <row r="406" spans="1:56" hidden="1">
      <c r="A406" s="25">
        <v>401</v>
      </c>
      <c r="B406" s="25" t="str">
        <f>VLOOKUP(C406,'시스템이펙트 참고자료'!$A:$C,2,FALSE)</f>
        <v>ACTIVE_ENERGY_CRITICAL</v>
      </c>
      <c r="C406" s="25">
        <v>633</v>
      </c>
      <c r="D406" s="25">
        <f>VLOOKUP(C406,'시스템이펙트 참고자료'!$A:$D,4,FALSE)</f>
        <v>0</v>
      </c>
      <c r="E406" s="25">
        <v>0</v>
      </c>
      <c r="F406" s="25">
        <v>0</v>
      </c>
      <c r="G406" s="25">
        <f t="shared" si="34"/>
        <v>5</v>
      </c>
      <c r="H406" s="25" t="s">
        <v>395</v>
      </c>
      <c r="I406" s="25">
        <v>1</v>
      </c>
      <c r="J406" s="25" t="str">
        <f>VLOOKUP(C406,'시스템이펙트 참고자료'!$A:$C,3,FALSE)</f>
        <v>절대값/상대값(%) 가능</v>
      </c>
      <c r="K406" s="25">
        <v>8</v>
      </c>
      <c r="M406" s="25">
        <v>4</v>
      </c>
      <c r="N406" s="25">
        <f t="shared" si="33"/>
        <v>24</v>
      </c>
      <c r="O406" s="25">
        <v>1</v>
      </c>
      <c r="P406" s="25">
        <v>1</v>
      </c>
      <c r="Q406" s="25">
        <v>1</v>
      </c>
      <c r="R406" s="25">
        <v>1</v>
      </c>
      <c r="T406" s="25">
        <v>1</v>
      </c>
      <c r="AA406" s="25">
        <f t="shared" si="36"/>
        <v>128</v>
      </c>
      <c r="AK406" s="25">
        <v>1</v>
      </c>
      <c r="AM406" s="25">
        <v>24</v>
      </c>
      <c r="AN406" s="25">
        <v>100</v>
      </c>
      <c r="AP406" s="25">
        <f t="shared" si="35"/>
        <v>5</v>
      </c>
      <c r="AQ406" s="25" t="str">
        <f>VLOOKUP(C406,'시스템이펙트 참고자료'!$A:$B,2,FALSE)</f>
        <v>ACTIVE_ENERGY_CRITICAL</v>
      </c>
      <c r="AS406" s="25">
        <v>1</v>
      </c>
      <c r="BD406" s="25">
        <v>1</v>
      </c>
    </row>
    <row r="407" spans="1:56" hidden="1">
      <c r="A407" s="25">
        <v>402</v>
      </c>
      <c r="B407" s="25" t="str">
        <f>VLOOKUP(C407,'시스템이펙트 참고자료'!$A:$C,2,FALSE)</f>
        <v>ACTIVE_ENERGY_CRITICAL_DAMAGE_UP</v>
      </c>
      <c r="C407" s="25">
        <v>659</v>
      </c>
      <c r="D407" s="25">
        <f>VLOOKUP(C407,'시스템이펙트 참고자료'!$A:$D,4,FALSE)</f>
        <v>0</v>
      </c>
      <c r="E407" s="25">
        <v>0</v>
      </c>
      <c r="F407" s="25">
        <v>0</v>
      </c>
      <c r="G407" s="25">
        <f t="shared" si="34"/>
        <v>4</v>
      </c>
      <c r="H407" s="25" t="s">
        <v>395</v>
      </c>
      <c r="I407" s="25">
        <v>1</v>
      </c>
      <c r="J407" s="25" t="str">
        <f>VLOOKUP(C407,'시스템이펙트 참고자료'!$A:$C,3,FALSE)</f>
        <v>절대값만 가능</v>
      </c>
      <c r="K407" s="25">
        <v>8</v>
      </c>
      <c r="M407" s="25">
        <v>4</v>
      </c>
      <c r="N407" s="25">
        <f t="shared" si="33"/>
        <v>32</v>
      </c>
      <c r="O407" s="25">
        <v>1</v>
      </c>
      <c r="P407" s="25">
        <v>1</v>
      </c>
      <c r="Q407" s="25">
        <v>1</v>
      </c>
      <c r="R407" s="25">
        <v>1</v>
      </c>
      <c r="T407" s="25">
        <v>1</v>
      </c>
      <c r="AA407" s="25">
        <f t="shared" si="36"/>
        <v>128</v>
      </c>
      <c r="AK407" s="25">
        <v>1</v>
      </c>
      <c r="AM407" s="25">
        <v>32</v>
      </c>
      <c r="AN407" s="25">
        <v>100</v>
      </c>
      <c r="AP407" s="25">
        <f t="shared" si="35"/>
        <v>4</v>
      </c>
      <c r="AQ407" s="25" t="str">
        <f>VLOOKUP(C407,'시스템이펙트 참고자료'!$A:$B,2,FALSE)</f>
        <v>ACTIVE_ENERGY_CRITICAL_DAMAGE_UP</v>
      </c>
      <c r="AS407" s="25">
        <v>1</v>
      </c>
      <c r="BD407" s="25">
        <v>1</v>
      </c>
    </row>
    <row r="408" spans="1:56" hidden="1">
      <c r="A408" s="25">
        <v>403</v>
      </c>
      <c r="B408" s="25" t="str">
        <f>VLOOKUP(C408,'시스템이펙트 참고자료'!$A:$C,2,FALSE)</f>
        <v>ACTIVE_FOC_UP</v>
      </c>
      <c r="C408" s="25">
        <v>612</v>
      </c>
      <c r="D408" s="25">
        <f>VLOOKUP(C408,'시스템이펙트 참고자료'!$A:$D,4,FALSE)</f>
        <v>0</v>
      </c>
      <c r="E408" s="25">
        <v>0</v>
      </c>
      <c r="F408" s="25">
        <v>0</v>
      </c>
      <c r="G408" s="25">
        <f t="shared" si="34"/>
        <v>2</v>
      </c>
      <c r="H408" s="25" t="s">
        <v>395</v>
      </c>
      <c r="I408" s="25">
        <v>1</v>
      </c>
      <c r="J408" s="25" t="str">
        <f>VLOOKUP(C408,'시스템이펙트 참고자료'!$A:$C,3,FALSE)</f>
        <v>절대값/상대값(%) 가능</v>
      </c>
      <c r="K408" s="25">
        <v>8</v>
      </c>
      <c r="M408" s="25">
        <v>4</v>
      </c>
      <c r="N408" s="25">
        <f t="shared" si="33"/>
        <v>53</v>
      </c>
      <c r="O408" s="25">
        <v>1</v>
      </c>
      <c r="P408" s="25">
        <v>1</v>
      </c>
      <c r="Q408" s="25">
        <v>1</v>
      </c>
      <c r="R408" s="25">
        <v>1</v>
      </c>
      <c r="T408" s="25">
        <v>1</v>
      </c>
      <c r="AA408" s="25">
        <f t="shared" si="36"/>
        <v>128</v>
      </c>
      <c r="AK408" s="25">
        <v>1</v>
      </c>
      <c r="AM408" s="25">
        <v>53</v>
      </c>
      <c r="AN408" s="25">
        <v>100</v>
      </c>
      <c r="AP408" s="25">
        <f t="shared" si="35"/>
        <v>2</v>
      </c>
      <c r="AQ408" s="25" t="str">
        <f>VLOOKUP(C408,'시스템이펙트 참고자료'!$A:$B,2,FALSE)</f>
        <v>ACTIVE_FOC_UP</v>
      </c>
      <c r="AS408" s="25">
        <v>1</v>
      </c>
      <c r="BD408" s="25">
        <v>1</v>
      </c>
    </row>
    <row r="409" spans="1:56" hidden="1">
      <c r="A409" s="25">
        <v>404</v>
      </c>
      <c r="B409" s="25" t="str">
        <f>VLOOKUP(C409,'시스템이펙트 참고자료'!$A:$C,2,FALSE)</f>
        <v>ACTIVE_DEX_UP</v>
      </c>
      <c r="C409" s="25">
        <v>613</v>
      </c>
      <c r="D409" s="25">
        <f>VLOOKUP(C409,'시스템이펙트 참고자료'!$A:$D,4,FALSE)</f>
        <v>0</v>
      </c>
      <c r="E409" s="25">
        <v>0</v>
      </c>
      <c r="F409" s="25">
        <v>0</v>
      </c>
      <c r="G409" s="25">
        <f t="shared" si="34"/>
        <v>3</v>
      </c>
      <c r="H409" s="25" t="s">
        <v>395</v>
      </c>
      <c r="I409" s="25">
        <v>1</v>
      </c>
      <c r="J409" s="25" t="str">
        <f>VLOOKUP(C409,'시스템이펙트 참고자료'!$A:$C,3,FALSE)</f>
        <v>절대값/상대값(%) 가능</v>
      </c>
      <c r="K409" s="25">
        <v>8</v>
      </c>
      <c r="M409" s="25">
        <v>4</v>
      </c>
      <c r="N409" s="25">
        <f t="shared" si="33"/>
        <v>44</v>
      </c>
      <c r="O409" s="25">
        <v>1</v>
      </c>
      <c r="P409" s="25">
        <v>1</v>
      </c>
      <c r="Q409" s="25">
        <v>1</v>
      </c>
      <c r="R409" s="25">
        <v>1</v>
      </c>
      <c r="T409" s="25">
        <v>1</v>
      </c>
      <c r="AA409" s="25">
        <f t="shared" si="36"/>
        <v>128</v>
      </c>
      <c r="AK409" s="25">
        <v>1</v>
      </c>
      <c r="AM409" s="25">
        <v>44</v>
      </c>
      <c r="AN409" s="25">
        <v>100</v>
      </c>
      <c r="AP409" s="25">
        <f t="shared" si="35"/>
        <v>3</v>
      </c>
      <c r="AQ409" s="25" t="str">
        <f>VLOOKUP(C409,'시스템이펙트 참고자료'!$A:$B,2,FALSE)</f>
        <v>ACTIVE_DEX_UP</v>
      </c>
      <c r="AS409" s="25">
        <v>1</v>
      </c>
      <c r="BD409" s="25">
        <v>1</v>
      </c>
    </row>
    <row r="410" spans="1:56" hidden="1">
      <c r="A410" s="25">
        <v>405</v>
      </c>
      <c r="B410" s="25" t="str">
        <f>VLOOKUP(C410,'시스템이펙트 참고자료'!$A:$C,2,FALSE)</f>
        <v>ACTIVE_ATTACK_SPEED_UP</v>
      </c>
      <c r="C410" s="25">
        <v>617</v>
      </c>
      <c r="D410" s="25">
        <f>VLOOKUP(C410,'시스템이펙트 참고자료'!$A:$D,4,FALSE)</f>
        <v>1</v>
      </c>
      <c r="E410" s="25">
        <v>0</v>
      </c>
      <c r="F410" s="25">
        <v>0</v>
      </c>
      <c r="G410" s="25">
        <f t="shared" si="34"/>
        <v>10</v>
      </c>
      <c r="H410" s="25" t="s">
        <v>395</v>
      </c>
      <c r="I410" s="25">
        <v>1</v>
      </c>
      <c r="J410" s="25" t="str">
        <f>VLOOKUP(C410,'시스템이펙트 참고자료'!$A:$C,3,FALSE)</f>
        <v>절대값/상대값(%) 가능</v>
      </c>
      <c r="K410" s="25">
        <v>8</v>
      </c>
      <c r="M410" s="25">
        <v>5</v>
      </c>
      <c r="N410" s="25">
        <f t="shared" si="33"/>
        <v>10</v>
      </c>
      <c r="O410" s="25">
        <v>1</v>
      </c>
      <c r="P410" s="25">
        <v>1</v>
      </c>
      <c r="Q410" s="25">
        <v>1</v>
      </c>
      <c r="R410" s="25">
        <v>1</v>
      </c>
      <c r="T410" s="25">
        <v>1</v>
      </c>
      <c r="AA410" s="25">
        <f t="shared" si="36"/>
        <v>128</v>
      </c>
      <c r="AK410" s="25">
        <v>1</v>
      </c>
      <c r="AM410" s="25">
        <v>10</v>
      </c>
      <c r="AN410" s="25">
        <v>100</v>
      </c>
      <c r="AP410" s="25">
        <f t="shared" si="35"/>
        <v>10</v>
      </c>
      <c r="AQ410" s="25" t="str">
        <f>VLOOKUP(C410,'시스템이펙트 참고자료'!$A:$B,2,FALSE)</f>
        <v>ACTIVE_ATTACK_SPEED_UP</v>
      </c>
      <c r="AS410" s="25">
        <v>1</v>
      </c>
      <c r="BD410" s="25">
        <v>1</v>
      </c>
    </row>
    <row r="411" spans="1:56" hidden="1">
      <c r="A411" s="25">
        <v>406</v>
      </c>
      <c r="B411" s="25" t="str">
        <f>VLOOKUP(C411,'시스템이펙트 참고자료'!$A:$C,2,FALSE)</f>
        <v>ACTIVE_DEX_UP</v>
      </c>
      <c r="C411" s="25">
        <v>613</v>
      </c>
      <c r="D411" s="25">
        <f>VLOOKUP(C411,'시스템이펙트 참고자료'!$A:$D,4,FALSE)</f>
        <v>0</v>
      </c>
      <c r="E411" s="25">
        <v>0</v>
      </c>
      <c r="F411" s="25">
        <v>0</v>
      </c>
      <c r="G411" s="25">
        <f t="shared" si="34"/>
        <v>3</v>
      </c>
      <c r="H411" s="25" t="s">
        <v>395</v>
      </c>
      <c r="I411" s="25">
        <v>1</v>
      </c>
      <c r="J411" s="25" t="str">
        <f>VLOOKUP(C411,'시스템이펙트 참고자료'!$A:$C,3,FALSE)</f>
        <v>절대값/상대값(%) 가능</v>
      </c>
      <c r="K411" s="25">
        <v>8</v>
      </c>
      <c r="M411" s="25">
        <v>5</v>
      </c>
      <c r="N411" s="25">
        <f t="shared" si="33"/>
        <v>44</v>
      </c>
      <c r="O411" s="25">
        <v>1</v>
      </c>
      <c r="P411" s="25">
        <v>1</v>
      </c>
      <c r="Q411" s="25">
        <v>1</v>
      </c>
      <c r="R411" s="25">
        <v>1</v>
      </c>
      <c r="T411" s="25">
        <v>1</v>
      </c>
      <c r="AA411" s="25">
        <f t="shared" si="36"/>
        <v>128</v>
      </c>
      <c r="AK411" s="25">
        <v>1</v>
      </c>
      <c r="AM411" s="25">
        <v>44</v>
      </c>
      <c r="AN411" s="25">
        <v>100</v>
      </c>
      <c r="AP411" s="25">
        <f t="shared" si="35"/>
        <v>3</v>
      </c>
      <c r="AQ411" s="25" t="str">
        <f>VLOOKUP(C411,'시스템이펙트 참고자료'!$A:$B,2,FALSE)</f>
        <v>ACTIVE_DEX_UP</v>
      </c>
      <c r="AS411" s="25">
        <v>1</v>
      </c>
      <c r="BD411" s="25">
        <v>1</v>
      </c>
    </row>
    <row r="412" spans="1:56" hidden="1">
      <c r="A412" s="25">
        <v>407</v>
      </c>
      <c r="B412" s="25" t="str">
        <f>VLOOKUP(C412,'시스템이펙트 참고자료'!$A:$C,2,FALSE)</f>
        <v>ACTIVE_FOC_UP</v>
      </c>
      <c r="C412" s="25">
        <v>612</v>
      </c>
      <c r="D412" s="25">
        <f>VLOOKUP(C412,'시스템이펙트 참고자료'!$A:$D,4,FALSE)</f>
        <v>0</v>
      </c>
      <c r="E412" s="25">
        <v>0</v>
      </c>
      <c r="F412" s="25">
        <v>0</v>
      </c>
      <c r="G412" s="25">
        <f t="shared" si="34"/>
        <v>2</v>
      </c>
      <c r="H412" s="25" t="s">
        <v>395</v>
      </c>
      <c r="I412" s="25">
        <v>1</v>
      </c>
      <c r="J412" s="25" t="str">
        <f>VLOOKUP(C412,'시스템이펙트 참고자료'!$A:$C,3,FALSE)</f>
        <v>절대값/상대값(%) 가능</v>
      </c>
      <c r="K412" s="25">
        <v>8</v>
      </c>
      <c r="M412" s="25">
        <v>5</v>
      </c>
      <c r="N412" s="25">
        <f t="shared" si="33"/>
        <v>53</v>
      </c>
      <c r="O412" s="25">
        <v>1</v>
      </c>
      <c r="P412" s="25">
        <v>1</v>
      </c>
      <c r="Q412" s="25">
        <v>1</v>
      </c>
      <c r="R412" s="25">
        <v>1</v>
      </c>
      <c r="T412" s="25">
        <v>1</v>
      </c>
      <c r="AA412" s="25">
        <f t="shared" si="36"/>
        <v>128</v>
      </c>
      <c r="AK412" s="25">
        <v>1</v>
      </c>
      <c r="AM412" s="25">
        <v>53</v>
      </c>
      <c r="AN412" s="25">
        <v>100</v>
      </c>
      <c r="AP412" s="25">
        <f t="shared" si="35"/>
        <v>2</v>
      </c>
      <c r="AQ412" s="25" t="str">
        <f>VLOOKUP(C412,'시스템이펙트 참고자료'!$A:$B,2,FALSE)</f>
        <v>ACTIVE_FOC_UP</v>
      </c>
      <c r="AS412" s="25">
        <v>1</v>
      </c>
      <c r="BD412" s="25">
        <v>1</v>
      </c>
    </row>
    <row r="413" spans="1:56" hidden="1">
      <c r="A413" s="25">
        <v>408</v>
      </c>
      <c r="B413" s="25" t="str">
        <f>VLOOKUP(C413,'시스템이펙트 참고자료'!$A:$C,2,FALSE)</f>
        <v>ACTIVE_PHYSICAL_OFFENCE_UP</v>
      </c>
      <c r="C413" s="25">
        <v>606</v>
      </c>
      <c r="D413" s="25">
        <f>VLOOKUP(C413,'시스템이펙트 참고자료'!$A:$D,4,FALSE)</f>
        <v>0</v>
      </c>
      <c r="E413" s="25">
        <v>0</v>
      </c>
      <c r="F413" s="25">
        <v>0</v>
      </c>
      <c r="G413" s="25">
        <f t="shared" si="34"/>
        <v>1</v>
      </c>
      <c r="H413" s="25" t="s">
        <v>395</v>
      </c>
      <c r="I413" s="25">
        <v>1</v>
      </c>
      <c r="J413" s="25" t="str">
        <f>VLOOKUP(C413,'시스템이펙트 참고자료'!$A:$C,3,FALSE)</f>
        <v>절대값/상대값(%) 가능</v>
      </c>
      <c r="K413" s="25">
        <v>8</v>
      </c>
      <c r="M413" s="25">
        <v>5</v>
      </c>
      <c r="N413" s="25">
        <f t="shared" si="33"/>
        <v>125</v>
      </c>
      <c r="O413" s="25">
        <v>1</v>
      </c>
      <c r="P413" s="25">
        <v>1</v>
      </c>
      <c r="Q413" s="25">
        <v>1</v>
      </c>
      <c r="R413" s="25">
        <v>1</v>
      </c>
      <c r="T413" s="25">
        <v>1</v>
      </c>
      <c r="AA413" s="25">
        <f t="shared" si="36"/>
        <v>128</v>
      </c>
      <c r="AK413" s="25">
        <v>1</v>
      </c>
      <c r="AM413" s="25">
        <v>125</v>
      </c>
      <c r="AN413" s="25">
        <v>100</v>
      </c>
      <c r="AP413" s="25">
        <f t="shared" si="35"/>
        <v>1</v>
      </c>
      <c r="AQ413" s="25" t="str">
        <f>VLOOKUP(C413,'시스템이펙트 참고자료'!$A:$B,2,FALSE)</f>
        <v>ACTIVE_PHYSICAL_OFFENCE_UP</v>
      </c>
      <c r="AS413" s="25">
        <v>1</v>
      </c>
      <c r="BD413" s="25">
        <v>1</v>
      </c>
    </row>
    <row r="414" spans="1:56" hidden="1">
      <c r="A414" s="25">
        <v>409</v>
      </c>
      <c r="B414" s="25" t="str">
        <f>VLOOKUP(C414,'시스템이펙트 참고자료'!$A:$C,2,FALSE)</f>
        <v>ACTIVE_ENERGY_OFFENCE_UP</v>
      </c>
      <c r="C414" s="25">
        <v>607</v>
      </c>
      <c r="D414" s="25">
        <f>VLOOKUP(C414,'시스템이펙트 참고자료'!$A:$D,4,FALSE)</f>
        <v>0</v>
      </c>
      <c r="E414" s="25">
        <v>0</v>
      </c>
      <c r="F414" s="25">
        <v>0</v>
      </c>
      <c r="G414" s="25">
        <f t="shared" si="34"/>
        <v>1</v>
      </c>
      <c r="H414" s="25" t="s">
        <v>395</v>
      </c>
      <c r="I414" s="25">
        <v>1</v>
      </c>
      <c r="J414" s="25" t="str">
        <f>VLOOKUP(C414,'시스템이펙트 참고자료'!$A:$C,3,FALSE)</f>
        <v>절대값/상대값(%) 가능</v>
      </c>
      <c r="K414" s="25">
        <v>8</v>
      </c>
      <c r="M414" s="25">
        <v>5</v>
      </c>
      <c r="N414" s="25">
        <f t="shared" si="33"/>
        <v>104</v>
      </c>
      <c r="O414" s="25">
        <v>1</v>
      </c>
      <c r="P414" s="25">
        <v>1</v>
      </c>
      <c r="Q414" s="25">
        <v>1</v>
      </c>
      <c r="R414" s="25">
        <v>1</v>
      </c>
      <c r="T414" s="25">
        <v>1</v>
      </c>
      <c r="AA414" s="25">
        <f t="shared" si="36"/>
        <v>128</v>
      </c>
      <c r="AK414" s="25">
        <v>1</v>
      </c>
      <c r="AM414" s="25">
        <v>104</v>
      </c>
      <c r="AN414" s="25">
        <v>100</v>
      </c>
      <c r="AP414" s="25">
        <f t="shared" si="35"/>
        <v>1</v>
      </c>
      <c r="AQ414" s="25" t="str">
        <f>VLOOKUP(C414,'시스템이펙트 참고자료'!$A:$B,2,FALSE)</f>
        <v>ACTIVE_ENERGY_OFFENCE_UP</v>
      </c>
      <c r="AS414" s="25">
        <v>1</v>
      </c>
      <c r="BD414" s="25">
        <v>1</v>
      </c>
    </row>
    <row r="415" spans="1:56" hidden="1">
      <c r="A415" s="25">
        <v>410</v>
      </c>
      <c r="B415" s="25" t="str">
        <f>VLOOKUP(C415,'시스템이펙트 참고자료'!$A:$C,2,FALSE)</f>
        <v>ACTIVE_PHYSICAL_OFFENCE_UP</v>
      </c>
      <c r="C415" s="25">
        <v>606</v>
      </c>
      <c r="D415" s="25">
        <f>VLOOKUP(C415,'시스템이펙트 참고자료'!$A:$D,4,FALSE)</f>
        <v>0</v>
      </c>
      <c r="E415" s="25">
        <v>0</v>
      </c>
      <c r="F415" s="25">
        <v>0</v>
      </c>
      <c r="G415" s="25">
        <f t="shared" si="34"/>
        <v>1</v>
      </c>
      <c r="H415" s="25" t="s">
        <v>395</v>
      </c>
      <c r="I415" s="25">
        <v>1</v>
      </c>
      <c r="J415" s="25" t="str">
        <f>VLOOKUP(C415,'시스템이펙트 참고자료'!$A:$C,3,FALSE)</f>
        <v>절대값/상대값(%) 가능</v>
      </c>
      <c r="K415" s="25">
        <v>8</v>
      </c>
      <c r="M415" s="25">
        <v>6</v>
      </c>
      <c r="N415" s="25">
        <f t="shared" si="33"/>
        <v>125</v>
      </c>
      <c r="O415" s="25">
        <v>1</v>
      </c>
      <c r="P415" s="25">
        <v>1</v>
      </c>
      <c r="Q415" s="25">
        <v>1</v>
      </c>
      <c r="R415" s="25">
        <v>1</v>
      </c>
      <c r="T415" s="25">
        <v>1</v>
      </c>
      <c r="AA415" s="25">
        <f t="shared" si="36"/>
        <v>128</v>
      </c>
      <c r="AK415" s="25">
        <v>1</v>
      </c>
      <c r="AM415" s="25">
        <v>125</v>
      </c>
      <c r="AN415" s="25">
        <v>100</v>
      </c>
      <c r="AP415" s="25">
        <f t="shared" si="35"/>
        <v>1</v>
      </c>
      <c r="AQ415" s="25" t="str">
        <f>VLOOKUP(C415,'시스템이펙트 참고자료'!$A:$B,2,FALSE)</f>
        <v>ACTIVE_PHYSICAL_OFFENCE_UP</v>
      </c>
      <c r="AS415" s="25">
        <v>1</v>
      </c>
      <c r="BD415" s="25">
        <v>1</v>
      </c>
    </row>
    <row r="416" spans="1:56" hidden="1">
      <c r="A416" s="25">
        <v>411</v>
      </c>
      <c r="B416" s="25" t="str">
        <f>VLOOKUP(C416,'시스템이펙트 참고자료'!$A:$C,2,FALSE)</f>
        <v>ACTIVE_ENERGY_OFFENCE_UP</v>
      </c>
      <c r="C416" s="25">
        <v>607</v>
      </c>
      <c r="D416" s="25">
        <f>VLOOKUP(C416,'시스템이펙트 참고자료'!$A:$D,4,FALSE)</f>
        <v>0</v>
      </c>
      <c r="E416" s="25">
        <v>0</v>
      </c>
      <c r="F416" s="25">
        <v>0</v>
      </c>
      <c r="G416" s="25">
        <f t="shared" si="34"/>
        <v>1</v>
      </c>
      <c r="H416" s="25" t="s">
        <v>395</v>
      </c>
      <c r="I416" s="25">
        <v>1</v>
      </c>
      <c r="J416" s="25" t="str">
        <f>VLOOKUP(C416,'시스템이펙트 참고자료'!$A:$C,3,FALSE)</f>
        <v>절대값/상대값(%) 가능</v>
      </c>
      <c r="K416" s="25">
        <v>8</v>
      </c>
      <c r="M416" s="25">
        <v>6</v>
      </c>
      <c r="N416" s="25">
        <f t="shared" si="33"/>
        <v>104</v>
      </c>
      <c r="O416" s="25">
        <v>1</v>
      </c>
      <c r="P416" s="25">
        <v>1</v>
      </c>
      <c r="Q416" s="25">
        <v>1</v>
      </c>
      <c r="R416" s="25">
        <v>1</v>
      </c>
      <c r="T416" s="25">
        <v>1</v>
      </c>
      <c r="AA416" s="25">
        <f t="shared" si="36"/>
        <v>128</v>
      </c>
      <c r="AK416" s="25">
        <v>1</v>
      </c>
      <c r="AM416" s="25">
        <v>104</v>
      </c>
      <c r="AN416" s="25">
        <v>100</v>
      </c>
      <c r="AP416" s="25">
        <f t="shared" si="35"/>
        <v>1</v>
      </c>
      <c r="AQ416" s="25" t="str">
        <f>VLOOKUP(C416,'시스템이펙트 참고자료'!$A:$B,2,FALSE)</f>
        <v>ACTIVE_ENERGY_OFFENCE_UP</v>
      </c>
      <c r="AS416" s="25">
        <v>1</v>
      </c>
      <c r="BD416" s="25">
        <v>1</v>
      </c>
    </row>
    <row r="417" spans="1:56" hidden="1">
      <c r="A417" s="25">
        <v>412</v>
      </c>
      <c r="B417" s="25" t="str">
        <f>VLOOKUP(C417,'시스템이펙트 참고자료'!$A:$C,2,FALSE)</f>
        <v>ACTIVE_STR_UP</v>
      </c>
      <c r="C417" s="25">
        <v>610</v>
      </c>
      <c r="D417" s="25">
        <f>VLOOKUP(C417,'시스템이펙트 참고자료'!$A:$D,4,FALSE)</f>
        <v>0</v>
      </c>
      <c r="E417" s="25">
        <v>0</v>
      </c>
      <c r="F417" s="25">
        <v>0</v>
      </c>
      <c r="G417" s="25">
        <f t="shared" si="34"/>
        <v>2</v>
      </c>
      <c r="H417" s="25" t="s">
        <v>395</v>
      </c>
      <c r="I417" s="25">
        <v>1</v>
      </c>
      <c r="J417" s="25" t="str">
        <f>VLOOKUP(C417,'시스템이펙트 참고자료'!$A:$C,3,FALSE)</f>
        <v>절대값/상대값(%) 가능</v>
      </c>
      <c r="K417" s="25">
        <v>8</v>
      </c>
      <c r="M417" s="25">
        <v>6</v>
      </c>
      <c r="N417" s="25">
        <f t="shared" si="33"/>
        <v>57</v>
      </c>
      <c r="O417" s="25">
        <v>1</v>
      </c>
      <c r="P417" s="25">
        <v>1</v>
      </c>
      <c r="Q417" s="25">
        <v>1</v>
      </c>
      <c r="R417" s="25">
        <v>1</v>
      </c>
      <c r="T417" s="25">
        <v>1</v>
      </c>
      <c r="AA417" s="25">
        <f t="shared" si="36"/>
        <v>128</v>
      </c>
      <c r="AK417" s="25">
        <v>1</v>
      </c>
      <c r="AM417" s="25">
        <v>57</v>
      </c>
      <c r="AN417" s="25">
        <v>100</v>
      </c>
      <c r="AP417" s="25">
        <f t="shared" si="35"/>
        <v>2</v>
      </c>
      <c r="AQ417" s="25" t="str">
        <f>VLOOKUP(C417,'시스템이펙트 참고자료'!$A:$B,2,FALSE)</f>
        <v>ACTIVE_STR_UP</v>
      </c>
      <c r="AS417" s="25">
        <v>1</v>
      </c>
      <c r="BD417" s="25">
        <v>1</v>
      </c>
    </row>
    <row r="418" spans="1:56" hidden="1">
      <c r="A418" s="25">
        <v>413</v>
      </c>
      <c r="B418" s="25" t="str">
        <f>VLOOKUP(C418,'시스템이펙트 참고자료'!$A:$C,2,FALSE)</f>
        <v>ACTIVE_SOL_UP</v>
      </c>
      <c r="C418" s="25">
        <v>614</v>
      </c>
      <c r="D418" s="25">
        <f>VLOOKUP(C418,'시스템이펙트 참고자료'!$A:$D,4,FALSE)</f>
        <v>0</v>
      </c>
      <c r="E418" s="25">
        <v>0</v>
      </c>
      <c r="F418" s="25">
        <v>0</v>
      </c>
      <c r="G418" s="25">
        <f t="shared" si="34"/>
        <v>2</v>
      </c>
      <c r="H418" s="25" t="s">
        <v>395</v>
      </c>
      <c r="I418" s="25">
        <v>1</v>
      </c>
      <c r="J418" s="25" t="str">
        <f>VLOOKUP(C418,'시스템이펙트 참고자료'!$A:$C,3,FALSE)</f>
        <v>절대값/상대값(%) 가능</v>
      </c>
      <c r="K418" s="25">
        <v>8</v>
      </c>
      <c r="M418" s="25">
        <v>6</v>
      </c>
      <c r="N418" s="25">
        <f t="shared" si="33"/>
        <v>53</v>
      </c>
      <c r="O418" s="25">
        <v>1</v>
      </c>
      <c r="P418" s="25">
        <v>1</v>
      </c>
      <c r="Q418" s="25">
        <v>1</v>
      </c>
      <c r="R418" s="25">
        <v>1</v>
      </c>
      <c r="T418" s="25">
        <v>1</v>
      </c>
      <c r="AA418" s="25">
        <f t="shared" si="36"/>
        <v>128</v>
      </c>
      <c r="AK418" s="25">
        <v>1</v>
      </c>
      <c r="AM418" s="25">
        <v>53</v>
      </c>
      <c r="AN418" s="25">
        <v>100</v>
      </c>
      <c r="AP418" s="25">
        <f t="shared" si="35"/>
        <v>2</v>
      </c>
      <c r="AQ418" s="25" t="str">
        <f>VLOOKUP(C418,'시스템이펙트 참고자료'!$A:$B,2,FALSE)</f>
        <v>ACTIVE_SOL_UP</v>
      </c>
      <c r="AS418" s="25">
        <v>1</v>
      </c>
      <c r="BD418" s="25">
        <v>1</v>
      </c>
    </row>
    <row r="419" spans="1:56" hidden="1">
      <c r="A419" s="25">
        <v>414</v>
      </c>
      <c r="B419" s="25" t="str">
        <f>VLOOKUP(C419,'시스템이펙트 참고자료'!$A:$C,2,FALSE)</f>
        <v>ACTIVE_PHYSICAL_CRITICAL_DAMAGE_UP</v>
      </c>
      <c r="C419" s="25">
        <v>658</v>
      </c>
      <c r="D419" s="25">
        <f>VLOOKUP(C419,'시스템이펙트 참고자료'!$A:$D,4,FALSE)</f>
        <v>0</v>
      </c>
      <c r="E419" s="25">
        <v>0</v>
      </c>
      <c r="F419" s="25">
        <v>0</v>
      </c>
      <c r="G419" s="25">
        <f t="shared" si="34"/>
        <v>4</v>
      </c>
      <c r="H419" s="25" t="s">
        <v>395</v>
      </c>
      <c r="I419" s="25">
        <v>1</v>
      </c>
      <c r="J419" s="25" t="str">
        <f>VLOOKUP(C419,'시스템이펙트 참고자료'!$A:$C,3,FALSE)</f>
        <v>절대값만 가능</v>
      </c>
      <c r="K419" s="25">
        <v>8</v>
      </c>
      <c r="M419" s="25">
        <v>6</v>
      </c>
      <c r="N419" s="25">
        <f t="shared" si="33"/>
        <v>28</v>
      </c>
      <c r="O419" s="25">
        <v>1</v>
      </c>
      <c r="P419" s="25">
        <v>1</v>
      </c>
      <c r="Q419" s="25">
        <v>1</v>
      </c>
      <c r="R419" s="25">
        <v>1</v>
      </c>
      <c r="T419" s="25">
        <v>1</v>
      </c>
      <c r="AA419" s="25">
        <f t="shared" si="36"/>
        <v>128</v>
      </c>
      <c r="AK419" s="25">
        <v>1</v>
      </c>
      <c r="AM419" s="25">
        <v>28</v>
      </c>
      <c r="AN419" s="25">
        <v>100</v>
      </c>
      <c r="AP419" s="25">
        <f t="shared" si="35"/>
        <v>4</v>
      </c>
      <c r="AQ419" s="25" t="str">
        <f>VLOOKUP(C419,'시스템이펙트 참고자료'!$A:$B,2,FALSE)</f>
        <v>ACTIVE_PHYSICAL_CRITICAL_DAMAGE_UP</v>
      </c>
      <c r="AS419" s="25">
        <v>1</v>
      </c>
      <c r="BD419" s="25">
        <v>1</v>
      </c>
    </row>
    <row r="420" spans="1:56" hidden="1">
      <c r="A420" s="25">
        <v>415</v>
      </c>
      <c r="B420" s="25" t="str">
        <f>VLOOKUP(C420,'시스템이펙트 참고자료'!$A:$C,2,FALSE)</f>
        <v>ACTIVE_ENERGY_CRITICAL_DAMAGE_UP</v>
      </c>
      <c r="C420" s="25">
        <v>659</v>
      </c>
      <c r="D420" s="25">
        <f>VLOOKUP(C420,'시스템이펙트 참고자료'!$A:$D,4,FALSE)</f>
        <v>0</v>
      </c>
      <c r="E420" s="25">
        <v>0</v>
      </c>
      <c r="F420" s="25">
        <v>0</v>
      </c>
      <c r="G420" s="25">
        <f t="shared" si="34"/>
        <v>4</v>
      </c>
      <c r="H420" s="25" t="s">
        <v>395</v>
      </c>
      <c r="I420" s="25">
        <v>1</v>
      </c>
      <c r="J420" s="25" t="str">
        <f>VLOOKUP(C420,'시스템이펙트 참고자료'!$A:$C,3,FALSE)</f>
        <v>절대값만 가능</v>
      </c>
      <c r="K420" s="25">
        <v>8</v>
      </c>
      <c r="M420" s="25">
        <v>6</v>
      </c>
      <c r="N420" s="25">
        <f t="shared" si="33"/>
        <v>32</v>
      </c>
      <c r="O420" s="25">
        <v>1</v>
      </c>
      <c r="P420" s="25">
        <v>1</v>
      </c>
      <c r="Q420" s="25">
        <v>1</v>
      </c>
      <c r="R420" s="25">
        <v>1</v>
      </c>
      <c r="T420" s="25">
        <v>1</v>
      </c>
      <c r="AA420" s="25">
        <f t="shared" si="36"/>
        <v>128</v>
      </c>
      <c r="AK420" s="25">
        <v>1</v>
      </c>
      <c r="AM420" s="25">
        <v>32</v>
      </c>
      <c r="AN420" s="25">
        <v>100</v>
      </c>
      <c r="AP420" s="25">
        <f t="shared" si="35"/>
        <v>4</v>
      </c>
      <c r="AQ420" s="25" t="str">
        <f>VLOOKUP(C420,'시스템이펙트 참고자료'!$A:$B,2,FALSE)</f>
        <v>ACTIVE_ENERGY_CRITICAL_DAMAGE_UP</v>
      </c>
      <c r="AS420" s="25">
        <v>1</v>
      </c>
      <c r="BD420" s="25">
        <v>1</v>
      </c>
    </row>
    <row r="421" spans="1:56" hidden="1">
      <c r="A421" s="25">
        <v>416</v>
      </c>
      <c r="B421" s="25" t="str">
        <f>VLOOKUP(C421,'시스템이펙트 참고자료'!$A:$C,2,FALSE)</f>
        <v>ACTIVE_FOC_UP</v>
      </c>
      <c r="C421" s="25">
        <v>612</v>
      </c>
      <c r="D421" s="25">
        <f>VLOOKUP(C421,'시스템이펙트 참고자료'!$A:$D,4,FALSE)</f>
        <v>0</v>
      </c>
      <c r="E421" s="25">
        <v>0</v>
      </c>
      <c r="F421" s="25">
        <v>0</v>
      </c>
      <c r="G421" s="25">
        <f t="shared" si="34"/>
        <v>2</v>
      </c>
      <c r="H421" s="25" t="s">
        <v>395</v>
      </c>
      <c r="I421" s="25">
        <v>1</v>
      </c>
      <c r="J421" s="25" t="str">
        <f>VLOOKUP(C421,'시스템이펙트 참고자료'!$A:$C,3,FALSE)</f>
        <v>절대값/상대값(%) 가능</v>
      </c>
      <c r="K421" s="25">
        <v>8</v>
      </c>
      <c r="M421" s="25">
        <v>7</v>
      </c>
      <c r="N421" s="25">
        <f t="shared" si="33"/>
        <v>53</v>
      </c>
      <c r="O421" s="25">
        <v>1</v>
      </c>
      <c r="P421" s="25">
        <v>1</v>
      </c>
      <c r="Q421" s="25">
        <v>1</v>
      </c>
      <c r="R421" s="25">
        <v>1</v>
      </c>
      <c r="T421" s="25">
        <v>1</v>
      </c>
      <c r="AA421" s="25">
        <f t="shared" si="36"/>
        <v>128</v>
      </c>
      <c r="AK421" s="25">
        <v>1</v>
      </c>
      <c r="AM421" s="25">
        <v>53</v>
      </c>
      <c r="AN421" s="25">
        <v>100</v>
      </c>
      <c r="AP421" s="25">
        <f t="shared" si="35"/>
        <v>2</v>
      </c>
      <c r="AQ421" s="25" t="str">
        <f>VLOOKUP(C421,'시스템이펙트 참고자료'!$A:$B,2,FALSE)</f>
        <v>ACTIVE_FOC_UP</v>
      </c>
      <c r="AS421" s="25">
        <v>1</v>
      </c>
      <c r="BD421" s="25">
        <v>1</v>
      </c>
    </row>
    <row r="422" spans="1:56" hidden="1">
      <c r="A422" s="25">
        <v>417</v>
      </c>
      <c r="B422" s="25" t="str">
        <f>VLOOKUP(C422,'시스템이펙트 참고자료'!$A:$C,2,FALSE)</f>
        <v>ACTIVE_ATTACK_RATE_UP</v>
      </c>
      <c r="C422" s="25">
        <v>618</v>
      </c>
      <c r="D422" s="25">
        <f>VLOOKUP(C422,'시스템이펙트 참고자료'!$A:$D,4,FALSE)</f>
        <v>0</v>
      </c>
      <c r="E422" s="25">
        <v>0</v>
      </c>
      <c r="F422" s="25">
        <v>0</v>
      </c>
      <c r="G422" s="25">
        <f t="shared" si="34"/>
        <v>1</v>
      </c>
      <c r="H422" s="25" t="s">
        <v>395</v>
      </c>
      <c r="I422" s="25">
        <v>1</v>
      </c>
      <c r="J422" s="25" t="str">
        <f>VLOOKUP(C422,'시스템이펙트 참고자료'!$A:$C,3,FALSE)</f>
        <v>절대값/상대값(%) 가능</v>
      </c>
      <c r="K422" s="25">
        <v>8</v>
      </c>
      <c r="M422" s="25">
        <v>7</v>
      </c>
      <c r="N422" s="25">
        <f t="shared" si="33"/>
        <v>528</v>
      </c>
      <c r="O422" s="25">
        <v>1</v>
      </c>
      <c r="P422" s="25">
        <v>1</v>
      </c>
      <c r="Q422" s="25">
        <v>1</v>
      </c>
      <c r="R422" s="25">
        <v>1</v>
      </c>
      <c r="T422" s="25">
        <v>1</v>
      </c>
      <c r="AA422" s="25">
        <f t="shared" si="36"/>
        <v>128</v>
      </c>
      <c r="AK422" s="25">
        <v>1</v>
      </c>
      <c r="AM422" s="25">
        <v>528</v>
      </c>
      <c r="AN422" s="25">
        <v>100</v>
      </c>
      <c r="AP422" s="25">
        <f t="shared" si="35"/>
        <v>1</v>
      </c>
      <c r="AQ422" s="25" t="str">
        <f>VLOOKUP(C422,'시스템이펙트 참고자료'!$A:$B,2,FALSE)</f>
        <v>ACTIVE_ATTACK_RATE_UP</v>
      </c>
      <c r="AS422" s="25">
        <v>1</v>
      </c>
      <c r="BD422" s="25">
        <v>1</v>
      </c>
    </row>
    <row r="423" spans="1:56" hidden="1">
      <c r="A423" s="25">
        <v>418</v>
      </c>
      <c r="B423" s="25" t="str">
        <f>VLOOKUP(C423,'시스템이펙트 참고자료'!$A:$C,2,FALSE)</f>
        <v>ACTIVE_ENG_UP</v>
      </c>
      <c r="C423" s="25">
        <v>615</v>
      </c>
      <c r="D423" s="25">
        <f>VLOOKUP(C423,'시스템이펙트 참고자료'!$A:$D,4,FALSE)</f>
        <v>0</v>
      </c>
      <c r="E423" s="25">
        <v>0</v>
      </c>
      <c r="F423" s="25">
        <v>0</v>
      </c>
      <c r="G423" s="25">
        <f t="shared" si="34"/>
        <v>2</v>
      </c>
      <c r="H423" s="25" t="s">
        <v>395</v>
      </c>
      <c r="I423" s="25">
        <v>1</v>
      </c>
      <c r="J423" s="25" t="str">
        <f>VLOOKUP(C423,'시스템이펙트 참고자료'!$A:$C,3,FALSE)</f>
        <v>절대값/상대값(%) 가능</v>
      </c>
      <c r="K423" s="25">
        <v>8</v>
      </c>
      <c r="M423" s="25">
        <v>7</v>
      </c>
      <c r="N423" s="25">
        <f t="shared" si="33"/>
        <v>62</v>
      </c>
      <c r="O423" s="25">
        <v>1</v>
      </c>
      <c r="P423" s="25">
        <v>1</v>
      </c>
      <c r="Q423" s="25">
        <v>1</v>
      </c>
      <c r="R423" s="25">
        <v>1</v>
      </c>
      <c r="T423" s="25">
        <v>1</v>
      </c>
      <c r="AA423" s="25">
        <f t="shared" si="36"/>
        <v>128</v>
      </c>
      <c r="AK423" s="25">
        <v>1</v>
      </c>
      <c r="AM423" s="25">
        <v>62</v>
      </c>
      <c r="AN423" s="25">
        <v>100</v>
      </c>
      <c r="AP423" s="25">
        <f t="shared" si="35"/>
        <v>2</v>
      </c>
      <c r="AQ423" s="25" t="str">
        <f>VLOOKUP(C423,'시스템이펙트 참고자료'!$A:$B,2,FALSE)</f>
        <v>ACTIVE_ENG_UP</v>
      </c>
      <c r="AS423" s="25">
        <v>1</v>
      </c>
      <c r="BD423" s="25">
        <v>1</v>
      </c>
    </row>
    <row r="424" spans="1:56" hidden="1">
      <c r="A424" s="25">
        <v>419</v>
      </c>
      <c r="B424" s="25" t="str">
        <f>VLOOKUP(C424,'시스템이펙트 참고자료'!$A:$C,2,FALSE)</f>
        <v>ACTIVE_PHYSICAL_CRITICAL</v>
      </c>
      <c r="C424" s="25">
        <v>632</v>
      </c>
      <c r="D424" s="25">
        <f>VLOOKUP(C424,'시스템이펙트 참고자료'!$A:$D,4,FALSE)</f>
        <v>0</v>
      </c>
      <c r="E424" s="25">
        <v>0</v>
      </c>
      <c r="F424" s="25">
        <v>0</v>
      </c>
      <c r="G424" s="25">
        <f t="shared" si="34"/>
        <v>5</v>
      </c>
      <c r="H424" s="25" t="s">
        <v>395</v>
      </c>
      <c r="I424" s="25">
        <v>1</v>
      </c>
      <c r="J424" s="25" t="str">
        <f>VLOOKUP(C424,'시스템이펙트 참고자료'!$A:$C,3,FALSE)</f>
        <v>절대값/상대값(%) 가능</v>
      </c>
      <c r="K424" s="25">
        <v>8</v>
      </c>
      <c r="M424" s="25">
        <v>7</v>
      </c>
      <c r="N424" s="25">
        <f t="shared" si="33"/>
        <v>21</v>
      </c>
      <c r="O424" s="25">
        <v>1</v>
      </c>
      <c r="P424" s="25">
        <v>1</v>
      </c>
      <c r="Q424" s="25">
        <v>1</v>
      </c>
      <c r="R424" s="25">
        <v>1</v>
      </c>
      <c r="T424" s="25">
        <v>1</v>
      </c>
      <c r="AA424" s="25">
        <f t="shared" si="36"/>
        <v>128</v>
      </c>
      <c r="AK424" s="25">
        <v>1</v>
      </c>
      <c r="AM424" s="25">
        <v>21</v>
      </c>
      <c r="AN424" s="25">
        <v>100</v>
      </c>
      <c r="AP424" s="25">
        <f t="shared" si="35"/>
        <v>5</v>
      </c>
      <c r="AQ424" s="25" t="str">
        <f>VLOOKUP(C424,'시스템이펙트 참고자료'!$A:$B,2,FALSE)</f>
        <v>ACTIVE_PHYSICAL_CRITICAL</v>
      </c>
      <c r="AS424" s="25">
        <v>1</v>
      </c>
      <c r="BD424" s="25">
        <v>1</v>
      </c>
    </row>
    <row r="425" spans="1:56" hidden="1">
      <c r="A425" s="25">
        <v>420</v>
      </c>
      <c r="B425" s="25" t="str">
        <f>VLOOKUP(C425,'시스템이펙트 참고자료'!$A:$C,2,FALSE)</f>
        <v>ACTIVE_ENERGY_CRITICAL</v>
      </c>
      <c r="C425" s="25">
        <v>633</v>
      </c>
      <c r="D425" s="25">
        <f>VLOOKUP(C425,'시스템이펙트 참고자료'!$A:$D,4,FALSE)</f>
        <v>0</v>
      </c>
      <c r="E425" s="25">
        <v>0</v>
      </c>
      <c r="F425" s="25">
        <v>0</v>
      </c>
      <c r="G425" s="25">
        <f t="shared" si="34"/>
        <v>5</v>
      </c>
      <c r="H425" s="25" t="s">
        <v>395</v>
      </c>
      <c r="I425" s="25">
        <v>1</v>
      </c>
      <c r="J425" s="25" t="str">
        <f>VLOOKUP(C425,'시스템이펙트 참고자료'!$A:$C,3,FALSE)</f>
        <v>절대값/상대값(%) 가능</v>
      </c>
      <c r="K425" s="25">
        <v>8</v>
      </c>
      <c r="M425" s="25">
        <v>7</v>
      </c>
      <c r="N425" s="25">
        <f t="shared" si="33"/>
        <v>24</v>
      </c>
      <c r="O425" s="25">
        <v>1</v>
      </c>
      <c r="P425" s="25">
        <v>1</v>
      </c>
      <c r="Q425" s="25">
        <v>1</v>
      </c>
      <c r="R425" s="25">
        <v>1</v>
      </c>
      <c r="T425" s="25">
        <v>1</v>
      </c>
      <c r="AA425" s="25">
        <f t="shared" si="36"/>
        <v>128</v>
      </c>
      <c r="AK425" s="25">
        <v>1</v>
      </c>
      <c r="AM425" s="25">
        <v>24</v>
      </c>
      <c r="AN425" s="25">
        <v>100</v>
      </c>
      <c r="AP425" s="25">
        <f t="shared" si="35"/>
        <v>5</v>
      </c>
      <c r="AQ425" s="25" t="str">
        <f>VLOOKUP(C425,'시스템이펙트 참고자료'!$A:$B,2,FALSE)</f>
        <v>ACTIVE_ENERGY_CRITICAL</v>
      </c>
      <c r="AS425" s="25">
        <v>1</v>
      </c>
      <c r="BD425" s="25">
        <v>1</v>
      </c>
    </row>
    <row r="426" spans="1:56" hidden="1">
      <c r="A426" s="25">
        <v>421</v>
      </c>
      <c r="B426" s="25" t="str">
        <f>VLOOKUP(C426,'시스템이펙트 참고자료'!$A:$C,2,FALSE)</f>
        <v>ACTIVE_FOC_UP</v>
      </c>
      <c r="C426" s="25">
        <v>612</v>
      </c>
      <c r="D426" s="25">
        <f>VLOOKUP(C426,'시스템이펙트 참고자료'!$A:$D,4,FALSE)</f>
        <v>0</v>
      </c>
      <c r="E426" s="25">
        <v>0</v>
      </c>
      <c r="F426" s="25">
        <v>0</v>
      </c>
      <c r="G426" s="25">
        <f t="shared" si="34"/>
        <v>2</v>
      </c>
      <c r="H426" s="25" t="s">
        <v>395</v>
      </c>
      <c r="I426" s="25">
        <v>1</v>
      </c>
      <c r="J426" s="25" t="str">
        <f>VLOOKUP(C426,'시스템이펙트 참고자료'!$A:$C,3,FALSE)</f>
        <v>절대값/상대값(%) 가능</v>
      </c>
      <c r="K426" s="25">
        <v>8</v>
      </c>
      <c r="M426" s="25">
        <v>8</v>
      </c>
      <c r="N426" s="25">
        <f t="shared" si="33"/>
        <v>53</v>
      </c>
      <c r="O426" s="25">
        <v>1</v>
      </c>
      <c r="P426" s="25">
        <v>1</v>
      </c>
      <c r="Q426" s="25">
        <v>1</v>
      </c>
      <c r="R426" s="25">
        <v>1</v>
      </c>
      <c r="T426" s="25">
        <v>1</v>
      </c>
      <c r="AA426" s="25">
        <f t="shared" si="36"/>
        <v>128</v>
      </c>
      <c r="AK426" s="25">
        <v>1</v>
      </c>
      <c r="AM426" s="25">
        <v>53</v>
      </c>
      <c r="AN426" s="25">
        <v>100</v>
      </c>
      <c r="AP426" s="25">
        <f t="shared" si="35"/>
        <v>2</v>
      </c>
      <c r="AQ426" s="25" t="str">
        <f>VLOOKUP(C426,'시스템이펙트 참고자료'!$A:$B,2,FALSE)</f>
        <v>ACTIVE_FOC_UP</v>
      </c>
      <c r="AS426" s="25">
        <v>1</v>
      </c>
      <c r="BD426" s="25">
        <v>1</v>
      </c>
    </row>
    <row r="427" spans="1:56" hidden="1">
      <c r="A427" s="25">
        <v>422</v>
      </c>
      <c r="B427" s="25" t="str">
        <f>VLOOKUP(C427,'시스템이펙트 참고자료'!$A:$C,2,FALSE)</f>
        <v>ACTIVE_CON_UP</v>
      </c>
      <c r="C427" s="25">
        <v>611</v>
      </c>
      <c r="D427" s="25">
        <f>VLOOKUP(C427,'시스템이펙트 참고자료'!$A:$D,4,FALSE)</f>
        <v>0</v>
      </c>
      <c r="E427" s="25">
        <v>0</v>
      </c>
      <c r="F427" s="25">
        <v>0</v>
      </c>
      <c r="G427" s="25">
        <f t="shared" si="34"/>
        <v>3</v>
      </c>
      <c r="H427" s="25" t="s">
        <v>395</v>
      </c>
      <c r="I427" s="25">
        <v>1</v>
      </c>
      <c r="J427" s="25" t="str">
        <f>VLOOKUP(C427,'시스템이펙트 참고자료'!$A:$C,3,FALSE)</f>
        <v>절대값/상대값(%) 가능</v>
      </c>
      <c r="K427" s="25">
        <v>8</v>
      </c>
      <c r="M427" s="25">
        <v>8</v>
      </c>
      <c r="N427" s="25">
        <f t="shared" si="33"/>
        <v>48</v>
      </c>
      <c r="O427" s="25">
        <v>1</v>
      </c>
      <c r="P427" s="25">
        <v>1</v>
      </c>
      <c r="Q427" s="25">
        <v>1</v>
      </c>
      <c r="R427" s="25">
        <v>1</v>
      </c>
      <c r="T427" s="25">
        <v>1</v>
      </c>
      <c r="AA427" s="25">
        <f t="shared" si="36"/>
        <v>128</v>
      </c>
      <c r="AK427" s="25">
        <v>1</v>
      </c>
      <c r="AM427" s="25">
        <v>48</v>
      </c>
      <c r="AN427" s="25">
        <v>100</v>
      </c>
      <c r="AP427" s="25">
        <f t="shared" si="35"/>
        <v>3</v>
      </c>
      <c r="AQ427" s="25" t="str">
        <f>VLOOKUP(C427,'시스템이펙트 참고자료'!$A:$B,2,FALSE)</f>
        <v>ACTIVE_CON_UP</v>
      </c>
      <c r="AS427" s="25">
        <v>1</v>
      </c>
      <c r="BD427" s="25">
        <v>1</v>
      </c>
    </row>
    <row r="428" spans="1:56" hidden="1">
      <c r="A428" s="25">
        <v>423</v>
      </c>
      <c r="B428" s="25" t="str">
        <f>VLOOKUP(C428,'시스템이펙트 참고자료'!$A:$C,2,FALSE)</f>
        <v>ACTIVE_BLOCK_RATE_UP</v>
      </c>
      <c r="C428" s="25">
        <v>620</v>
      </c>
      <c r="D428" s="25">
        <f>VLOOKUP(C428,'시스템이펙트 참고자료'!$A:$D,4,FALSE)</f>
        <v>0</v>
      </c>
      <c r="E428" s="25">
        <v>0</v>
      </c>
      <c r="F428" s="25">
        <v>0</v>
      </c>
      <c r="G428" s="25">
        <f t="shared" si="34"/>
        <v>1</v>
      </c>
      <c r="H428" s="25" t="s">
        <v>395</v>
      </c>
      <c r="I428" s="25">
        <v>1</v>
      </c>
      <c r="J428" s="25" t="str">
        <f>VLOOKUP(C428,'시스템이펙트 참고자료'!$A:$C,3,FALSE)</f>
        <v>절대값/상대값(%) 가능</v>
      </c>
      <c r="K428" s="25">
        <v>8</v>
      </c>
      <c r="M428" s="25">
        <v>8</v>
      </c>
      <c r="N428" s="25">
        <f t="shared" si="33"/>
        <v>352</v>
      </c>
      <c r="O428" s="25">
        <v>1</v>
      </c>
      <c r="P428" s="25">
        <v>1</v>
      </c>
      <c r="Q428" s="25">
        <v>1</v>
      </c>
      <c r="R428" s="25">
        <v>1</v>
      </c>
      <c r="T428" s="25">
        <v>1</v>
      </c>
      <c r="AA428" s="25">
        <f t="shared" si="36"/>
        <v>128</v>
      </c>
      <c r="AK428" s="25">
        <v>1</v>
      </c>
      <c r="AM428" s="25">
        <v>352</v>
      </c>
      <c r="AN428" s="25">
        <v>100</v>
      </c>
      <c r="AP428" s="25">
        <f t="shared" si="35"/>
        <v>1</v>
      </c>
      <c r="AQ428" s="25" t="str">
        <f>VLOOKUP(C428,'시스템이펙트 참고자료'!$A:$B,2,FALSE)</f>
        <v>ACTIVE_BLOCK_RATE_UP</v>
      </c>
      <c r="AS428" s="25">
        <v>1</v>
      </c>
      <c r="BD428" s="25">
        <v>1</v>
      </c>
    </row>
    <row r="429" spans="1:56" hidden="1">
      <c r="A429" s="25">
        <v>424</v>
      </c>
      <c r="B429" s="25" t="str">
        <f>VLOOKUP(C429,'시스템이펙트 참고자료'!$A:$C,2,FALSE)</f>
        <v>ACTIVE_ENG_UP</v>
      </c>
      <c r="C429" s="25">
        <v>615</v>
      </c>
      <c r="D429" s="25">
        <f>VLOOKUP(C429,'시스템이펙트 참고자료'!$A:$D,4,FALSE)</f>
        <v>0</v>
      </c>
      <c r="E429" s="25">
        <v>0</v>
      </c>
      <c r="F429" s="25">
        <v>0</v>
      </c>
      <c r="G429" s="25">
        <f t="shared" si="34"/>
        <v>2</v>
      </c>
      <c r="H429" s="25" t="s">
        <v>395</v>
      </c>
      <c r="I429" s="25">
        <v>1</v>
      </c>
      <c r="J429" s="25" t="str">
        <f>VLOOKUP(C429,'시스템이펙트 참고자료'!$A:$C,3,FALSE)</f>
        <v>절대값/상대값(%) 가능</v>
      </c>
      <c r="K429" s="25">
        <v>8</v>
      </c>
      <c r="M429" s="25">
        <v>8</v>
      </c>
      <c r="N429" s="25">
        <f t="shared" si="33"/>
        <v>62</v>
      </c>
      <c r="O429" s="25">
        <v>1</v>
      </c>
      <c r="P429" s="25">
        <v>1</v>
      </c>
      <c r="Q429" s="25">
        <v>1</v>
      </c>
      <c r="R429" s="25">
        <v>1</v>
      </c>
      <c r="T429" s="25">
        <v>1</v>
      </c>
      <c r="AA429" s="25">
        <f t="shared" si="36"/>
        <v>128</v>
      </c>
      <c r="AK429" s="25">
        <v>1</v>
      </c>
      <c r="AM429" s="25">
        <v>62</v>
      </c>
      <c r="AN429" s="25">
        <v>100</v>
      </c>
      <c r="AP429" s="25">
        <f t="shared" si="35"/>
        <v>2</v>
      </c>
      <c r="AQ429" s="25" t="str">
        <f>VLOOKUP(C429,'시스템이펙트 참고자료'!$A:$B,2,FALSE)</f>
        <v>ACTIVE_ENG_UP</v>
      </c>
      <c r="AS429" s="25">
        <v>1</v>
      </c>
      <c r="BD429" s="25">
        <v>1</v>
      </c>
    </row>
    <row r="430" spans="1:56" hidden="1">
      <c r="A430" s="25">
        <v>425</v>
      </c>
      <c r="B430" s="25" t="str">
        <f>VLOOKUP(C430,'시스템이펙트 참고자료'!$A:$C,2,FALSE)</f>
        <v>ACTIVE_PHYSICAL_CRITICAL</v>
      </c>
      <c r="C430" s="25">
        <v>632</v>
      </c>
      <c r="D430" s="25">
        <f>VLOOKUP(C430,'시스템이펙트 참고자료'!$A:$D,4,FALSE)</f>
        <v>0</v>
      </c>
      <c r="E430" s="25">
        <v>0</v>
      </c>
      <c r="F430" s="25">
        <v>0</v>
      </c>
      <c r="G430" s="25">
        <f t="shared" si="34"/>
        <v>5</v>
      </c>
      <c r="H430" s="25" t="s">
        <v>395</v>
      </c>
      <c r="I430" s="25">
        <v>1</v>
      </c>
      <c r="J430" s="25" t="str">
        <f>VLOOKUP(C430,'시스템이펙트 참고자료'!$A:$C,3,FALSE)</f>
        <v>절대값/상대값(%) 가능</v>
      </c>
      <c r="K430" s="25">
        <v>8</v>
      </c>
      <c r="M430" s="25">
        <v>9</v>
      </c>
      <c r="N430" s="25">
        <f t="shared" si="33"/>
        <v>21</v>
      </c>
      <c r="O430" s="25">
        <v>1</v>
      </c>
      <c r="P430" s="25">
        <v>1</v>
      </c>
      <c r="Q430" s="25">
        <v>1</v>
      </c>
      <c r="R430" s="25">
        <v>1</v>
      </c>
      <c r="T430" s="25">
        <v>1</v>
      </c>
      <c r="AA430" s="25">
        <f t="shared" si="36"/>
        <v>128</v>
      </c>
      <c r="AK430" s="25">
        <v>1</v>
      </c>
      <c r="AM430" s="25">
        <v>21</v>
      </c>
      <c r="AN430" s="25">
        <v>100</v>
      </c>
      <c r="AP430" s="25">
        <f t="shared" si="35"/>
        <v>5</v>
      </c>
      <c r="AQ430" s="25" t="str">
        <f>VLOOKUP(C430,'시스템이펙트 참고자료'!$A:$B,2,FALSE)</f>
        <v>ACTIVE_PHYSICAL_CRITICAL</v>
      </c>
      <c r="AS430" s="25">
        <v>1</v>
      </c>
      <c r="BD430" s="25">
        <v>1</v>
      </c>
    </row>
    <row r="431" spans="1:56" hidden="1">
      <c r="A431" s="25">
        <v>426</v>
      </c>
      <c r="B431" s="25" t="str">
        <f>VLOOKUP(C431,'시스템이펙트 참고자료'!$A:$C,2,FALSE)</f>
        <v>ACTIVE_ENERGY_CRITICAL</v>
      </c>
      <c r="C431" s="25">
        <v>633</v>
      </c>
      <c r="D431" s="25">
        <f>VLOOKUP(C431,'시스템이펙트 참고자료'!$A:$D,4,FALSE)</f>
        <v>0</v>
      </c>
      <c r="E431" s="25">
        <v>0</v>
      </c>
      <c r="F431" s="25">
        <v>0</v>
      </c>
      <c r="G431" s="25">
        <f t="shared" si="34"/>
        <v>5</v>
      </c>
      <c r="H431" s="25" t="s">
        <v>395</v>
      </c>
      <c r="I431" s="25">
        <v>1</v>
      </c>
      <c r="J431" s="25" t="str">
        <f>VLOOKUP(C431,'시스템이펙트 참고자료'!$A:$C,3,FALSE)</f>
        <v>절대값/상대값(%) 가능</v>
      </c>
      <c r="K431" s="25">
        <v>8</v>
      </c>
      <c r="M431" s="25">
        <v>9</v>
      </c>
      <c r="N431" s="25">
        <f t="shared" si="33"/>
        <v>24</v>
      </c>
      <c r="O431" s="25">
        <v>1</v>
      </c>
      <c r="P431" s="25">
        <v>1</v>
      </c>
      <c r="Q431" s="25">
        <v>1</v>
      </c>
      <c r="R431" s="25">
        <v>1</v>
      </c>
      <c r="T431" s="25">
        <v>1</v>
      </c>
      <c r="AA431" s="25">
        <f t="shared" si="36"/>
        <v>128</v>
      </c>
      <c r="AK431" s="25">
        <v>1</v>
      </c>
      <c r="AM431" s="25">
        <v>24</v>
      </c>
      <c r="AN431" s="25">
        <v>100</v>
      </c>
      <c r="AP431" s="25">
        <f t="shared" si="35"/>
        <v>5</v>
      </c>
      <c r="AQ431" s="25" t="str">
        <f>VLOOKUP(C431,'시스템이펙트 참고자료'!$A:$B,2,FALSE)</f>
        <v>ACTIVE_ENERGY_CRITICAL</v>
      </c>
      <c r="AS431" s="25">
        <v>1</v>
      </c>
      <c r="BD431" s="25">
        <v>1</v>
      </c>
    </row>
    <row r="432" spans="1:56" hidden="1">
      <c r="A432" s="25">
        <v>427</v>
      </c>
      <c r="B432" s="25" t="str">
        <f>VLOOKUP(C432,'시스템이펙트 참고자료'!$A:$C,2,FALSE)</f>
        <v>ACTIVE_DEX_UP</v>
      </c>
      <c r="C432" s="25">
        <v>613</v>
      </c>
      <c r="D432" s="25">
        <f>VLOOKUP(C432,'시스템이펙트 참고자료'!$A:$D,4,FALSE)</f>
        <v>0</v>
      </c>
      <c r="E432" s="25">
        <v>0</v>
      </c>
      <c r="F432" s="25">
        <v>0</v>
      </c>
      <c r="G432" s="25">
        <f t="shared" si="34"/>
        <v>3</v>
      </c>
      <c r="H432" s="25" t="s">
        <v>395</v>
      </c>
      <c r="I432" s="25">
        <v>1</v>
      </c>
      <c r="J432" s="25" t="str">
        <f>VLOOKUP(C432,'시스템이펙트 참고자료'!$A:$C,3,FALSE)</f>
        <v>절대값/상대값(%) 가능</v>
      </c>
      <c r="K432" s="25">
        <v>8</v>
      </c>
      <c r="M432" s="25">
        <v>9</v>
      </c>
      <c r="N432" s="25">
        <f t="shared" si="33"/>
        <v>44</v>
      </c>
      <c r="O432" s="25">
        <v>1</v>
      </c>
      <c r="P432" s="25">
        <v>1</v>
      </c>
      <c r="Q432" s="25">
        <v>1</v>
      </c>
      <c r="R432" s="25">
        <v>1</v>
      </c>
      <c r="T432" s="25">
        <v>1</v>
      </c>
      <c r="AA432" s="25">
        <f t="shared" si="36"/>
        <v>128</v>
      </c>
      <c r="AK432" s="25">
        <v>1</v>
      </c>
      <c r="AM432" s="25">
        <v>44</v>
      </c>
      <c r="AN432" s="25">
        <v>100</v>
      </c>
      <c r="AP432" s="25">
        <f t="shared" si="35"/>
        <v>3</v>
      </c>
      <c r="AQ432" s="25" t="str">
        <f>VLOOKUP(C432,'시스템이펙트 참고자료'!$A:$B,2,FALSE)</f>
        <v>ACTIVE_DEX_UP</v>
      </c>
      <c r="AS432" s="25">
        <v>1</v>
      </c>
      <c r="BD432" s="25">
        <v>1</v>
      </c>
    </row>
    <row r="433" spans="1:56" hidden="1">
      <c r="A433" s="25">
        <v>428</v>
      </c>
      <c r="B433" s="25" t="str">
        <f>VLOOKUP(C433,'시스템이펙트 참고자료'!$A:$C,2,FALSE)</f>
        <v>ACTIVE_FOC_UP</v>
      </c>
      <c r="C433" s="25">
        <v>612</v>
      </c>
      <c r="D433" s="25">
        <f>VLOOKUP(C433,'시스템이펙트 참고자료'!$A:$D,4,FALSE)</f>
        <v>0</v>
      </c>
      <c r="E433" s="25">
        <v>0</v>
      </c>
      <c r="F433" s="25">
        <v>0</v>
      </c>
      <c r="G433" s="25">
        <f t="shared" si="34"/>
        <v>2</v>
      </c>
      <c r="H433" s="25" t="s">
        <v>395</v>
      </c>
      <c r="I433" s="25">
        <v>1</v>
      </c>
      <c r="J433" s="25" t="str">
        <f>VLOOKUP(C433,'시스템이펙트 참고자료'!$A:$C,3,FALSE)</f>
        <v>절대값/상대값(%) 가능</v>
      </c>
      <c r="K433" s="25">
        <v>8</v>
      </c>
      <c r="M433" s="25">
        <v>9</v>
      </c>
      <c r="N433" s="25">
        <f t="shared" si="33"/>
        <v>53</v>
      </c>
      <c r="O433" s="25">
        <v>1</v>
      </c>
      <c r="P433" s="25">
        <v>1</v>
      </c>
      <c r="Q433" s="25">
        <v>1</v>
      </c>
      <c r="R433" s="25">
        <v>1</v>
      </c>
      <c r="T433" s="25">
        <v>1</v>
      </c>
      <c r="AA433" s="25">
        <f t="shared" si="36"/>
        <v>128</v>
      </c>
      <c r="AK433" s="25">
        <v>1</v>
      </c>
      <c r="AM433" s="25">
        <v>53</v>
      </c>
      <c r="AN433" s="25">
        <v>100</v>
      </c>
      <c r="AP433" s="25">
        <f t="shared" si="35"/>
        <v>2</v>
      </c>
      <c r="AQ433" s="25" t="str">
        <f>VLOOKUP(C433,'시스템이펙트 참고자료'!$A:$B,2,FALSE)</f>
        <v>ACTIVE_FOC_UP</v>
      </c>
      <c r="AS433" s="25">
        <v>1</v>
      </c>
      <c r="BD433" s="25">
        <v>1</v>
      </c>
    </row>
    <row r="434" spans="1:56" hidden="1">
      <c r="A434" s="25">
        <v>429</v>
      </c>
      <c r="B434" s="25" t="str">
        <f>VLOOKUP(C434,'시스템이펙트 참고자료'!$A:$C,2,FALSE)</f>
        <v>ACTIVE_PHYSICAL_CRITICAL_DAMAGE_UP</v>
      </c>
      <c r="C434" s="25">
        <v>658</v>
      </c>
      <c r="D434" s="25">
        <f>VLOOKUP(C434,'시스템이펙트 참고자료'!$A:$D,4,FALSE)</f>
        <v>0</v>
      </c>
      <c r="E434" s="25">
        <v>0</v>
      </c>
      <c r="F434" s="25">
        <v>0</v>
      </c>
      <c r="G434" s="25">
        <f t="shared" si="34"/>
        <v>4</v>
      </c>
      <c r="H434" s="25" t="s">
        <v>395</v>
      </c>
      <c r="I434" s="25">
        <v>1</v>
      </c>
      <c r="J434" s="25" t="str">
        <f>VLOOKUP(C434,'시스템이펙트 참고자료'!$A:$C,3,FALSE)</f>
        <v>절대값만 가능</v>
      </c>
      <c r="K434" s="25">
        <v>8</v>
      </c>
      <c r="M434" s="25">
        <v>10</v>
      </c>
      <c r="N434" s="25">
        <f t="shared" si="33"/>
        <v>28</v>
      </c>
      <c r="O434" s="25">
        <v>1</v>
      </c>
      <c r="P434" s="25">
        <v>1</v>
      </c>
      <c r="Q434" s="25">
        <v>1</v>
      </c>
      <c r="R434" s="25">
        <v>1</v>
      </c>
      <c r="T434" s="25">
        <v>1</v>
      </c>
      <c r="AA434" s="25">
        <f t="shared" si="36"/>
        <v>128</v>
      </c>
      <c r="AK434" s="25">
        <v>1</v>
      </c>
      <c r="AM434" s="25">
        <v>28</v>
      </c>
      <c r="AN434" s="25">
        <v>100</v>
      </c>
      <c r="AP434" s="25">
        <f t="shared" si="35"/>
        <v>4</v>
      </c>
      <c r="AQ434" s="25" t="str">
        <f>VLOOKUP(C434,'시스템이펙트 참고자료'!$A:$B,2,FALSE)</f>
        <v>ACTIVE_PHYSICAL_CRITICAL_DAMAGE_UP</v>
      </c>
      <c r="AS434" s="25">
        <v>1</v>
      </c>
      <c r="BD434" s="25">
        <v>1</v>
      </c>
    </row>
    <row r="435" spans="1:56" hidden="1">
      <c r="A435" s="25">
        <v>430</v>
      </c>
      <c r="B435" s="25" t="str">
        <f>VLOOKUP(C435,'시스템이펙트 참고자료'!$A:$C,2,FALSE)</f>
        <v>ACTIVE_ENERGY_CRITICAL_DAMAGE_UP</v>
      </c>
      <c r="C435" s="25">
        <v>659</v>
      </c>
      <c r="D435" s="25">
        <f>VLOOKUP(C435,'시스템이펙트 참고자료'!$A:$D,4,FALSE)</f>
        <v>0</v>
      </c>
      <c r="E435" s="25">
        <v>0</v>
      </c>
      <c r="F435" s="25">
        <v>0</v>
      </c>
      <c r="G435" s="25">
        <f t="shared" si="34"/>
        <v>4</v>
      </c>
      <c r="H435" s="25" t="s">
        <v>395</v>
      </c>
      <c r="I435" s="25">
        <v>1</v>
      </c>
      <c r="J435" s="25" t="str">
        <f>VLOOKUP(C435,'시스템이펙트 참고자료'!$A:$C,3,FALSE)</f>
        <v>절대값만 가능</v>
      </c>
      <c r="K435" s="25">
        <v>8</v>
      </c>
      <c r="M435" s="25">
        <v>10</v>
      </c>
      <c r="N435" s="25">
        <f t="shared" si="33"/>
        <v>32</v>
      </c>
      <c r="O435" s="25">
        <v>1</v>
      </c>
      <c r="P435" s="25">
        <v>1</v>
      </c>
      <c r="Q435" s="25">
        <v>1</v>
      </c>
      <c r="R435" s="25">
        <v>1</v>
      </c>
      <c r="T435" s="25">
        <v>1</v>
      </c>
      <c r="AA435" s="25">
        <f t="shared" si="36"/>
        <v>128</v>
      </c>
      <c r="AK435" s="25">
        <v>1</v>
      </c>
      <c r="AM435" s="25">
        <v>32</v>
      </c>
      <c r="AN435" s="25">
        <v>100</v>
      </c>
      <c r="AP435" s="25">
        <f t="shared" si="35"/>
        <v>4</v>
      </c>
      <c r="AQ435" s="25" t="str">
        <f>VLOOKUP(C435,'시스템이펙트 참고자료'!$A:$B,2,FALSE)</f>
        <v>ACTIVE_ENERGY_CRITICAL_DAMAGE_UP</v>
      </c>
      <c r="AS435" s="25">
        <v>1</v>
      </c>
      <c r="BD435" s="25">
        <v>1</v>
      </c>
    </row>
    <row r="436" spans="1:56" hidden="1">
      <c r="A436" s="25">
        <v>431</v>
      </c>
      <c r="B436" s="25" t="str">
        <f>VLOOKUP(C436,'시스템이펙트 참고자료'!$A:$C,2,FALSE)</f>
        <v>ACTIVE_DEX_UP</v>
      </c>
      <c r="C436" s="25">
        <v>613</v>
      </c>
      <c r="D436" s="25">
        <f>VLOOKUP(C436,'시스템이펙트 참고자료'!$A:$D,4,FALSE)</f>
        <v>0</v>
      </c>
      <c r="E436" s="25">
        <v>0</v>
      </c>
      <c r="F436" s="25">
        <v>0</v>
      </c>
      <c r="G436" s="25">
        <f t="shared" si="34"/>
        <v>3</v>
      </c>
      <c r="H436" s="25" t="s">
        <v>395</v>
      </c>
      <c r="I436" s="25">
        <v>1</v>
      </c>
      <c r="J436" s="25" t="str">
        <f>VLOOKUP(C436,'시스템이펙트 참고자료'!$A:$C,3,FALSE)</f>
        <v>절대값/상대값(%) 가능</v>
      </c>
      <c r="K436" s="25">
        <v>8</v>
      </c>
      <c r="M436" s="25">
        <v>10</v>
      </c>
      <c r="N436" s="25">
        <f t="shared" si="33"/>
        <v>44</v>
      </c>
      <c r="O436" s="25">
        <v>1</v>
      </c>
      <c r="P436" s="25">
        <v>1</v>
      </c>
      <c r="Q436" s="25">
        <v>1</v>
      </c>
      <c r="R436" s="25">
        <v>1</v>
      </c>
      <c r="T436" s="25">
        <v>1</v>
      </c>
      <c r="AA436" s="25">
        <f t="shared" si="36"/>
        <v>128</v>
      </c>
      <c r="AK436" s="25">
        <v>1</v>
      </c>
      <c r="AM436" s="25">
        <v>44</v>
      </c>
      <c r="AN436" s="25">
        <v>100</v>
      </c>
      <c r="AP436" s="25">
        <f t="shared" si="35"/>
        <v>3</v>
      </c>
      <c r="AQ436" s="25" t="str">
        <f>VLOOKUP(C436,'시스템이펙트 참고자료'!$A:$B,2,FALSE)</f>
        <v>ACTIVE_DEX_UP</v>
      </c>
      <c r="AS436" s="25">
        <v>1</v>
      </c>
      <c r="BD436" s="25">
        <v>1</v>
      </c>
    </row>
    <row r="437" spans="1:56" hidden="1">
      <c r="A437" s="25">
        <v>432</v>
      </c>
      <c r="B437" s="25" t="str">
        <f>VLOOKUP(C437,'시스템이펙트 참고자료'!$A:$C,2,FALSE)</f>
        <v>ACTIVE_ATTACK_SPEED_UP</v>
      </c>
      <c r="C437" s="25">
        <v>617</v>
      </c>
      <c r="D437" s="25">
        <f>VLOOKUP(C437,'시스템이펙트 참고자료'!$A:$D,4,FALSE)</f>
        <v>1</v>
      </c>
      <c r="E437" s="25">
        <v>0</v>
      </c>
      <c r="F437" s="25">
        <v>0</v>
      </c>
      <c r="G437" s="25">
        <f t="shared" si="34"/>
        <v>10</v>
      </c>
      <c r="H437" s="25" t="s">
        <v>395</v>
      </c>
      <c r="I437" s="25">
        <v>1</v>
      </c>
      <c r="J437" s="25" t="str">
        <f>VLOOKUP(C437,'시스템이펙트 참고자료'!$A:$C,3,FALSE)</f>
        <v>절대값/상대값(%) 가능</v>
      </c>
      <c r="K437" s="25">
        <v>8</v>
      </c>
      <c r="M437" s="25">
        <v>10</v>
      </c>
      <c r="N437" s="25">
        <f t="shared" si="33"/>
        <v>10</v>
      </c>
      <c r="O437" s="25">
        <v>1</v>
      </c>
      <c r="P437" s="25">
        <v>1</v>
      </c>
      <c r="Q437" s="25">
        <v>1</v>
      </c>
      <c r="R437" s="25">
        <v>1</v>
      </c>
      <c r="T437" s="25">
        <v>1</v>
      </c>
      <c r="AA437" s="25">
        <f t="shared" si="36"/>
        <v>128</v>
      </c>
      <c r="AK437" s="25">
        <v>1</v>
      </c>
      <c r="AM437" s="25">
        <v>10</v>
      </c>
      <c r="AN437" s="25">
        <v>100</v>
      </c>
      <c r="AP437" s="25">
        <f t="shared" si="35"/>
        <v>10</v>
      </c>
      <c r="AQ437" s="25" t="str">
        <f>VLOOKUP(C437,'시스템이펙트 참고자료'!$A:$B,2,FALSE)</f>
        <v>ACTIVE_ATTACK_SPEED_UP</v>
      </c>
      <c r="AS437" s="25">
        <v>1</v>
      </c>
      <c r="BD437" s="25">
        <v>1</v>
      </c>
    </row>
    <row r="438" spans="1:56" hidden="1">
      <c r="A438" s="25">
        <v>433</v>
      </c>
      <c r="B438" s="25" t="str">
        <f>VLOOKUP(C438,'시스템이펙트 참고자료'!$A:$C,2,FALSE)</f>
        <v>ACTIVE_STR_UP</v>
      </c>
      <c r="C438" s="25">
        <v>610</v>
      </c>
      <c r="D438" s="25">
        <f>VLOOKUP(C438,'시스템이펙트 참고자료'!$A:$D,4,FALSE)</f>
        <v>0</v>
      </c>
      <c r="E438" s="25">
        <v>0</v>
      </c>
      <c r="F438" s="25">
        <v>0</v>
      </c>
      <c r="G438" s="25">
        <f t="shared" si="34"/>
        <v>2</v>
      </c>
      <c r="H438" s="25" t="s">
        <v>395</v>
      </c>
      <c r="I438" s="25">
        <v>1</v>
      </c>
      <c r="J438" s="25" t="str">
        <f>VLOOKUP(C438,'시스템이펙트 참고자료'!$A:$C,3,FALSE)</f>
        <v>절대값/상대값(%) 가능</v>
      </c>
      <c r="K438" s="25">
        <v>8</v>
      </c>
      <c r="M438" s="25">
        <v>11</v>
      </c>
      <c r="N438" s="25">
        <f t="shared" si="33"/>
        <v>57</v>
      </c>
      <c r="O438" s="25">
        <v>1</v>
      </c>
      <c r="P438" s="25">
        <v>1</v>
      </c>
      <c r="Q438" s="25">
        <v>1</v>
      </c>
      <c r="R438" s="25">
        <v>1</v>
      </c>
      <c r="T438" s="25">
        <v>1</v>
      </c>
      <c r="AA438" s="25">
        <f t="shared" si="36"/>
        <v>128</v>
      </c>
      <c r="AK438" s="25">
        <v>1</v>
      </c>
      <c r="AM438" s="25">
        <v>57</v>
      </c>
      <c r="AN438" s="25">
        <v>100</v>
      </c>
      <c r="AP438" s="25">
        <f t="shared" si="35"/>
        <v>2</v>
      </c>
      <c r="AQ438" s="25" t="str">
        <f>VLOOKUP(C438,'시스템이펙트 참고자료'!$A:$B,2,FALSE)</f>
        <v>ACTIVE_STR_UP</v>
      </c>
      <c r="AS438" s="25">
        <v>1</v>
      </c>
      <c r="BD438" s="25">
        <v>1</v>
      </c>
    </row>
    <row r="439" spans="1:56" hidden="1">
      <c r="A439" s="25">
        <v>434</v>
      </c>
      <c r="B439" s="25" t="str">
        <f>VLOOKUP(C439,'시스템이펙트 참고자료'!$A:$C,2,FALSE)</f>
        <v>ACTIVE_CON_UP</v>
      </c>
      <c r="C439" s="25">
        <v>611</v>
      </c>
      <c r="D439" s="25">
        <f>VLOOKUP(C439,'시스템이펙트 참고자료'!$A:$D,4,FALSE)</f>
        <v>0</v>
      </c>
      <c r="E439" s="25">
        <v>0</v>
      </c>
      <c r="F439" s="25">
        <v>0</v>
      </c>
      <c r="G439" s="25">
        <f t="shared" si="34"/>
        <v>3</v>
      </c>
      <c r="H439" s="25" t="s">
        <v>395</v>
      </c>
      <c r="I439" s="25">
        <v>1</v>
      </c>
      <c r="J439" s="25" t="str">
        <f>VLOOKUP(C439,'시스템이펙트 참고자료'!$A:$C,3,FALSE)</f>
        <v>절대값/상대값(%) 가능</v>
      </c>
      <c r="K439" s="25">
        <v>8</v>
      </c>
      <c r="M439" s="25">
        <v>11</v>
      </c>
      <c r="N439" s="25">
        <f t="shared" si="33"/>
        <v>48</v>
      </c>
      <c r="O439" s="25">
        <v>1</v>
      </c>
      <c r="P439" s="25">
        <v>1</v>
      </c>
      <c r="Q439" s="25">
        <v>1</v>
      </c>
      <c r="R439" s="25">
        <v>1</v>
      </c>
      <c r="T439" s="25">
        <v>1</v>
      </c>
      <c r="AA439" s="25">
        <f t="shared" si="36"/>
        <v>128</v>
      </c>
      <c r="AK439" s="25">
        <v>1</v>
      </c>
      <c r="AM439" s="25">
        <v>48</v>
      </c>
      <c r="AN439" s="25">
        <v>100</v>
      </c>
      <c r="AP439" s="25">
        <f t="shared" si="35"/>
        <v>3</v>
      </c>
      <c r="AQ439" s="25" t="str">
        <f>VLOOKUP(C439,'시스템이펙트 참고자료'!$A:$B,2,FALSE)</f>
        <v>ACTIVE_CON_UP</v>
      </c>
      <c r="AS439" s="25">
        <v>1</v>
      </c>
      <c r="BD439" s="25">
        <v>1</v>
      </c>
    </row>
    <row r="440" spans="1:56" hidden="1">
      <c r="A440" s="25">
        <v>435</v>
      </c>
      <c r="B440" s="25" t="str">
        <f>VLOOKUP(C440,'시스템이펙트 참고자료'!$A:$C,2,FALSE)</f>
        <v>ACTIVE_FOC_UP</v>
      </c>
      <c r="C440" s="25">
        <v>612</v>
      </c>
      <c r="D440" s="25">
        <f>VLOOKUP(C440,'시스템이펙트 참고자료'!$A:$D,4,FALSE)</f>
        <v>0</v>
      </c>
      <c r="E440" s="25">
        <v>0</v>
      </c>
      <c r="F440" s="25">
        <v>0</v>
      </c>
      <c r="G440" s="25">
        <f t="shared" si="34"/>
        <v>2</v>
      </c>
      <c r="H440" s="25" t="s">
        <v>395</v>
      </c>
      <c r="I440" s="25">
        <v>1</v>
      </c>
      <c r="J440" s="25" t="str">
        <f>VLOOKUP(C440,'시스템이펙트 참고자료'!$A:$C,3,FALSE)</f>
        <v>절대값/상대값(%) 가능</v>
      </c>
      <c r="K440" s="25">
        <v>8</v>
      </c>
      <c r="M440" s="25">
        <v>11</v>
      </c>
      <c r="N440" s="25">
        <f t="shared" si="33"/>
        <v>53</v>
      </c>
      <c r="O440" s="25">
        <v>1</v>
      </c>
      <c r="P440" s="25">
        <v>1</v>
      </c>
      <c r="Q440" s="25">
        <v>1</v>
      </c>
      <c r="R440" s="25">
        <v>1</v>
      </c>
      <c r="T440" s="25">
        <v>1</v>
      </c>
      <c r="AA440" s="25">
        <f t="shared" si="36"/>
        <v>128</v>
      </c>
      <c r="AK440" s="25">
        <v>1</v>
      </c>
      <c r="AM440" s="25">
        <v>53</v>
      </c>
      <c r="AN440" s="25">
        <v>100</v>
      </c>
      <c r="AP440" s="25">
        <f t="shared" si="35"/>
        <v>2</v>
      </c>
      <c r="AQ440" s="25" t="str">
        <f>VLOOKUP(C440,'시스템이펙트 참고자료'!$A:$B,2,FALSE)</f>
        <v>ACTIVE_FOC_UP</v>
      </c>
      <c r="AS440" s="25">
        <v>1</v>
      </c>
      <c r="BD440" s="25">
        <v>1</v>
      </c>
    </row>
    <row r="441" spans="1:56" hidden="1">
      <c r="A441" s="25">
        <v>436</v>
      </c>
      <c r="B441" s="25" t="str">
        <f>VLOOKUP(C441,'시스템이펙트 참고자료'!$A:$C,2,FALSE)</f>
        <v>ACTIVE_DEX_UP</v>
      </c>
      <c r="C441" s="25">
        <v>613</v>
      </c>
      <c r="D441" s="25">
        <f>VLOOKUP(C441,'시스템이펙트 참고자료'!$A:$D,4,FALSE)</f>
        <v>0</v>
      </c>
      <c r="E441" s="25">
        <v>0</v>
      </c>
      <c r="F441" s="25">
        <v>0</v>
      </c>
      <c r="G441" s="25">
        <f t="shared" si="34"/>
        <v>3</v>
      </c>
      <c r="H441" s="25" t="s">
        <v>395</v>
      </c>
      <c r="I441" s="25">
        <v>1</v>
      </c>
      <c r="J441" s="25" t="str">
        <f>VLOOKUP(C441,'시스템이펙트 참고자료'!$A:$C,3,FALSE)</f>
        <v>절대값/상대값(%) 가능</v>
      </c>
      <c r="K441" s="25">
        <v>8</v>
      </c>
      <c r="M441" s="25">
        <v>11</v>
      </c>
      <c r="N441" s="25">
        <f t="shared" si="33"/>
        <v>44</v>
      </c>
      <c r="O441" s="25">
        <v>1</v>
      </c>
      <c r="P441" s="25">
        <v>1</v>
      </c>
      <c r="Q441" s="25">
        <v>1</v>
      </c>
      <c r="R441" s="25">
        <v>1</v>
      </c>
      <c r="T441" s="25">
        <v>1</v>
      </c>
      <c r="AA441" s="25">
        <f t="shared" si="36"/>
        <v>128</v>
      </c>
      <c r="AK441" s="25">
        <v>1</v>
      </c>
      <c r="AM441" s="25">
        <v>44</v>
      </c>
      <c r="AN441" s="25">
        <v>100</v>
      </c>
      <c r="AP441" s="25">
        <f t="shared" si="35"/>
        <v>3</v>
      </c>
      <c r="AQ441" s="25" t="str">
        <f>VLOOKUP(C441,'시스템이펙트 참고자료'!$A:$B,2,FALSE)</f>
        <v>ACTIVE_DEX_UP</v>
      </c>
      <c r="AS441" s="25">
        <v>1</v>
      </c>
      <c r="BD441" s="25">
        <v>1</v>
      </c>
    </row>
    <row r="442" spans="1:56" hidden="1">
      <c r="A442" s="25">
        <v>437</v>
      </c>
      <c r="B442" s="25" t="str">
        <f>VLOOKUP(C442,'시스템이펙트 참고자료'!$A:$C,2,FALSE)</f>
        <v>ACTIVE_SOL_UP</v>
      </c>
      <c r="C442" s="25">
        <v>614</v>
      </c>
      <c r="D442" s="25">
        <f>VLOOKUP(C442,'시스템이펙트 참고자료'!$A:$D,4,FALSE)</f>
        <v>0</v>
      </c>
      <c r="E442" s="25">
        <v>0</v>
      </c>
      <c r="F442" s="25">
        <v>0</v>
      </c>
      <c r="G442" s="25">
        <f t="shared" si="34"/>
        <v>2</v>
      </c>
      <c r="H442" s="25" t="s">
        <v>395</v>
      </c>
      <c r="I442" s="25">
        <v>1</v>
      </c>
      <c r="J442" s="25" t="str">
        <f>VLOOKUP(C442,'시스템이펙트 참고자료'!$A:$C,3,FALSE)</f>
        <v>절대값/상대값(%) 가능</v>
      </c>
      <c r="K442" s="25">
        <v>8</v>
      </c>
      <c r="M442" s="25">
        <v>11</v>
      </c>
      <c r="N442" s="25">
        <f t="shared" si="33"/>
        <v>53</v>
      </c>
      <c r="O442" s="25">
        <v>1</v>
      </c>
      <c r="P442" s="25">
        <v>1</v>
      </c>
      <c r="Q442" s="25">
        <v>1</v>
      </c>
      <c r="R442" s="25">
        <v>1</v>
      </c>
      <c r="T442" s="25">
        <v>1</v>
      </c>
      <c r="AA442" s="25">
        <f t="shared" si="36"/>
        <v>128</v>
      </c>
      <c r="AK442" s="25">
        <v>1</v>
      </c>
      <c r="AM442" s="25">
        <v>53</v>
      </c>
      <c r="AN442" s="25">
        <v>100</v>
      </c>
      <c r="AP442" s="25">
        <f t="shared" si="35"/>
        <v>2</v>
      </c>
      <c r="AQ442" s="25" t="str">
        <f>VLOOKUP(C442,'시스템이펙트 참고자료'!$A:$B,2,FALSE)</f>
        <v>ACTIVE_SOL_UP</v>
      </c>
      <c r="AS442" s="25">
        <v>1</v>
      </c>
      <c r="BD442" s="25">
        <v>1</v>
      </c>
    </row>
    <row r="443" spans="1:56" hidden="1">
      <c r="A443" s="25">
        <v>438</v>
      </c>
      <c r="B443" s="25" t="str">
        <f>VLOOKUP(C443,'시스템이펙트 참고자료'!$A:$C,2,FALSE)</f>
        <v>ACTIVE_ENG_UP</v>
      </c>
      <c r="C443" s="25">
        <v>615</v>
      </c>
      <c r="D443" s="25">
        <f>VLOOKUP(C443,'시스템이펙트 참고자료'!$A:$D,4,FALSE)</f>
        <v>0</v>
      </c>
      <c r="E443" s="25">
        <v>0</v>
      </c>
      <c r="F443" s="25">
        <v>0</v>
      </c>
      <c r="G443" s="25">
        <f t="shared" si="34"/>
        <v>2</v>
      </c>
      <c r="H443" s="25" t="s">
        <v>395</v>
      </c>
      <c r="I443" s="25">
        <v>1</v>
      </c>
      <c r="J443" s="25" t="str">
        <f>VLOOKUP(C443,'시스템이펙트 참고자료'!$A:$C,3,FALSE)</f>
        <v>절대값/상대값(%) 가능</v>
      </c>
      <c r="K443" s="25">
        <v>8</v>
      </c>
      <c r="M443" s="25">
        <v>11</v>
      </c>
      <c r="N443" s="25">
        <f t="shared" si="33"/>
        <v>62</v>
      </c>
      <c r="O443" s="25">
        <v>1</v>
      </c>
      <c r="P443" s="25">
        <v>1</v>
      </c>
      <c r="Q443" s="25">
        <v>1</v>
      </c>
      <c r="R443" s="25">
        <v>1</v>
      </c>
      <c r="T443" s="25">
        <v>1</v>
      </c>
      <c r="AA443" s="25">
        <f t="shared" si="36"/>
        <v>128</v>
      </c>
      <c r="AK443" s="25">
        <v>1</v>
      </c>
      <c r="AM443" s="25">
        <v>62</v>
      </c>
      <c r="AN443" s="25">
        <v>100</v>
      </c>
      <c r="AP443" s="25">
        <f t="shared" si="35"/>
        <v>2</v>
      </c>
      <c r="AQ443" s="25" t="str">
        <f>VLOOKUP(C443,'시스템이펙트 참고자료'!$A:$B,2,FALSE)</f>
        <v>ACTIVE_ENG_UP</v>
      </c>
      <c r="AS443" s="25">
        <v>1</v>
      </c>
      <c r="BD443" s="25">
        <v>1</v>
      </c>
    </row>
    <row r="444" spans="1:56" hidden="1">
      <c r="A444" s="25">
        <v>439</v>
      </c>
      <c r="B444" s="25" t="str">
        <f>VLOOKUP(C444,'시스템이펙트 참고자료'!$A:$C,2,FALSE)</f>
        <v>ACTIVE_PHYSICAL_DEFENCE_UP</v>
      </c>
      <c r="C444" s="25">
        <v>608</v>
      </c>
      <c r="D444" s="25">
        <f>VLOOKUP(C444,'시스템이펙트 참고자료'!$A:$D,4,FALSE)</f>
        <v>0</v>
      </c>
      <c r="E444" s="25">
        <v>0</v>
      </c>
      <c r="F444" s="25">
        <v>0</v>
      </c>
      <c r="G444" s="25">
        <f t="shared" si="34"/>
        <v>1</v>
      </c>
      <c r="H444" s="25" t="s">
        <v>395</v>
      </c>
      <c r="I444" s="25">
        <v>1</v>
      </c>
      <c r="J444" s="25" t="str">
        <f>VLOOKUP(C444,'시스템이펙트 참고자료'!$A:$C,3,FALSE)</f>
        <v>절대값/상대값(%) 가능</v>
      </c>
      <c r="K444" s="25">
        <v>8</v>
      </c>
      <c r="M444" s="25">
        <v>12</v>
      </c>
      <c r="N444" s="25">
        <f t="shared" si="33"/>
        <v>1350</v>
      </c>
      <c r="O444" s="25">
        <v>1</v>
      </c>
      <c r="P444" s="25">
        <v>1</v>
      </c>
      <c r="Q444" s="25">
        <v>1</v>
      </c>
      <c r="R444" s="25">
        <v>1</v>
      </c>
      <c r="T444" s="25">
        <v>1</v>
      </c>
      <c r="AA444" s="25">
        <f t="shared" si="36"/>
        <v>128</v>
      </c>
      <c r="AK444" s="25">
        <v>1</v>
      </c>
      <c r="AM444" s="25">
        <v>1350</v>
      </c>
      <c r="AN444" s="25">
        <v>100</v>
      </c>
      <c r="AP444" s="25">
        <f t="shared" si="35"/>
        <v>1</v>
      </c>
      <c r="AQ444" s="25" t="str">
        <f>VLOOKUP(C444,'시스템이펙트 참고자료'!$A:$B,2,FALSE)</f>
        <v>ACTIVE_PHYSICAL_DEFENCE_UP</v>
      </c>
      <c r="AS444" s="25">
        <v>1</v>
      </c>
      <c r="BD444" s="25">
        <v>1</v>
      </c>
    </row>
    <row r="445" spans="1:56" hidden="1">
      <c r="A445" s="25">
        <v>440</v>
      </c>
      <c r="B445" s="25" t="str">
        <f>VLOOKUP(C445,'시스템이펙트 참고자료'!$A:$C,2,FALSE)</f>
        <v>ACTIVE_BLOCK_RATE_UP</v>
      </c>
      <c r="C445" s="25">
        <v>620</v>
      </c>
      <c r="D445" s="25">
        <f>VLOOKUP(C445,'시스템이펙트 참고자료'!$A:$D,4,FALSE)</f>
        <v>0</v>
      </c>
      <c r="E445" s="25">
        <v>0</v>
      </c>
      <c r="F445" s="25">
        <v>0</v>
      </c>
      <c r="G445" s="25">
        <f t="shared" si="34"/>
        <v>1</v>
      </c>
      <c r="H445" s="25" t="s">
        <v>395</v>
      </c>
      <c r="I445" s="25">
        <v>1</v>
      </c>
      <c r="J445" s="25" t="str">
        <f>VLOOKUP(C445,'시스템이펙트 참고자료'!$A:$C,3,FALSE)</f>
        <v>절대값/상대값(%) 가능</v>
      </c>
      <c r="K445" s="25">
        <v>8</v>
      </c>
      <c r="M445" s="25">
        <v>12</v>
      </c>
      <c r="N445" s="25">
        <f t="shared" si="33"/>
        <v>352</v>
      </c>
      <c r="O445" s="25">
        <v>1</v>
      </c>
      <c r="P445" s="25">
        <v>1</v>
      </c>
      <c r="Q445" s="25">
        <v>1</v>
      </c>
      <c r="R445" s="25">
        <v>1</v>
      </c>
      <c r="T445" s="25">
        <v>1</v>
      </c>
      <c r="AA445" s="25">
        <f t="shared" si="36"/>
        <v>128</v>
      </c>
      <c r="AK445" s="25">
        <v>1</v>
      </c>
      <c r="AM445" s="25">
        <v>352</v>
      </c>
      <c r="AN445" s="25">
        <v>100</v>
      </c>
      <c r="AP445" s="25">
        <f t="shared" si="35"/>
        <v>1</v>
      </c>
      <c r="AQ445" s="25" t="str">
        <f>VLOOKUP(C445,'시스템이펙트 참고자료'!$A:$B,2,FALSE)</f>
        <v>ACTIVE_BLOCK_RATE_UP</v>
      </c>
      <c r="AS445" s="25">
        <v>1</v>
      </c>
      <c r="BD445" s="25">
        <v>1</v>
      </c>
    </row>
    <row r="446" spans="1:56" hidden="1">
      <c r="A446" s="25">
        <v>441</v>
      </c>
      <c r="B446" s="25" t="str">
        <f>VLOOKUP(C446,'시스템이펙트 참고자료'!$A:$C,2,FALSE)</f>
        <v>ACTIVE_CON_UP</v>
      </c>
      <c r="C446" s="25">
        <v>611</v>
      </c>
      <c r="D446" s="25">
        <f>VLOOKUP(C446,'시스템이펙트 참고자료'!$A:$D,4,FALSE)</f>
        <v>0</v>
      </c>
      <c r="E446" s="25">
        <v>0</v>
      </c>
      <c r="F446" s="25">
        <v>0</v>
      </c>
      <c r="G446" s="25">
        <f t="shared" si="34"/>
        <v>3</v>
      </c>
      <c r="H446" s="25" t="s">
        <v>395</v>
      </c>
      <c r="I446" s="25">
        <v>1</v>
      </c>
      <c r="J446" s="25" t="str">
        <f>VLOOKUP(C446,'시스템이펙트 참고자료'!$A:$C,3,FALSE)</f>
        <v>절대값/상대값(%) 가능</v>
      </c>
      <c r="K446" s="25">
        <v>8</v>
      </c>
      <c r="M446" s="25">
        <v>12</v>
      </c>
      <c r="N446" s="25">
        <f t="shared" si="33"/>
        <v>48</v>
      </c>
      <c r="O446" s="25">
        <v>1</v>
      </c>
      <c r="P446" s="25">
        <v>1</v>
      </c>
      <c r="Q446" s="25">
        <v>1</v>
      </c>
      <c r="R446" s="25">
        <v>1</v>
      </c>
      <c r="T446" s="25">
        <v>1</v>
      </c>
      <c r="AA446" s="25">
        <f t="shared" si="36"/>
        <v>128</v>
      </c>
      <c r="AK446" s="25">
        <v>1</v>
      </c>
      <c r="AM446" s="25">
        <v>48</v>
      </c>
      <c r="AN446" s="25">
        <v>100</v>
      </c>
      <c r="AP446" s="25">
        <f t="shared" si="35"/>
        <v>3</v>
      </c>
      <c r="AQ446" s="25" t="str">
        <f>VLOOKUP(C446,'시스템이펙트 참고자료'!$A:$B,2,FALSE)</f>
        <v>ACTIVE_CON_UP</v>
      </c>
      <c r="AS446" s="25">
        <v>1</v>
      </c>
      <c r="BD446" s="25">
        <v>1</v>
      </c>
    </row>
    <row r="447" spans="1:56" hidden="1">
      <c r="A447" s="25">
        <v>442</v>
      </c>
      <c r="B447" s="25" t="str">
        <f>VLOOKUP(C447,'시스템이펙트 참고자료'!$A:$C,2,FALSE)</f>
        <v>ACTIVE_FOC_UP</v>
      </c>
      <c r="C447" s="25">
        <v>612</v>
      </c>
      <c r="D447" s="25">
        <f>VLOOKUP(C447,'시스템이펙트 참고자료'!$A:$D,4,FALSE)</f>
        <v>0</v>
      </c>
      <c r="E447" s="25">
        <v>0</v>
      </c>
      <c r="F447" s="25">
        <v>0</v>
      </c>
      <c r="G447" s="25">
        <f t="shared" si="34"/>
        <v>2</v>
      </c>
      <c r="H447" s="25" t="s">
        <v>395</v>
      </c>
      <c r="I447" s="25">
        <v>1</v>
      </c>
      <c r="J447" s="25" t="str">
        <f>VLOOKUP(C447,'시스템이펙트 참고자료'!$A:$C,3,FALSE)</f>
        <v>절대값/상대값(%) 가능</v>
      </c>
      <c r="K447" s="25">
        <v>8</v>
      </c>
      <c r="M447" s="25">
        <v>12</v>
      </c>
      <c r="N447" s="25">
        <f t="shared" si="33"/>
        <v>53</v>
      </c>
      <c r="O447" s="25">
        <v>1</v>
      </c>
      <c r="P447" s="25">
        <v>1</v>
      </c>
      <c r="Q447" s="25">
        <v>1</v>
      </c>
      <c r="R447" s="25">
        <v>1</v>
      </c>
      <c r="T447" s="25">
        <v>1</v>
      </c>
      <c r="AA447" s="25">
        <f t="shared" si="36"/>
        <v>128</v>
      </c>
      <c r="AK447" s="25">
        <v>1</v>
      </c>
      <c r="AM447" s="25">
        <v>53</v>
      </c>
      <c r="AN447" s="25">
        <v>100</v>
      </c>
      <c r="AP447" s="25">
        <f t="shared" si="35"/>
        <v>2</v>
      </c>
      <c r="AQ447" s="25" t="str">
        <f>VLOOKUP(C447,'시스템이펙트 참고자료'!$A:$B,2,FALSE)</f>
        <v>ACTIVE_FOC_UP</v>
      </c>
      <c r="AS447" s="25">
        <v>1</v>
      </c>
      <c r="BD447" s="25">
        <v>1</v>
      </c>
    </row>
    <row r="448" spans="1:56" hidden="1">
      <c r="A448" s="25">
        <v>443</v>
      </c>
      <c r="B448" s="25" t="str">
        <f>VLOOKUP(C448,'시스템이펙트 참고자료'!$A:$C,2,FALSE)</f>
        <v>ACTIVE_PHYSICAL_OFFENCE_UP</v>
      </c>
      <c r="C448" s="25">
        <v>606</v>
      </c>
      <c r="D448" s="25">
        <f>VLOOKUP(C448,'시스템이펙트 참고자료'!$A:$D,4,FALSE)</f>
        <v>0</v>
      </c>
      <c r="E448" s="25">
        <v>0</v>
      </c>
      <c r="F448" s="25">
        <v>0</v>
      </c>
      <c r="G448" s="25">
        <f t="shared" ref="G448:G501" si="37">IF(N448&gt;0,INT(100/N448+0.99),0)</f>
        <v>1</v>
      </c>
      <c r="H448" s="25" t="s">
        <v>395</v>
      </c>
      <c r="I448" s="25">
        <v>1</v>
      </c>
      <c r="J448" s="25" t="str">
        <f>VLOOKUP(C448,'시스템이펙트 참고자료'!$A:$C,3,FALSE)</f>
        <v>절대값/상대값(%) 가능</v>
      </c>
      <c r="K448" s="25">
        <v>9</v>
      </c>
      <c r="M448" s="25">
        <v>1</v>
      </c>
      <c r="N448" s="25">
        <f t="shared" si="33"/>
        <v>125</v>
      </c>
      <c r="O448" s="25">
        <v>1</v>
      </c>
      <c r="P448" s="25">
        <v>1</v>
      </c>
      <c r="Q448" s="25">
        <v>1</v>
      </c>
      <c r="R448" s="25">
        <v>1</v>
      </c>
      <c r="T448" s="25">
        <v>1</v>
      </c>
      <c r="AA448" s="25">
        <f t="shared" si="36"/>
        <v>128</v>
      </c>
      <c r="AK448" s="25">
        <v>1</v>
      </c>
      <c r="AM448" s="25">
        <v>125</v>
      </c>
      <c r="AN448" s="25">
        <v>100</v>
      </c>
      <c r="AP448" s="25">
        <f t="shared" ref="AP448:AP501" si="38">INT(100/N448+0.99)</f>
        <v>1</v>
      </c>
      <c r="AQ448" s="25" t="str">
        <f>VLOOKUP(C448,'시스템이펙트 참고자료'!$A:$B,2,FALSE)</f>
        <v>ACTIVE_PHYSICAL_OFFENCE_UP</v>
      </c>
      <c r="AS448" s="25">
        <v>1</v>
      </c>
      <c r="BD448" s="25">
        <v>1</v>
      </c>
    </row>
    <row r="449" spans="1:56" hidden="1">
      <c r="A449" s="25">
        <v>444</v>
      </c>
      <c r="B449" s="25" t="str">
        <f>VLOOKUP(C449,'시스템이펙트 참고자료'!$A:$C,2,FALSE)</f>
        <v>ACTIVE_STR_UP</v>
      </c>
      <c r="C449" s="25">
        <v>610</v>
      </c>
      <c r="D449" s="25">
        <f>VLOOKUP(C449,'시스템이펙트 참고자료'!$A:$D,4,FALSE)</f>
        <v>0</v>
      </c>
      <c r="E449" s="25">
        <v>0</v>
      </c>
      <c r="F449" s="25">
        <v>0</v>
      </c>
      <c r="G449" s="25">
        <f t="shared" si="37"/>
        <v>2</v>
      </c>
      <c r="H449" s="25" t="s">
        <v>395</v>
      </c>
      <c r="I449" s="25">
        <v>1</v>
      </c>
      <c r="J449" s="25" t="str">
        <f>VLOOKUP(C449,'시스템이펙트 참고자료'!$A:$C,3,FALSE)</f>
        <v>절대값/상대값(%) 가능</v>
      </c>
      <c r="K449" s="25">
        <v>9</v>
      </c>
      <c r="M449" s="25">
        <v>1</v>
      </c>
      <c r="N449" s="25">
        <f t="shared" si="33"/>
        <v>57</v>
      </c>
      <c r="O449" s="25">
        <v>1</v>
      </c>
      <c r="P449" s="25">
        <v>1</v>
      </c>
      <c r="Q449" s="25">
        <v>1</v>
      </c>
      <c r="R449" s="25">
        <v>1</v>
      </c>
      <c r="T449" s="25">
        <v>1</v>
      </c>
      <c r="AA449" s="25">
        <f t="shared" si="36"/>
        <v>128</v>
      </c>
      <c r="AK449" s="25">
        <v>1</v>
      </c>
      <c r="AM449" s="25">
        <v>57</v>
      </c>
      <c r="AN449" s="25">
        <v>100</v>
      </c>
      <c r="AP449" s="25">
        <f t="shared" si="38"/>
        <v>2</v>
      </c>
      <c r="AQ449" s="25" t="str">
        <f>VLOOKUP(C449,'시스템이펙트 참고자료'!$A:$B,2,FALSE)</f>
        <v>ACTIVE_STR_UP</v>
      </c>
      <c r="AS449" s="25">
        <v>1</v>
      </c>
      <c r="BD449" s="25">
        <v>1</v>
      </c>
    </row>
    <row r="450" spans="1:56" hidden="1">
      <c r="A450" s="25">
        <v>445</v>
      </c>
      <c r="B450" s="25" t="str">
        <f>VLOOKUP(C450,'시스템이펙트 참고자료'!$A:$C,2,FALSE)</f>
        <v>ACTIVE_DEX_UP</v>
      </c>
      <c r="C450" s="25">
        <v>613</v>
      </c>
      <c r="D450" s="25">
        <f>VLOOKUP(C450,'시스템이펙트 참고자료'!$A:$D,4,FALSE)</f>
        <v>0</v>
      </c>
      <c r="E450" s="25">
        <v>0</v>
      </c>
      <c r="F450" s="25">
        <v>0</v>
      </c>
      <c r="G450" s="25">
        <f t="shared" si="37"/>
        <v>3</v>
      </c>
      <c r="H450" s="25" t="s">
        <v>395</v>
      </c>
      <c r="I450" s="25">
        <v>1</v>
      </c>
      <c r="J450" s="25" t="str">
        <f>VLOOKUP(C450,'시스템이펙트 참고자료'!$A:$C,3,FALSE)</f>
        <v>절대값/상대값(%) 가능</v>
      </c>
      <c r="K450" s="25">
        <v>9</v>
      </c>
      <c r="M450" s="25">
        <v>1</v>
      </c>
      <c r="N450" s="25">
        <f t="shared" si="33"/>
        <v>44</v>
      </c>
      <c r="O450" s="25">
        <v>1</v>
      </c>
      <c r="P450" s="25">
        <v>1</v>
      </c>
      <c r="Q450" s="25">
        <v>1</v>
      </c>
      <c r="R450" s="25">
        <v>1</v>
      </c>
      <c r="T450" s="25">
        <v>1</v>
      </c>
      <c r="AA450" s="25">
        <f t="shared" si="36"/>
        <v>128</v>
      </c>
      <c r="AK450" s="25">
        <v>1</v>
      </c>
      <c r="AM450" s="25">
        <v>44</v>
      </c>
      <c r="AN450" s="25">
        <v>100</v>
      </c>
      <c r="AP450" s="25">
        <f t="shared" si="38"/>
        <v>3</v>
      </c>
      <c r="AQ450" s="25" t="str">
        <f>VLOOKUP(C450,'시스템이펙트 참고자료'!$A:$B,2,FALSE)</f>
        <v>ACTIVE_DEX_UP</v>
      </c>
      <c r="AS450" s="25">
        <v>1</v>
      </c>
      <c r="BD450" s="25">
        <v>1</v>
      </c>
    </row>
    <row r="451" spans="1:56" hidden="1">
      <c r="A451" s="25">
        <v>446</v>
      </c>
      <c r="B451" s="25" t="str">
        <f>VLOOKUP(C451,'시스템이펙트 참고자료'!$A:$C,2,FALSE)</f>
        <v>ACTIVE_PHYSICAL_CRITICAL_DAMAGE_UP</v>
      </c>
      <c r="C451" s="25">
        <v>658</v>
      </c>
      <c r="D451" s="25">
        <f>VLOOKUP(C451,'시스템이펙트 참고자료'!$A:$D,4,FALSE)</f>
        <v>0</v>
      </c>
      <c r="E451" s="25">
        <v>0</v>
      </c>
      <c r="F451" s="25">
        <v>0</v>
      </c>
      <c r="G451" s="25">
        <f t="shared" si="37"/>
        <v>4</v>
      </c>
      <c r="H451" s="25" t="s">
        <v>395</v>
      </c>
      <c r="I451" s="25">
        <v>1</v>
      </c>
      <c r="J451" s="25" t="str">
        <f>VLOOKUP(C451,'시스템이펙트 참고자료'!$A:$C,3,FALSE)</f>
        <v>절대값만 가능</v>
      </c>
      <c r="K451" s="25">
        <v>9</v>
      </c>
      <c r="M451" s="25">
        <v>1</v>
      </c>
      <c r="N451" s="25">
        <f t="shared" si="33"/>
        <v>28</v>
      </c>
      <c r="O451" s="25">
        <v>1</v>
      </c>
      <c r="P451" s="25">
        <v>1</v>
      </c>
      <c r="Q451" s="25">
        <v>1</v>
      </c>
      <c r="R451" s="25">
        <v>1</v>
      </c>
      <c r="T451" s="25">
        <v>1</v>
      </c>
      <c r="AA451" s="25">
        <f t="shared" si="36"/>
        <v>128</v>
      </c>
      <c r="AK451" s="25">
        <v>1</v>
      </c>
      <c r="AM451" s="25">
        <v>28</v>
      </c>
      <c r="AN451" s="25">
        <v>100</v>
      </c>
      <c r="AP451" s="25">
        <f t="shared" si="38"/>
        <v>4</v>
      </c>
      <c r="AQ451" s="25" t="str">
        <f>VLOOKUP(C451,'시스템이펙트 참고자료'!$A:$B,2,FALSE)</f>
        <v>ACTIVE_PHYSICAL_CRITICAL_DAMAGE_UP</v>
      </c>
      <c r="AS451" s="25">
        <v>1</v>
      </c>
      <c r="BD451" s="25">
        <v>1</v>
      </c>
    </row>
    <row r="452" spans="1:56" hidden="1">
      <c r="A452" s="25">
        <v>447</v>
      </c>
      <c r="B452" s="25" t="str">
        <f>VLOOKUP(C452,'시스템이펙트 참고자료'!$A:$C,2,FALSE)</f>
        <v>ACTIVE_PHYSICAL_CRITICAL_DAMAGE_UP</v>
      </c>
      <c r="C452" s="25">
        <v>658</v>
      </c>
      <c r="D452" s="25">
        <f>VLOOKUP(C452,'시스템이펙트 참고자료'!$A:$D,4,FALSE)</f>
        <v>0</v>
      </c>
      <c r="E452" s="25">
        <v>0</v>
      </c>
      <c r="F452" s="25">
        <v>0</v>
      </c>
      <c r="G452" s="25">
        <f t="shared" si="37"/>
        <v>4</v>
      </c>
      <c r="H452" s="25" t="s">
        <v>395</v>
      </c>
      <c r="I452" s="25">
        <v>1</v>
      </c>
      <c r="J452" s="25" t="str">
        <f>VLOOKUP(C452,'시스템이펙트 참고자료'!$A:$C,3,FALSE)</f>
        <v>절대값만 가능</v>
      </c>
      <c r="K452" s="25">
        <v>9</v>
      </c>
      <c r="M452" s="25">
        <v>2</v>
      </c>
      <c r="N452" s="25">
        <f t="shared" si="33"/>
        <v>28</v>
      </c>
      <c r="O452" s="25">
        <v>1</v>
      </c>
      <c r="P452" s="25">
        <v>1</v>
      </c>
      <c r="Q452" s="25">
        <v>1</v>
      </c>
      <c r="R452" s="25">
        <v>1</v>
      </c>
      <c r="T452" s="25">
        <v>1</v>
      </c>
      <c r="AA452" s="25">
        <f t="shared" si="36"/>
        <v>128</v>
      </c>
      <c r="AK452" s="25">
        <v>1</v>
      </c>
      <c r="AM452" s="25">
        <v>28</v>
      </c>
      <c r="AN452" s="25">
        <v>100</v>
      </c>
      <c r="AP452" s="25">
        <f t="shared" si="38"/>
        <v>4</v>
      </c>
      <c r="AQ452" s="25" t="str">
        <f>VLOOKUP(C452,'시스템이펙트 참고자료'!$A:$B,2,FALSE)</f>
        <v>ACTIVE_PHYSICAL_CRITICAL_DAMAGE_UP</v>
      </c>
      <c r="AS452" s="25">
        <v>1</v>
      </c>
      <c r="BD452" s="25">
        <v>1</v>
      </c>
    </row>
    <row r="453" spans="1:56" hidden="1">
      <c r="A453" s="25">
        <v>448</v>
      </c>
      <c r="B453" s="25" t="str">
        <f>VLOOKUP(C453,'시스템이펙트 참고자료'!$A:$C,2,FALSE)</f>
        <v>ACTIVE_PHYSICAL_CRITICAL</v>
      </c>
      <c r="C453" s="25">
        <v>632</v>
      </c>
      <c r="D453" s="25">
        <f>VLOOKUP(C453,'시스템이펙트 참고자료'!$A:$D,4,FALSE)</f>
        <v>0</v>
      </c>
      <c r="E453" s="25">
        <v>0</v>
      </c>
      <c r="F453" s="25">
        <v>0</v>
      </c>
      <c r="G453" s="25">
        <f t="shared" si="37"/>
        <v>5</v>
      </c>
      <c r="H453" s="25" t="s">
        <v>395</v>
      </c>
      <c r="I453" s="25">
        <v>1</v>
      </c>
      <c r="J453" s="25" t="str">
        <f>VLOOKUP(C453,'시스템이펙트 참고자료'!$A:$C,3,FALSE)</f>
        <v>절대값/상대값(%) 가능</v>
      </c>
      <c r="K453" s="25">
        <v>9</v>
      </c>
      <c r="M453" s="25">
        <v>2</v>
      </c>
      <c r="N453" s="25">
        <f t="shared" si="33"/>
        <v>21</v>
      </c>
      <c r="O453" s="25">
        <v>1</v>
      </c>
      <c r="P453" s="25">
        <v>1</v>
      </c>
      <c r="Q453" s="25">
        <v>1</v>
      </c>
      <c r="R453" s="25">
        <v>1</v>
      </c>
      <c r="T453" s="25">
        <v>1</v>
      </c>
      <c r="AA453" s="25">
        <f t="shared" si="36"/>
        <v>128</v>
      </c>
      <c r="AK453" s="25">
        <v>1</v>
      </c>
      <c r="AM453" s="25">
        <v>21</v>
      </c>
      <c r="AN453" s="25">
        <v>100</v>
      </c>
      <c r="AP453" s="25">
        <f t="shared" si="38"/>
        <v>5</v>
      </c>
      <c r="AQ453" s="25" t="str">
        <f>VLOOKUP(C453,'시스템이펙트 참고자료'!$A:$B,2,FALSE)</f>
        <v>ACTIVE_PHYSICAL_CRITICAL</v>
      </c>
      <c r="AS453" s="25">
        <v>1</v>
      </c>
      <c r="BD453" s="25">
        <v>1</v>
      </c>
    </row>
    <row r="454" spans="1:56" hidden="1">
      <c r="A454" s="25">
        <v>449</v>
      </c>
      <c r="B454" s="25" t="str">
        <f>VLOOKUP(C454,'시스템이펙트 참고자료'!$A:$C,2,FALSE)</f>
        <v>ACTIVE_DEX_UP</v>
      </c>
      <c r="C454" s="25">
        <v>613</v>
      </c>
      <c r="D454" s="25">
        <f>VLOOKUP(C454,'시스템이펙트 참고자료'!$A:$D,4,FALSE)</f>
        <v>0</v>
      </c>
      <c r="E454" s="25">
        <v>0</v>
      </c>
      <c r="F454" s="25">
        <v>0</v>
      </c>
      <c r="G454" s="25">
        <f t="shared" si="37"/>
        <v>3</v>
      </c>
      <c r="H454" s="25" t="s">
        <v>395</v>
      </c>
      <c r="I454" s="25">
        <v>1</v>
      </c>
      <c r="J454" s="25" t="str">
        <f>VLOOKUP(C454,'시스템이펙트 참고자료'!$A:$C,3,FALSE)</f>
        <v>절대값/상대값(%) 가능</v>
      </c>
      <c r="K454" s="25">
        <v>9</v>
      </c>
      <c r="M454" s="25">
        <v>2</v>
      </c>
      <c r="N454" s="25">
        <f t="shared" si="33"/>
        <v>44</v>
      </c>
      <c r="O454" s="25">
        <v>1</v>
      </c>
      <c r="P454" s="25">
        <v>1</v>
      </c>
      <c r="Q454" s="25">
        <v>1</v>
      </c>
      <c r="R454" s="25">
        <v>1</v>
      </c>
      <c r="T454" s="25">
        <v>1</v>
      </c>
      <c r="AA454" s="25">
        <f t="shared" si="36"/>
        <v>128</v>
      </c>
      <c r="AK454" s="25">
        <v>1</v>
      </c>
      <c r="AM454" s="25">
        <v>44</v>
      </c>
      <c r="AN454" s="25">
        <v>100</v>
      </c>
      <c r="AP454" s="25">
        <f t="shared" si="38"/>
        <v>3</v>
      </c>
      <c r="AQ454" s="25" t="str">
        <f>VLOOKUP(C454,'시스템이펙트 참고자료'!$A:$B,2,FALSE)</f>
        <v>ACTIVE_DEX_UP</v>
      </c>
      <c r="AS454" s="25">
        <v>1</v>
      </c>
      <c r="BD454" s="25">
        <v>1</v>
      </c>
    </row>
    <row r="455" spans="1:56" hidden="1">
      <c r="A455" s="25">
        <v>450</v>
      </c>
      <c r="B455" s="25" t="str">
        <f>VLOOKUP(C455,'시스템이펙트 참고자료'!$A:$C,2,FALSE)</f>
        <v>ACTIVE_FOC_UP</v>
      </c>
      <c r="C455" s="25">
        <v>612</v>
      </c>
      <c r="D455" s="25">
        <f>VLOOKUP(C455,'시스템이펙트 참고자료'!$A:$D,4,FALSE)</f>
        <v>0</v>
      </c>
      <c r="E455" s="25">
        <v>0</v>
      </c>
      <c r="F455" s="25">
        <v>0</v>
      </c>
      <c r="G455" s="25">
        <f t="shared" si="37"/>
        <v>2</v>
      </c>
      <c r="H455" s="25" t="s">
        <v>395</v>
      </c>
      <c r="I455" s="25">
        <v>1</v>
      </c>
      <c r="J455" s="25" t="str">
        <f>VLOOKUP(C455,'시스템이펙트 참고자료'!$A:$C,3,FALSE)</f>
        <v>절대값/상대값(%) 가능</v>
      </c>
      <c r="K455" s="25">
        <v>9</v>
      </c>
      <c r="M455" s="25">
        <v>2</v>
      </c>
      <c r="N455" s="25">
        <f t="shared" ref="N455:N518" si="39">IF(BD455&gt;0,INT(AM455/AK455),0)</f>
        <v>53</v>
      </c>
      <c r="O455" s="25">
        <v>1</v>
      </c>
      <c r="P455" s="25">
        <v>1</v>
      </c>
      <c r="Q455" s="25">
        <v>1</v>
      </c>
      <c r="R455" s="25">
        <v>1</v>
      </c>
      <c r="T455" s="25">
        <v>1</v>
      </c>
      <c r="AA455" s="25">
        <f t="shared" si="36"/>
        <v>128</v>
      </c>
      <c r="AK455" s="25">
        <v>1</v>
      </c>
      <c r="AM455" s="25">
        <v>53</v>
      </c>
      <c r="AN455" s="25">
        <v>100</v>
      </c>
      <c r="AP455" s="25">
        <f t="shared" si="38"/>
        <v>2</v>
      </c>
      <c r="AQ455" s="25" t="str">
        <f>VLOOKUP(C455,'시스템이펙트 참고자료'!$A:$B,2,FALSE)</f>
        <v>ACTIVE_FOC_UP</v>
      </c>
      <c r="AS455" s="25">
        <v>1</v>
      </c>
      <c r="BD455" s="25">
        <v>1</v>
      </c>
    </row>
    <row r="456" spans="1:56" hidden="1">
      <c r="A456" s="25">
        <v>451</v>
      </c>
      <c r="B456" s="25" t="str">
        <f>VLOOKUP(C456,'시스템이펙트 참고자료'!$A:$C,2,FALSE)</f>
        <v>ACTIVE_ENERGY_OFFENCE_UP</v>
      </c>
      <c r="C456" s="25">
        <v>607</v>
      </c>
      <c r="D456" s="25">
        <f>VLOOKUP(C456,'시스템이펙트 참고자료'!$A:$D,4,FALSE)</f>
        <v>0</v>
      </c>
      <c r="E456" s="25">
        <v>0</v>
      </c>
      <c r="F456" s="25">
        <v>0</v>
      </c>
      <c r="G456" s="25">
        <f t="shared" si="37"/>
        <v>1</v>
      </c>
      <c r="H456" s="25" t="s">
        <v>395</v>
      </c>
      <c r="I456" s="25">
        <v>1</v>
      </c>
      <c r="J456" s="25" t="str">
        <f>VLOOKUP(C456,'시스템이펙트 참고자료'!$A:$C,3,FALSE)</f>
        <v>절대값/상대값(%) 가능</v>
      </c>
      <c r="K456" s="25">
        <v>9</v>
      </c>
      <c r="M456" s="25">
        <v>3</v>
      </c>
      <c r="N456" s="25">
        <f t="shared" si="39"/>
        <v>104</v>
      </c>
      <c r="O456" s="25">
        <v>1</v>
      </c>
      <c r="P456" s="25">
        <v>1</v>
      </c>
      <c r="Q456" s="25">
        <v>1</v>
      </c>
      <c r="R456" s="25">
        <v>1</v>
      </c>
      <c r="T456" s="25">
        <v>1</v>
      </c>
      <c r="AA456" s="25">
        <f t="shared" si="36"/>
        <v>128</v>
      </c>
      <c r="AK456" s="25">
        <v>1</v>
      </c>
      <c r="AM456" s="25">
        <v>104</v>
      </c>
      <c r="AN456" s="25">
        <v>100</v>
      </c>
      <c r="AP456" s="25">
        <f t="shared" si="38"/>
        <v>1</v>
      </c>
      <c r="AQ456" s="25" t="str">
        <f>VLOOKUP(C456,'시스템이펙트 참고자료'!$A:$B,2,FALSE)</f>
        <v>ACTIVE_ENERGY_OFFENCE_UP</v>
      </c>
      <c r="AS456" s="25">
        <v>1</v>
      </c>
      <c r="BD456" s="25">
        <v>1</v>
      </c>
    </row>
    <row r="457" spans="1:56" hidden="1">
      <c r="A457" s="25">
        <v>452</v>
      </c>
      <c r="B457" s="25" t="str">
        <f>VLOOKUP(C457,'시스템이펙트 참고자료'!$A:$C,2,FALSE)</f>
        <v>ACTIVE_FOC_UP</v>
      </c>
      <c r="C457" s="25">
        <v>612</v>
      </c>
      <c r="D457" s="25">
        <f>VLOOKUP(C457,'시스템이펙트 참고자료'!$A:$D,4,FALSE)</f>
        <v>0</v>
      </c>
      <c r="E457" s="25">
        <v>0</v>
      </c>
      <c r="F457" s="25">
        <v>0</v>
      </c>
      <c r="G457" s="25">
        <f t="shared" si="37"/>
        <v>2</v>
      </c>
      <c r="H457" s="25" t="s">
        <v>395</v>
      </c>
      <c r="I457" s="25">
        <v>1</v>
      </c>
      <c r="J457" s="25" t="str">
        <f>VLOOKUP(C457,'시스템이펙트 참고자료'!$A:$C,3,FALSE)</f>
        <v>절대값/상대값(%) 가능</v>
      </c>
      <c r="K457" s="25">
        <v>9</v>
      </c>
      <c r="M457" s="25">
        <v>3</v>
      </c>
      <c r="N457" s="25">
        <f t="shared" si="39"/>
        <v>53</v>
      </c>
      <c r="O457" s="25">
        <v>1</v>
      </c>
      <c r="P457" s="25">
        <v>1</v>
      </c>
      <c r="Q457" s="25">
        <v>1</v>
      </c>
      <c r="R457" s="25">
        <v>1</v>
      </c>
      <c r="T457" s="25">
        <v>1</v>
      </c>
      <c r="AA457" s="25">
        <f t="shared" si="36"/>
        <v>128</v>
      </c>
      <c r="AK457" s="25">
        <v>1</v>
      </c>
      <c r="AM457" s="25">
        <v>53</v>
      </c>
      <c r="AN457" s="25">
        <v>100</v>
      </c>
      <c r="AP457" s="25">
        <f t="shared" si="38"/>
        <v>2</v>
      </c>
      <c r="AQ457" s="25" t="str">
        <f>VLOOKUP(C457,'시스템이펙트 참고자료'!$A:$B,2,FALSE)</f>
        <v>ACTIVE_FOC_UP</v>
      </c>
      <c r="AS457" s="25">
        <v>1</v>
      </c>
      <c r="BD457" s="25">
        <v>1</v>
      </c>
    </row>
    <row r="458" spans="1:56" hidden="1">
      <c r="A458" s="25">
        <v>453</v>
      </c>
      <c r="B458" s="25" t="str">
        <f>VLOOKUP(C458,'시스템이펙트 참고자료'!$A:$C,2,FALSE)</f>
        <v>ACTIVE_SOL_UP</v>
      </c>
      <c r="C458" s="25">
        <v>614</v>
      </c>
      <c r="D458" s="25">
        <f>VLOOKUP(C458,'시스템이펙트 참고자료'!$A:$D,4,FALSE)</f>
        <v>0</v>
      </c>
      <c r="E458" s="25">
        <v>0</v>
      </c>
      <c r="F458" s="25">
        <v>0</v>
      </c>
      <c r="G458" s="25">
        <f t="shared" si="37"/>
        <v>2</v>
      </c>
      <c r="H458" s="25" t="s">
        <v>395</v>
      </c>
      <c r="I458" s="25">
        <v>1</v>
      </c>
      <c r="J458" s="25" t="str">
        <f>VLOOKUP(C458,'시스템이펙트 참고자료'!$A:$C,3,FALSE)</f>
        <v>절대값/상대값(%) 가능</v>
      </c>
      <c r="K458" s="25">
        <v>9</v>
      </c>
      <c r="M458" s="25">
        <v>3</v>
      </c>
      <c r="N458" s="25">
        <f t="shared" si="39"/>
        <v>53</v>
      </c>
      <c r="O458" s="25">
        <v>1</v>
      </c>
      <c r="P458" s="25">
        <v>1</v>
      </c>
      <c r="Q458" s="25">
        <v>1</v>
      </c>
      <c r="R458" s="25">
        <v>1</v>
      </c>
      <c r="T458" s="25">
        <v>1</v>
      </c>
      <c r="AA458" s="25">
        <f t="shared" si="36"/>
        <v>128</v>
      </c>
      <c r="AK458" s="25">
        <v>1</v>
      </c>
      <c r="AM458" s="25">
        <v>53</v>
      </c>
      <c r="AN458" s="25">
        <v>100</v>
      </c>
      <c r="AP458" s="25">
        <f t="shared" si="38"/>
        <v>2</v>
      </c>
      <c r="AQ458" s="25" t="str">
        <f>VLOOKUP(C458,'시스템이펙트 참고자료'!$A:$B,2,FALSE)</f>
        <v>ACTIVE_SOL_UP</v>
      </c>
      <c r="AS458" s="25">
        <v>1</v>
      </c>
      <c r="BD458" s="25">
        <v>1</v>
      </c>
    </row>
    <row r="459" spans="1:56" hidden="1">
      <c r="A459" s="25">
        <v>454</v>
      </c>
      <c r="B459" s="25" t="str">
        <f>VLOOKUP(C459,'시스템이펙트 참고자료'!$A:$C,2,FALSE)</f>
        <v>ACTIVE_ENERGY_CRITICAL_DAMAGE_UP</v>
      </c>
      <c r="C459" s="25">
        <v>659</v>
      </c>
      <c r="D459" s="25">
        <f>VLOOKUP(C459,'시스템이펙트 참고자료'!$A:$D,4,FALSE)</f>
        <v>0</v>
      </c>
      <c r="E459" s="25">
        <v>0</v>
      </c>
      <c r="F459" s="25">
        <v>0</v>
      </c>
      <c r="G459" s="25">
        <f t="shared" si="37"/>
        <v>4</v>
      </c>
      <c r="H459" s="25" t="s">
        <v>395</v>
      </c>
      <c r="I459" s="25">
        <v>1</v>
      </c>
      <c r="J459" s="25" t="str">
        <f>VLOOKUP(C459,'시스템이펙트 참고자료'!$A:$C,3,FALSE)</f>
        <v>절대값만 가능</v>
      </c>
      <c r="K459" s="25">
        <v>9</v>
      </c>
      <c r="M459" s="25">
        <v>3</v>
      </c>
      <c r="N459" s="25">
        <f t="shared" si="39"/>
        <v>32</v>
      </c>
      <c r="O459" s="25">
        <v>1</v>
      </c>
      <c r="P459" s="25">
        <v>1</v>
      </c>
      <c r="Q459" s="25">
        <v>1</v>
      </c>
      <c r="R459" s="25">
        <v>1</v>
      </c>
      <c r="T459" s="25">
        <v>1</v>
      </c>
      <c r="AA459" s="25">
        <f t="shared" si="36"/>
        <v>128</v>
      </c>
      <c r="AK459" s="25">
        <v>1</v>
      </c>
      <c r="AM459" s="25">
        <v>32</v>
      </c>
      <c r="AN459" s="25">
        <v>100</v>
      </c>
      <c r="AP459" s="25">
        <f t="shared" si="38"/>
        <v>4</v>
      </c>
      <c r="AQ459" s="25" t="str">
        <f>VLOOKUP(C459,'시스템이펙트 참고자료'!$A:$B,2,FALSE)</f>
        <v>ACTIVE_ENERGY_CRITICAL_DAMAGE_UP</v>
      </c>
      <c r="AS459" s="25">
        <v>1</v>
      </c>
      <c r="BD459" s="25">
        <v>1</v>
      </c>
    </row>
    <row r="460" spans="1:56" hidden="1">
      <c r="A460" s="25">
        <v>455</v>
      </c>
      <c r="B460" s="25" t="str">
        <f>VLOOKUP(C460,'시스템이펙트 참고자료'!$A:$C,2,FALSE)</f>
        <v>ACTIVE_ENERGY_CRITICAL</v>
      </c>
      <c r="C460" s="25">
        <v>633</v>
      </c>
      <c r="D460" s="25">
        <f>VLOOKUP(C460,'시스템이펙트 참고자료'!$A:$D,4,FALSE)</f>
        <v>0</v>
      </c>
      <c r="E460" s="25">
        <v>0</v>
      </c>
      <c r="F460" s="25">
        <v>0</v>
      </c>
      <c r="G460" s="25">
        <f t="shared" si="37"/>
        <v>5</v>
      </c>
      <c r="H460" s="25" t="s">
        <v>395</v>
      </c>
      <c r="I460" s="25">
        <v>1</v>
      </c>
      <c r="J460" s="25" t="str">
        <f>VLOOKUP(C460,'시스템이펙트 참고자료'!$A:$C,3,FALSE)</f>
        <v>절대값/상대값(%) 가능</v>
      </c>
      <c r="K460" s="25">
        <v>9</v>
      </c>
      <c r="M460" s="25">
        <v>4</v>
      </c>
      <c r="N460" s="25">
        <f t="shared" si="39"/>
        <v>24</v>
      </c>
      <c r="O460" s="25">
        <v>1</v>
      </c>
      <c r="P460" s="25">
        <v>1</v>
      </c>
      <c r="Q460" s="25">
        <v>1</v>
      </c>
      <c r="R460" s="25">
        <v>1</v>
      </c>
      <c r="T460" s="25">
        <v>1</v>
      </c>
      <c r="AA460" s="25">
        <f t="shared" si="36"/>
        <v>128</v>
      </c>
      <c r="AK460" s="25">
        <v>1</v>
      </c>
      <c r="AM460" s="25">
        <v>24</v>
      </c>
      <c r="AN460" s="25">
        <v>100</v>
      </c>
      <c r="AP460" s="25">
        <f t="shared" si="38"/>
        <v>5</v>
      </c>
      <c r="AQ460" s="25" t="str">
        <f>VLOOKUP(C460,'시스템이펙트 참고자료'!$A:$B,2,FALSE)</f>
        <v>ACTIVE_ENERGY_CRITICAL</v>
      </c>
      <c r="AS460" s="25">
        <v>1</v>
      </c>
      <c r="BD460" s="25">
        <v>1</v>
      </c>
    </row>
    <row r="461" spans="1:56" hidden="1">
      <c r="A461" s="25">
        <v>456</v>
      </c>
      <c r="B461" s="25" t="str">
        <f>VLOOKUP(C461,'시스템이펙트 참고자료'!$A:$C,2,FALSE)</f>
        <v>ACTIVE_ENERGY_CRITICAL_DAMAGE_UP</v>
      </c>
      <c r="C461" s="25">
        <v>659</v>
      </c>
      <c r="D461" s="25">
        <f>VLOOKUP(C461,'시스템이펙트 참고자료'!$A:$D,4,FALSE)</f>
        <v>0</v>
      </c>
      <c r="E461" s="25">
        <v>0</v>
      </c>
      <c r="F461" s="25">
        <v>0</v>
      </c>
      <c r="G461" s="25">
        <f t="shared" si="37"/>
        <v>4</v>
      </c>
      <c r="H461" s="25" t="s">
        <v>395</v>
      </c>
      <c r="I461" s="25">
        <v>1</v>
      </c>
      <c r="J461" s="25" t="str">
        <f>VLOOKUP(C461,'시스템이펙트 참고자료'!$A:$C,3,FALSE)</f>
        <v>절대값만 가능</v>
      </c>
      <c r="K461" s="25">
        <v>9</v>
      </c>
      <c r="M461" s="25">
        <v>4</v>
      </c>
      <c r="N461" s="25">
        <f t="shared" si="39"/>
        <v>32</v>
      </c>
      <c r="O461" s="25">
        <v>1</v>
      </c>
      <c r="P461" s="25">
        <v>1</v>
      </c>
      <c r="Q461" s="25">
        <v>1</v>
      </c>
      <c r="R461" s="25">
        <v>1</v>
      </c>
      <c r="T461" s="25">
        <v>1</v>
      </c>
      <c r="AA461" s="25">
        <f t="shared" si="36"/>
        <v>128</v>
      </c>
      <c r="AK461" s="25">
        <v>1</v>
      </c>
      <c r="AM461" s="25">
        <v>32</v>
      </c>
      <c r="AN461" s="25">
        <v>100</v>
      </c>
      <c r="AP461" s="25">
        <f t="shared" si="38"/>
        <v>4</v>
      </c>
      <c r="AQ461" s="25" t="str">
        <f>VLOOKUP(C461,'시스템이펙트 참고자료'!$A:$B,2,FALSE)</f>
        <v>ACTIVE_ENERGY_CRITICAL_DAMAGE_UP</v>
      </c>
      <c r="AS461" s="25">
        <v>1</v>
      </c>
      <c r="BD461" s="25">
        <v>1</v>
      </c>
    </row>
    <row r="462" spans="1:56" hidden="1">
      <c r="A462" s="25">
        <v>457</v>
      </c>
      <c r="B462" s="25" t="str">
        <f>VLOOKUP(C462,'시스템이펙트 참고자료'!$A:$C,2,FALSE)</f>
        <v>ACTIVE_FOC_UP</v>
      </c>
      <c r="C462" s="25">
        <v>612</v>
      </c>
      <c r="D462" s="25">
        <f>VLOOKUP(C462,'시스템이펙트 참고자료'!$A:$D,4,FALSE)</f>
        <v>0</v>
      </c>
      <c r="E462" s="25">
        <v>0</v>
      </c>
      <c r="F462" s="25">
        <v>0</v>
      </c>
      <c r="G462" s="25">
        <f t="shared" si="37"/>
        <v>2</v>
      </c>
      <c r="H462" s="25" t="s">
        <v>395</v>
      </c>
      <c r="I462" s="25">
        <v>1</v>
      </c>
      <c r="J462" s="25" t="str">
        <f>VLOOKUP(C462,'시스템이펙트 참고자료'!$A:$C,3,FALSE)</f>
        <v>절대값/상대값(%) 가능</v>
      </c>
      <c r="K462" s="25">
        <v>9</v>
      </c>
      <c r="M462" s="25">
        <v>4</v>
      </c>
      <c r="N462" s="25">
        <f t="shared" si="39"/>
        <v>53</v>
      </c>
      <c r="O462" s="25">
        <v>1</v>
      </c>
      <c r="P462" s="25">
        <v>1</v>
      </c>
      <c r="Q462" s="25">
        <v>1</v>
      </c>
      <c r="R462" s="25">
        <v>1</v>
      </c>
      <c r="T462" s="25">
        <v>1</v>
      </c>
      <c r="AA462" s="25">
        <f t="shared" si="36"/>
        <v>128</v>
      </c>
      <c r="AK462" s="25">
        <v>1</v>
      </c>
      <c r="AM462" s="25">
        <v>53</v>
      </c>
      <c r="AN462" s="25">
        <v>100</v>
      </c>
      <c r="AP462" s="25">
        <f t="shared" si="38"/>
        <v>2</v>
      </c>
      <c r="AQ462" s="25" t="str">
        <f>VLOOKUP(C462,'시스템이펙트 참고자료'!$A:$B,2,FALSE)</f>
        <v>ACTIVE_FOC_UP</v>
      </c>
      <c r="AS462" s="25">
        <v>1</v>
      </c>
      <c r="BD462" s="25">
        <v>1</v>
      </c>
    </row>
    <row r="463" spans="1:56" hidden="1">
      <c r="A463" s="25">
        <v>458</v>
      </c>
      <c r="B463" s="25" t="str">
        <f>VLOOKUP(C463,'시스템이펙트 참고자료'!$A:$C,2,FALSE)</f>
        <v>ACTIVE_DEX_UP</v>
      </c>
      <c r="C463" s="25">
        <v>613</v>
      </c>
      <c r="D463" s="25">
        <f>VLOOKUP(C463,'시스템이펙트 참고자료'!$A:$D,4,FALSE)</f>
        <v>0</v>
      </c>
      <c r="E463" s="25">
        <v>0</v>
      </c>
      <c r="F463" s="25">
        <v>0</v>
      </c>
      <c r="G463" s="25">
        <f t="shared" si="37"/>
        <v>3</v>
      </c>
      <c r="H463" s="25" t="s">
        <v>395</v>
      </c>
      <c r="I463" s="25">
        <v>1</v>
      </c>
      <c r="J463" s="25" t="str">
        <f>VLOOKUP(C463,'시스템이펙트 참고자료'!$A:$C,3,FALSE)</f>
        <v>절대값/상대값(%) 가능</v>
      </c>
      <c r="K463" s="25">
        <v>9</v>
      </c>
      <c r="M463" s="25">
        <v>4</v>
      </c>
      <c r="N463" s="25">
        <f t="shared" si="39"/>
        <v>44</v>
      </c>
      <c r="O463" s="25">
        <v>1</v>
      </c>
      <c r="P463" s="25">
        <v>1</v>
      </c>
      <c r="Q463" s="25">
        <v>1</v>
      </c>
      <c r="R463" s="25">
        <v>1</v>
      </c>
      <c r="T463" s="25">
        <v>1</v>
      </c>
      <c r="AA463" s="25">
        <f t="shared" si="36"/>
        <v>128</v>
      </c>
      <c r="AK463" s="25">
        <v>1</v>
      </c>
      <c r="AM463" s="25">
        <v>44</v>
      </c>
      <c r="AN463" s="25">
        <v>100</v>
      </c>
      <c r="AP463" s="25">
        <f t="shared" si="38"/>
        <v>3</v>
      </c>
      <c r="AQ463" s="25" t="str">
        <f>VLOOKUP(C463,'시스템이펙트 참고자료'!$A:$B,2,FALSE)</f>
        <v>ACTIVE_DEX_UP</v>
      </c>
      <c r="AS463" s="25">
        <v>1</v>
      </c>
      <c r="BD463" s="25">
        <v>1</v>
      </c>
    </row>
    <row r="464" spans="1:56" hidden="1">
      <c r="A464" s="25">
        <v>459</v>
      </c>
      <c r="B464" s="25" t="str">
        <f>VLOOKUP(C464,'시스템이펙트 참고자료'!$A:$C,2,FALSE)</f>
        <v>ACTIVE_ATTACK_SPEED_UP</v>
      </c>
      <c r="C464" s="25">
        <v>617</v>
      </c>
      <c r="D464" s="25">
        <f>VLOOKUP(C464,'시스템이펙트 참고자료'!$A:$D,4,FALSE)</f>
        <v>1</v>
      </c>
      <c r="E464" s="25">
        <v>0</v>
      </c>
      <c r="F464" s="25">
        <v>0</v>
      </c>
      <c r="G464" s="25">
        <f t="shared" si="37"/>
        <v>10</v>
      </c>
      <c r="H464" s="25" t="s">
        <v>395</v>
      </c>
      <c r="I464" s="25">
        <v>1</v>
      </c>
      <c r="J464" s="25" t="str">
        <f>VLOOKUP(C464,'시스템이펙트 참고자료'!$A:$C,3,FALSE)</f>
        <v>절대값/상대값(%) 가능</v>
      </c>
      <c r="K464" s="25">
        <v>9</v>
      </c>
      <c r="M464" s="25">
        <v>5</v>
      </c>
      <c r="N464" s="25">
        <f t="shared" si="39"/>
        <v>10</v>
      </c>
      <c r="O464" s="25">
        <v>1</v>
      </c>
      <c r="P464" s="25">
        <v>1</v>
      </c>
      <c r="Q464" s="25">
        <v>1</v>
      </c>
      <c r="R464" s="25">
        <v>1</v>
      </c>
      <c r="T464" s="25">
        <v>1</v>
      </c>
      <c r="AA464" s="25">
        <f t="shared" si="36"/>
        <v>128</v>
      </c>
      <c r="AK464" s="25">
        <v>1</v>
      </c>
      <c r="AM464" s="25">
        <v>10</v>
      </c>
      <c r="AN464" s="25">
        <v>100</v>
      </c>
      <c r="AP464" s="25">
        <f t="shared" si="38"/>
        <v>10</v>
      </c>
      <c r="AQ464" s="25" t="str">
        <f>VLOOKUP(C464,'시스템이펙트 참고자료'!$A:$B,2,FALSE)</f>
        <v>ACTIVE_ATTACK_SPEED_UP</v>
      </c>
      <c r="AS464" s="25">
        <v>1</v>
      </c>
      <c r="BD464" s="25">
        <v>1</v>
      </c>
    </row>
    <row r="465" spans="1:56" hidden="1">
      <c r="A465" s="25">
        <v>460</v>
      </c>
      <c r="B465" s="25" t="str">
        <f>VLOOKUP(C465,'시스템이펙트 참고자료'!$A:$C,2,FALSE)</f>
        <v>ACTIVE_DEX_UP</v>
      </c>
      <c r="C465" s="25">
        <v>613</v>
      </c>
      <c r="D465" s="25">
        <f>VLOOKUP(C465,'시스템이펙트 참고자료'!$A:$D,4,FALSE)</f>
        <v>0</v>
      </c>
      <c r="E465" s="25">
        <v>0</v>
      </c>
      <c r="F465" s="25">
        <v>0</v>
      </c>
      <c r="G465" s="25">
        <f t="shared" si="37"/>
        <v>3</v>
      </c>
      <c r="H465" s="25" t="s">
        <v>395</v>
      </c>
      <c r="I465" s="25">
        <v>1</v>
      </c>
      <c r="J465" s="25" t="str">
        <f>VLOOKUP(C465,'시스템이펙트 참고자료'!$A:$C,3,FALSE)</f>
        <v>절대값/상대값(%) 가능</v>
      </c>
      <c r="K465" s="25">
        <v>9</v>
      </c>
      <c r="M465" s="25">
        <v>5</v>
      </c>
      <c r="N465" s="25">
        <f t="shared" si="39"/>
        <v>44</v>
      </c>
      <c r="O465" s="25">
        <v>1</v>
      </c>
      <c r="P465" s="25">
        <v>1</v>
      </c>
      <c r="Q465" s="25">
        <v>1</v>
      </c>
      <c r="R465" s="25">
        <v>1</v>
      </c>
      <c r="T465" s="25">
        <v>1</v>
      </c>
      <c r="AA465" s="25">
        <f t="shared" si="36"/>
        <v>128</v>
      </c>
      <c r="AK465" s="25">
        <v>1</v>
      </c>
      <c r="AM465" s="25">
        <v>44</v>
      </c>
      <c r="AN465" s="25">
        <v>100</v>
      </c>
      <c r="AP465" s="25">
        <f t="shared" si="38"/>
        <v>3</v>
      </c>
      <c r="AQ465" s="25" t="str">
        <f>VLOOKUP(C465,'시스템이펙트 참고자료'!$A:$B,2,FALSE)</f>
        <v>ACTIVE_DEX_UP</v>
      </c>
      <c r="AS465" s="25">
        <v>1</v>
      </c>
      <c r="BD465" s="25">
        <v>1</v>
      </c>
    </row>
    <row r="466" spans="1:56" hidden="1">
      <c r="A466" s="25">
        <v>461</v>
      </c>
      <c r="B466" s="25" t="str">
        <f>VLOOKUP(C466,'시스템이펙트 참고자료'!$A:$C,2,FALSE)</f>
        <v>ACTIVE_FOC_UP</v>
      </c>
      <c r="C466" s="25">
        <v>612</v>
      </c>
      <c r="D466" s="25">
        <f>VLOOKUP(C466,'시스템이펙트 참고자료'!$A:$D,4,FALSE)</f>
        <v>0</v>
      </c>
      <c r="E466" s="25">
        <v>0</v>
      </c>
      <c r="F466" s="25">
        <v>0</v>
      </c>
      <c r="G466" s="25">
        <f t="shared" si="37"/>
        <v>2</v>
      </c>
      <c r="H466" s="25" t="s">
        <v>395</v>
      </c>
      <c r="I466" s="25">
        <v>1</v>
      </c>
      <c r="J466" s="25" t="str">
        <f>VLOOKUP(C466,'시스템이펙트 참고자료'!$A:$C,3,FALSE)</f>
        <v>절대값/상대값(%) 가능</v>
      </c>
      <c r="K466" s="25">
        <v>9</v>
      </c>
      <c r="M466" s="25">
        <v>5</v>
      </c>
      <c r="N466" s="25">
        <f t="shared" si="39"/>
        <v>53</v>
      </c>
      <c r="O466" s="25">
        <v>1</v>
      </c>
      <c r="P466" s="25">
        <v>1</v>
      </c>
      <c r="Q466" s="25">
        <v>1</v>
      </c>
      <c r="R466" s="25">
        <v>1</v>
      </c>
      <c r="T466" s="25">
        <v>1</v>
      </c>
      <c r="AA466" s="25">
        <f t="shared" si="36"/>
        <v>128</v>
      </c>
      <c r="AK466" s="25">
        <v>1</v>
      </c>
      <c r="AM466" s="25">
        <v>53</v>
      </c>
      <c r="AN466" s="25">
        <v>100</v>
      </c>
      <c r="AP466" s="25">
        <f t="shared" si="38"/>
        <v>2</v>
      </c>
      <c r="AQ466" s="25" t="str">
        <f>VLOOKUP(C466,'시스템이펙트 참고자료'!$A:$B,2,FALSE)</f>
        <v>ACTIVE_FOC_UP</v>
      </c>
      <c r="AS466" s="25">
        <v>1</v>
      </c>
      <c r="BD466" s="25">
        <v>1</v>
      </c>
    </row>
    <row r="467" spans="1:56" hidden="1">
      <c r="A467" s="25">
        <v>462</v>
      </c>
      <c r="B467" s="25" t="str">
        <f>VLOOKUP(C467,'시스템이펙트 참고자료'!$A:$C,2,FALSE)</f>
        <v>ACTIVE_PHYSICAL_OFFENCE_UP</v>
      </c>
      <c r="C467" s="25">
        <v>606</v>
      </c>
      <c r="D467" s="25">
        <f>VLOOKUP(C467,'시스템이펙트 참고자료'!$A:$D,4,FALSE)</f>
        <v>0</v>
      </c>
      <c r="E467" s="25">
        <v>0</v>
      </c>
      <c r="F467" s="25">
        <v>0</v>
      </c>
      <c r="G467" s="25">
        <f t="shared" si="37"/>
        <v>1</v>
      </c>
      <c r="H467" s="25" t="s">
        <v>395</v>
      </c>
      <c r="I467" s="25">
        <v>1</v>
      </c>
      <c r="J467" s="25" t="str">
        <f>VLOOKUP(C467,'시스템이펙트 참고자료'!$A:$C,3,FALSE)</f>
        <v>절대값/상대값(%) 가능</v>
      </c>
      <c r="K467" s="25">
        <v>9</v>
      </c>
      <c r="M467" s="25">
        <v>5</v>
      </c>
      <c r="N467" s="25">
        <f t="shared" si="39"/>
        <v>125</v>
      </c>
      <c r="O467" s="25">
        <v>1</v>
      </c>
      <c r="P467" s="25">
        <v>1</v>
      </c>
      <c r="Q467" s="25">
        <v>1</v>
      </c>
      <c r="R467" s="25">
        <v>1</v>
      </c>
      <c r="T467" s="25">
        <v>1</v>
      </c>
      <c r="AA467" s="25">
        <f t="shared" ref="AA467:AA530" si="40">2^AA$1</f>
        <v>128</v>
      </c>
      <c r="AK467" s="25">
        <v>1</v>
      </c>
      <c r="AM467" s="25">
        <v>125</v>
      </c>
      <c r="AN467" s="25">
        <v>100</v>
      </c>
      <c r="AP467" s="25">
        <f t="shared" si="38"/>
        <v>1</v>
      </c>
      <c r="AQ467" s="25" t="str">
        <f>VLOOKUP(C467,'시스템이펙트 참고자료'!$A:$B,2,FALSE)</f>
        <v>ACTIVE_PHYSICAL_OFFENCE_UP</v>
      </c>
      <c r="AS467" s="25">
        <v>1</v>
      </c>
      <c r="BD467" s="25">
        <v>1</v>
      </c>
    </row>
    <row r="468" spans="1:56" hidden="1">
      <c r="A468" s="25">
        <v>463</v>
      </c>
      <c r="B468" s="25" t="str">
        <f>VLOOKUP(C468,'시스템이펙트 참고자료'!$A:$C,2,FALSE)</f>
        <v>ACTIVE_ENERGY_OFFENCE_UP</v>
      </c>
      <c r="C468" s="25">
        <v>607</v>
      </c>
      <c r="D468" s="25">
        <f>VLOOKUP(C468,'시스템이펙트 참고자료'!$A:$D,4,FALSE)</f>
        <v>0</v>
      </c>
      <c r="E468" s="25">
        <v>0</v>
      </c>
      <c r="F468" s="25">
        <v>0</v>
      </c>
      <c r="G468" s="25">
        <f t="shared" si="37"/>
        <v>1</v>
      </c>
      <c r="H468" s="25" t="s">
        <v>395</v>
      </c>
      <c r="I468" s="25">
        <v>1</v>
      </c>
      <c r="J468" s="25" t="str">
        <f>VLOOKUP(C468,'시스템이펙트 참고자료'!$A:$C,3,FALSE)</f>
        <v>절대값/상대값(%) 가능</v>
      </c>
      <c r="K468" s="25">
        <v>9</v>
      </c>
      <c r="M468" s="25">
        <v>5</v>
      </c>
      <c r="N468" s="25">
        <f t="shared" si="39"/>
        <v>104</v>
      </c>
      <c r="O468" s="25">
        <v>1</v>
      </c>
      <c r="P468" s="25">
        <v>1</v>
      </c>
      <c r="Q468" s="25">
        <v>1</v>
      </c>
      <c r="R468" s="25">
        <v>1</v>
      </c>
      <c r="T468" s="25">
        <v>1</v>
      </c>
      <c r="AA468" s="25">
        <f t="shared" si="40"/>
        <v>128</v>
      </c>
      <c r="AK468" s="25">
        <v>1</v>
      </c>
      <c r="AM468" s="25">
        <v>104</v>
      </c>
      <c r="AN468" s="25">
        <v>100</v>
      </c>
      <c r="AP468" s="25">
        <f t="shared" si="38"/>
        <v>1</v>
      </c>
      <c r="AQ468" s="25" t="str">
        <f>VLOOKUP(C468,'시스템이펙트 참고자료'!$A:$B,2,FALSE)</f>
        <v>ACTIVE_ENERGY_OFFENCE_UP</v>
      </c>
      <c r="AS468" s="25">
        <v>1</v>
      </c>
      <c r="BD468" s="25">
        <v>1</v>
      </c>
    </row>
    <row r="469" spans="1:56" hidden="1">
      <c r="A469" s="25">
        <v>464</v>
      </c>
      <c r="B469" s="25" t="str">
        <f>VLOOKUP(C469,'시스템이펙트 참고자료'!$A:$C,2,FALSE)</f>
        <v>ACTIVE_PHYSICAL_OFFENCE_UP</v>
      </c>
      <c r="C469" s="25">
        <v>606</v>
      </c>
      <c r="D469" s="25">
        <f>VLOOKUP(C469,'시스템이펙트 참고자료'!$A:$D,4,FALSE)</f>
        <v>0</v>
      </c>
      <c r="E469" s="25">
        <v>0</v>
      </c>
      <c r="F469" s="25">
        <v>0</v>
      </c>
      <c r="G469" s="25">
        <f t="shared" si="37"/>
        <v>1</v>
      </c>
      <c r="H469" s="25" t="s">
        <v>395</v>
      </c>
      <c r="I469" s="25">
        <v>1</v>
      </c>
      <c r="J469" s="25" t="str">
        <f>VLOOKUP(C469,'시스템이펙트 참고자료'!$A:$C,3,FALSE)</f>
        <v>절대값/상대값(%) 가능</v>
      </c>
      <c r="K469" s="25">
        <v>9</v>
      </c>
      <c r="M469" s="25">
        <v>6</v>
      </c>
      <c r="N469" s="25">
        <f t="shared" si="39"/>
        <v>125</v>
      </c>
      <c r="O469" s="25">
        <v>1</v>
      </c>
      <c r="P469" s="25">
        <v>1</v>
      </c>
      <c r="Q469" s="25">
        <v>1</v>
      </c>
      <c r="R469" s="25">
        <v>1</v>
      </c>
      <c r="T469" s="25">
        <v>1</v>
      </c>
      <c r="AA469" s="25">
        <f t="shared" si="40"/>
        <v>128</v>
      </c>
      <c r="AK469" s="25">
        <v>1</v>
      </c>
      <c r="AM469" s="25">
        <v>125</v>
      </c>
      <c r="AN469" s="25">
        <v>100</v>
      </c>
      <c r="AP469" s="25">
        <f t="shared" si="38"/>
        <v>1</v>
      </c>
      <c r="AQ469" s="25" t="str">
        <f>VLOOKUP(C469,'시스템이펙트 참고자료'!$A:$B,2,FALSE)</f>
        <v>ACTIVE_PHYSICAL_OFFENCE_UP</v>
      </c>
      <c r="AS469" s="25">
        <v>1</v>
      </c>
      <c r="BD469" s="25">
        <v>1</v>
      </c>
    </row>
    <row r="470" spans="1:56" hidden="1">
      <c r="A470" s="25">
        <v>465</v>
      </c>
      <c r="B470" s="25" t="str">
        <f>VLOOKUP(C470,'시스템이펙트 참고자료'!$A:$C,2,FALSE)</f>
        <v>ACTIVE_ENERGY_OFFENCE_UP</v>
      </c>
      <c r="C470" s="25">
        <v>607</v>
      </c>
      <c r="D470" s="25">
        <f>VLOOKUP(C470,'시스템이펙트 참고자료'!$A:$D,4,FALSE)</f>
        <v>0</v>
      </c>
      <c r="E470" s="25">
        <v>0</v>
      </c>
      <c r="F470" s="25">
        <v>0</v>
      </c>
      <c r="G470" s="25">
        <f t="shared" si="37"/>
        <v>1</v>
      </c>
      <c r="H470" s="25" t="s">
        <v>395</v>
      </c>
      <c r="I470" s="25">
        <v>1</v>
      </c>
      <c r="J470" s="25" t="str">
        <f>VLOOKUP(C470,'시스템이펙트 참고자료'!$A:$C,3,FALSE)</f>
        <v>절대값/상대값(%) 가능</v>
      </c>
      <c r="K470" s="25">
        <v>9</v>
      </c>
      <c r="M470" s="25">
        <v>6</v>
      </c>
      <c r="N470" s="25">
        <f t="shared" si="39"/>
        <v>104</v>
      </c>
      <c r="O470" s="25">
        <v>1</v>
      </c>
      <c r="P470" s="25">
        <v>1</v>
      </c>
      <c r="Q470" s="25">
        <v>1</v>
      </c>
      <c r="R470" s="25">
        <v>1</v>
      </c>
      <c r="T470" s="25">
        <v>1</v>
      </c>
      <c r="AA470" s="25">
        <f t="shared" si="40"/>
        <v>128</v>
      </c>
      <c r="AK470" s="25">
        <v>1</v>
      </c>
      <c r="AM470" s="25">
        <v>104</v>
      </c>
      <c r="AN470" s="25">
        <v>100</v>
      </c>
      <c r="AP470" s="25">
        <f t="shared" si="38"/>
        <v>1</v>
      </c>
      <c r="AQ470" s="25" t="str">
        <f>VLOOKUP(C470,'시스템이펙트 참고자료'!$A:$B,2,FALSE)</f>
        <v>ACTIVE_ENERGY_OFFENCE_UP</v>
      </c>
      <c r="AS470" s="25">
        <v>1</v>
      </c>
      <c r="BD470" s="25">
        <v>1</v>
      </c>
    </row>
    <row r="471" spans="1:56" hidden="1">
      <c r="A471" s="25">
        <v>466</v>
      </c>
      <c r="B471" s="25" t="str">
        <f>VLOOKUP(C471,'시스템이펙트 참고자료'!$A:$C,2,FALSE)</f>
        <v>ACTIVE_STR_UP</v>
      </c>
      <c r="C471" s="25">
        <v>610</v>
      </c>
      <c r="D471" s="25">
        <f>VLOOKUP(C471,'시스템이펙트 참고자료'!$A:$D,4,FALSE)</f>
        <v>0</v>
      </c>
      <c r="E471" s="25">
        <v>0</v>
      </c>
      <c r="F471" s="25">
        <v>0</v>
      </c>
      <c r="G471" s="25">
        <f t="shared" si="37"/>
        <v>2</v>
      </c>
      <c r="H471" s="25" t="s">
        <v>395</v>
      </c>
      <c r="I471" s="25">
        <v>1</v>
      </c>
      <c r="J471" s="25" t="str">
        <f>VLOOKUP(C471,'시스템이펙트 참고자료'!$A:$C,3,FALSE)</f>
        <v>절대값/상대값(%) 가능</v>
      </c>
      <c r="K471" s="25">
        <v>9</v>
      </c>
      <c r="M471" s="25">
        <v>6</v>
      </c>
      <c r="N471" s="25">
        <f t="shared" si="39"/>
        <v>57</v>
      </c>
      <c r="O471" s="25">
        <v>1</v>
      </c>
      <c r="P471" s="25">
        <v>1</v>
      </c>
      <c r="Q471" s="25">
        <v>1</v>
      </c>
      <c r="R471" s="25">
        <v>1</v>
      </c>
      <c r="T471" s="25">
        <v>1</v>
      </c>
      <c r="AA471" s="25">
        <f t="shared" si="40"/>
        <v>128</v>
      </c>
      <c r="AK471" s="25">
        <v>1</v>
      </c>
      <c r="AM471" s="25">
        <v>57</v>
      </c>
      <c r="AN471" s="25">
        <v>100</v>
      </c>
      <c r="AP471" s="25">
        <f t="shared" si="38"/>
        <v>2</v>
      </c>
      <c r="AQ471" s="25" t="str">
        <f>VLOOKUP(C471,'시스템이펙트 참고자료'!$A:$B,2,FALSE)</f>
        <v>ACTIVE_STR_UP</v>
      </c>
      <c r="AS471" s="25">
        <v>1</v>
      </c>
      <c r="BD471" s="25">
        <v>1</v>
      </c>
    </row>
    <row r="472" spans="1:56" hidden="1">
      <c r="A472" s="25">
        <v>467</v>
      </c>
      <c r="B472" s="25" t="str">
        <f>VLOOKUP(C472,'시스템이펙트 참고자료'!$A:$C,2,FALSE)</f>
        <v>ACTIVE_SOL_UP</v>
      </c>
      <c r="C472" s="25">
        <v>614</v>
      </c>
      <c r="D472" s="25">
        <f>VLOOKUP(C472,'시스템이펙트 참고자료'!$A:$D,4,FALSE)</f>
        <v>0</v>
      </c>
      <c r="E472" s="25">
        <v>0</v>
      </c>
      <c r="F472" s="25">
        <v>0</v>
      </c>
      <c r="G472" s="25">
        <f t="shared" si="37"/>
        <v>2</v>
      </c>
      <c r="H472" s="25" t="s">
        <v>395</v>
      </c>
      <c r="I472" s="25">
        <v>1</v>
      </c>
      <c r="J472" s="25" t="str">
        <f>VLOOKUP(C472,'시스템이펙트 참고자료'!$A:$C,3,FALSE)</f>
        <v>절대값/상대값(%) 가능</v>
      </c>
      <c r="K472" s="25">
        <v>9</v>
      </c>
      <c r="M472" s="25">
        <v>6</v>
      </c>
      <c r="N472" s="25">
        <f t="shared" si="39"/>
        <v>53</v>
      </c>
      <c r="O472" s="25">
        <v>1</v>
      </c>
      <c r="P472" s="25">
        <v>1</v>
      </c>
      <c r="Q472" s="25">
        <v>1</v>
      </c>
      <c r="R472" s="25">
        <v>1</v>
      </c>
      <c r="T472" s="25">
        <v>1</v>
      </c>
      <c r="AA472" s="25">
        <f t="shared" si="40"/>
        <v>128</v>
      </c>
      <c r="AK472" s="25">
        <v>1</v>
      </c>
      <c r="AM472" s="25">
        <v>53</v>
      </c>
      <c r="AN472" s="25">
        <v>100</v>
      </c>
      <c r="AP472" s="25">
        <f t="shared" si="38"/>
        <v>2</v>
      </c>
      <c r="AQ472" s="25" t="str">
        <f>VLOOKUP(C472,'시스템이펙트 참고자료'!$A:$B,2,FALSE)</f>
        <v>ACTIVE_SOL_UP</v>
      </c>
      <c r="AS472" s="25">
        <v>1</v>
      </c>
      <c r="BD472" s="25">
        <v>1</v>
      </c>
    </row>
    <row r="473" spans="1:56" hidden="1">
      <c r="A473" s="25">
        <v>468</v>
      </c>
      <c r="B473" s="25" t="str">
        <f>VLOOKUP(C473,'시스템이펙트 참고자료'!$A:$C,2,FALSE)</f>
        <v>ACTIVE_PHYSICAL_CRITICAL_DAMAGE_UP</v>
      </c>
      <c r="C473" s="25">
        <v>658</v>
      </c>
      <c r="D473" s="25">
        <f>VLOOKUP(C473,'시스템이펙트 참고자료'!$A:$D,4,FALSE)</f>
        <v>0</v>
      </c>
      <c r="E473" s="25">
        <v>0</v>
      </c>
      <c r="F473" s="25">
        <v>0</v>
      </c>
      <c r="G473" s="25">
        <f t="shared" si="37"/>
        <v>4</v>
      </c>
      <c r="H473" s="25" t="s">
        <v>395</v>
      </c>
      <c r="I473" s="25">
        <v>1</v>
      </c>
      <c r="J473" s="25" t="str">
        <f>VLOOKUP(C473,'시스템이펙트 참고자료'!$A:$C,3,FALSE)</f>
        <v>절대값만 가능</v>
      </c>
      <c r="K473" s="25">
        <v>9</v>
      </c>
      <c r="M473" s="25">
        <v>6</v>
      </c>
      <c r="N473" s="25">
        <f t="shared" si="39"/>
        <v>28</v>
      </c>
      <c r="O473" s="25">
        <v>1</v>
      </c>
      <c r="P473" s="25">
        <v>1</v>
      </c>
      <c r="Q473" s="25">
        <v>1</v>
      </c>
      <c r="R473" s="25">
        <v>1</v>
      </c>
      <c r="T473" s="25">
        <v>1</v>
      </c>
      <c r="AA473" s="25">
        <f t="shared" si="40"/>
        <v>128</v>
      </c>
      <c r="AK473" s="25">
        <v>1</v>
      </c>
      <c r="AM473" s="25">
        <v>28</v>
      </c>
      <c r="AN473" s="25">
        <v>100</v>
      </c>
      <c r="AP473" s="25">
        <f t="shared" si="38"/>
        <v>4</v>
      </c>
      <c r="AQ473" s="25" t="str">
        <f>VLOOKUP(C473,'시스템이펙트 참고자료'!$A:$B,2,FALSE)</f>
        <v>ACTIVE_PHYSICAL_CRITICAL_DAMAGE_UP</v>
      </c>
      <c r="AS473" s="25">
        <v>1</v>
      </c>
      <c r="BD473" s="25">
        <v>1</v>
      </c>
    </row>
    <row r="474" spans="1:56" hidden="1">
      <c r="A474" s="25">
        <v>469</v>
      </c>
      <c r="B474" s="25" t="str">
        <f>VLOOKUP(C474,'시스템이펙트 참고자료'!$A:$C,2,FALSE)</f>
        <v>ACTIVE_ENERGY_CRITICAL_DAMAGE_UP</v>
      </c>
      <c r="C474" s="25">
        <v>659</v>
      </c>
      <c r="D474" s="25">
        <f>VLOOKUP(C474,'시스템이펙트 참고자료'!$A:$D,4,FALSE)</f>
        <v>0</v>
      </c>
      <c r="E474" s="25">
        <v>0</v>
      </c>
      <c r="F474" s="25">
        <v>0</v>
      </c>
      <c r="G474" s="25">
        <f t="shared" si="37"/>
        <v>4</v>
      </c>
      <c r="H474" s="25" t="s">
        <v>395</v>
      </c>
      <c r="I474" s="25">
        <v>1</v>
      </c>
      <c r="J474" s="25" t="str">
        <f>VLOOKUP(C474,'시스템이펙트 참고자료'!$A:$C,3,FALSE)</f>
        <v>절대값만 가능</v>
      </c>
      <c r="K474" s="25">
        <v>9</v>
      </c>
      <c r="M474" s="25">
        <v>6</v>
      </c>
      <c r="N474" s="25">
        <f t="shared" si="39"/>
        <v>32</v>
      </c>
      <c r="O474" s="25">
        <v>1</v>
      </c>
      <c r="P474" s="25">
        <v>1</v>
      </c>
      <c r="Q474" s="25">
        <v>1</v>
      </c>
      <c r="R474" s="25">
        <v>1</v>
      </c>
      <c r="T474" s="25">
        <v>1</v>
      </c>
      <c r="AA474" s="25">
        <f t="shared" si="40"/>
        <v>128</v>
      </c>
      <c r="AK474" s="25">
        <v>1</v>
      </c>
      <c r="AM474" s="25">
        <v>32</v>
      </c>
      <c r="AN474" s="25">
        <v>100</v>
      </c>
      <c r="AP474" s="25">
        <f t="shared" si="38"/>
        <v>4</v>
      </c>
      <c r="AQ474" s="25" t="str">
        <f>VLOOKUP(C474,'시스템이펙트 참고자료'!$A:$B,2,FALSE)</f>
        <v>ACTIVE_ENERGY_CRITICAL_DAMAGE_UP</v>
      </c>
      <c r="AS474" s="25">
        <v>1</v>
      </c>
      <c r="BD474" s="25">
        <v>1</v>
      </c>
    </row>
    <row r="475" spans="1:56" hidden="1">
      <c r="A475" s="25">
        <v>470</v>
      </c>
      <c r="B475" s="25" t="str">
        <f>VLOOKUP(C475,'시스템이펙트 참고자료'!$A:$C,2,FALSE)</f>
        <v>ACTIVE_FOC_UP</v>
      </c>
      <c r="C475" s="25">
        <v>612</v>
      </c>
      <c r="D475" s="25">
        <f>VLOOKUP(C475,'시스템이펙트 참고자료'!$A:$D,4,FALSE)</f>
        <v>0</v>
      </c>
      <c r="E475" s="25">
        <v>0</v>
      </c>
      <c r="F475" s="25">
        <v>0</v>
      </c>
      <c r="G475" s="25">
        <f t="shared" si="37"/>
        <v>2</v>
      </c>
      <c r="H475" s="25" t="s">
        <v>395</v>
      </c>
      <c r="I475" s="25">
        <v>1</v>
      </c>
      <c r="J475" s="25" t="str">
        <f>VLOOKUP(C475,'시스템이펙트 참고자료'!$A:$C,3,FALSE)</f>
        <v>절대값/상대값(%) 가능</v>
      </c>
      <c r="K475" s="25">
        <v>9</v>
      </c>
      <c r="M475" s="25">
        <v>7</v>
      </c>
      <c r="N475" s="25">
        <f t="shared" si="39"/>
        <v>53</v>
      </c>
      <c r="O475" s="25">
        <v>1</v>
      </c>
      <c r="P475" s="25">
        <v>1</v>
      </c>
      <c r="Q475" s="25">
        <v>1</v>
      </c>
      <c r="R475" s="25">
        <v>1</v>
      </c>
      <c r="T475" s="25">
        <v>1</v>
      </c>
      <c r="AA475" s="25">
        <f t="shared" si="40"/>
        <v>128</v>
      </c>
      <c r="AK475" s="25">
        <v>1</v>
      </c>
      <c r="AM475" s="25">
        <v>53</v>
      </c>
      <c r="AN475" s="25">
        <v>100</v>
      </c>
      <c r="AP475" s="25">
        <f t="shared" si="38"/>
        <v>2</v>
      </c>
      <c r="AQ475" s="25" t="str">
        <f>VLOOKUP(C475,'시스템이펙트 참고자료'!$A:$B,2,FALSE)</f>
        <v>ACTIVE_FOC_UP</v>
      </c>
      <c r="AS475" s="25">
        <v>1</v>
      </c>
      <c r="BD475" s="25">
        <v>1</v>
      </c>
    </row>
    <row r="476" spans="1:56" hidden="1">
      <c r="A476" s="25">
        <v>471</v>
      </c>
      <c r="B476" s="25" t="str">
        <f>VLOOKUP(C476,'시스템이펙트 참고자료'!$A:$C,2,FALSE)</f>
        <v>ACTIVE_ATTACK_RATE_UP</v>
      </c>
      <c r="C476" s="25">
        <v>618</v>
      </c>
      <c r="D476" s="25">
        <f>VLOOKUP(C476,'시스템이펙트 참고자료'!$A:$D,4,FALSE)</f>
        <v>0</v>
      </c>
      <c r="E476" s="25">
        <v>0</v>
      </c>
      <c r="F476" s="25">
        <v>0</v>
      </c>
      <c r="G476" s="25">
        <f t="shared" si="37"/>
        <v>1</v>
      </c>
      <c r="H476" s="25" t="s">
        <v>395</v>
      </c>
      <c r="I476" s="25">
        <v>1</v>
      </c>
      <c r="J476" s="25" t="str">
        <f>VLOOKUP(C476,'시스템이펙트 참고자료'!$A:$C,3,FALSE)</f>
        <v>절대값/상대값(%) 가능</v>
      </c>
      <c r="K476" s="25">
        <v>9</v>
      </c>
      <c r="M476" s="25">
        <v>7</v>
      </c>
      <c r="N476" s="25">
        <f t="shared" si="39"/>
        <v>528</v>
      </c>
      <c r="O476" s="25">
        <v>1</v>
      </c>
      <c r="P476" s="25">
        <v>1</v>
      </c>
      <c r="Q476" s="25">
        <v>1</v>
      </c>
      <c r="R476" s="25">
        <v>1</v>
      </c>
      <c r="T476" s="25">
        <v>1</v>
      </c>
      <c r="AA476" s="25">
        <f t="shared" si="40"/>
        <v>128</v>
      </c>
      <c r="AK476" s="25">
        <v>1</v>
      </c>
      <c r="AM476" s="25">
        <v>528</v>
      </c>
      <c r="AN476" s="25">
        <v>100</v>
      </c>
      <c r="AP476" s="25">
        <f t="shared" si="38"/>
        <v>1</v>
      </c>
      <c r="AQ476" s="25" t="str">
        <f>VLOOKUP(C476,'시스템이펙트 참고자료'!$A:$B,2,FALSE)</f>
        <v>ACTIVE_ATTACK_RATE_UP</v>
      </c>
      <c r="AS476" s="25">
        <v>1</v>
      </c>
      <c r="BD476" s="25">
        <v>1</v>
      </c>
    </row>
    <row r="477" spans="1:56" hidden="1">
      <c r="A477" s="25">
        <v>472</v>
      </c>
      <c r="B477" s="25" t="str">
        <f>VLOOKUP(C477,'시스템이펙트 참고자료'!$A:$C,2,FALSE)</f>
        <v>ACTIVE_ENG_UP</v>
      </c>
      <c r="C477" s="25">
        <v>615</v>
      </c>
      <c r="D477" s="25">
        <f>VLOOKUP(C477,'시스템이펙트 참고자료'!$A:$D,4,FALSE)</f>
        <v>0</v>
      </c>
      <c r="E477" s="25">
        <v>0</v>
      </c>
      <c r="F477" s="25">
        <v>0</v>
      </c>
      <c r="G477" s="25">
        <f t="shared" si="37"/>
        <v>2</v>
      </c>
      <c r="H477" s="25" t="s">
        <v>395</v>
      </c>
      <c r="I477" s="25">
        <v>1</v>
      </c>
      <c r="J477" s="25" t="str">
        <f>VLOOKUP(C477,'시스템이펙트 참고자료'!$A:$C,3,FALSE)</f>
        <v>절대값/상대값(%) 가능</v>
      </c>
      <c r="K477" s="25">
        <v>9</v>
      </c>
      <c r="M477" s="25">
        <v>7</v>
      </c>
      <c r="N477" s="25">
        <f t="shared" si="39"/>
        <v>62</v>
      </c>
      <c r="O477" s="25">
        <v>1</v>
      </c>
      <c r="P477" s="25">
        <v>1</v>
      </c>
      <c r="Q477" s="25">
        <v>1</v>
      </c>
      <c r="R477" s="25">
        <v>1</v>
      </c>
      <c r="T477" s="25">
        <v>1</v>
      </c>
      <c r="AA477" s="25">
        <f t="shared" si="40"/>
        <v>128</v>
      </c>
      <c r="AK477" s="25">
        <v>1</v>
      </c>
      <c r="AM477" s="25">
        <v>62</v>
      </c>
      <c r="AN477" s="25">
        <v>100</v>
      </c>
      <c r="AP477" s="25">
        <f t="shared" si="38"/>
        <v>2</v>
      </c>
      <c r="AQ477" s="25" t="str">
        <f>VLOOKUP(C477,'시스템이펙트 참고자료'!$A:$B,2,FALSE)</f>
        <v>ACTIVE_ENG_UP</v>
      </c>
      <c r="AS477" s="25">
        <v>1</v>
      </c>
      <c r="BD477" s="25">
        <v>1</v>
      </c>
    </row>
    <row r="478" spans="1:56" hidden="1">
      <c r="A478" s="25">
        <v>473</v>
      </c>
      <c r="B478" s="25" t="str">
        <f>VLOOKUP(C478,'시스템이펙트 참고자료'!$A:$C,2,FALSE)</f>
        <v>ACTIVE_PHYSICAL_CRITICAL</v>
      </c>
      <c r="C478" s="25">
        <v>632</v>
      </c>
      <c r="D478" s="25">
        <f>VLOOKUP(C478,'시스템이펙트 참고자료'!$A:$D,4,FALSE)</f>
        <v>0</v>
      </c>
      <c r="E478" s="25">
        <v>0</v>
      </c>
      <c r="F478" s="25">
        <v>0</v>
      </c>
      <c r="G478" s="25">
        <f t="shared" si="37"/>
        <v>5</v>
      </c>
      <c r="H478" s="25" t="s">
        <v>395</v>
      </c>
      <c r="I478" s="25">
        <v>1</v>
      </c>
      <c r="J478" s="25" t="str">
        <f>VLOOKUP(C478,'시스템이펙트 참고자료'!$A:$C,3,FALSE)</f>
        <v>절대값/상대값(%) 가능</v>
      </c>
      <c r="K478" s="25">
        <v>9</v>
      </c>
      <c r="M478" s="25">
        <v>7</v>
      </c>
      <c r="N478" s="25">
        <f t="shared" si="39"/>
        <v>21</v>
      </c>
      <c r="O478" s="25">
        <v>1</v>
      </c>
      <c r="P478" s="25">
        <v>1</v>
      </c>
      <c r="Q478" s="25">
        <v>1</v>
      </c>
      <c r="R478" s="25">
        <v>1</v>
      </c>
      <c r="T478" s="25">
        <v>1</v>
      </c>
      <c r="AA478" s="25">
        <f t="shared" si="40"/>
        <v>128</v>
      </c>
      <c r="AK478" s="25">
        <v>1</v>
      </c>
      <c r="AM478" s="25">
        <v>21</v>
      </c>
      <c r="AN478" s="25">
        <v>100</v>
      </c>
      <c r="AP478" s="25">
        <f t="shared" si="38"/>
        <v>5</v>
      </c>
      <c r="AQ478" s="25" t="str">
        <f>VLOOKUP(C478,'시스템이펙트 참고자료'!$A:$B,2,FALSE)</f>
        <v>ACTIVE_PHYSICAL_CRITICAL</v>
      </c>
      <c r="AS478" s="25">
        <v>1</v>
      </c>
      <c r="BD478" s="25">
        <v>1</v>
      </c>
    </row>
    <row r="479" spans="1:56" hidden="1">
      <c r="A479" s="25">
        <v>474</v>
      </c>
      <c r="B479" s="25" t="str">
        <f>VLOOKUP(C479,'시스템이펙트 참고자료'!$A:$C,2,FALSE)</f>
        <v>ACTIVE_ENERGY_CRITICAL</v>
      </c>
      <c r="C479" s="25">
        <v>633</v>
      </c>
      <c r="D479" s="25">
        <f>VLOOKUP(C479,'시스템이펙트 참고자료'!$A:$D,4,FALSE)</f>
        <v>0</v>
      </c>
      <c r="E479" s="25">
        <v>0</v>
      </c>
      <c r="F479" s="25">
        <v>0</v>
      </c>
      <c r="G479" s="25">
        <f t="shared" si="37"/>
        <v>5</v>
      </c>
      <c r="H479" s="25" t="s">
        <v>395</v>
      </c>
      <c r="I479" s="25">
        <v>1</v>
      </c>
      <c r="J479" s="25" t="str">
        <f>VLOOKUP(C479,'시스템이펙트 참고자료'!$A:$C,3,FALSE)</f>
        <v>절대값/상대값(%) 가능</v>
      </c>
      <c r="K479" s="25">
        <v>9</v>
      </c>
      <c r="M479" s="25">
        <v>7</v>
      </c>
      <c r="N479" s="25">
        <f t="shared" si="39"/>
        <v>24</v>
      </c>
      <c r="O479" s="25">
        <v>1</v>
      </c>
      <c r="P479" s="25">
        <v>1</v>
      </c>
      <c r="Q479" s="25">
        <v>1</v>
      </c>
      <c r="R479" s="25">
        <v>1</v>
      </c>
      <c r="T479" s="25">
        <v>1</v>
      </c>
      <c r="AA479" s="25">
        <f t="shared" si="40"/>
        <v>128</v>
      </c>
      <c r="AK479" s="25">
        <v>1</v>
      </c>
      <c r="AM479" s="25">
        <v>24</v>
      </c>
      <c r="AN479" s="25">
        <v>100</v>
      </c>
      <c r="AP479" s="25">
        <f t="shared" si="38"/>
        <v>5</v>
      </c>
      <c r="AQ479" s="25" t="str">
        <f>VLOOKUP(C479,'시스템이펙트 참고자료'!$A:$B,2,FALSE)</f>
        <v>ACTIVE_ENERGY_CRITICAL</v>
      </c>
      <c r="AS479" s="25">
        <v>1</v>
      </c>
      <c r="BD479" s="25">
        <v>1</v>
      </c>
    </row>
    <row r="480" spans="1:56" hidden="1">
      <c r="A480" s="25">
        <v>475</v>
      </c>
      <c r="B480" s="25" t="str">
        <f>VLOOKUP(C480,'시스템이펙트 참고자료'!$A:$C,2,FALSE)</f>
        <v>ACTIVE_FOC_UP</v>
      </c>
      <c r="C480" s="25">
        <v>612</v>
      </c>
      <c r="D480" s="25">
        <f>VLOOKUP(C480,'시스템이펙트 참고자료'!$A:$D,4,FALSE)</f>
        <v>0</v>
      </c>
      <c r="E480" s="25">
        <v>0</v>
      </c>
      <c r="F480" s="25">
        <v>0</v>
      </c>
      <c r="G480" s="25">
        <f t="shared" si="37"/>
        <v>2</v>
      </c>
      <c r="H480" s="25" t="s">
        <v>395</v>
      </c>
      <c r="I480" s="25">
        <v>1</v>
      </c>
      <c r="J480" s="25" t="str">
        <f>VLOOKUP(C480,'시스템이펙트 참고자료'!$A:$C,3,FALSE)</f>
        <v>절대값/상대값(%) 가능</v>
      </c>
      <c r="K480" s="25">
        <v>9</v>
      </c>
      <c r="M480" s="25">
        <v>8</v>
      </c>
      <c r="N480" s="25">
        <f t="shared" si="39"/>
        <v>53</v>
      </c>
      <c r="O480" s="25">
        <v>1</v>
      </c>
      <c r="P480" s="25">
        <v>1</v>
      </c>
      <c r="Q480" s="25">
        <v>1</v>
      </c>
      <c r="R480" s="25">
        <v>1</v>
      </c>
      <c r="T480" s="25">
        <v>1</v>
      </c>
      <c r="AA480" s="25">
        <f t="shared" si="40"/>
        <v>128</v>
      </c>
      <c r="AK480" s="25">
        <v>1</v>
      </c>
      <c r="AM480" s="25">
        <v>53</v>
      </c>
      <c r="AN480" s="25">
        <v>100</v>
      </c>
      <c r="AP480" s="25">
        <f t="shared" si="38"/>
        <v>2</v>
      </c>
      <c r="AQ480" s="25" t="str">
        <f>VLOOKUP(C480,'시스템이펙트 참고자료'!$A:$B,2,FALSE)</f>
        <v>ACTIVE_FOC_UP</v>
      </c>
      <c r="AS480" s="25">
        <v>1</v>
      </c>
      <c r="BD480" s="25">
        <v>1</v>
      </c>
    </row>
    <row r="481" spans="1:56" hidden="1">
      <c r="A481" s="25">
        <v>476</v>
      </c>
      <c r="B481" s="25" t="str">
        <f>VLOOKUP(C481,'시스템이펙트 참고자료'!$A:$C,2,FALSE)</f>
        <v>ACTIVE_CON_UP</v>
      </c>
      <c r="C481" s="25">
        <v>611</v>
      </c>
      <c r="D481" s="25">
        <f>VLOOKUP(C481,'시스템이펙트 참고자료'!$A:$D,4,FALSE)</f>
        <v>0</v>
      </c>
      <c r="E481" s="25">
        <v>0</v>
      </c>
      <c r="F481" s="25">
        <v>0</v>
      </c>
      <c r="G481" s="25">
        <f t="shared" si="37"/>
        <v>3</v>
      </c>
      <c r="H481" s="25" t="s">
        <v>395</v>
      </c>
      <c r="I481" s="25">
        <v>1</v>
      </c>
      <c r="J481" s="25" t="str">
        <f>VLOOKUP(C481,'시스템이펙트 참고자료'!$A:$C,3,FALSE)</f>
        <v>절대값/상대값(%) 가능</v>
      </c>
      <c r="K481" s="25">
        <v>9</v>
      </c>
      <c r="M481" s="25">
        <v>8</v>
      </c>
      <c r="N481" s="25">
        <f t="shared" si="39"/>
        <v>48</v>
      </c>
      <c r="O481" s="25">
        <v>1</v>
      </c>
      <c r="P481" s="25">
        <v>1</v>
      </c>
      <c r="Q481" s="25">
        <v>1</v>
      </c>
      <c r="R481" s="25">
        <v>1</v>
      </c>
      <c r="T481" s="25">
        <v>1</v>
      </c>
      <c r="AA481" s="25">
        <f t="shared" si="40"/>
        <v>128</v>
      </c>
      <c r="AK481" s="25">
        <v>1</v>
      </c>
      <c r="AM481" s="25">
        <v>48</v>
      </c>
      <c r="AN481" s="25">
        <v>100</v>
      </c>
      <c r="AP481" s="25">
        <f t="shared" si="38"/>
        <v>3</v>
      </c>
      <c r="AQ481" s="25" t="str">
        <f>VLOOKUP(C481,'시스템이펙트 참고자료'!$A:$B,2,FALSE)</f>
        <v>ACTIVE_CON_UP</v>
      </c>
      <c r="AS481" s="25">
        <v>1</v>
      </c>
      <c r="BD481" s="25">
        <v>1</v>
      </c>
    </row>
    <row r="482" spans="1:56" hidden="1">
      <c r="A482" s="25">
        <v>477</v>
      </c>
      <c r="B482" s="25" t="str">
        <f>VLOOKUP(C482,'시스템이펙트 참고자료'!$A:$C,2,FALSE)</f>
        <v>ACTIVE_BLOCK_RATE_UP</v>
      </c>
      <c r="C482" s="25">
        <v>620</v>
      </c>
      <c r="D482" s="25">
        <f>VLOOKUP(C482,'시스템이펙트 참고자료'!$A:$D,4,FALSE)</f>
        <v>0</v>
      </c>
      <c r="E482" s="25">
        <v>0</v>
      </c>
      <c r="F482" s="25">
        <v>0</v>
      </c>
      <c r="G482" s="25">
        <f t="shared" si="37"/>
        <v>1</v>
      </c>
      <c r="H482" s="25" t="s">
        <v>395</v>
      </c>
      <c r="I482" s="25">
        <v>1</v>
      </c>
      <c r="J482" s="25" t="str">
        <f>VLOOKUP(C482,'시스템이펙트 참고자료'!$A:$C,3,FALSE)</f>
        <v>절대값/상대값(%) 가능</v>
      </c>
      <c r="K482" s="25">
        <v>9</v>
      </c>
      <c r="M482" s="25">
        <v>8</v>
      </c>
      <c r="N482" s="25">
        <f t="shared" si="39"/>
        <v>352</v>
      </c>
      <c r="O482" s="25">
        <v>1</v>
      </c>
      <c r="P482" s="25">
        <v>1</v>
      </c>
      <c r="Q482" s="25">
        <v>1</v>
      </c>
      <c r="R482" s="25">
        <v>1</v>
      </c>
      <c r="T482" s="25">
        <v>1</v>
      </c>
      <c r="AA482" s="25">
        <f t="shared" si="40"/>
        <v>128</v>
      </c>
      <c r="AK482" s="25">
        <v>1</v>
      </c>
      <c r="AM482" s="25">
        <v>352</v>
      </c>
      <c r="AN482" s="25">
        <v>100</v>
      </c>
      <c r="AP482" s="25">
        <f t="shared" si="38"/>
        <v>1</v>
      </c>
      <c r="AQ482" s="25" t="str">
        <f>VLOOKUP(C482,'시스템이펙트 참고자료'!$A:$B,2,FALSE)</f>
        <v>ACTIVE_BLOCK_RATE_UP</v>
      </c>
      <c r="AS482" s="25">
        <v>1</v>
      </c>
      <c r="BD482" s="25">
        <v>1</v>
      </c>
    </row>
    <row r="483" spans="1:56" hidden="1">
      <c r="A483" s="25">
        <v>478</v>
      </c>
      <c r="B483" s="25" t="str">
        <f>VLOOKUP(C483,'시스템이펙트 참고자료'!$A:$C,2,FALSE)</f>
        <v>ACTIVE_ENG_UP</v>
      </c>
      <c r="C483" s="25">
        <v>615</v>
      </c>
      <c r="D483" s="25">
        <f>VLOOKUP(C483,'시스템이펙트 참고자료'!$A:$D,4,FALSE)</f>
        <v>0</v>
      </c>
      <c r="E483" s="25">
        <v>0</v>
      </c>
      <c r="F483" s="25">
        <v>0</v>
      </c>
      <c r="G483" s="25">
        <f t="shared" si="37"/>
        <v>2</v>
      </c>
      <c r="H483" s="25" t="s">
        <v>395</v>
      </c>
      <c r="I483" s="25">
        <v>1</v>
      </c>
      <c r="J483" s="25" t="str">
        <f>VLOOKUP(C483,'시스템이펙트 참고자료'!$A:$C,3,FALSE)</f>
        <v>절대값/상대값(%) 가능</v>
      </c>
      <c r="K483" s="25">
        <v>9</v>
      </c>
      <c r="M483" s="25">
        <v>8</v>
      </c>
      <c r="N483" s="25">
        <f t="shared" si="39"/>
        <v>62</v>
      </c>
      <c r="O483" s="25">
        <v>1</v>
      </c>
      <c r="P483" s="25">
        <v>1</v>
      </c>
      <c r="Q483" s="25">
        <v>1</v>
      </c>
      <c r="R483" s="25">
        <v>1</v>
      </c>
      <c r="T483" s="25">
        <v>1</v>
      </c>
      <c r="AA483" s="25">
        <f t="shared" si="40"/>
        <v>128</v>
      </c>
      <c r="AK483" s="25">
        <v>1</v>
      </c>
      <c r="AM483" s="25">
        <v>62</v>
      </c>
      <c r="AN483" s="25">
        <v>100</v>
      </c>
      <c r="AP483" s="25">
        <f t="shared" si="38"/>
        <v>2</v>
      </c>
      <c r="AQ483" s="25" t="str">
        <f>VLOOKUP(C483,'시스템이펙트 참고자료'!$A:$B,2,FALSE)</f>
        <v>ACTIVE_ENG_UP</v>
      </c>
      <c r="AS483" s="25">
        <v>1</v>
      </c>
      <c r="BD483" s="25">
        <v>1</v>
      </c>
    </row>
    <row r="484" spans="1:56" hidden="1">
      <c r="A484" s="25">
        <v>479</v>
      </c>
      <c r="B484" s="25" t="str">
        <f>VLOOKUP(C484,'시스템이펙트 참고자료'!$A:$C,2,FALSE)</f>
        <v>ACTIVE_PHYSICAL_CRITICAL</v>
      </c>
      <c r="C484" s="25">
        <v>632</v>
      </c>
      <c r="D484" s="25">
        <f>VLOOKUP(C484,'시스템이펙트 참고자료'!$A:$D,4,FALSE)</f>
        <v>0</v>
      </c>
      <c r="E484" s="25">
        <v>0</v>
      </c>
      <c r="F484" s="25">
        <v>0</v>
      </c>
      <c r="G484" s="25">
        <f t="shared" si="37"/>
        <v>5</v>
      </c>
      <c r="H484" s="25" t="s">
        <v>395</v>
      </c>
      <c r="I484" s="25">
        <v>1</v>
      </c>
      <c r="J484" s="25" t="str">
        <f>VLOOKUP(C484,'시스템이펙트 참고자료'!$A:$C,3,FALSE)</f>
        <v>절대값/상대값(%) 가능</v>
      </c>
      <c r="K484" s="25">
        <v>9</v>
      </c>
      <c r="M484" s="25">
        <v>9</v>
      </c>
      <c r="N484" s="25">
        <f t="shared" si="39"/>
        <v>21</v>
      </c>
      <c r="O484" s="25">
        <v>1</v>
      </c>
      <c r="P484" s="25">
        <v>1</v>
      </c>
      <c r="Q484" s="25">
        <v>1</v>
      </c>
      <c r="R484" s="25">
        <v>1</v>
      </c>
      <c r="T484" s="25">
        <v>1</v>
      </c>
      <c r="AA484" s="25">
        <f t="shared" si="40"/>
        <v>128</v>
      </c>
      <c r="AK484" s="25">
        <v>1</v>
      </c>
      <c r="AM484" s="25">
        <v>21</v>
      </c>
      <c r="AN484" s="25">
        <v>100</v>
      </c>
      <c r="AP484" s="25">
        <f t="shared" si="38"/>
        <v>5</v>
      </c>
      <c r="AQ484" s="25" t="str">
        <f>VLOOKUP(C484,'시스템이펙트 참고자료'!$A:$B,2,FALSE)</f>
        <v>ACTIVE_PHYSICAL_CRITICAL</v>
      </c>
      <c r="AS484" s="25">
        <v>1</v>
      </c>
      <c r="BD484" s="25">
        <v>1</v>
      </c>
    </row>
    <row r="485" spans="1:56" hidden="1">
      <c r="A485" s="25">
        <v>480</v>
      </c>
      <c r="B485" s="25" t="str">
        <f>VLOOKUP(C485,'시스템이펙트 참고자료'!$A:$C,2,FALSE)</f>
        <v>ACTIVE_ENERGY_CRITICAL</v>
      </c>
      <c r="C485" s="25">
        <v>633</v>
      </c>
      <c r="D485" s="25">
        <f>VLOOKUP(C485,'시스템이펙트 참고자료'!$A:$D,4,FALSE)</f>
        <v>0</v>
      </c>
      <c r="E485" s="25">
        <v>0</v>
      </c>
      <c r="F485" s="25">
        <v>0</v>
      </c>
      <c r="G485" s="25">
        <f t="shared" si="37"/>
        <v>5</v>
      </c>
      <c r="H485" s="25" t="s">
        <v>395</v>
      </c>
      <c r="I485" s="25">
        <v>1</v>
      </c>
      <c r="J485" s="25" t="str">
        <f>VLOOKUP(C485,'시스템이펙트 참고자료'!$A:$C,3,FALSE)</f>
        <v>절대값/상대값(%) 가능</v>
      </c>
      <c r="K485" s="25">
        <v>9</v>
      </c>
      <c r="M485" s="25">
        <v>9</v>
      </c>
      <c r="N485" s="25">
        <f t="shared" si="39"/>
        <v>24</v>
      </c>
      <c r="O485" s="25">
        <v>1</v>
      </c>
      <c r="P485" s="25">
        <v>1</v>
      </c>
      <c r="Q485" s="25">
        <v>1</v>
      </c>
      <c r="R485" s="25">
        <v>1</v>
      </c>
      <c r="T485" s="25">
        <v>1</v>
      </c>
      <c r="AA485" s="25">
        <f t="shared" si="40"/>
        <v>128</v>
      </c>
      <c r="AK485" s="25">
        <v>1</v>
      </c>
      <c r="AM485" s="25">
        <v>24</v>
      </c>
      <c r="AN485" s="25">
        <v>100</v>
      </c>
      <c r="AP485" s="25">
        <f t="shared" si="38"/>
        <v>5</v>
      </c>
      <c r="AQ485" s="25" t="str">
        <f>VLOOKUP(C485,'시스템이펙트 참고자료'!$A:$B,2,FALSE)</f>
        <v>ACTIVE_ENERGY_CRITICAL</v>
      </c>
      <c r="AS485" s="25">
        <v>1</v>
      </c>
      <c r="BD485" s="25">
        <v>1</v>
      </c>
    </row>
    <row r="486" spans="1:56" hidden="1">
      <c r="A486" s="25">
        <v>481</v>
      </c>
      <c r="B486" s="25" t="str">
        <f>VLOOKUP(C486,'시스템이펙트 참고자료'!$A:$C,2,FALSE)</f>
        <v>ACTIVE_DEX_UP</v>
      </c>
      <c r="C486" s="25">
        <v>613</v>
      </c>
      <c r="D486" s="25">
        <f>VLOOKUP(C486,'시스템이펙트 참고자료'!$A:$D,4,FALSE)</f>
        <v>0</v>
      </c>
      <c r="E486" s="25">
        <v>0</v>
      </c>
      <c r="F486" s="25">
        <v>0</v>
      </c>
      <c r="G486" s="25">
        <f t="shared" si="37"/>
        <v>3</v>
      </c>
      <c r="H486" s="25" t="s">
        <v>395</v>
      </c>
      <c r="I486" s="25">
        <v>1</v>
      </c>
      <c r="J486" s="25" t="str">
        <f>VLOOKUP(C486,'시스템이펙트 참고자료'!$A:$C,3,FALSE)</f>
        <v>절대값/상대값(%) 가능</v>
      </c>
      <c r="K486" s="25">
        <v>9</v>
      </c>
      <c r="M486" s="25">
        <v>9</v>
      </c>
      <c r="N486" s="25">
        <f t="shared" si="39"/>
        <v>44</v>
      </c>
      <c r="O486" s="25">
        <v>1</v>
      </c>
      <c r="P486" s="25">
        <v>1</v>
      </c>
      <c r="Q486" s="25">
        <v>1</v>
      </c>
      <c r="R486" s="25">
        <v>1</v>
      </c>
      <c r="T486" s="25">
        <v>1</v>
      </c>
      <c r="AA486" s="25">
        <f t="shared" si="40"/>
        <v>128</v>
      </c>
      <c r="AK486" s="25">
        <v>1</v>
      </c>
      <c r="AM486" s="25">
        <v>44</v>
      </c>
      <c r="AN486" s="25">
        <v>100</v>
      </c>
      <c r="AP486" s="25">
        <f t="shared" si="38"/>
        <v>3</v>
      </c>
      <c r="AQ486" s="25" t="str">
        <f>VLOOKUP(C486,'시스템이펙트 참고자료'!$A:$B,2,FALSE)</f>
        <v>ACTIVE_DEX_UP</v>
      </c>
      <c r="AS486" s="25">
        <v>1</v>
      </c>
      <c r="BD486" s="25">
        <v>1</v>
      </c>
    </row>
    <row r="487" spans="1:56" hidden="1">
      <c r="A487" s="25">
        <v>482</v>
      </c>
      <c r="B487" s="25" t="str">
        <f>VLOOKUP(C487,'시스템이펙트 참고자료'!$A:$C,2,FALSE)</f>
        <v>ACTIVE_FOC_UP</v>
      </c>
      <c r="C487" s="25">
        <v>612</v>
      </c>
      <c r="D487" s="25">
        <f>VLOOKUP(C487,'시스템이펙트 참고자료'!$A:$D,4,FALSE)</f>
        <v>0</v>
      </c>
      <c r="E487" s="25">
        <v>0</v>
      </c>
      <c r="F487" s="25">
        <v>0</v>
      </c>
      <c r="G487" s="25">
        <f t="shared" si="37"/>
        <v>2</v>
      </c>
      <c r="H487" s="25" t="s">
        <v>395</v>
      </c>
      <c r="I487" s="25">
        <v>1</v>
      </c>
      <c r="J487" s="25" t="str">
        <f>VLOOKUP(C487,'시스템이펙트 참고자료'!$A:$C,3,FALSE)</f>
        <v>절대값/상대값(%) 가능</v>
      </c>
      <c r="K487" s="25">
        <v>9</v>
      </c>
      <c r="M487" s="25">
        <v>9</v>
      </c>
      <c r="N487" s="25">
        <f t="shared" si="39"/>
        <v>53</v>
      </c>
      <c r="O487" s="25">
        <v>1</v>
      </c>
      <c r="P487" s="25">
        <v>1</v>
      </c>
      <c r="Q487" s="25">
        <v>1</v>
      </c>
      <c r="R487" s="25">
        <v>1</v>
      </c>
      <c r="T487" s="25">
        <v>1</v>
      </c>
      <c r="AA487" s="25">
        <f t="shared" si="40"/>
        <v>128</v>
      </c>
      <c r="AK487" s="25">
        <v>1</v>
      </c>
      <c r="AM487" s="25">
        <v>53</v>
      </c>
      <c r="AN487" s="25">
        <v>100</v>
      </c>
      <c r="AP487" s="25">
        <f t="shared" si="38"/>
        <v>2</v>
      </c>
      <c r="AQ487" s="25" t="str">
        <f>VLOOKUP(C487,'시스템이펙트 참고자료'!$A:$B,2,FALSE)</f>
        <v>ACTIVE_FOC_UP</v>
      </c>
      <c r="AS487" s="25">
        <v>1</v>
      </c>
      <c r="BD487" s="25">
        <v>1</v>
      </c>
    </row>
    <row r="488" spans="1:56" hidden="1">
      <c r="A488" s="25">
        <v>483</v>
      </c>
      <c r="B488" s="25" t="str">
        <f>VLOOKUP(C488,'시스템이펙트 참고자료'!$A:$C,2,FALSE)</f>
        <v>ACTIVE_PHYSICAL_CRITICAL_DAMAGE_UP</v>
      </c>
      <c r="C488" s="25">
        <v>658</v>
      </c>
      <c r="D488" s="25">
        <f>VLOOKUP(C488,'시스템이펙트 참고자료'!$A:$D,4,FALSE)</f>
        <v>0</v>
      </c>
      <c r="E488" s="25">
        <v>0</v>
      </c>
      <c r="F488" s="25">
        <v>0</v>
      </c>
      <c r="G488" s="25">
        <f t="shared" si="37"/>
        <v>4</v>
      </c>
      <c r="H488" s="25" t="s">
        <v>395</v>
      </c>
      <c r="I488" s="25">
        <v>1</v>
      </c>
      <c r="J488" s="25" t="str">
        <f>VLOOKUP(C488,'시스템이펙트 참고자료'!$A:$C,3,FALSE)</f>
        <v>절대값만 가능</v>
      </c>
      <c r="K488" s="25">
        <v>9</v>
      </c>
      <c r="M488" s="25">
        <v>10</v>
      </c>
      <c r="N488" s="25">
        <f t="shared" si="39"/>
        <v>28</v>
      </c>
      <c r="O488" s="25">
        <v>1</v>
      </c>
      <c r="P488" s="25">
        <v>1</v>
      </c>
      <c r="Q488" s="25">
        <v>1</v>
      </c>
      <c r="R488" s="25">
        <v>1</v>
      </c>
      <c r="T488" s="25">
        <v>1</v>
      </c>
      <c r="AA488" s="25">
        <f t="shared" si="40"/>
        <v>128</v>
      </c>
      <c r="AK488" s="25">
        <v>1</v>
      </c>
      <c r="AM488" s="25">
        <v>28</v>
      </c>
      <c r="AN488" s="25">
        <v>100</v>
      </c>
      <c r="AP488" s="25">
        <f t="shared" si="38"/>
        <v>4</v>
      </c>
      <c r="AQ488" s="25" t="str">
        <f>VLOOKUP(C488,'시스템이펙트 참고자료'!$A:$B,2,FALSE)</f>
        <v>ACTIVE_PHYSICAL_CRITICAL_DAMAGE_UP</v>
      </c>
      <c r="AS488" s="25">
        <v>1</v>
      </c>
      <c r="BD488" s="25">
        <v>1</v>
      </c>
    </row>
    <row r="489" spans="1:56" hidden="1">
      <c r="A489" s="25">
        <v>484</v>
      </c>
      <c r="B489" s="25" t="str">
        <f>VLOOKUP(C489,'시스템이펙트 참고자료'!$A:$C,2,FALSE)</f>
        <v>ACTIVE_ENERGY_CRITICAL_DAMAGE_UP</v>
      </c>
      <c r="C489" s="25">
        <v>659</v>
      </c>
      <c r="D489" s="25">
        <f>VLOOKUP(C489,'시스템이펙트 참고자료'!$A:$D,4,FALSE)</f>
        <v>0</v>
      </c>
      <c r="E489" s="25">
        <v>0</v>
      </c>
      <c r="F489" s="25">
        <v>0</v>
      </c>
      <c r="G489" s="25">
        <f t="shared" si="37"/>
        <v>4</v>
      </c>
      <c r="H489" s="25" t="s">
        <v>395</v>
      </c>
      <c r="I489" s="25">
        <v>1</v>
      </c>
      <c r="J489" s="25" t="str">
        <f>VLOOKUP(C489,'시스템이펙트 참고자료'!$A:$C,3,FALSE)</f>
        <v>절대값만 가능</v>
      </c>
      <c r="K489" s="25">
        <v>9</v>
      </c>
      <c r="M489" s="25">
        <v>10</v>
      </c>
      <c r="N489" s="25">
        <f t="shared" si="39"/>
        <v>32</v>
      </c>
      <c r="O489" s="25">
        <v>1</v>
      </c>
      <c r="P489" s="25">
        <v>1</v>
      </c>
      <c r="Q489" s="25">
        <v>1</v>
      </c>
      <c r="R489" s="25">
        <v>1</v>
      </c>
      <c r="T489" s="25">
        <v>1</v>
      </c>
      <c r="AA489" s="25">
        <f t="shared" si="40"/>
        <v>128</v>
      </c>
      <c r="AK489" s="25">
        <v>1</v>
      </c>
      <c r="AM489" s="25">
        <v>32</v>
      </c>
      <c r="AN489" s="25">
        <v>100</v>
      </c>
      <c r="AP489" s="25">
        <f t="shared" si="38"/>
        <v>4</v>
      </c>
      <c r="AQ489" s="25" t="str">
        <f>VLOOKUP(C489,'시스템이펙트 참고자료'!$A:$B,2,FALSE)</f>
        <v>ACTIVE_ENERGY_CRITICAL_DAMAGE_UP</v>
      </c>
      <c r="AS489" s="25">
        <v>1</v>
      </c>
      <c r="BD489" s="25">
        <v>1</v>
      </c>
    </row>
    <row r="490" spans="1:56" hidden="1">
      <c r="A490" s="25">
        <v>485</v>
      </c>
      <c r="B490" s="25" t="str">
        <f>VLOOKUP(C490,'시스템이펙트 참고자료'!$A:$C,2,FALSE)</f>
        <v>ACTIVE_DEX_UP</v>
      </c>
      <c r="C490" s="25">
        <v>613</v>
      </c>
      <c r="D490" s="25">
        <f>VLOOKUP(C490,'시스템이펙트 참고자료'!$A:$D,4,FALSE)</f>
        <v>0</v>
      </c>
      <c r="E490" s="25">
        <v>0</v>
      </c>
      <c r="F490" s="25">
        <v>0</v>
      </c>
      <c r="G490" s="25">
        <f t="shared" si="37"/>
        <v>3</v>
      </c>
      <c r="H490" s="25" t="s">
        <v>395</v>
      </c>
      <c r="I490" s="25">
        <v>1</v>
      </c>
      <c r="J490" s="25" t="str">
        <f>VLOOKUP(C490,'시스템이펙트 참고자료'!$A:$C,3,FALSE)</f>
        <v>절대값/상대값(%) 가능</v>
      </c>
      <c r="K490" s="25">
        <v>9</v>
      </c>
      <c r="M490" s="25">
        <v>10</v>
      </c>
      <c r="N490" s="25">
        <f t="shared" si="39"/>
        <v>44</v>
      </c>
      <c r="O490" s="25">
        <v>1</v>
      </c>
      <c r="P490" s="25">
        <v>1</v>
      </c>
      <c r="Q490" s="25">
        <v>1</v>
      </c>
      <c r="R490" s="25">
        <v>1</v>
      </c>
      <c r="T490" s="25">
        <v>1</v>
      </c>
      <c r="AA490" s="25">
        <f t="shared" si="40"/>
        <v>128</v>
      </c>
      <c r="AK490" s="25">
        <v>1</v>
      </c>
      <c r="AM490" s="25">
        <v>44</v>
      </c>
      <c r="AN490" s="25">
        <v>100</v>
      </c>
      <c r="AP490" s="25">
        <f t="shared" si="38"/>
        <v>3</v>
      </c>
      <c r="AQ490" s="25" t="str">
        <f>VLOOKUP(C490,'시스템이펙트 참고자료'!$A:$B,2,FALSE)</f>
        <v>ACTIVE_DEX_UP</v>
      </c>
      <c r="AS490" s="25">
        <v>1</v>
      </c>
      <c r="BD490" s="25">
        <v>1</v>
      </c>
    </row>
    <row r="491" spans="1:56" hidden="1">
      <c r="A491" s="25">
        <v>486</v>
      </c>
      <c r="B491" s="25" t="str">
        <f>VLOOKUP(C491,'시스템이펙트 참고자료'!$A:$C,2,FALSE)</f>
        <v>ACTIVE_ATTACK_SPEED_UP</v>
      </c>
      <c r="C491" s="25">
        <v>617</v>
      </c>
      <c r="D491" s="25">
        <f>VLOOKUP(C491,'시스템이펙트 참고자료'!$A:$D,4,FALSE)</f>
        <v>1</v>
      </c>
      <c r="E491" s="25">
        <v>0</v>
      </c>
      <c r="F491" s="25">
        <v>0</v>
      </c>
      <c r="G491" s="25">
        <f t="shared" si="37"/>
        <v>10</v>
      </c>
      <c r="H491" s="25" t="s">
        <v>395</v>
      </c>
      <c r="I491" s="25">
        <v>1</v>
      </c>
      <c r="J491" s="25" t="str">
        <f>VLOOKUP(C491,'시스템이펙트 참고자료'!$A:$C,3,FALSE)</f>
        <v>절대값/상대값(%) 가능</v>
      </c>
      <c r="K491" s="25">
        <v>9</v>
      </c>
      <c r="M491" s="25">
        <v>10</v>
      </c>
      <c r="N491" s="25">
        <f t="shared" si="39"/>
        <v>10</v>
      </c>
      <c r="O491" s="25">
        <v>1</v>
      </c>
      <c r="P491" s="25">
        <v>1</v>
      </c>
      <c r="Q491" s="25">
        <v>1</v>
      </c>
      <c r="R491" s="25">
        <v>1</v>
      </c>
      <c r="T491" s="25">
        <v>1</v>
      </c>
      <c r="AA491" s="25">
        <f t="shared" si="40"/>
        <v>128</v>
      </c>
      <c r="AK491" s="25">
        <v>1</v>
      </c>
      <c r="AM491" s="25">
        <v>10</v>
      </c>
      <c r="AN491" s="25">
        <v>100</v>
      </c>
      <c r="AP491" s="25">
        <f t="shared" si="38"/>
        <v>10</v>
      </c>
      <c r="AQ491" s="25" t="str">
        <f>VLOOKUP(C491,'시스템이펙트 참고자료'!$A:$B,2,FALSE)</f>
        <v>ACTIVE_ATTACK_SPEED_UP</v>
      </c>
      <c r="AS491" s="25">
        <v>1</v>
      </c>
      <c r="BD491" s="25">
        <v>1</v>
      </c>
    </row>
    <row r="492" spans="1:56" hidden="1">
      <c r="A492" s="25">
        <v>487</v>
      </c>
      <c r="B492" s="25" t="str">
        <f>VLOOKUP(C492,'시스템이펙트 참고자료'!$A:$C,2,FALSE)</f>
        <v>ACTIVE_STR_UP</v>
      </c>
      <c r="C492" s="25">
        <v>610</v>
      </c>
      <c r="D492" s="25">
        <f>VLOOKUP(C492,'시스템이펙트 참고자료'!$A:$D,4,FALSE)</f>
        <v>0</v>
      </c>
      <c r="E492" s="25">
        <v>0</v>
      </c>
      <c r="F492" s="25">
        <v>0</v>
      </c>
      <c r="G492" s="25">
        <f t="shared" si="37"/>
        <v>2</v>
      </c>
      <c r="H492" s="25" t="s">
        <v>395</v>
      </c>
      <c r="I492" s="25">
        <v>1</v>
      </c>
      <c r="J492" s="25" t="str">
        <f>VLOOKUP(C492,'시스템이펙트 참고자료'!$A:$C,3,FALSE)</f>
        <v>절대값/상대값(%) 가능</v>
      </c>
      <c r="K492" s="25">
        <v>9</v>
      </c>
      <c r="M492" s="25">
        <v>11</v>
      </c>
      <c r="N492" s="25">
        <f t="shared" si="39"/>
        <v>57</v>
      </c>
      <c r="O492" s="25">
        <v>1</v>
      </c>
      <c r="P492" s="25">
        <v>1</v>
      </c>
      <c r="Q492" s="25">
        <v>1</v>
      </c>
      <c r="R492" s="25">
        <v>1</v>
      </c>
      <c r="T492" s="25">
        <v>1</v>
      </c>
      <c r="AA492" s="25">
        <f t="shared" si="40"/>
        <v>128</v>
      </c>
      <c r="AK492" s="25">
        <v>1</v>
      </c>
      <c r="AM492" s="25">
        <v>57</v>
      </c>
      <c r="AN492" s="25">
        <v>100</v>
      </c>
      <c r="AP492" s="25">
        <f t="shared" si="38"/>
        <v>2</v>
      </c>
      <c r="AQ492" s="25" t="str">
        <f>VLOOKUP(C492,'시스템이펙트 참고자료'!$A:$B,2,FALSE)</f>
        <v>ACTIVE_STR_UP</v>
      </c>
      <c r="AS492" s="25">
        <v>1</v>
      </c>
      <c r="BD492" s="25">
        <v>1</v>
      </c>
    </row>
    <row r="493" spans="1:56" hidden="1">
      <c r="A493" s="25">
        <v>488</v>
      </c>
      <c r="B493" s="25" t="str">
        <f>VLOOKUP(C493,'시스템이펙트 참고자료'!$A:$C,2,FALSE)</f>
        <v>ACTIVE_CON_UP</v>
      </c>
      <c r="C493" s="25">
        <v>611</v>
      </c>
      <c r="D493" s="25">
        <f>VLOOKUP(C493,'시스템이펙트 참고자료'!$A:$D,4,FALSE)</f>
        <v>0</v>
      </c>
      <c r="E493" s="25">
        <v>0</v>
      </c>
      <c r="F493" s="25">
        <v>0</v>
      </c>
      <c r="G493" s="25">
        <f t="shared" si="37"/>
        <v>3</v>
      </c>
      <c r="H493" s="25" t="s">
        <v>395</v>
      </c>
      <c r="I493" s="25">
        <v>1</v>
      </c>
      <c r="J493" s="25" t="str">
        <f>VLOOKUP(C493,'시스템이펙트 참고자료'!$A:$C,3,FALSE)</f>
        <v>절대값/상대값(%) 가능</v>
      </c>
      <c r="K493" s="25">
        <v>9</v>
      </c>
      <c r="M493" s="25">
        <v>11</v>
      </c>
      <c r="N493" s="25">
        <f t="shared" si="39"/>
        <v>48</v>
      </c>
      <c r="O493" s="25">
        <v>1</v>
      </c>
      <c r="P493" s="25">
        <v>1</v>
      </c>
      <c r="Q493" s="25">
        <v>1</v>
      </c>
      <c r="R493" s="25">
        <v>1</v>
      </c>
      <c r="T493" s="25">
        <v>1</v>
      </c>
      <c r="AA493" s="25">
        <f t="shared" si="40"/>
        <v>128</v>
      </c>
      <c r="AK493" s="25">
        <v>1</v>
      </c>
      <c r="AM493" s="25">
        <v>48</v>
      </c>
      <c r="AN493" s="25">
        <v>100</v>
      </c>
      <c r="AP493" s="25">
        <f t="shared" si="38"/>
        <v>3</v>
      </c>
      <c r="AQ493" s="25" t="str">
        <f>VLOOKUP(C493,'시스템이펙트 참고자료'!$A:$B,2,FALSE)</f>
        <v>ACTIVE_CON_UP</v>
      </c>
      <c r="AS493" s="25">
        <v>1</v>
      </c>
      <c r="BD493" s="25">
        <v>1</v>
      </c>
    </row>
    <row r="494" spans="1:56" hidden="1">
      <c r="A494" s="25">
        <v>489</v>
      </c>
      <c r="B494" s="25" t="str">
        <f>VLOOKUP(C494,'시스템이펙트 참고자료'!$A:$C,2,FALSE)</f>
        <v>ACTIVE_FOC_UP</v>
      </c>
      <c r="C494" s="25">
        <v>612</v>
      </c>
      <c r="D494" s="25">
        <f>VLOOKUP(C494,'시스템이펙트 참고자료'!$A:$D,4,FALSE)</f>
        <v>0</v>
      </c>
      <c r="E494" s="25">
        <v>0</v>
      </c>
      <c r="F494" s="25">
        <v>0</v>
      </c>
      <c r="G494" s="25">
        <f t="shared" si="37"/>
        <v>2</v>
      </c>
      <c r="H494" s="25" t="s">
        <v>395</v>
      </c>
      <c r="I494" s="25">
        <v>1</v>
      </c>
      <c r="J494" s="25" t="str">
        <f>VLOOKUP(C494,'시스템이펙트 참고자료'!$A:$C,3,FALSE)</f>
        <v>절대값/상대값(%) 가능</v>
      </c>
      <c r="K494" s="25">
        <v>9</v>
      </c>
      <c r="M494" s="25">
        <v>11</v>
      </c>
      <c r="N494" s="25">
        <f t="shared" si="39"/>
        <v>53</v>
      </c>
      <c r="O494" s="25">
        <v>1</v>
      </c>
      <c r="P494" s="25">
        <v>1</v>
      </c>
      <c r="Q494" s="25">
        <v>1</v>
      </c>
      <c r="R494" s="25">
        <v>1</v>
      </c>
      <c r="T494" s="25">
        <v>1</v>
      </c>
      <c r="AA494" s="25">
        <f t="shared" si="40"/>
        <v>128</v>
      </c>
      <c r="AK494" s="25">
        <v>1</v>
      </c>
      <c r="AM494" s="25">
        <v>53</v>
      </c>
      <c r="AN494" s="25">
        <v>100</v>
      </c>
      <c r="AP494" s="25">
        <f t="shared" si="38"/>
        <v>2</v>
      </c>
      <c r="AQ494" s="25" t="str">
        <f>VLOOKUP(C494,'시스템이펙트 참고자료'!$A:$B,2,FALSE)</f>
        <v>ACTIVE_FOC_UP</v>
      </c>
      <c r="AS494" s="25">
        <v>1</v>
      </c>
      <c r="BD494" s="25">
        <v>1</v>
      </c>
    </row>
    <row r="495" spans="1:56" hidden="1">
      <c r="A495" s="25">
        <v>490</v>
      </c>
      <c r="B495" s="25" t="str">
        <f>VLOOKUP(C495,'시스템이펙트 참고자료'!$A:$C,2,FALSE)</f>
        <v>ACTIVE_DEX_UP</v>
      </c>
      <c r="C495" s="25">
        <v>613</v>
      </c>
      <c r="D495" s="25">
        <f>VLOOKUP(C495,'시스템이펙트 참고자료'!$A:$D,4,FALSE)</f>
        <v>0</v>
      </c>
      <c r="E495" s="25">
        <v>0</v>
      </c>
      <c r="F495" s="25">
        <v>0</v>
      </c>
      <c r="G495" s="25">
        <f t="shared" si="37"/>
        <v>3</v>
      </c>
      <c r="H495" s="25" t="s">
        <v>395</v>
      </c>
      <c r="I495" s="25">
        <v>1</v>
      </c>
      <c r="J495" s="25" t="str">
        <f>VLOOKUP(C495,'시스템이펙트 참고자료'!$A:$C,3,FALSE)</f>
        <v>절대값/상대값(%) 가능</v>
      </c>
      <c r="K495" s="25">
        <v>9</v>
      </c>
      <c r="M495" s="25">
        <v>11</v>
      </c>
      <c r="N495" s="25">
        <f t="shared" si="39"/>
        <v>44</v>
      </c>
      <c r="O495" s="25">
        <v>1</v>
      </c>
      <c r="P495" s="25">
        <v>1</v>
      </c>
      <c r="Q495" s="25">
        <v>1</v>
      </c>
      <c r="R495" s="25">
        <v>1</v>
      </c>
      <c r="T495" s="25">
        <v>1</v>
      </c>
      <c r="AA495" s="25">
        <f t="shared" si="40"/>
        <v>128</v>
      </c>
      <c r="AK495" s="25">
        <v>1</v>
      </c>
      <c r="AM495" s="25">
        <v>44</v>
      </c>
      <c r="AN495" s="25">
        <v>100</v>
      </c>
      <c r="AP495" s="25">
        <f t="shared" si="38"/>
        <v>3</v>
      </c>
      <c r="AQ495" s="25" t="str">
        <f>VLOOKUP(C495,'시스템이펙트 참고자료'!$A:$B,2,FALSE)</f>
        <v>ACTIVE_DEX_UP</v>
      </c>
      <c r="AS495" s="25">
        <v>1</v>
      </c>
      <c r="BD495" s="25">
        <v>1</v>
      </c>
    </row>
    <row r="496" spans="1:56" hidden="1">
      <c r="A496" s="25">
        <v>491</v>
      </c>
      <c r="B496" s="25" t="str">
        <f>VLOOKUP(C496,'시스템이펙트 참고자료'!$A:$C,2,FALSE)</f>
        <v>ACTIVE_SOL_UP</v>
      </c>
      <c r="C496" s="25">
        <v>614</v>
      </c>
      <c r="D496" s="25">
        <f>VLOOKUP(C496,'시스템이펙트 참고자료'!$A:$D,4,FALSE)</f>
        <v>0</v>
      </c>
      <c r="E496" s="25">
        <v>0</v>
      </c>
      <c r="F496" s="25">
        <v>0</v>
      </c>
      <c r="G496" s="25">
        <f t="shared" si="37"/>
        <v>2</v>
      </c>
      <c r="H496" s="25" t="s">
        <v>395</v>
      </c>
      <c r="I496" s="25">
        <v>1</v>
      </c>
      <c r="J496" s="25" t="str">
        <f>VLOOKUP(C496,'시스템이펙트 참고자료'!$A:$C,3,FALSE)</f>
        <v>절대값/상대값(%) 가능</v>
      </c>
      <c r="K496" s="25">
        <v>9</v>
      </c>
      <c r="M496" s="25">
        <v>11</v>
      </c>
      <c r="N496" s="25">
        <f t="shared" si="39"/>
        <v>53</v>
      </c>
      <c r="O496" s="25">
        <v>1</v>
      </c>
      <c r="P496" s="25">
        <v>1</v>
      </c>
      <c r="Q496" s="25">
        <v>1</v>
      </c>
      <c r="R496" s="25">
        <v>1</v>
      </c>
      <c r="T496" s="25">
        <v>1</v>
      </c>
      <c r="AA496" s="25">
        <f t="shared" si="40"/>
        <v>128</v>
      </c>
      <c r="AK496" s="25">
        <v>1</v>
      </c>
      <c r="AM496" s="25">
        <v>53</v>
      </c>
      <c r="AN496" s="25">
        <v>100</v>
      </c>
      <c r="AP496" s="25">
        <f t="shared" si="38"/>
        <v>2</v>
      </c>
      <c r="AQ496" s="25" t="str">
        <f>VLOOKUP(C496,'시스템이펙트 참고자료'!$A:$B,2,FALSE)</f>
        <v>ACTIVE_SOL_UP</v>
      </c>
      <c r="AS496" s="25">
        <v>1</v>
      </c>
      <c r="BD496" s="25">
        <v>1</v>
      </c>
    </row>
    <row r="497" spans="1:56" hidden="1">
      <c r="A497" s="25">
        <v>492</v>
      </c>
      <c r="B497" s="25" t="str">
        <f>VLOOKUP(C497,'시스템이펙트 참고자료'!$A:$C,2,FALSE)</f>
        <v>ACTIVE_ENG_UP</v>
      </c>
      <c r="C497" s="25">
        <v>615</v>
      </c>
      <c r="D497" s="25">
        <f>VLOOKUP(C497,'시스템이펙트 참고자료'!$A:$D,4,FALSE)</f>
        <v>0</v>
      </c>
      <c r="E497" s="25">
        <v>0</v>
      </c>
      <c r="F497" s="25">
        <v>0</v>
      </c>
      <c r="G497" s="25">
        <f t="shared" si="37"/>
        <v>2</v>
      </c>
      <c r="H497" s="25" t="s">
        <v>395</v>
      </c>
      <c r="I497" s="25">
        <v>1</v>
      </c>
      <c r="J497" s="25" t="str">
        <f>VLOOKUP(C497,'시스템이펙트 참고자료'!$A:$C,3,FALSE)</f>
        <v>절대값/상대값(%) 가능</v>
      </c>
      <c r="K497" s="25">
        <v>9</v>
      </c>
      <c r="M497" s="25">
        <v>11</v>
      </c>
      <c r="N497" s="25">
        <f t="shared" si="39"/>
        <v>62</v>
      </c>
      <c r="O497" s="25">
        <v>1</v>
      </c>
      <c r="P497" s="25">
        <v>1</v>
      </c>
      <c r="Q497" s="25">
        <v>1</v>
      </c>
      <c r="R497" s="25">
        <v>1</v>
      </c>
      <c r="T497" s="25">
        <v>1</v>
      </c>
      <c r="AA497" s="25">
        <f t="shared" si="40"/>
        <v>128</v>
      </c>
      <c r="AK497" s="25">
        <v>1</v>
      </c>
      <c r="AM497" s="25">
        <v>62</v>
      </c>
      <c r="AN497" s="25">
        <v>100</v>
      </c>
      <c r="AP497" s="25">
        <f t="shared" si="38"/>
        <v>2</v>
      </c>
      <c r="AQ497" s="25" t="str">
        <f>VLOOKUP(C497,'시스템이펙트 참고자료'!$A:$B,2,FALSE)</f>
        <v>ACTIVE_ENG_UP</v>
      </c>
      <c r="AS497" s="25">
        <v>1</v>
      </c>
      <c r="BD497" s="25">
        <v>1</v>
      </c>
    </row>
    <row r="498" spans="1:56" hidden="1">
      <c r="A498" s="25">
        <v>493</v>
      </c>
      <c r="B498" s="25" t="str">
        <f>VLOOKUP(C498,'시스템이펙트 참고자료'!$A:$C,2,FALSE)</f>
        <v>ACTIVE_PHYSICAL_DEFENCE_UP</v>
      </c>
      <c r="C498" s="25">
        <v>608</v>
      </c>
      <c r="D498" s="25">
        <f>VLOOKUP(C498,'시스템이펙트 참고자료'!$A:$D,4,FALSE)</f>
        <v>0</v>
      </c>
      <c r="E498" s="25">
        <v>0</v>
      </c>
      <c r="F498" s="25">
        <v>0</v>
      </c>
      <c r="G498" s="25">
        <f t="shared" si="37"/>
        <v>1</v>
      </c>
      <c r="H498" s="25" t="s">
        <v>395</v>
      </c>
      <c r="I498" s="25">
        <v>1</v>
      </c>
      <c r="J498" s="25" t="str">
        <f>VLOOKUP(C498,'시스템이펙트 참고자료'!$A:$C,3,FALSE)</f>
        <v>절대값/상대값(%) 가능</v>
      </c>
      <c r="K498" s="25">
        <v>9</v>
      </c>
      <c r="M498" s="25">
        <v>12</v>
      </c>
      <c r="N498" s="25">
        <f t="shared" si="39"/>
        <v>1350</v>
      </c>
      <c r="O498" s="25">
        <v>1</v>
      </c>
      <c r="P498" s="25">
        <v>1</v>
      </c>
      <c r="Q498" s="25">
        <v>1</v>
      </c>
      <c r="R498" s="25">
        <v>1</v>
      </c>
      <c r="T498" s="25">
        <v>1</v>
      </c>
      <c r="AA498" s="25">
        <f t="shared" si="40"/>
        <v>128</v>
      </c>
      <c r="AK498" s="25">
        <v>1</v>
      </c>
      <c r="AM498" s="25">
        <v>1350</v>
      </c>
      <c r="AN498" s="25">
        <v>100</v>
      </c>
      <c r="AP498" s="25">
        <f t="shared" si="38"/>
        <v>1</v>
      </c>
      <c r="AQ498" s="25" t="str">
        <f>VLOOKUP(C498,'시스템이펙트 참고자료'!$A:$B,2,FALSE)</f>
        <v>ACTIVE_PHYSICAL_DEFENCE_UP</v>
      </c>
      <c r="AS498" s="25">
        <v>1</v>
      </c>
      <c r="BD498" s="25">
        <v>1</v>
      </c>
    </row>
    <row r="499" spans="1:56" hidden="1">
      <c r="A499" s="25">
        <v>494</v>
      </c>
      <c r="B499" s="25" t="str">
        <f>VLOOKUP(C499,'시스템이펙트 참고자료'!$A:$C,2,FALSE)</f>
        <v>ACTIVE_BLOCK_RATE_UP</v>
      </c>
      <c r="C499" s="25">
        <v>620</v>
      </c>
      <c r="D499" s="25">
        <f>VLOOKUP(C499,'시스템이펙트 참고자료'!$A:$D,4,FALSE)</f>
        <v>0</v>
      </c>
      <c r="E499" s="25">
        <v>0</v>
      </c>
      <c r="F499" s="25">
        <v>0</v>
      </c>
      <c r="G499" s="25">
        <f t="shared" si="37"/>
        <v>1</v>
      </c>
      <c r="H499" s="25" t="s">
        <v>395</v>
      </c>
      <c r="I499" s="25">
        <v>1</v>
      </c>
      <c r="J499" s="25" t="str">
        <f>VLOOKUP(C499,'시스템이펙트 참고자료'!$A:$C,3,FALSE)</f>
        <v>절대값/상대값(%) 가능</v>
      </c>
      <c r="K499" s="25">
        <v>9</v>
      </c>
      <c r="M499" s="25">
        <v>12</v>
      </c>
      <c r="N499" s="25">
        <f t="shared" si="39"/>
        <v>352</v>
      </c>
      <c r="O499" s="25">
        <v>1</v>
      </c>
      <c r="P499" s="25">
        <v>1</v>
      </c>
      <c r="Q499" s="25">
        <v>1</v>
      </c>
      <c r="R499" s="25">
        <v>1</v>
      </c>
      <c r="T499" s="25">
        <v>1</v>
      </c>
      <c r="AA499" s="25">
        <f t="shared" si="40"/>
        <v>128</v>
      </c>
      <c r="AK499" s="25">
        <v>1</v>
      </c>
      <c r="AM499" s="25">
        <v>352</v>
      </c>
      <c r="AN499" s="25">
        <v>100</v>
      </c>
      <c r="AP499" s="25">
        <f t="shared" si="38"/>
        <v>1</v>
      </c>
      <c r="AQ499" s="25" t="str">
        <f>VLOOKUP(C499,'시스템이펙트 참고자료'!$A:$B,2,FALSE)</f>
        <v>ACTIVE_BLOCK_RATE_UP</v>
      </c>
      <c r="AS499" s="25">
        <v>1</v>
      </c>
      <c r="BD499" s="25">
        <v>1</v>
      </c>
    </row>
    <row r="500" spans="1:56" hidden="1">
      <c r="A500" s="25">
        <v>495</v>
      </c>
      <c r="B500" s="25" t="str">
        <f>VLOOKUP(C500,'시스템이펙트 참고자료'!$A:$C,2,FALSE)</f>
        <v>ACTIVE_CON_UP</v>
      </c>
      <c r="C500" s="25">
        <v>611</v>
      </c>
      <c r="D500" s="25">
        <f>VLOOKUP(C500,'시스템이펙트 참고자료'!$A:$D,4,FALSE)</f>
        <v>0</v>
      </c>
      <c r="E500" s="25">
        <v>0</v>
      </c>
      <c r="F500" s="25">
        <v>0</v>
      </c>
      <c r="G500" s="25">
        <f t="shared" si="37"/>
        <v>3</v>
      </c>
      <c r="H500" s="25" t="s">
        <v>395</v>
      </c>
      <c r="I500" s="25">
        <v>1</v>
      </c>
      <c r="J500" s="25" t="str">
        <f>VLOOKUP(C500,'시스템이펙트 참고자료'!$A:$C,3,FALSE)</f>
        <v>절대값/상대값(%) 가능</v>
      </c>
      <c r="K500" s="25">
        <v>9</v>
      </c>
      <c r="M500" s="25">
        <v>12</v>
      </c>
      <c r="N500" s="25">
        <f t="shared" si="39"/>
        <v>48</v>
      </c>
      <c r="O500" s="25">
        <v>1</v>
      </c>
      <c r="P500" s="25">
        <v>1</v>
      </c>
      <c r="Q500" s="25">
        <v>1</v>
      </c>
      <c r="R500" s="25">
        <v>1</v>
      </c>
      <c r="T500" s="25">
        <v>1</v>
      </c>
      <c r="AA500" s="25">
        <f t="shared" si="40"/>
        <v>128</v>
      </c>
      <c r="AK500" s="25">
        <v>1</v>
      </c>
      <c r="AM500" s="25">
        <v>48</v>
      </c>
      <c r="AN500" s="25">
        <v>100</v>
      </c>
      <c r="AP500" s="25">
        <f t="shared" si="38"/>
        <v>3</v>
      </c>
      <c r="AQ500" s="25" t="str">
        <f>VLOOKUP(C500,'시스템이펙트 참고자료'!$A:$B,2,FALSE)</f>
        <v>ACTIVE_CON_UP</v>
      </c>
      <c r="AS500" s="25">
        <v>1</v>
      </c>
      <c r="BD500" s="25">
        <v>1</v>
      </c>
    </row>
    <row r="501" spans="1:56" hidden="1">
      <c r="A501" s="25">
        <v>496</v>
      </c>
      <c r="B501" s="25" t="str">
        <f>VLOOKUP(C501,'시스템이펙트 참고자료'!$A:$C,2,FALSE)</f>
        <v>ACTIVE_FOC_UP</v>
      </c>
      <c r="C501" s="25">
        <v>612</v>
      </c>
      <c r="D501" s="25">
        <f>VLOOKUP(C501,'시스템이펙트 참고자료'!$A:$D,4,FALSE)</f>
        <v>0</v>
      </c>
      <c r="E501" s="25">
        <v>0</v>
      </c>
      <c r="F501" s="25">
        <v>0</v>
      </c>
      <c r="G501" s="25">
        <f t="shared" si="37"/>
        <v>2</v>
      </c>
      <c r="H501" s="25" t="s">
        <v>395</v>
      </c>
      <c r="I501" s="25">
        <v>1</v>
      </c>
      <c r="J501" s="25" t="str">
        <f>VLOOKUP(C501,'시스템이펙트 참고자료'!$A:$C,3,FALSE)</f>
        <v>절대값/상대값(%) 가능</v>
      </c>
      <c r="K501" s="25">
        <v>9</v>
      </c>
      <c r="M501" s="25">
        <v>12</v>
      </c>
      <c r="N501" s="25">
        <f t="shared" si="39"/>
        <v>53</v>
      </c>
      <c r="O501" s="25">
        <v>1</v>
      </c>
      <c r="P501" s="25">
        <v>1</v>
      </c>
      <c r="Q501" s="25">
        <v>1</v>
      </c>
      <c r="R501" s="25">
        <v>1</v>
      </c>
      <c r="T501" s="25">
        <v>1</v>
      </c>
      <c r="AA501" s="25">
        <f t="shared" si="40"/>
        <v>128</v>
      </c>
      <c r="AK501" s="25">
        <v>1</v>
      </c>
      <c r="AM501" s="25">
        <v>53</v>
      </c>
      <c r="AN501" s="25">
        <v>100</v>
      </c>
      <c r="AP501" s="25">
        <f t="shared" si="38"/>
        <v>2</v>
      </c>
      <c r="AQ501" s="25" t="str">
        <f>VLOOKUP(C501,'시스템이펙트 참고자료'!$A:$B,2,FALSE)</f>
        <v>ACTIVE_FOC_UP</v>
      </c>
      <c r="AS501" s="25">
        <v>1</v>
      </c>
      <c r="BD501" s="25">
        <v>1</v>
      </c>
    </row>
    <row r="502" spans="1:56" hidden="1">
      <c r="A502" s="25">
        <v>497</v>
      </c>
      <c r="B502" s="25" t="str">
        <f>VLOOKUP(C502,'시스템이펙트 참고자료'!$A:$C,2,FALSE)</f>
        <v>ACTIVE_PHYSICAL_OFFENCE_UP</v>
      </c>
      <c r="C502" s="25">
        <v>606</v>
      </c>
      <c r="D502" s="25">
        <f>VLOOKUP(C502,'시스템이펙트 참고자료'!$A:$D,4,FALSE)</f>
        <v>0</v>
      </c>
      <c r="E502" s="25">
        <v>0</v>
      </c>
      <c r="F502" s="25">
        <v>0</v>
      </c>
      <c r="G502" s="25">
        <f t="shared" ref="G502:G529" si="41">IF(N502&gt;0,INT(100/N502+0.99),0)</f>
        <v>1</v>
      </c>
      <c r="H502" s="25" t="s">
        <v>395</v>
      </c>
      <c r="I502" s="25">
        <v>1</v>
      </c>
      <c r="J502" s="25" t="str">
        <f>VLOOKUP(C502,'시스템이펙트 참고자료'!$A:$C,3,FALSE)</f>
        <v>절대값/상대값(%) 가능</v>
      </c>
      <c r="K502" s="25">
        <v>10</v>
      </c>
      <c r="M502" s="25">
        <v>1</v>
      </c>
      <c r="N502" s="25">
        <f t="shared" si="39"/>
        <v>125</v>
      </c>
      <c r="O502" s="25">
        <v>1</v>
      </c>
      <c r="P502" s="25">
        <v>1</v>
      </c>
      <c r="Q502" s="25">
        <v>1</v>
      </c>
      <c r="R502" s="25">
        <v>1</v>
      </c>
      <c r="T502" s="25">
        <v>1</v>
      </c>
      <c r="AA502" s="25">
        <f t="shared" si="40"/>
        <v>128</v>
      </c>
      <c r="AK502" s="25">
        <v>1</v>
      </c>
      <c r="AM502" s="25">
        <v>125</v>
      </c>
      <c r="AN502" s="25">
        <v>100</v>
      </c>
      <c r="AP502" s="25">
        <f t="shared" ref="AP502:AP529" si="42">INT(100/N502+0.99)</f>
        <v>1</v>
      </c>
      <c r="AQ502" s="25" t="str">
        <f>VLOOKUP(C502,'시스템이펙트 참고자료'!$A:$B,2,FALSE)</f>
        <v>ACTIVE_PHYSICAL_OFFENCE_UP</v>
      </c>
      <c r="AS502" s="25">
        <v>1</v>
      </c>
      <c r="BD502" s="25">
        <v>1</v>
      </c>
    </row>
    <row r="503" spans="1:56" hidden="1">
      <c r="A503" s="25">
        <v>498</v>
      </c>
      <c r="B503" s="25" t="str">
        <f>VLOOKUP(C503,'시스템이펙트 참고자료'!$A:$C,2,FALSE)</f>
        <v>ACTIVE_STR_UP</v>
      </c>
      <c r="C503" s="25">
        <v>610</v>
      </c>
      <c r="D503" s="25">
        <f>VLOOKUP(C503,'시스템이펙트 참고자료'!$A:$D,4,FALSE)</f>
        <v>0</v>
      </c>
      <c r="E503" s="25">
        <v>0</v>
      </c>
      <c r="F503" s="25">
        <v>0</v>
      </c>
      <c r="G503" s="25">
        <f t="shared" si="41"/>
        <v>2</v>
      </c>
      <c r="H503" s="25" t="s">
        <v>395</v>
      </c>
      <c r="I503" s="25">
        <v>1</v>
      </c>
      <c r="J503" s="25" t="str">
        <f>VLOOKUP(C503,'시스템이펙트 참고자료'!$A:$C,3,FALSE)</f>
        <v>절대값/상대값(%) 가능</v>
      </c>
      <c r="K503" s="25">
        <v>10</v>
      </c>
      <c r="M503" s="25">
        <v>1</v>
      </c>
      <c r="N503" s="25">
        <f t="shared" si="39"/>
        <v>57</v>
      </c>
      <c r="O503" s="25">
        <v>1</v>
      </c>
      <c r="P503" s="25">
        <v>1</v>
      </c>
      <c r="Q503" s="25">
        <v>1</v>
      </c>
      <c r="R503" s="25">
        <v>1</v>
      </c>
      <c r="T503" s="25">
        <v>1</v>
      </c>
      <c r="AA503" s="25">
        <f t="shared" si="40"/>
        <v>128</v>
      </c>
      <c r="AK503" s="25">
        <v>1</v>
      </c>
      <c r="AM503" s="25">
        <v>57</v>
      </c>
      <c r="AN503" s="25">
        <v>100</v>
      </c>
      <c r="AP503" s="25">
        <f t="shared" si="42"/>
        <v>2</v>
      </c>
      <c r="AQ503" s="25" t="str">
        <f>VLOOKUP(C503,'시스템이펙트 참고자료'!$A:$B,2,FALSE)</f>
        <v>ACTIVE_STR_UP</v>
      </c>
      <c r="AS503" s="25">
        <v>1</v>
      </c>
      <c r="BD503" s="25">
        <v>1</v>
      </c>
    </row>
    <row r="504" spans="1:56" hidden="1">
      <c r="A504" s="25">
        <v>499</v>
      </c>
      <c r="B504" s="25" t="str">
        <f>VLOOKUP(C504,'시스템이펙트 참고자료'!$A:$C,2,FALSE)</f>
        <v>ACTIVE_DEX_UP</v>
      </c>
      <c r="C504" s="25">
        <v>613</v>
      </c>
      <c r="D504" s="25">
        <f>VLOOKUP(C504,'시스템이펙트 참고자료'!$A:$D,4,FALSE)</f>
        <v>0</v>
      </c>
      <c r="E504" s="25">
        <v>0</v>
      </c>
      <c r="F504" s="25">
        <v>0</v>
      </c>
      <c r="G504" s="25">
        <f t="shared" si="41"/>
        <v>3</v>
      </c>
      <c r="H504" s="25" t="s">
        <v>395</v>
      </c>
      <c r="I504" s="25">
        <v>1</v>
      </c>
      <c r="J504" s="25" t="str">
        <f>VLOOKUP(C504,'시스템이펙트 참고자료'!$A:$C,3,FALSE)</f>
        <v>절대값/상대값(%) 가능</v>
      </c>
      <c r="K504" s="25">
        <v>10</v>
      </c>
      <c r="M504" s="25">
        <v>1</v>
      </c>
      <c r="N504" s="25">
        <f t="shared" si="39"/>
        <v>44</v>
      </c>
      <c r="O504" s="25">
        <v>1</v>
      </c>
      <c r="P504" s="25">
        <v>1</v>
      </c>
      <c r="Q504" s="25">
        <v>1</v>
      </c>
      <c r="R504" s="25">
        <v>1</v>
      </c>
      <c r="T504" s="25">
        <v>1</v>
      </c>
      <c r="AA504" s="25">
        <f t="shared" si="40"/>
        <v>128</v>
      </c>
      <c r="AK504" s="25">
        <v>1</v>
      </c>
      <c r="AM504" s="25">
        <v>44</v>
      </c>
      <c r="AN504" s="25">
        <v>100</v>
      </c>
      <c r="AP504" s="25">
        <f t="shared" si="42"/>
        <v>3</v>
      </c>
      <c r="AQ504" s="25" t="str">
        <f>VLOOKUP(C504,'시스템이펙트 참고자료'!$A:$B,2,FALSE)</f>
        <v>ACTIVE_DEX_UP</v>
      </c>
      <c r="AS504" s="25">
        <v>1</v>
      </c>
      <c r="BD504" s="25">
        <v>1</v>
      </c>
    </row>
    <row r="505" spans="1:56" hidden="1">
      <c r="A505" s="25">
        <v>500</v>
      </c>
      <c r="B505" s="25" t="str">
        <f>VLOOKUP(C505,'시스템이펙트 참고자료'!$A:$C,2,FALSE)</f>
        <v>ACTIVE_PHYSICAL_CRITICAL_DAMAGE_UP</v>
      </c>
      <c r="C505" s="25">
        <v>658</v>
      </c>
      <c r="D505" s="25">
        <f>VLOOKUP(C505,'시스템이펙트 참고자료'!$A:$D,4,FALSE)</f>
        <v>0</v>
      </c>
      <c r="E505" s="25">
        <v>0</v>
      </c>
      <c r="F505" s="25">
        <v>0</v>
      </c>
      <c r="G505" s="25">
        <f t="shared" si="41"/>
        <v>4</v>
      </c>
      <c r="H505" s="25" t="s">
        <v>395</v>
      </c>
      <c r="I505" s="25">
        <v>1</v>
      </c>
      <c r="J505" s="25" t="str">
        <f>VLOOKUP(C505,'시스템이펙트 참고자료'!$A:$C,3,FALSE)</f>
        <v>절대값만 가능</v>
      </c>
      <c r="K505" s="25">
        <v>10</v>
      </c>
      <c r="M505" s="25">
        <v>1</v>
      </c>
      <c r="N505" s="25">
        <f t="shared" si="39"/>
        <v>28</v>
      </c>
      <c r="O505" s="25">
        <v>1</v>
      </c>
      <c r="P505" s="25">
        <v>1</v>
      </c>
      <c r="Q505" s="25">
        <v>1</v>
      </c>
      <c r="R505" s="25">
        <v>1</v>
      </c>
      <c r="T505" s="25">
        <v>1</v>
      </c>
      <c r="AA505" s="25">
        <f t="shared" si="40"/>
        <v>128</v>
      </c>
      <c r="AK505" s="25">
        <v>1</v>
      </c>
      <c r="AM505" s="25">
        <v>28</v>
      </c>
      <c r="AN505" s="25">
        <v>100</v>
      </c>
      <c r="AP505" s="25">
        <f t="shared" si="42"/>
        <v>4</v>
      </c>
      <c r="AQ505" s="25" t="str">
        <f>VLOOKUP(C505,'시스템이펙트 참고자료'!$A:$B,2,FALSE)</f>
        <v>ACTIVE_PHYSICAL_CRITICAL_DAMAGE_UP</v>
      </c>
      <c r="AS505" s="25">
        <v>1</v>
      </c>
      <c r="BD505" s="25">
        <v>1</v>
      </c>
    </row>
    <row r="506" spans="1:56" hidden="1">
      <c r="A506" s="25">
        <v>501</v>
      </c>
      <c r="B506" s="25" t="str">
        <f>VLOOKUP(C506,'시스템이펙트 참고자료'!$A:$C,2,FALSE)</f>
        <v>ACTIVE_PHYSICAL_CRITICAL_DAMAGE_UP</v>
      </c>
      <c r="C506" s="25">
        <v>658</v>
      </c>
      <c r="D506" s="25">
        <f>VLOOKUP(C506,'시스템이펙트 참고자료'!$A:$D,4,FALSE)</f>
        <v>0</v>
      </c>
      <c r="E506" s="25">
        <v>0</v>
      </c>
      <c r="F506" s="25">
        <v>0</v>
      </c>
      <c r="G506" s="25">
        <f t="shared" si="41"/>
        <v>4</v>
      </c>
      <c r="H506" s="25" t="s">
        <v>395</v>
      </c>
      <c r="I506" s="25">
        <v>1</v>
      </c>
      <c r="J506" s="25" t="str">
        <f>VLOOKUP(C506,'시스템이펙트 참고자료'!$A:$C,3,FALSE)</f>
        <v>절대값만 가능</v>
      </c>
      <c r="K506" s="25">
        <v>10</v>
      </c>
      <c r="M506" s="25">
        <v>2</v>
      </c>
      <c r="N506" s="25">
        <f t="shared" si="39"/>
        <v>28</v>
      </c>
      <c r="O506" s="25">
        <v>1</v>
      </c>
      <c r="P506" s="25">
        <v>1</v>
      </c>
      <c r="Q506" s="25">
        <v>1</v>
      </c>
      <c r="R506" s="25">
        <v>1</v>
      </c>
      <c r="T506" s="25">
        <v>1</v>
      </c>
      <c r="AA506" s="25">
        <f t="shared" si="40"/>
        <v>128</v>
      </c>
      <c r="AK506" s="25">
        <v>1</v>
      </c>
      <c r="AM506" s="25">
        <v>28</v>
      </c>
      <c r="AN506" s="25">
        <v>100</v>
      </c>
      <c r="AP506" s="25">
        <f t="shared" si="42"/>
        <v>4</v>
      </c>
      <c r="AQ506" s="25" t="str">
        <f>VLOOKUP(C506,'시스템이펙트 참고자료'!$A:$B,2,FALSE)</f>
        <v>ACTIVE_PHYSICAL_CRITICAL_DAMAGE_UP</v>
      </c>
      <c r="AS506" s="25">
        <v>1</v>
      </c>
      <c r="BD506" s="25">
        <v>1</v>
      </c>
    </row>
    <row r="507" spans="1:56" hidden="1">
      <c r="A507" s="25">
        <v>502</v>
      </c>
      <c r="B507" s="25" t="str">
        <f>VLOOKUP(C507,'시스템이펙트 참고자료'!$A:$C,2,FALSE)</f>
        <v>ACTIVE_PHYSICAL_CRITICAL</v>
      </c>
      <c r="C507" s="25">
        <v>632</v>
      </c>
      <c r="D507" s="25">
        <f>VLOOKUP(C507,'시스템이펙트 참고자료'!$A:$D,4,FALSE)</f>
        <v>0</v>
      </c>
      <c r="E507" s="25">
        <v>0</v>
      </c>
      <c r="F507" s="25">
        <v>0</v>
      </c>
      <c r="G507" s="25">
        <f t="shared" si="41"/>
        <v>5</v>
      </c>
      <c r="H507" s="25" t="s">
        <v>395</v>
      </c>
      <c r="I507" s="25">
        <v>1</v>
      </c>
      <c r="J507" s="25" t="str">
        <f>VLOOKUP(C507,'시스템이펙트 참고자료'!$A:$C,3,FALSE)</f>
        <v>절대값/상대값(%) 가능</v>
      </c>
      <c r="K507" s="25">
        <v>10</v>
      </c>
      <c r="M507" s="25">
        <v>2</v>
      </c>
      <c r="N507" s="25">
        <f t="shared" si="39"/>
        <v>21</v>
      </c>
      <c r="O507" s="25">
        <v>1</v>
      </c>
      <c r="P507" s="25">
        <v>1</v>
      </c>
      <c r="Q507" s="25">
        <v>1</v>
      </c>
      <c r="R507" s="25">
        <v>1</v>
      </c>
      <c r="T507" s="25">
        <v>1</v>
      </c>
      <c r="AA507" s="25">
        <f t="shared" si="40"/>
        <v>128</v>
      </c>
      <c r="AK507" s="25">
        <v>1</v>
      </c>
      <c r="AM507" s="25">
        <v>21</v>
      </c>
      <c r="AN507" s="25">
        <v>100</v>
      </c>
      <c r="AP507" s="25">
        <f t="shared" si="42"/>
        <v>5</v>
      </c>
      <c r="AQ507" s="25" t="str">
        <f>VLOOKUP(C507,'시스템이펙트 참고자료'!$A:$B,2,FALSE)</f>
        <v>ACTIVE_PHYSICAL_CRITICAL</v>
      </c>
      <c r="AS507" s="25">
        <v>1</v>
      </c>
      <c r="BD507" s="25">
        <v>1</v>
      </c>
    </row>
    <row r="508" spans="1:56" hidden="1">
      <c r="A508" s="25">
        <v>503</v>
      </c>
      <c r="B508" s="25" t="str">
        <f>VLOOKUP(C508,'시스템이펙트 참고자료'!$A:$C,2,FALSE)</f>
        <v>ACTIVE_DEX_UP</v>
      </c>
      <c r="C508" s="25">
        <v>613</v>
      </c>
      <c r="D508" s="25">
        <f>VLOOKUP(C508,'시스템이펙트 참고자료'!$A:$D,4,FALSE)</f>
        <v>0</v>
      </c>
      <c r="E508" s="25">
        <v>0</v>
      </c>
      <c r="F508" s="25">
        <v>0</v>
      </c>
      <c r="G508" s="25">
        <f t="shared" si="41"/>
        <v>3</v>
      </c>
      <c r="H508" s="25" t="s">
        <v>395</v>
      </c>
      <c r="I508" s="25">
        <v>1</v>
      </c>
      <c r="J508" s="25" t="str">
        <f>VLOOKUP(C508,'시스템이펙트 참고자료'!$A:$C,3,FALSE)</f>
        <v>절대값/상대값(%) 가능</v>
      </c>
      <c r="K508" s="25">
        <v>10</v>
      </c>
      <c r="M508" s="25">
        <v>2</v>
      </c>
      <c r="N508" s="25">
        <f t="shared" si="39"/>
        <v>44</v>
      </c>
      <c r="O508" s="25">
        <v>1</v>
      </c>
      <c r="P508" s="25">
        <v>1</v>
      </c>
      <c r="Q508" s="25">
        <v>1</v>
      </c>
      <c r="R508" s="25">
        <v>1</v>
      </c>
      <c r="T508" s="25">
        <v>1</v>
      </c>
      <c r="AA508" s="25">
        <f t="shared" si="40"/>
        <v>128</v>
      </c>
      <c r="AK508" s="25">
        <v>1</v>
      </c>
      <c r="AM508" s="25">
        <v>44</v>
      </c>
      <c r="AN508" s="25">
        <v>100</v>
      </c>
      <c r="AP508" s="25">
        <f t="shared" si="42"/>
        <v>3</v>
      </c>
      <c r="AQ508" s="25" t="str">
        <f>VLOOKUP(C508,'시스템이펙트 참고자료'!$A:$B,2,FALSE)</f>
        <v>ACTIVE_DEX_UP</v>
      </c>
      <c r="AS508" s="25">
        <v>1</v>
      </c>
      <c r="BD508" s="25">
        <v>1</v>
      </c>
    </row>
    <row r="509" spans="1:56" hidden="1">
      <c r="A509" s="25">
        <v>504</v>
      </c>
      <c r="B509" s="25" t="str">
        <f>VLOOKUP(C509,'시스템이펙트 참고자료'!$A:$C,2,FALSE)</f>
        <v>ACTIVE_FOC_UP</v>
      </c>
      <c r="C509" s="25">
        <v>612</v>
      </c>
      <c r="D509" s="25">
        <f>VLOOKUP(C509,'시스템이펙트 참고자료'!$A:$D,4,FALSE)</f>
        <v>0</v>
      </c>
      <c r="E509" s="25">
        <v>0</v>
      </c>
      <c r="F509" s="25">
        <v>0</v>
      </c>
      <c r="G509" s="25">
        <f t="shared" si="41"/>
        <v>2</v>
      </c>
      <c r="H509" s="25" t="s">
        <v>395</v>
      </c>
      <c r="I509" s="25">
        <v>1</v>
      </c>
      <c r="J509" s="25" t="str">
        <f>VLOOKUP(C509,'시스템이펙트 참고자료'!$A:$C,3,FALSE)</f>
        <v>절대값/상대값(%) 가능</v>
      </c>
      <c r="K509" s="25">
        <v>10</v>
      </c>
      <c r="M509" s="25">
        <v>2</v>
      </c>
      <c r="N509" s="25">
        <f t="shared" si="39"/>
        <v>53</v>
      </c>
      <c r="O509" s="25">
        <v>1</v>
      </c>
      <c r="P509" s="25">
        <v>1</v>
      </c>
      <c r="Q509" s="25">
        <v>1</v>
      </c>
      <c r="R509" s="25">
        <v>1</v>
      </c>
      <c r="T509" s="25">
        <v>1</v>
      </c>
      <c r="AA509" s="25">
        <f t="shared" si="40"/>
        <v>128</v>
      </c>
      <c r="AK509" s="25">
        <v>1</v>
      </c>
      <c r="AM509" s="25">
        <v>53</v>
      </c>
      <c r="AN509" s="25">
        <v>100</v>
      </c>
      <c r="AP509" s="25">
        <f t="shared" si="42"/>
        <v>2</v>
      </c>
      <c r="AQ509" s="25" t="str">
        <f>VLOOKUP(C509,'시스템이펙트 참고자료'!$A:$B,2,FALSE)</f>
        <v>ACTIVE_FOC_UP</v>
      </c>
      <c r="AS509" s="25">
        <v>1</v>
      </c>
      <c r="BD509" s="25">
        <v>1</v>
      </c>
    </row>
    <row r="510" spans="1:56" hidden="1">
      <c r="A510" s="25">
        <v>505</v>
      </c>
      <c r="B510" s="25" t="str">
        <f>VLOOKUP(C510,'시스템이펙트 참고자료'!$A:$C,2,FALSE)</f>
        <v>ACTIVE_ENERGY_OFFENCE_UP</v>
      </c>
      <c r="C510" s="25">
        <v>607</v>
      </c>
      <c r="D510" s="25">
        <f>VLOOKUP(C510,'시스템이펙트 참고자료'!$A:$D,4,FALSE)</f>
        <v>0</v>
      </c>
      <c r="E510" s="25">
        <v>0</v>
      </c>
      <c r="F510" s="25">
        <v>0</v>
      </c>
      <c r="G510" s="25">
        <f t="shared" si="41"/>
        <v>1</v>
      </c>
      <c r="H510" s="25" t="s">
        <v>395</v>
      </c>
      <c r="I510" s="25">
        <v>1</v>
      </c>
      <c r="J510" s="25" t="str">
        <f>VLOOKUP(C510,'시스템이펙트 참고자료'!$A:$C,3,FALSE)</f>
        <v>절대값/상대값(%) 가능</v>
      </c>
      <c r="K510" s="25">
        <v>10</v>
      </c>
      <c r="M510" s="25">
        <v>3</v>
      </c>
      <c r="N510" s="25">
        <f t="shared" si="39"/>
        <v>104</v>
      </c>
      <c r="O510" s="25">
        <v>1</v>
      </c>
      <c r="P510" s="25">
        <v>1</v>
      </c>
      <c r="Q510" s="25">
        <v>1</v>
      </c>
      <c r="R510" s="25">
        <v>1</v>
      </c>
      <c r="T510" s="25">
        <v>1</v>
      </c>
      <c r="AA510" s="25">
        <f t="shared" si="40"/>
        <v>128</v>
      </c>
      <c r="AK510" s="25">
        <v>1</v>
      </c>
      <c r="AM510" s="25">
        <v>104</v>
      </c>
      <c r="AN510" s="25">
        <v>100</v>
      </c>
      <c r="AP510" s="25">
        <f t="shared" si="42"/>
        <v>1</v>
      </c>
      <c r="AQ510" s="25" t="str">
        <f>VLOOKUP(C510,'시스템이펙트 참고자료'!$A:$B,2,FALSE)</f>
        <v>ACTIVE_ENERGY_OFFENCE_UP</v>
      </c>
      <c r="AS510" s="25">
        <v>1</v>
      </c>
      <c r="BD510" s="25">
        <v>1</v>
      </c>
    </row>
    <row r="511" spans="1:56" hidden="1">
      <c r="A511" s="25">
        <v>506</v>
      </c>
      <c r="B511" s="25" t="str">
        <f>VLOOKUP(C511,'시스템이펙트 참고자료'!$A:$C,2,FALSE)</f>
        <v>ACTIVE_FOC_UP</v>
      </c>
      <c r="C511" s="25">
        <v>612</v>
      </c>
      <c r="D511" s="25">
        <f>VLOOKUP(C511,'시스템이펙트 참고자료'!$A:$D,4,FALSE)</f>
        <v>0</v>
      </c>
      <c r="E511" s="25">
        <v>0</v>
      </c>
      <c r="F511" s="25">
        <v>0</v>
      </c>
      <c r="G511" s="25">
        <f t="shared" si="41"/>
        <v>2</v>
      </c>
      <c r="H511" s="25" t="s">
        <v>395</v>
      </c>
      <c r="I511" s="25">
        <v>1</v>
      </c>
      <c r="J511" s="25" t="str">
        <f>VLOOKUP(C511,'시스템이펙트 참고자료'!$A:$C,3,FALSE)</f>
        <v>절대값/상대값(%) 가능</v>
      </c>
      <c r="K511" s="25">
        <v>10</v>
      </c>
      <c r="M511" s="25">
        <v>3</v>
      </c>
      <c r="N511" s="25">
        <f t="shared" si="39"/>
        <v>53</v>
      </c>
      <c r="O511" s="25">
        <v>1</v>
      </c>
      <c r="P511" s="25">
        <v>1</v>
      </c>
      <c r="Q511" s="25">
        <v>1</v>
      </c>
      <c r="R511" s="25">
        <v>1</v>
      </c>
      <c r="T511" s="25">
        <v>1</v>
      </c>
      <c r="AA511" s="25">
        <f t="shared" si="40"/>
        <v>128</v>
      </c>
      <c r="AK511" s="25">
        <v>1</v>
      </c>
      <c r="AM511" s="25">
        <v>53</v>
      </c>
      <c r="AN511" s="25">
        <v>100</v>
      </c>
      <c r="AP511" s="25">
        <f t="shared" si="42"/>
        <v>2</v>
      </c>
      <c r="AQ511" s="25" t="str">
        <f>VLOOKUP(C511,'시스템이펙트 참고자료'!$A:$B,2,FALSE)</f>
        <v>ACTIVE_FOC_UP</v>
      </c>
      <c r="AS511" s="25">
        <v>1</v>
      </c>
      <c r="BD511" s="25">
        <v>1</v>
      </c>
    </row>
    <row r="512" spans="1:56" hidden="1">
      <c r="A512" s="25">
        <v>507</v>
      </c>
      <c r="B512" s="25" t="str">
        <f>VLOOKUP(C512,'시스템이펙트 참고자료'!$A:$C,2,FALSE)</f>
        <v>ACTIVE_SOL_UP</v>
      </c>
      <c r="C512" s="25">
        <v>614</v>
      </c>
      <c r="D512" s="25">
        <f>VLOOKUP(C512,'시스템이펙트 참고자료'!$A:$D,4,FALSE)</f>
        <v>0</v>
      </c>
      <c r="E512" s="25">
        <v>0</v>
      </c>
      <c r="F512" s="25">
        <v>0</v>
      </c>
      <c r="G512" s="25">
        <f t="shared" si="41"/>
        <v>2</v>
      </c>
      <c r="H512" s="25" t="s">
        <v>395</v>
      </c>
      <c r="I512" s="25">
        <v>1</v>
      </c>
      <c r="J512" s="25" t="str">
        <f>VLOOKUP(C512,'시스템이펙트 참고자료'!$A:$C,3,FALSE)</f>
        <v>절대값/상대값(%) 가능</v>
      </c>
      <c r="K512" s="25">
        <v>10</v>
      </c>
      <c r="M512" s="25">
        <v>3</v>
      </c>
      <c r="N512" s="25">
        <f t="shared" si="39"/>
        <v>53</v>
      </c>
      <c r="O512" s="25">
        <v>1</v>
      </c>
      <c r="P512" s="25">
        <v>1</v>
      </c>
      <c r="Q512" s="25">
        <v>1</v>
      </c>
      <c r="R512" s="25">
        <v>1</v>
      </c>
      <c r="T512" s="25">
        <v>1</v>
      </c>
      <c r="AA512" s="25">
        <f t="shared" si="40"/>
        <v>128</v>
      </c>
      <c r="AK512" s="25">
        <v>1</v>
      </c>
      <c r="AM512" s="25">
        <v>53</v>
      </c>
      <c r="AN512" s="25">
        <v>100</v>
      </c>
      <c r="AP512" s="25">
        <f t="shared" si="42"/>
        <v>2</v>
      </c>
      <c r="AQ512" s="25" t="str">
        <f>VLOOKUP(C512,'시스템이펙트 참고자료'!$A:$B,2,FALSE)</f>
        <v>ACTIVE_SOL_UP</v>
      </c>
      <c r="AS512" s="25">
        <v>1</v>
      </c>
      <c r="BD512" s="25">
        <v>1</v>
      </c>
    </row>
    <row r="513" spans="1:56" hidden="1">
      <c r="A513" s="25">
        <v>508</v>
      </c>
      <c r="B513" s="25" t="str">
        <f>VLOOKUP(C513,'시스템이펙트 참고자료'!$A:$C,2,FALSE)</f>
        <v>ACTIVE_ENERGY_CRITICAL_DAMAGE_UP</v>
      </c>
      <c r="C513" s="25">
        <v>659</v>
      </c>
      <c r="D513" s="25">
        <f>VLOOKUP(C513,'시스템이펙트 참고자료'!$A:$D,4,FALSE)</f>
        <v>0</v>
      </c>
      <c r="E513" s="25">
        <v>0</v>
      </c>
      <c r="F513" s="25">
        <v>0</v>
      </c>
      <c r="G513" s="25">
        <f t="shared" si="41"/>
        <v>4</v>
      </c>
      <c r="H513" s="25" t="s">
        <v>395</v>
      </c>
      <c r="I513" s="25">
        <v>1</v>
      </c>
      <c r="J513" s="25" t="str">
        <f>VLOOKUP(C513,'시스템이펙트 참고자료'!$A:$C,3,FALSE)</f>
        <v>절대값만 가능</v>
      </c>
      <c r="K513" s="25">
        <v>10</v>
      </c>
      <c r="M513" s="25">
        <v>3</v>
      </c>
      <c r="N513" s="25">
        <f t="shared" si="39"/>
        <v>32</v>
      </c>
      <c r="O513" s="25">
        <v>1</v>
      </c>
      <c r="P513" s="25">
        <v>1</v>
      </c>
      <c r="Q513" s="25">
        <v>1</v>
      </c>
      <c r="R513" s="25">
        <v>1</v>
      </c>
      <c r="T513" s="25">
        <v>1</v>
      </c>
      <c r="AA513" s="25">
        <f t="shared" si="40"/>
        <v>128</v>
      </c>
      <c r="AK513" s="25">
        <v>1</v>
      </c>
      <c r="AM513" s="25">
        <v>32</v>
      </c>
      <c r="AN513" s="25">
        <v>100</v>
      </c>
      <c r="AP513" s="25">
        <f t="shared" si="42"/>
        <v>4</v>
      </c>
      <c r="AQ513" s="25" t="str">
        <f>VLOOKUP(C513,'시스템이펙트 참고자료'!$A:$B,2,FALSE)</f>
        <v>ACTIVE_ENERGY_CRITICAL_DAMAGE_UP</v>
      </c>
      <c r="AS513" s="25">
        <v>1</v>
      </c>
      <c r="BD513" s="25">
        <v>1</v>
      </c>
    </row>
    <row r="514" spans="1:56" hidden="1">
      <c r="A514" s="25">
        <v>509</v>
      </c>
      <c r="B514" s="25" t="str">
        <f>VLOOKUP(C514,'시스템이펙트 참고자료'!$A:$C,2,FALSE)</f>
        <v>ACTIVE_ENERGY_CRITICAL</v>
      </c>
      <c r="C514" s="25">
        <v>633</v>
      </c>
      <c r="D514" s="25">
        <f>VLOOKUP(C514,'시스템이펙트 참고자료'!$A:$D,4,FALSE)</f>
        <v>0</v>
      </c>
      <c r="E514" s="25">
        <v>0</v>
      </c>
      <c r="F514" s="25">
        <v>0</v>
      </c>
      <c r="G514" s="25">
        <f t="shared" si="41"/>
        <v>5</v>
      </c>
      <c r="H514" s="25" t="s">
        <v>395</v>
      </c>
      <c r="I514" s="25">
        <v>1</v>
      </c>
      <c r="J514" s="25" t="str">
        <f>VLOOKUP(C514,'시스템이펙트 참고자료'!$A:$C,3,FALSE)</f>
        <v>절대값/상대값(%) 가능</v>
      </c>
      <c r="K514" s="25">
        <v>10</v>
      </c>
      <c r="M514" s="25">
        <v>4</v>
      </c>
      <c r="N514" s="25">
        <f t="shared" si="39"/>
        <v>24</v>
      </c>
      <c r="O514" s="25">
        <v>1</v>
      </c>
      <c r="P514" s="25">
        <v>1</v>
      </c>
      <c r="Q514" s="25">
        <v>1</v>
      </c>
      <c r="R514" s="25">
        <v>1</v>
      </c>
      <c r="T514" s="25">
        <v>1</v>
      </c>
      <c r="AA514" s="25">
        <f t="shared" si="40"/>
        <v>128</v>
      </c>
      <c r="AK514" s="25">
        <v>1</v>
      </c>
      <c r="AM514" s="25">
        <v>24</v>
      </c>
      <c r="AN514" s="25">
        <v>100</v>
      </c>
      <c r="AP514" s="25">
        <f t="shared" si="42"/>
        <v>5</v>
      </c>
      <c r="AQ514" s="25" t="str">
        <f>VLOOKUP(C514,'시스템이펙트 참고자료'!$A:$B,2,FALSE)</f>
        <v>ACTIVE_ENERGY_CRITICAL</v>
      </c>
      <c r="AS514" s="25">
        <v>1</v>
      </c>
      <c r="BD514" s="25">
        <v>1</v>
      </c>
    </row>
    <row r="515" spans="1:56" hidden="1">
      <c r="A515" s="25">
        <v>510</v>
      </c>
      <c r="B515" s="25" t="str">
        <f>VLOOKUP(C515,'시스템이펙트 참고자료'!$A:$C,2,FALSE)</f>
        <v>ACTIVE_ENERGY_CRITICAL_DAMAGE_UP</v>
      </c>
      <c r="C515" s="25">
        <v>659</v>
      </c>
      <c r="D515" s="25">
        <f>VLOOKUP(C515,'시스템이펙트 참고자료'!$A:$D,4,FALSE)</f>
        <v>0</v>
      </c>
      <c r="E515" s="25">
        <v>0</v>
      </c>
      <c r="F515" s="25">
        <v>0</v>
      </c>
      <c r="G515" s="25">
        <f t="shared" si="41"/>
        <v>4</v>
      </c>
      <c r="H515" s="25" t="s">
        <v>395</v>
      </c>
      <c r="I515" s="25">
        <v>1</v>
      </c>
      <c r="J515" s="25" t="str">
        <f>VLOOKUP(C515,'시스템이펙트 참고자료'!$A:$C,3,FALSE)</f>
        <v>절대값만 가능</v>
      </c>
      <c r="K515" s="25">
        <v>10</v>
      </c>
      <c r="M515" s="25">
        <v>4</v>
      </c>
      <c r="N515" s="25">
        <f t="shared" si="39"/>
        <v>32</v>
      </c>
      <c r="O515" s="25">
        <v>1</v>
      </c>
      <c r="P515" s="25">
        <v>1</v>
      </c>
      <c r="Q515" s="25">
        <v>1</v>
      </c>
      <c r="R515" s="25">
        <v>1</v>
      </c>
      <c r="T515" s="25">
        <v>1</v>
      </c>
      <c r="AA515" s="25">
        <f t="shared" si="40"/>
        <v>128</v>
      </c>
      <c r="AK515" s="25">
        <v>1</v>
      </c>
      <c r="AM515" s="25">
        <v>32</v>
      </c>
      <c r="AN515" s="25">
        <v>100</v>
      </c>
      <c r="AP515" s="25">
        <f t="shared" si="42"/>
        <v>4</v>
      </c>
      <c r="AQ515" s="25" t="str">
        <f>VLOOKUP(C515,'시스템이펙트 참고자료'!$A:$B,2,FALSE)</f>
        <v>ACTIVE_ENERGY_CRITICAL_DAMAGE_UP</v>
      </c>
      <c r="AS515" s="25">
        <v>1</v>
      </c>
      <c r="BD515" s="25">
        <v>1</v>
      </c>
    </row>
    <row r="516" spans="1:56" hidden="1">
      <c r="A516" s="25">
        <v>511</v>
      </c>
      <c r="B516" s="25" t="str">
        <f>VLOOKUP(C516,'시스템이펙트 참고자료'!$A:$C,2,FALSE)</f>
        <v>ACTIVE_FOC_UP</v>
      </c>
      <c r="C516" s="25">
        <v>612</v>
      </c>
      <c r="D516" s="25">
        <f>VLOOKUP(C516,'시스템이펙트 참고자료'!$A:$D,4,FALSE)</f>
        <v>0</v>
      </c>
      <c r="E516" s="25">
        <v>0</v>
      </c>
      <c r="F516" s="25">
        <v>0</v>
      </c>
      <c r="G516" s="25">
        <f t="shared" si="41"/>
        <v>2</v>
      </c>
      <c r="H516" s="25" t="s">
        <v>395</v>
      </c>
      <c r="I516" s="25">
        <v>1</v>
      </c>
      <c r="J516" s="25" t="str">
        <f>VLOOKUP(C516,'시스템이펙트 참고자료'!$A:$C,3,FALSE)</f>
        <v>절대값/상대값(%) 가능</v>
      </c>
      <c r="K516" s="25">
        <v>10</v>
      </c>
      <c r="M516" s="25">
        <v>4</v>
      </c>
      <c r="N516" s="25">
        <f t="shared" si="39"/>
        <v>53</v>
      </c>
      <c r="O516" s="25">
        <v>1</v>
      </c>
      <c r="P516" s="25">
        <v>1</v>
      </c>
      <c r="Q516" s="25">
        <v>1</v>
      </c>
      <c r="R516" s="25">
        <v>1</v>
      </c>
      <c r="T516" s="25">
        <v>1</v>
      </c>
      <c r="AA516" s="25">
        <f t="shared" si="40"/>
        <v>128</v>
      </c>
      <c r="AK516" s="25">
        <v>1</v>
      </c>
      <c r="AM516" s="25">
        <v>53</v>
      </c>
      <c r="AN516" s="25">
        <v>100</v>
      </c>
      <c r="AP516" s="25">
        <f t="shared" si="42"/>
        <v>2</v>
      </c>
      <c r="AQ516" s="25" t="str">
        <f>VLOOKUP(C516,'시스템이펙트 참고자료'!$A:$B,2,FALSE)</f>
        <v>ACTIVE_FOC_UP</v>
      </c>
      <c r="AS516" s="25">
        <v>1</v>
      </c>
      <c r="BD516" s="25">
        <v>1</v>
      </c>
    </row>
    <row r="517" spans="1:56" hidden="1">
      <c r="A517" s="25">
        <v>512</v>
      </c>
      <c r="B517" s="25" t="str">
        <f>VLOOKUP(C517,'시스템이펙트 참고자료'!$A:$C,2,FALSE)</f>
        <v>ACTIVE_DEX_UP</v>
      </c>
      <c r="C517" s="25">
        <v>613</v>
      </c>
      <c r="D517" s="25">
        <f>VLOOKUP(C517,'시스템이펙트 참고자료'!$A:$D,4,FALSE)</f>
        <v>0</v>
      </c>
      <c r="E517" s="25">
        <v>0</v>
      </c>
      <c r="F517" s="25">
        <v>0</v>
      </c>
      <c r="G517" s="25">
        <f t="shared" si="41"/>
        <v>3</v>
      </c>
      <c r="H517" s="25" t="s">
        <v>395</v>
      </c>
      <c r="I517" s="25">
        <v>1</v>
      </c>
      <c r="J517" s="25" t="str">
        <f>VLOOKUP(C517,'시스템이펙트 참고자료'!$A:$C,3,FALSE)</f>
        <v>절대값/상대값(%) 가능</v>
      </c>
      <c r="K517" s="25">
        <v>10</v>
      </c>
      <c r="M517" s="25">
        <v>4</v>
      </c>
      <c r="N517" s="25">
        <f t="shared" si="39"/>
        <v>44</v>
      </c>
      <c r="O517" s="25">
        <v>1</v>
      </c>
      <c r="P517" s="25">
        <v>1</v>
      </c>
      <c r="Q517" s="25">
        <v>1</v>
      </c>
      <c r="R517" s="25">
        <v>1</v>
      </c>
      <c r="T517" s="25">
        <v>1</v>
      </c>
      <c r="AA517" s="25">
        <f t="shared" si="40"/>
        <v>128</v>
      </c>
      <c r="AK517" s="25">
        <v>1</v>
      </c>
      <c r="AM517" s="25">
        <v>44</v>
      </c>
      <c r="AN517" s="25">
        <v>100</v>
      </c>
      <c r="AP517" s="25">
        <f t="shared" si="42"/>
        <v>3</v>
      </c>
      <c r="AQ517" s="25" t="str">
        <f>VLOOKUP(C517,'시스템이펙트 참고자료'!$A:$B,2,FALSE)</f>
        <v>ACTIVE_DEX_UP</v>
      </c>
      <c r="AS517" s="25">
        <v>1</v>
      </c>
      <c r="BD517" s="25">
        <v>1</v>
      </c>
    </row>
    <row r="518" spans="1:56" hidden="1">
      <c r="A518" s="25">
        <v>513</v>
      </c>
      <c r="B518" s="25" t="str">
        <f>VLOOKUP(C518,'시스템이펙트 참고자료'!$A:$C,2,FALSE)</f>
        <v>ACTIVE_ATTACK_SPEED_UP</v>
      </c>
      <c r="C518" s="25">
        <v>617</v>
      </c>
      <c r="D518" s="25">
        <f>VLOOKUP(C518,'시스템이펙트 참고자료'!$A:$D,4,FALSE)</f>
        <v>1</v>
      </c>
      <c r="E518" s="25">
        <v>0</v>
      </c>
      <c r="F518" s="25">
        <v>0</v>
      </c>
      <c r="G518" s="25">
        <f t="shared" si="41"/>
        <v>10</v>
      </c>
      <c r="H518" s="25" t="s">
        <v>395</v>
      </c>
      <c r="I518" s="25">
        <v>1</v>
      </c>
      <c r="J518" s="25" t="str">
        <f>VLOOKUP(C518,'시스템이펙트 참고자료'!$A:$C,3,FALSE)</f>
        <v>절대값/상대값(%) 가능</v>
      </c>
      <c r="K518" s="25">
        <v>10</v>
      </c>
      <c r="M518" s="25">
        <v>5</v>
      </c>
      <c r="N518" s="25">
        <f t="shared" si="39"/>
        <v>10</v>
      </c>
      <c r="O518" s="25">
        <v>1</v>
      </c>
      <c r="P518" s="25">
        <v>1</v>
      </c>
      <c r="Q518" s="25">
        <v>1</v>
      </c>
      <c r="R518" s="25">
        <v>1</v>
      </c>
      <c r="T518" s="25">
        <v>1</v>
      </c>
      <c r="AA518" s="25">
        <f t="shared" si="40"/>
        <v>128</v>
      </c>
      <c r="AK518" s="25">
        <v>1</v>
      </c>
      <c r="AM518" s="25">
        <v>10</v>
      </c>
      <c r="AN518" s="25">
        <v>100</v>
      </c>
      <c r="AP518" s="25">
        <f t="shared" si="42"/>
        <v>10</v>
      </c>
      <c r="AQ518" s="25" t="str">
        <f>VLOOKUP(C518,'시스템이펙트 참고자료'!$A:$B,2,FALSE)</f>
        <v>ACTIVE_ATTACK_SPEED_UP</v>
      </c>
      <c r="AS518" s="25">
        <v>1</v>
      </c>
      <c r="BD518" s="25">
        <v>1</v>
      </c>
    </row>
    <row r="519" spans="1:56" hidden="1">
      <c r="A519" s="25">
        <v>514</v>
      </c>
      <c r="B519" s="25" t="str">
        <f>VLOOKUP(C519,'시스템이펙트 참고자료'!$A:$C,2,FALSE)</f>
        <v>ACTIVE_DEX_UP</v>
      </c>
      <c r="C519" s="25">
        <v>613</v>
      </c>
      <c r="D519" s="25">
        <f>VLOOKUP(C519,'시스템이펙트 참고자료'!$A:$D,4,FALSE)</f>
        <v>0</v>
      </c>
      <c r="E519" s="25">
        <v>0</v>
      </c>
      <c r="F519" s="25">
        <v>0</v>
      </c>
      <c r="G519" s="25">
        <f t="shared" si="41"/>
        <v>3</v>
      </c>
      <c r="H519" s="25" t="s">
        <v>395</v>
      </c>
      <c r="I519" s="25">
        <v>1</v>
      </c>
      <c r="J519" s="25" t="str">
        <f>VLOOKUP(C519,'시스템이펙트 참고자료'!$A:$C,3,FALSE)</f>
        <v>절대값/상대값(%) 가능</v>
      </c>
      <c r="K519" s="25">
        <v>10</v>
      </c>
      <c r="M519" s="25">
        <v>5</v>
      </c>
      <c r="N519" s="25">
        <f t="shared" ref="N519:N582" si="43">IF(BD519&gt;0,INT(AM519/AK519),0)</f>
        <v>44</v>
      </c>
      <c r="O519" s="25">
        <v>1</v>
      </c>
      <c r="P519" s="25">
        <v>1</v>
      </c>
      <c r="Q519" s="25">
        <v>1</v>
      </c>
      <c r="R519" s="25">
        <v>1</v>
      </c>
      <c r="T519" s="25">
        <v>1</v>
      </c>
      <c r="AA519" s="25">
        <f t="shared" si="40"/>
        <v>128</v>
      </c>
      <c r="AK519" s="25">
        <v>1</v>
      </c>
      <c r="AM519" s="25">
        <v>44</v>
      </c>
      <c r="AN519" s="25">
        <v>100</v>
      </c>
      <c r="AP519" s="25">
        <f t="shared" si="42"/>
        <v>3</v>
      </c>
      <c r="AQ519" s="25" t="str">
        <f>VLOOKUP(C519,'시스템이펙트 참고자료'!$A:$B,2,FALSE)</f>
        <v>ACTIVE_DEX_UP</v>
      </c>
      <c r="AS519" s="25">
        <v>1</v>
      </c>
      <c r="BD519" s="25">
        <v>1</v>
      </c>
    </row>
    <row r="520" spans="1:56" hidden="1">
      <c r="A520" s="25">
        <v>515</v>
      </c>
      <c r="B520" s="25" t="str">
        <f>VLOOKUP(C520,'시스템이펙트 참고자료'!$A:$C,2,FALSE)</f>
        <v>ACTIVE_FOC_UP</v>
      </c>
      <c r="C520" s="25">
        <v>612</v>
      </c>
      <c r="D520" s="25">
        <f>VLOOKUP(C520,'시스템이펙트 참고자료'!$A:$D,4,FALSE)</f>
        <v>0</v>
      </c>
      <c r="E520" s="25">
        <v>0</v>
      </c>
      <c r="F520" s="25">
        <v>0</v>
      </c>
      <c r="G520" s="25">
        <f t="shared" si="41"/>
        <v>2</v>
      </c>
      <c r="H520" s="25" t="s">
        <v>395</v>
      </c>
      <c r="I520" s="25">
        <v>1</v>
      </c>
      <c r="J520" s="25" t="str">
        <f>VLOOKUP(C520,'시스템이펙트 참고자료'!$A:$C,3,FALSE)</f>
        <v>절대값/상대값(%) 가능</v>
      </c>
      <c r="K520" s="25">
        <v>10</v>
      </c>
      <c r="M520" s="25">
        <v>5</v>
      </c>
      <c r="N520" s="25">
        <f t="shared" si="43"/>
        <v>53</v>
      </c>
      <c r="O520" s="25">
        <v>1</v>
      </c>
      <c r="P520" s="25">
        <v>1</v>
      </c>
      <c r="Q520" s="25">
        <v>1</v>
      </c>
      <c r="R520" s="25">
        <v>1</v>
      </c>
      <c r="T520" s="25">
        <v>1</v>
      </c>
      <c r="AA520" s="25">
        <f t="shared" si="40"/>
        <v>128</v>
      </c>
      <c r="AK520" s="25">
        <v>1</v>
      </c>
      <c r="AM520" s="25">
        <v>53</v>
      </c>
      <c r="AN520" s="25">
        <v>100</v>
      </c>
      <c r="AP520" s="25">
        <f t="shared" si="42"/>
        <v>2</v>
      </c>
      <c r="AQ520" s="25" t="str">
        <f>VLOOKUP(C520,'시스템이펙트 참고자료'!$A:$B,2,FALSE)</f>
        <v>ACTIVE_FOC_UP</v>
      </c>
      <c r="AS520" s="25">
        <v>1</v>
      </c>
      <c r="BD520" s="25">
        <v>1</v>
      </c>
    </row>
    <row r="521" spans="1:56" hidden="1">
      <c r="A521" s="25">
        <v>516</v>
      </c>
      <c r="B521" s="25" t="str">
        <f>VLOOKUP(C521,'시스템이펙트 참고자료'!$A:$C,2,FALSE)</f>
        <v>ACTIVE_PHYSICAL_OFFENCE_UP</v>
      </c>
      <c r="C521" s="25">
        <v>606</v>
      </c>
      <c r="D521" s="25">
        <f>VLOOKUP(C521,'시스템이펙트 참고자료'!$A:$D,4,FALSE)</f>
        <v>0</v>
      </c>
      <c r="E521" s="25">
        <v>0</v>
      </c>
      <c r="F521" s="25">
        <v>0</v>
      </c>
      <c r="G521" s="25">
        <f t="shared" si="41"/>
        <v>1</v>
      </c>
      <c r="H521" s="25" t="s">
        <v>395</v>
      </c>
      <c r="I521" s="25">
        <v>1</v>
      </c>
      <c r="J521" s="25" t="str">
        <f>VLOOKUP(C521,'시스템이펙트 참고자료'!$A:$C,3,FALSE)</f>
        <v>절대값/상대값(%) 가능</v>
      </c>
      <c r="K521" s="25">
        <v>10</v>
      </c>
      <c r="M521" s="25">
        <v>5</v>
      </c>
      <c r="N521" s="25">
        <f t="shared" si="43"/>
        <v>125</v>
      </c>
      <c r="O521" s="25">
        <v>1</v>
      </c>
      <c r="P521" s="25">
        <v>1</v>
      </c>
      <c r="Q521" s="25">
        <v>1</v>
      </c>
      <c r="R521" s="25">
        <v>1</v>
      </c>
      <c r="T521" s="25">
        <v>1</v>
      </c>
      <c r="AA521" s="25">
        <f t="shared" si="40"/>
        <v>128</v>
      </c>
      <c r="AK521" s="25">
        <v>1</v>
      </c>
      <c r="AM521" s="25">
        <v>125</v>
      </c>
      <c r="AN521" s="25">
        <v>100</v>
      </c>
      <c r="AP521" s="25">
        <f t="shared" si="42"/>
        <v>1</v>
      </c>
      <c r="AQ521" s="25" t="str">
        <f>VLOOKUP(C521,'시스템이펙트 참고자료'!$A:$B,2,FALSE)</f>
        <v>ACTIVE_PHYSICAL_OFFENCE_UP</v>
      </c>
      <c r="AS521" s="25">
        <v>1</v>
      </c>
      <c r="BD521" s="25">
        <v>1</v>
      </c>
    </row>
    <row r="522" spans="1:56" hidden="1">
      <c r="A522" s="25">
        <v>517</v>
      </c>
      <c r="B522" s="25" t="str">
        <f>VLOOKUP(C522,'시스템이펙트 참고자료'!$A:$C,2,FALSE)</f>
        <v>ACTIVE_ENERGY_OFFENCE_UP</v>
      </c>
      <c r="C522" s="25">
        <v>607</v>
      </c>
      <c r="D522" s="25">
        <f>VLOOKUP(C522,'시스템이펙트 참고자료'!$A:$D,4,FALSE)</f>
        <v>0</v>
      </c>
      <c r="E522" s="25">
        <v>0</v>
      </c>
      <c r="F522" s="25">
        <v>0</v>
      </c>
      <c r="G522" s="25">
        <f t="shared" si="41"/>
        <v>1</v>
      </c>
      <c r="H522" s="25" t="s">
        <v>395</v>
      </c>
      <c r="I522" s="25">
        <v>1</v>
      </c>
      <c r="J522" s="25" t="str">
        <f>VLOOKUP(C522,'시스템이펙트 참고자료'!$A:$C,3,FALSE)</f>
        <v>절대값/상대값(%) 가능</v>
      </c>
      <c r="K522" s="25">
        <v>10</v>
      </c>
      <c r="M522" s="25">
        <v>5</v>
      </c>
      <c r="N522" s="25">
        <f t="shared" si="43"/>
        <v>104</v>
      </c>
      <c r="O522" s="25">
        <v>1</v>
      </c>
      <c r="P522" s="25">
        <v>1</v>
      </c>
      <c r="Q522" s="25">
        <v>1</v>
      </c>
      <c r="R522" s="25">
        <v>1</v>
      </c>
      <c r="T522" s="25">
        <v>1</v>
      </c>
      <c r="AA522" s="25">
        <f t="shared" si="40"/>
        <v>128</v>
      </c>
      <c r="AK522" s="25">
        <v>1</v>
      </c>
      <c r="AM522" s="25">
        <v>104</v>
      </c>
      <c r="AN522" s="25">
        <v>100</v>
      </c>
      <c r="AP522" s="25">
        <f t="shared" si="42"/>
        <v>1</v>
      </c>
      <c r="AQ522" s="25" t="str">
        <f>VLOOKUP(C522,'시스템이펙트 참고자료'!$A:$B,2,FALSE)</f>
        <v>ACTIVE_ENERGY_OFFENCE_UP</v>
      </c>
      <c r="AS522" s="25">
        <v>1</v>
      </c>
      <c r="BD522" s="25">
        <v>1</v>
      </c>
    </row>
    <row r="523" spans="1:56" hidden="1">
      <c r="A523" s="25">
        <v>518</v>
      </c>
      <c r="B523" s="25" t="str">
        <f>VLOOKUP(C523,'시스템이펙트 참고자료'!$A:$C,2,FALSE)</f>
        <v>ACTIVE_PHYSICAL_OFFENCE_UP</v>
      </c>
      <c r="C523" s="25">
        <v>606</v>
      </c>
      <c r="D523" s="25">
        <f>VLOOKUP(C523,'시스템이펙트 참고자료'!$A:$D,4,FALSE)</f>
        <v>0</v>
      </c>
      <c r="E523" s="25">
        <v>0</v>
      </c>
      <c r="F523" s="25">
        <v>0</v>
      </c>
      <c r="G523" s="25">
        <f t="shared" si="41"/>
        <v>1</v>
      </c>
      <c r="H523" s="25" t="s">
        <v>395</v>
      </c>
      <c r="I523" s="25">
        <v>1</v>
      </c>
      <c r="J523" s="25" t="str">
        <f>VLOOKUP(C523,'시스템이펙트 참고자료'!$A:$C,3,FALSE)</f>
        <v>절대값/상대값(%) 가능</v>
      </c>
      <c r="K523" s="25">
        <v>10</v>
      </c>
      <c r="M523" s="25">
        <v>6</v>
      </c>
      <c r="N523" s="25">
        <f t="shared" si="43"/>
        <v>125</v>
      </c>
      <c r="O523" s="25">
        <v>1</v>
      </c>
      <c r="P523" s="25">
        <v>1</v>
      </c>
      <c r="Q523" s="25">
        <v>1</v>
      </c>
      <c r="R523" s="25">
        <v>1</v>
      </c>
      <c r="T523" s="25">
        <v>1</v>
      </c>
      <c r="AA523" s="25">
        <f t="shared" si="40"/>
        <v>128</v>
      </c>
      <c r="AK523" s="25">
        <v>1</v>
      </c>
      <c r="AM523" s="25">
        <v>125</v>
      </c>
      <c r="AN523" s="25">
        <v>100</v>
      </c>
      <c r="AP523" s="25">
        <f t="shared" si="42"/>
        <v>1</v>
      </c>
      <c r="AQ523" s="25" t="str">
        <f>VLOOKUP(C523,'시스템이펙트 참고자료'!$A:$B,2,FALSE)</f>
        <v>ACTIVE_PHYSICAL_OFFENCE_UP</v>
      </c>
      <c r="AS523" s="25">
        <v>1</v>
      </c>
      <c r="BD523" s="25">
        <v>1</v>
      </c>
    </row>
    <row r="524" spans="1:56" hidden="1">
      <c r="A524" s="25">
        <v>519</v>
      </c>
      <c r="B524" s="25" t="str">
        <f>VLOOKUP(C524,'시스템이펙트 참고자료'!$A:$C,2,FALSE)</f>
        <v>ACTIVE_ENERGY_OFFENCE_UP</v>
      </c>
      <c r="C524" s="25">
        <v>607</v>
      </c>
      <c r="D524" s="25">
        <f>VLOOKUP(C524,'시스템이펙트 참고자료'!$A:$D,4,FALSE)</f>
        <v>0</v>
      </c>
      <c r="E524" s="25">
        <v>0</v>
      </c>
      <c r="F524" s="25">
        <v>0</v>
      </c>
      <c r="G524" s="25">
        <f t="shared" si="41"/>
        <v>1</v>
      </c>
      <c r="H524" s="25" t="s">
        <v>395</v>
      </c>
      <c r="I524" s="25">
        <v>1</v>
      </c>
      <c r="J524" s="25" t="str">
        <f>VLOOKUP(C524,'시스템이펙트 참고자료'!$A:$C,3,FALSE)</f>
        <v>절대값/상대값(%) 가능</v>
      </c>
      <c r="K524" s="25">
        <v>10</v>
      </c>
      <c r="M524" s="25">
        <v>6</v>
      </c>
      <c r="N524" s="25">
        <f t="shared" si="43"/>
        <v>104</v>
      </c>
      <c r="O524" s="25">
        <v>1</v>
      </c>
      <c r="P524" s="25">
        <v>1</v>
      </c>
      <c r="Q524" s="25">
        <v>1</v>
      </c>
      <c r="R524" s="25">
        <v>1</v>
      </c>
      <c r="T524" s="25">
        <v>1</v>
      </c>
      <c r="AA524" s="25">
        <f t="shared" si="40"/>
        <v>128</v>
      </c>
      <c r="AK524" s="25">
        <v>1</v>
      </c>
      <c r="AM524" s="25">
        <v>104</v>
      </c>
      <c r="AN524" s="25">
        <v>100</v>
      </c>
      <c r="AP524" s="25">
        <f t="shared" si="42"/>
        <v>1</v>
      </c>
      <c r="AQ524" s="25" t="str">
        <f>VLOOKUP(C524,'시스템이펙트 참고자료'!$A:$B,2,FALSE)</f>
        <v>ACTIVE_ENERGY_OFFENCE_UP</v>
      </c>
      <c r="AS524" s="25">
        <v>1</v>
      </c>
      <c r="BD524" s="25">
        <v>1</v>
      </c>
    </row>
    <row r="525" spans="1:56" hidden="1">
      <c r="A525" s="25">
        <v>520</v>
      </c>
      <c r="B525" s="25" t="str">
        <f>VLOOKUP(C525,'시스템이펙트 참고자료'!$A:$C,2,FALSE)</f>
        <v>ACTIVE_STR_UP</v>
      </c>
      <c r="C525" s="25">
        <v>610</v>
      </c>
      <c r="D525" s="25">
        <f>VLOOKUP(C525,'시스템이펙트 참고자료'!$A:$D,4,FALSE)</f>
        <v>0</v>
      </c>
      <c r="E525" s="25">
        <v>0</v>
      </c>
      <c r="F525" s="25">
        <v>0</v>
      </c>
      <c r="G525" s="25">
        <f t="shared" si="41"/>
        <v>2</v>
      </c>
      <c r="H525" s="25" t="s">
        <v>395</v>
      </c>
      <c r="I525" s="25">
        <v>1</v>
      </c>
      <c r="J525" s="25" t="str">
        <f>VLOOKUP(C525,'시스템이펙트 참고자료'!$A:$C,3,FALSE)</f>
        <v>절대값/상대값(%) 가능</v>
      </c>
      <c r="K525" s="25">
        <v>10</v>
      </c>
      <c r="M525" s="25">
        <v>6</v>
      </c>
      <c r="N525" s="25">
        <f t="shared" si="43"/>
        <v>57</v>
      </c>
      <c r="O525" s="25">
        <v>1</v>
      </c>
      <c r="P525" s="25">
        <v>1</v>
      </c>
      <c r="Q525" s="25">
        <v>1</v>
      </c>
      <c r="R525" s="25">
        <v>1</v>
      </c>
      <c r="T525" s="25">
        <v>1</v>
      </c>
      <c r="AA525" s="25">
        <f t="shared" si="40"/>
        <v>128</v>
      </c>
      <c r="AK525" s="25">
        <v>1</v>
      </c>
      <c r="AM525" s="25">
        <v>57</v>
      </c>
      <c r="AN525" s="25">
        <v>100</v>
      </c>
      <c r="AP525" s="25">
        <f t="shared" si="42"/>
        <v>2</v>
      </c>
      <c r="AQ525" s="25" t="str">
        <f>VLOOKUP(C525,'시스템이펙트 참고자료'!$A:$B,2,FALSE)</f>
        <v>ACTIVE_STR_UP</v>
      </c>
      <c r="AS525" s="25">
        <v>1</v>
      </c>
      <c r="BD525" s="25">
        <v>1</v>
      </c>
    </row>
    <row r="526" spans="1:56" hidden="1">
      <c r="A526" s="25">
        <v>521</v>
      </c>
      <c r="B526" s="25" t="str">
        <f>VLOOKUP(C526,'시스템이펙트 참고자료'!$A:$C,2,FALSE)</f>
        <v>ACTIVE_SOL_UP</v>
      </c>
      <c r="C526" s="25">
        <v>614</v>
      </c>
      <c r="D526" s="25">
        <f>VLOOKUP(C526,'시스템이펙트 참고자료'!$A:$D,4,FALSE)</f>
        <v>0</v>
      </c>
      <c r="E526" s="25">
        <v>0</v>
      </c>
      <c r="F526" s="25">
        <v>0</v>
      </c>
      <c r="G526" s="25">
        <f t="shared" si="41"/>
        <v>2</v>
      </c>
      <c r="H526" s="25" t="s">
        <v>395</v>
      </c>
      <c r="I526" s="25">
        <v>1</v>
      </c>
      <c r="J526" s="25" t="str">
        <f>VLOOKUP(C526,'시스템이펙트 참고자료'!$A:$C,3,FALSE)</f>
        <v>절대값/상대값(%) 가능</v>
      </c>
      <c r="K526" s="25">
        <v>10</v>
      </c>
      <c r="M526" s="25">
        <v>6</v>
      </c>
      <c r="N526" s="25">
        <f t="shared" si="43"/>
        <v>53</v>
      </c>
      <c r="O526" s="25">
        <v>1</v>
      </c>
      <c r="P526" s="25">
        <v>1</v>
      </c>
      <c r="Q526" s="25">
        <v>1</v>
      </c>
      <c r="R526" s="25">
        <v>1</v>
      </c>
      <c r="T526" s="25">
        <v>1</v>
      </c>
      <c r="AA526" s="25">
        <f t="shared" si="40"/>
        <v>128</v>
      </c>
      <c r="AK526" s="25">
        <v>1</v>
      </c>
      <c r="AM526" s="25">
        <v>53</v>
      </c>
      <c r="AN526" s="25">
        <v>100</v>
      </c>
      <c r="AP526" s="25">
        <f t="shared" si="42"/>
        <v>2</v>
      </c>
      <c r="AQ526" s="25" t="str">
        <f>VLOOKUP(C526,'시스템이펙트 참고자료'!$A:$B,2,FALSE)</f>
        <v>ACTIVE_SOL_UP</v>
      </c>
      <c r="AS526" s="25">
        <v>1</v>
      </c>
      <c r="BD526" s="25">
        <v>1</v>
      </c>
    </row>
    <row r="527" spans="1:56" hidden="1">
      <c r="A527" s="25">
        <v>522</v>
      </c>
      <c r="B527" s="25" t="str">
        <f>VLOOKUP(C527,'시스템이펙트 참고자료'!$A:$C,2,FALSE)</f>
        <v>ACTIVE_PHYSICAL_CRITICAL_DAMAGE_UP</v>
      </c>
      <c r="C527" s="25">
        <v>658</v>
      </c>
      <c r="D527" s="25">
        <f>VLOOKUP(C527,'시스템이펙트 참고자료'!$A:$D,4,FALSE)</f>
        <v>0</v>
      </c>
      <c r="E527" s="25">
        <v>0</v>
      </c>
      <c r="F527" s="25">
        <v>0</v>
      </c>
      <c r="G527" s="25">
        <f t="shared" si="41"/>
        <v>4</v>
      </c>
      <c r="H527" s="25" t="s">
        <v>395</v>
      </c>
      <c r="I527" s="25">
        <v>1</v>
      </c>
      <c r="J527" s="25" t="str">
        <f>VLOOKUP(C527,'시스템이펙트 참고자료'!$A:$C,3,FALSE)</f>
        <v>절대값만 가능</v>
      </c>
      <c r="K527" s="25">
        <v>10</v>
      </c>
      <c r="M527" s="25">
        <v>6</v>
      </c>
      <c r="N527" s="25">
        <f t="shared" si="43"/>
        <v>28</v>
      </c>
      <c r="O527" s="25">
        <v>1</v>
      </c>
      <c r="P527" s="25">
        <v>1</v>
      </c>
      <c r="Q527" s="25">
        <v>1</v>
      </c>
      <c r="R527" s="25">
        <v>1</v>
      </c>
      <c r="T527" s="25">
        <v>1</v>
      </c>
      <c r="AA527" s="25">
        <f t="shared" si="40"/>
        <v>128</v>
      </c>
      <c r="AK527" s="25">
        <v>1</v>
      </c>
      <c r="AM527" s="25">
        <v>28</v>
      </c>
      <c r="AN527" s="25">
        <v>100</v>
      </c>
      <c r="AP527" s="25">
        <f t="shared" si="42"/>
        <v>4</v>
      </c>
      <c r="AQ527" s="25" t="str">
        <f>VLOOKUP(C527,'시스템이펙트 참고자료'!$A:$B,2,FALSE)</f>
        <v>ACTIVE_PHYSICAL_CRITICAL_DAMAGE_UP</v>
      </c>
      <c r="AS527" s="25">
        <v>1</v>
      </c>
      <c r="BD527" s="25">
        <v>1</v>
      </c>
    </row>
    <row r="528" spans="1:56" hidden="1">
      <c r="A528" s="25">
        <v>523</v>
      </c>
      <c r="B528" s="25" t="str">
        <f>VLOOKUP(C528,'시스템이펙트 참고자료'!$A:$C,2,FALSE)</f>
        <v>ACTIVE_ENERGY_CRITICAL_DAMAGE_UP</v>
      </c>
      <c r="C528" s="25">
        <v>659</v>
      </c>
      <c r="D528" s="25">
        <f>VLOOKUP(C528,'시스템이펙트 참고자료'!$A:$D,4,FALSE)</f>
        <v>0</v>
      </c>
      <c r="E528" s="25">
        <v>0</v>
      </c>
      <c r="F528" s="25">
        <v>0</v>
      </c>
      <c r="G528" s="25">
        <f t="shared" si="41"/>
        <v>4</v>
      </c>
      <c r="H528" s="25" t="s">
        <v>395</v>
      </c>
      <c r="I528" s="25">
        <v>1</v>
      </c>
      <c r="J528" s="25" t="str">
        <f>VLOOKUP(C528,'시스템이펙트 참고자료'!$A:$C,3,FALSE)</f>
        <v>절대값만 가능</v>
      </c>
      <c r="K528" s="25">
        <v>10</v>
      </c>
      <c r="M528" s="25">
        <v>6</v>
      </c>
      <c r="N528" s="25">
        <f t="shared" si="43"/>
        <v>32</v>
      </c>
      <c r="O528" s="25">
        <v>1</v>
      </c>
      <c r="P528" s="25">
        <v>1</v>
      </c>
      <c r="Q528" s="25">
        <v>1</v>
      </c>
      <c r="R528" s="25">
        <v>1</v>
      </c>
      <c r="T528" s="25">
        <v>1</v>
      </c>
      <c r="AA528" s="25">
        <f t="shared" si="40"/>
        <v>128</v>
      </c>
      <c r="AK528" s="25">
        <v>1</v>
      </c>
      <c r="AM528" s="25">
        <v>32</v>
      </c>
      <c r="AN528" s="25">
        <v>100</v>
      </c>
      <c r="AP528" s="25">
        <f t="shared" si="42"/>
        <v>4</v>
      </c>
      <c r="AQ528" s="25" t="str">
        <f>VLOOKUP(C528,'시스템이펙트 참고자료'!$A:$B,2,FALSE)</f>
        <v>ACTIVE_ENERGY_CRITICAL_DAMAGE_UP</v>
      </c>
      <c r="AS528" s="25">
        <v>1</v>
      </c>
      <c r="BD528" s="25">
        <v>1</v>
      </c>
    </row>
    <row r="529" spans="1:56" hidden="1">
      <c r="A529" s="25">
        <v>524</v>
      </c>
      <c r="B529" s="25" t="str">
        <f>VLOOKUP(C529,'시스템이펙트 참고자료'!$A:$C,2,FALSE)</f>
        <v>ACTIVE_FOC_UP</v>
      </c>
      <c r="C529" s="25">
        <v>612</v>
      </c>
      <c r="D529" s="25">
        <f>VLOOKUP(C529,'시스템이펙트 참고자료'!$A:$D,4,FALSE)</f>
        <v>0</v>
      </c>
      <c r="E529" s="25">
        <v>0</v>
      </c>
      <c r="F529" s="25">
        <v>0</v>
      </c>
      <c r="G529" s="25">
        <f t="shared" si="41"/>
        <v>2</v>
      </c>
      <c r="H529" s="25" t="s">
        <v>395</v>
      </c>
      <c r="I529" s="25">
        <v>1</v>
      </c>
      <c r="J529" s="25" t="str">
        <f>VLOOKUP(C529,'시스템이펙트 참고자료'!$A:$C,3,FALSE)</f>
        <v>절대값/상대값(%) 가능</v>
      </c>
      <c r="K529" s="25">
        <v>10</v>
      </c>
      <c r="M529" s="25">
        <v>7</v>
      </c>
      <c r="N529" s="25">
        <f t="shared" si="43"/>
        <v>53</v>
      </c>
      <c r="O529" s="25">
        <v>1</v>
      </c>
      <c r="P529" s="25">
        <v>1</v>
      </c>
      <c r="Q529" s="25">
        <v>1</v>
      </c>
      <c r="R529" s="25">
        <v>1</v>
      </c>
      <c r="T529" s="25">
        <v>1</v>
      </c>
      <c r="AA529" s="25">
        <f t="shared" si="40"/>
        <v>128</v>
      </c>
      <c r="AK529" s="25">
        <v>1</v>
      </c>
      <c r="AM529" s="25">
        <v>53</v>
      </c>
      <c r="AN529" s="25">
        <v>100</v>
      </c>
      <c r="AP529" s="25">
        <f t="shared" si="42"/>
        <v>2</v>
      </c>
      <c r="AQ529" s="25" t="str">
        <f>VLOOKUP(C529,'시스템이펙트 참고자료'!$A:$B,2,FALSE)</f>
        <v>ACTIVE_FOC_UP</v>
      </c>
      <c r="AS529" s="25">
        <v>1</v>
      </c>
      <c r="BD529" s="25">
        <v>1</v>
      </c>
    </row>
    <row r="530" spans="1:56" hidden="1">
      <c r="A530" s="25">
        <v>525</v>
      </c>
      <c r="B530" s="25" t="str">
        <f>VLOOKUP(C530,'시스템이펙트 참고자료'!$A:$C,2,FALSE)</f>
        <v>ACTIVE_ATTACK_RATE_UP</v>
      </c>
      <c r="C530" s="25">
        <v>618</v>
      </c>
      <c r="D530" s="25">
        <f>VLOOKUP(C530,'시스템이펙트 참고자료'!$A:$D,4,FALSE)</f>
        <v>0</v>
      </c>
      <c r="E530" s="25">
        <v>0</v>
      </c>
      <c r="F530" s="25">
        <v>0</v>
      </c>
      <c r="G530" s="25">
        <f t="shared" ref="G530:G593" si="44">IF(N530&gt;0,INT(100/N530+0.99),0)</f>
        <v>1</v>
      </c>
      <c r="H530" s="25" t="s">
        <v>395</v>
      </c>
      <c r="I530" s="25">
        <v>1</v>
      </c>
      <c r="J530" s="25" t="str">
        <f>VLOOKUP(C530,'시스템이펙트 참고자료'!$A:$C,3,FALSE)</f>
        <v>절대값/상대값(%) 가능</v>
      </c>
      <c r="K530" s="25">
        <v>10</v>
      </c>
      <c r="M530" s="25">
        <v>7</v>
      </c>
      <c r="N530" s="25">
        <f t="shared" si="43"/>
        <v>528</v>
      </c>
      <c r="O530" s="25">
        <v>1</v>
      </c>
      <c r="P530" s="25">
        <v>1</v>
      </c>
      <c r="Q530" s="25">
        <v>1</v>
      </c>
      <c r="R530" s="25">
        <v>1</v>
      </c>
      <c r="T530" s="25">
        <v>1</v>
      </c>
      <c r="AA530" s="25">
        <f t="shared" si="40"/>
        <v>128</v>
      </c>
      <c r="AK530" s="25">
        <v>1</v>
      </c>
      <c r="AM530" s="25">
        <v>528</v>
      </c>
      <c r="AN530" s="25">
        <v>100</v>
      </c>
      <c r="AP530" s="25">
        <f t="shared" ref="AP530:AP593" si="45">INT(100/N530+0.99)</f>
        <v>1</v>
      </c>
      <c r="AQ530" s="25" t="str">
        <f>VLOOKUP(C530,'시스템이펙트 참고자료'!$A:$B,2,FALSE)</f>
        <v>ACTIVE_ATTACK_RATE_UP</v>
      </c>
      <c r="AS530" s="25">
        <v>1</v>
      </c>
      <c r="BD530" s="25">
        <v>1</v>
      </c>
    </row>
    <row r="531" spans="1:56" hidden="1">
      <c r="A531" s="25">
        <v>526</v>
      </c>
      <c r="B531" s="25" t="str">
        <f>VLOOKUP(C531,'시스템이펙트 참고자료'!$A:$C,2,FALSE)</f>
        <v>ACTIVE_ENG_UP</v>
      </c>
      <c r="C531" s="25">
        <v>615</v>
      </c>
      <c r="D531" s="25">
        <f>VLOOKUP(C531,'시스템이펙트 참고자료'!$A:$D,4,FALSE)</f>
        <v>0</v>
      </c>
      <c r="E531" s="25">
        <v>0</v>
      </c>
      <c r="F531" s="25">
        <v>0</v>
      </c>
      <c r="G531" s="25">
        <f t="shared" si="44"/>
        <v>2</v>
      </c>
      <c r="H531" s="25" t="s">
        <v>395</v>
      </c>
      <c r="I531" s="25">
        <v>1</v>
      </c>
      <c r="J531" s="25" t="str">
        <f>VLOOKUP(C531,'시스템이펙트 참고자료'!$A:$C,3,FALSE)</f>
        <v>절대값/상대값(%) 가능</v>
      </c>
      <c r="K531" s="25">
        <v>10</v>
      </c>
      <c r="M531" s="25">
        <v>7</v>
      </c>
      <c r="N531" s="25">
        <f t="shared" si="43"/>
        <v>62</v>
      </c>
      <c r="O531" s="25">
        <v>1</v>
      </c>
      <c r="P531" s="25">
        <v>1</v>
      </c>
      <c r="Q531" s="25">
        <v>1</v>
      </c>
      <c r="R531" s="25">
        <v>1</v>
      </c>
      <c r="T531" s="25">
        <v>1</v>
      </c>
      <c r="AA531" s="25">
        <f t="shared" ref="AA531:AA594" si="46">2^AA$1</f>
        <v>128</v>
      </c>
      <c r="AK531" s="25">
        <v>1</v>
      </c>
      <c r="AM531" s="25">
        <v>62</v>
      </c>
      <c r="AN531" s="25">
        <v>100</v>
      </c>
      <c r="AP531" s="25">
        <f t="shared" si="45"/>
        <v>2</v>
      </c>
      <c r="AQ531" s="25" t="str">
        <f>VLOOKUP(C531,'시스템이펙트 참고자료'!$A:$B,2,FALSE)</f>
        <v>ACTIVE_ENG_UP</v>
      </c>
      <c r="AS531" s="25">
        <v>1</v>
      </c>
      <c r="BD531" s="25">
        <v>1</v>
      </c>
    </row>
    <row r="532" spans="1:56" hidden="1">
      <c r="A532" s="25">
        <v>527</v>
      </c>
      <c r="B532" s="25" t="str">
        <f>VLOOKUP(C532,'시스템이펙트 참고자료'!$A:$C,2,FALSE)</f>
        <v>ACTIVE_PHYSICAL_CRITICAL</v>
      </c>
      <c r="C532" s="25">
        <v>632</v>
      </c>
      <c r="D532" s="25">
        <f>VLOOKUP(C532,'시스템이펙트 참고자료'!$A:$D,4,FALSE)</f>
        <v>0</v>
      </c>
      <c r="E532" s="25">
        <v>0</v>
      </c>
      <c r="F532" s="25">
        <v>0</v>
      </c>
      <c r="G532" s="25">
        <f t="shared" si="44"/>
        <v>5</v>
      </c>
      <c r="H532" s="25" t="s">
        <v>395</v>
      </c>
      <c r="I532" s="25">
        <v>1</v>
      </c>
      <c r="J532" s="25" t="str">
        <f>VLOOKUP(C532,'시스템이펙트 참고자료'!$A:$C,3,FALSE)</f>
        <v>절대값/상대값(%) 가능</v>
      </c>
      <c r="K532" s="25">
        <v>10</v>
      </c>
      <c r="M532" s="25">
        <v>7</v>
      </c>
      <c r="N532" s="25">
        <f t="shared" si="43"/>
        <v>21</v>
      </c>
      <c r="O532" s="25">
        <v>1</v>
      </c>
      <c r="P532" s="25">
        <v>1</v>
      </c>
      <c r="Q532" s="25">
        <v>1</v>
      </c>
      <c r="R532" s="25">
        <v>1</v>
      </c>
      <c r="T532" s="25">
        <v>1</v>
      </c>
      <c r="AA532" s="25">
        <f t="shared" si="46"/>
        <v>128</v>
      </c>
      <c r="AK532" s="25">
        <v>1</v>
      </c>
      <c r="AM532" s="25">
        <v>21</v>
      </c>
      <c r="AN532" s="25">
        <v>100</v>
      </c>
      <c r="AP532" s="25">
        <f t="shared" si="45"/>
        <v>5</v>
      </c>
      <c r="AQ532" s="25" t="str">
        <f>VLOOKUP(C532,'시스템이펙트 참고자료'!$A:$B,2,FALSE)</f>
        <v>ACTIVE_PHYSICAL_CRITICAL</v>
      </c>
      <c r="AS532" s="25">
        <v>1</v>
      </c>
      <c r="BD532" s="25">
        <v>1</v>
      </c>
    </row>
    <row r="533" spans="1:56" hidden="1">
      <c r="A533" s="25">
        <v>528</v>
      </c>
      <c r="B533" s="25" t="str">
        <f>VLOOKUP(C533,'시스템이펙트 참고자료'!$A:$C,2,FALSE)</f>
        <v>ACTIVE_ENERGY_CRITICAL</v>
      </c>
      <c r="C533" s="25">
        <v>633</v>
      </c>
      <c r="D533" s="25">
        <f>VLOOKUP(C533,'시스템이펙트 참고자료'!$A:$D,4,FALSE)</f>
        <v>0</v>
      </c>
      <c r="E533" s="25">
        <v>0</v>
      </c>
      <c r="F533" s="25">
        <v>0</v>
      </c>
      <c r="G533" s="25">
        <f t="shared" si="44"/>
        <v>5</v>
      </c>
      <c r="H533" s="25" t="s">
        <v>395</v>
      </c>
      <c r="I533" s="25">
        <v>1</v>
      </c>
      <c r="J533" s="25" t="str">
        <f>VLOOKUP(C533,'시스템이펙트 참고자료'!$A:$C,3,FALSE)</f>
        <v>절대값/상대값(%) 가능</v>
      </c>
      <c r="K533" s="25">
        <v>10</v>
      </c>
      <c r="M533" s="25">
        <v>7</v>
      </c>
      <c r="N533" s="25">
        <f t="shared" si="43"/>
        <v>24</v>
      </c>
      <c r="O533" s="25">
        <v>1</v>
      </c>
      <c r="P533" s="25">
        <v>1</v>
      </c>
      <c r="Q533" s="25">
        <v>1</v>
      </c>
      <c r="R533" s="25">
        <v>1</v>
      </c>
      <c r="T533" s="25">
        <v>1</v>
      </c>
      <c r="AA533" s="25">
        <f t="shared" si="46"/>
        <v>128</v>
      </c>
      <c r="AK533" s="25">
        <v>1</v>
      </c>
      <c r="AM533" s="25">
        <v>24</v>
      </c>
      <c r="AN533" s="25">
        <v>100</v>
      </c>
      <c r="AP533" s="25">
        <f t="shared" si="45"/>
        <v>5</v>
      </c>
      <c r="AQ533" s="25" t="str">
        <f>VLOOKUP(C533,'시스템이펙트 참고자료'!$A:$B,2,FALSE)</f>
        <v>ACTIVE_ENERGY_CRITICAL</v>
      </c>
      <c r="AS533" s="25">
        <v>1</v>
      </c>
      <c r="BD533" s="25">
        <v>1</v>
      </c>
    </row>
    <row r="534" spans="1:56" hidden="1">
      <c r="A534" s="25">
        <v>529</v>
      </c>
      <c r="B534" s="25" t="str">
        <f>VLOOKUP(C534,'시스템이펙트 참고자료'!$A:$C,2,FALSE)</f>
        <v>ACTIVE_FOC_UP</v>
      </c>
      <c r="C534" s="25">
        <v>612</v>
      </c>
      <c r="D534" s="25">
        <f>VLOOKUP(C534,'시스템이펙트 참고자료'!$A:$D,4,FALSE)</f>
        <v>0</v>
      </c>
      <c r="E534" s="25">
        <v>0</v>
      </c>
      <c r="F534" s="25">
        <v>0</v>
      </c>
      <c r="G534" s="25">
        <f t="shared" si="44"/>
        <v>2</v>
      </c>
      <c r="H534" s="25" t="s">
        <v>395</v>
      </c>
      <c r="I534" s="25">
        <v>1</v>
      </c>
      <c r="J534" s="25" t="str">
        <f>VLOOKUP(C534,'시스템이펙트 참고자료'!$A:$C,3,FALSE)</f>
        <v>절대값/상대값(%) 가능</v>
      </c>
      <c r="K534" s="25">
        <v>10</v>
      </c>
      <c r="M534" s="25">
        <v>8</v>
      </c>
      <c r="N534" s="25">
        <f t="shared" si="43"/>
        <v>53</v>
      </c>
      <c r="O534" s="25">
        <v>1</v>
      </c>
      <c r="P534" s="25">
        <v>1</v>
      </c>
      <c r="Q534" s="25">
        <v>1</v>
      </c>
      <c r="R534" s="25">
        <v>1</v>
      </c>
      <c r="T534" s="25">
        <v>1</v>
      </c>
      <c r="AA534" s="25">
        <f t="shared" si="46"/>
        <v>128</v>
      </c>
      <c r="AK534" s="25">
        <v>1</v>
      </c>
      <c r="AM534" s="25">
        <v>53</v>
      </c>
      <c r="AN534" s="25">
        <v>100</v>
      </c>
      <c r="AP534" s="25">
        <f t="shared" si="45"/>
        <v>2</v>
      </c>
      <c r="AQ534" s="25" t="str">
        <f>VLOOKUP(C534,'시스템이펙트 참고자료'!$A:$B,2,FALSE)</f>
        <v>ACTIVE_FOC_UP</v>
      </c>
      <c r="AS534" s="25">
        <v>1</v>
      </c>
      <c r="BD534" s="25">
        <v>1</v>
      </c>
    </row>
    <row r="535" spans="1:56" hidden="1">
      <c r="A535" s="25">
        <v>530</v>
      </c>
      <c r="B535" s="25" t="str">
        <f>VLOOKUP(C535,'시스템이펙트 참고자료'!$A:$C,2,FALSE)</f>
        <v>ACTIVE_CON_UP</v>
      </c>
      <c r="C535" s="25">
        <v>611</v>
      </c>
      <c r="D535" s="25">
        <f>VLOOKUP(C535,'시스템이펙트 참고자료'!$A:$D,4,FALSE)</f>
        <v>0</v>
      </c>
      <c r="E535" s="25">
        <v>0</v>
      </c>
      <c r="F535" s="25">
        <v>0</v>
      </c>
      <c r="G535" s="25">
        <f t="shared" si="44"/>
        <v>3</v>
      </c>
      <c r="H535" s="25" t="s">
        <v>395</v>
      </c>
      <c r="I535" s="25">
        <v>1</v>
      </c>
      <c r="J535" s="25" t="str">
        <f>VLOOKUP(C535,'시스템이펙트 참고자료'!$A:$C,3,FALSE)</f>
        <v>절대값/상대값(%) 가능</v>
      </c>
      <c r="K535" s="25">
        <v>10</v>
      </c>
      <c r="M535" s="25">
        <v>8</v>
      </c>
      <c r="N535" s="25">
        <f t="shared" si="43"/>
        <v>48</v>
      </c>
      <c r="O535" s="25">
        <v>1</v>
      </c>
      <c r="P535" s="25">
        <v>1</v>
      </c>
      <c r="Q535" s="25">
        <v>1</v>
      </c>
      <c r="R535" s="25">
        <v>1</v>
      </c>
      <c r="T535" s="25">
        <v>1</v>
      </c>
      <c r="AA535" s="25">
        <f t="shared" si="46"/>
        <v>128</v>
      </c>
      <c r="AK535" s="25">
        <v>1</v>
      </c>
      <c r="AM535" s="25">
        <v>48</v>
      </c>
      <c r="AN535" s="25">
        <v>100</v>
      </c>
      <c r="AP535" s="25">
        <f t="shared" si="45"/>
        <v>3</v>
      </c>
      <c r="AQ535" s="25" t="str">
        <f>VLOOKUP(C535,'시스템이펙트 참고자료'!$A:$B,2,FALSE)</f>
        <v>ACTIVE_CON_UP</v>
      </c>
      <c r="AS535" s="25">
        <v>1</v>
      </c>
      <c r="BD535" s="25">
        <v>1</v>
      </c>
    </row>
    <row r="536" spans="1:56" hidden="1">
      <c r="A536" s="25">
        <v>531</v>
      </c>
      <c r="B536" s="25" t="str">
        <f>VLOOKUP(C536,'시스템이펙트 참고자료'!$A:$C,2,FALSE)</f>
        <v>ACTIVE_BLOCK_RATE_UP</v>
      </c>
      <c r="C536" s="25">
        <v>620</v>
      </c>
      <c r="D536" s="25">
        <f>VLOOKUP(C536,'시스템이펙트 참고자료'!$A:$D,4,FALSE)</f>
        <v>0</v>
      </c>
      <c r="E536" s="25">
        <v>0</v>
      </c>
      <c r="F536" s="25">
        <v>0</v>
      </c>
      <c r="G536" s="25">
        <f t="shared" si="44"/>
        <v>1</v>
      </c>
      <c r="H536" s="25" t="s">
        <v>395</v>
      </c>
      <c r="I536" s="25">
        <v>1</v>
      </c>
      <c r="J536" s="25" t="str">
        <f>VLOOKUP(C536,'시스템이펙트 참고자료'!$A:$C,3,FALSE)</f>
        <v>절대값/상대값(%) 가능</v>
      </c>
      <c r="K536" s="25">
        <v>10</v>
      </c>
      <c r="M536" s="25">
        <v>8</v>
      </c>
      <c r="N536" s="25">
        <f t="shared" si="43"/>
        <v>352</v>
      </c>
      <c r="O536" s="25">
        <v>1</v>
      </c>
      <c r="P536" s="25">
        <v>1</v>
      </c>
      <c r="Q536" s="25">
        <v>1</v>
      </c>
      <c r="R536" s="25">
        <v>1</v>
      </c>
      <c r="T536" s="25">
        <v>1</v>
      </c>
      <c r="AA536" s="25">
        <f t="shared" si="46"/>
        <v>128</v>
      </c>
      <c r="AK536" s="25">
        <v>1</v>
      </c>
      <c r="AM536" s="25">
        <v>352</v>
      </c>
      <c r="AN536" s="25">
        <v>100</v>
      </c>
      <c r="AP536" s="25">
        <f t="shared" si="45"/>
        <v>1</v>
      </c>
      <c r="AQ536" s="25" t="str">
        <f>VLOOKUP(C536,'시스템이펙트 참고자료'!$A:$B,2,FALSE)</f>
        <v>ACTIVE_BLOCK_RATE_UP</v>
      </c>
      <c r="AS536" s="25">
        <v>1</v>
      </c>
      <c r="BD536" s="25">
        <v>1</v>
      </c>
    </row>
    <row r="537" spans="1:56" hidden="1">
      <c r="A537" s="25">
        <v>532</v>
      </c>
      <c r="B537" s="25" t="str">
        <f>VLOOKUP(C537,'시스템이펙트 참고자료'!$A:$C,2,FALSE)</f>
        <v>ACTIVE_ENG_UP</v>
      </c>
      <c r="C537" s="25">
        <v>615</v>
      </c>
      <c r="D537" s="25">
        <f>VLOOKUP(C537,'시스템이펙트 참고자료'!$A:$D,4,FALSE)</f>
        <v>0</v>
      </c>
      <c r="E537" s="25">
        <v>0</v>
      </c>
      <c r="F537" s="25">
        <v>0</v>
      </c>
      <c r="G537" s="25">
        <f t="shared" si="44"/>
        <v>2</v>
      </c>
      <c r="H537" s="25" t="s">
        <v>395</v>
      </c>
      <c r="I537" s="25">
        <v>1</v>
      </c>
      <c r="J537" s="25" t="str">
        <f>VLOOKUP(C537,'시스템이펙트 참고자료'!$A:$C,3,FALSE)</f>
        <v>절대값/상대값(%) 가능</v>
      </c>
      <c r="K537" s="25">
        <v>10</v>
      </c>
      <c r="M537" s="25">
        <v>8</v>
      </c>
      <c r="N537" s="25">
        <f t="shared" si="43"/>
        <v>62</v>
      </c>
      <c r="O537" s="25">
        <v>1</v>
      </c>
      <c r="P537" s="25">
        <v>1</v>
      </c>
      <c r="Q537" s="25">
        <v>1</v>
      </c>
      <c r="R537" s="25">
        <v>1</v>
      </c>
      <c r="T537" s="25">
        <v>1</v>
      </c>
      <c r="AA537" s="25">
        <f t="shared" si="46"/>
        <v>128</v>
      </c>
      <c r="AK537" s="25">
        <v>1</v>
      </c>
      <c r="AM537" s="25">
        <v>62</v>
      </c>
      <c r="AN537" s="25">
        <v>100</v>
      </c>
      <c r="AP537" s="25">
        <f t="shared" si="45"/>
        <v>2</v>
      </c>
      <c r="AQ537" s="25" t="str">
        <f>VLOOKUP(C537,'시스템이펙트 참고자료'!$A:$B,2,FALSE)</f>
        <v>ACTIVE_ENG_UP</v>
      </c>
      <c r="AS537" s="25">
        <v>1</v>
      </c>
      <c r="BD537" s="25">
        <v>1</v>
      </c>
    </row>
    <row r="538" spans="1:56" hidden="1">
      <c r="A538" s="25">
        <v>533</v>
      </c>
      <c r="B538" s="25" t="str">
        <f>VLOOKUP(C538,'시스템이펙트 참고자료'!$A:$C,2,FALSE)</f>
        <v>ACTIVE_PHYSICAL_CRITICAL</v>
      </c>
      <c r="C538" s="25">
        <v>632</v>
      </c>
      <c r="D538" s="25">
        <f>VLOOKUP(C538,'시스템이펙트 참고자료'!$A:$D,4,FALSE)</f>
        <v>0</v>
      </c>
      <c r="E538" s="25">
        <v>0</v>
      </c>
      <c r="F538" s="25">
        <v>0</v>
      </c>
      <c r="G538" s="25">
        <f t="shared" si="44"/>
        <v>5</v>
      </c>
      <c r="H538" s="25" t="s">
        <v>395</v>
      </c>
      <c r="I538" s="25">
        <v>1</v>
      </c>
      <c r="J538" s="25" t="str">
        <f>VLOOKUP(C538,'시스템이펙트 참고자료'!$A:$C,3,FALSE)</f>
        <v>절대값/상대값(%) 가능</v>
      </c>
      <c r="K538" s="25">
        <v>10</v>
      </c>
      <c r="M538" s="25">
        <v>9</v>
      </c>
      <c r="N538" s="25">
        <f t="shared" si="43"/>
        <v>21</v>
      </c>
      <c r="O538" s="25">
        <v>1</v>
      </c>
      <c r="P538" s="25">
        <v>1</v>
      </c>
      <c r="Q538" s="25">
        <v>1</v>
      </c>
      <c r="R538" s="25">
        <v>1</v>
      </c>
      <c r="T538" s="25">
        <v>1</v>
      </c>
      <c r="AA538" s="25">
        <f t="shared" si="46"/>
        <v>128</v>
      </c>
      <c r="AK538" s="25">
        <v>1</v>
      </c>
      <c r="AM538" s="25">
        <v>21</v>
      </c>
      <c r="AN538" s="25">
        <v>100</v>
      </c>
      <c r="AP538" s="25">
        <f t="shared" si="45"/>
        <v>5</v>
      </c>
      <c r="AQ538" s="25" t="str">
        <f>VLOOKUP(C538,'시스템이펙트 참고자료'!$A:$B,2,FALSE)</f>
        <v>ACTIVE_PHYSICAL_CRITICAL</v>
      </c>
      <c r="AS538" s="25">
        <v>1</v>
      </c>
      <c r="BD538" s="25">
        <v>1</v>
      </c>
    </row>
    <row r="539" spans="1:56" hidden="1">
      <c r="A539" s="25">
        <v>534</v>
      </c>
      <c r="B539" s="25" t="str">
        <f>VLOOKUP(C539,'시스템이펙트 참고자료'!$A:$C,2,FALSE)</f>
        <v>ACTIVE_ENERGY_CRITICAL</v>
      </c>
      <c r="C539" s="25">
        <v>633</v>
      </c>
      <c r="D539" s="25">
        <f>VLOOKUP(C539,'시스템이펙트 참고자료'!$A:$D,4,FALSE)</f>
        <v>0</v>
      </c>
      <c r="E539" s="25">
        <v>0</v>
      </c>
      <c r="F539" s="25">
        <v>0</v>
      </c>
      <c r="G539" s="25">
        <f t="shared" si="44"/>
        <v>5</v>
      </c>
      <c r="H539" s="25" t="s">
        <v>395</v>
      </c>
      <c r="I539" s="25">
        <v>1</v>
      </c>
      <c r="J539" s="25" t="str">
        <f>VLOOKUP(C539,'시스템이펙트 참고자료'!$A:$C,3,FALSE)</f>
        <v>절대값/상대값(%) 가능</v>
      </c>
      <c r="K539" s="25">
        <v>10</v>
      </c>
      <c r="M539" s="25">
        <v>9</v>
      </c>
      <c r="N539" s="25">
        <f t="shared" si="43"/>
        <v>24</v>
      </c>
      <c r="O539" s="25">
        <v>1</v>
      </c>
      <c r="P539" s="25">
        <v>1</v>
      </c>
      <c r="Q539" s="25">
        <v>1</v>
      </c>
      <c r="R539" s="25">
        <v>1</v>
      </c>
      <c r="T539" s="25">
        <v>1</v>
      </c>
      <c r="AA539" s="25">
        <f t="shared" si="46"/>
        <v>128</v>
      </c>
      <c r="AK539" s="25">
        <v>1</v>
      </c>
      <c r="AM539" s="25">
        <v>24</v>
      </c>
      <c r="AN539" s="25">
        <v>100</v>
      </c>
      <c r="AP539" s="25">
        <f t="shared" si="45"/>
        <v>5</v>
      </c>
      <c r="AQ539" s="25" t="str">
        <f>VLOOKUP(C539,'시스템이펙트 참고자료'!$A:$B,2,FALSE)</f>
        <v>ACTIVE_ENERGY_CRITICAL</v>
      </c>
      <c r="AS539" s="25">
        <v>1</v>
      </c>
      <c r="BD539" s="25">
        <v>1</v>
      </c>
    </row>
    <row r="540" spans="1:56" hidden="1">
      <c r="A540" s="25">
        <v>535</v>
      </c>
      <c r="B540" s="25" t="str">
        <f>VLOOKUP(C540,'시스템이펙트 참고자료'!$A:$C,2,FALSE)</f>
        <v>ACTIVE_DEX_UP</v>
      </c>
      <c r="C540" s="25">
        <v>613</v>
      </c>
      <c r="D540" s="25">
        <f>VLOOKUP(C540,'시스템이펙트 참고자료'!$A:$D,4,FALSE)</f>
        <v>0</v>
      </c>
      <c r="E540" s="25">
        <v>0</v>
      </c>
      <c r="F540" s="25">
        <v>0</v>
      </c>
      <c r="G540" s="25">
        <f t="shared" si="44"/>
        <v>3</v>
      </c>
      <c r="H540" s="25" t="s">
        <v>395</v>
      </c>
      <c r="I540" s="25">
        <v>1</v>
      </c>
      <c r="J540" s="25" t="str">
        <f>VLOOKUP(C540,'시스템이펙트 참고자료'!$A:$C,3,FALSE)</f>
        <v>절대값/상대값(%) 가능</v>
      </c>
      <c r="K540" s="25">
        <v>10</v>
      </c>
      <c r="M540" s="25">
        <v>9</v>
      </c>
      <c r="N540" s="25">
        <f t="shared" si="43"/>
        <v>44</v>
      </c>
      <c r="O540" s="25">
        <v>1</v>
      </c>
      <c r="P540" s="25">
        <v>1</v>
      </c>
      <c r="Q540" s="25">
        <v>1</v>
      </c>
      <c r="R540" s="25">
        <v>1</v>
      </c>
      <c r="T540" s="25">
        <v>1</v>
      </c>
      <c r="AA540" s="25">
        <f t="shared" si="46"/>
        <v>128</v>
      </c>
      <c r="AK540" s="25">
        <v>1</v>
      </c>
      <c r="AM540" s="25">
        <v>44</v>
      </c>
      <c r="AN540" s="25">
        <v>100</v>
      </c>
      <c r="AP540" s="25">
        <f t="shared" si="45"/>
        <v>3</v>
      </c>
      <c r="AQ540" s="25" t="str">
        <f>VLOOKUP(C540,'시스템이펙트 참고자료'!$A:$B,2,FALSE)</f>
        <v>ACTIVE_DEX_UP</v>
      </c>
      <c r="AS540" s="25">
        <v>1</v>
      </c>
      <c r="BD540" s="25">
        <v>1</v>
      </c>
    </row>
    <row r="541" spans="1:56" hidden="1">
      <c r="A541" s="25">
        <v>536</v>
      </c>
      <c r="B541" s="25" t="str">
        <f>VLOOKUP(C541,'시스템이펙트 참고자료'!$A:$C,2,FALSE)</f>
        <v>ACTIVE_FOC_UP</v>
      </c>
      <c r="C541" s="25">
        <v>612</v>
      </c>
      <c r="D541" s="25">
        <f>VLOOKUP(C541,'시스템이펙트 참고자료'!$A:$D,4,FALSE)</f>
        <v>0</v>
      </c>
      <c r="E541" s="25">
        <v>0</v>
      </c>
      <c r="F541" s="25">
        <v>0</v>
      </c>
      <c r="G541" s="25">
        <f t="shared" si="44"/>
        <v>2</v>
      </c>
      <c r="H541" s="25" t="s">
        <v>395</v>
      </c>
      <c r="I541" s="25">
        <v>1</v>
      </c>
      <c r="J541" s="25" t="str">
        <f>VLOOKUP(C541,'시스템이펙트 참고자료'!$A:$C,3,FALSE)</f>
        <v>절대값/상대값(%) 가능</v>
      </c>
      <c r="K541" s="25">
        <v>10</v>
      </c>
      <c r="M541" s="25">
        <v>9</v>
      </c>
      <c r="N541" s="25">
        <f t="shared" si="43"/>
        <v>53</v>
      </c>
      <c r="O541" s="25">
        <v>1</v>
      </c>
      <c r="P541" s="25">
        <v>1</v>
      </c>
      <c r="Q541" s="25">
        <v>1</v>
      </c>
      <c r="R541" s="25">
        <v>1</v>
      </c>
      <c r="T541" s="25">
        <v>1</v>
      </c>
      <c r="AA541" s="25">
        <f t="shared" si="46"/>
        <v>128</v>
      </c>
      <c r="AK541" s="25">
        <v>1</v>
      </c>
      <c r="AM541" s="25">
        <v>53</v>
      </c>
      <c r="AN541" s="25">
        <v>100</v>
      </c>
      <c r="AP541" s="25">
        <f t="shared" si="45"/>
        <v>2</v>
      </c>
      <c r="AQ541" s="25" t="str">
        <f>VLOOKUP(C541,'시스템이펙트 참고자료'!$A:$B,2,FALSE)</f>
        <v>ACTIVE_FOC_UP</v>
      </c>
      <c r="AS541" s="25">
        <v>1</v>
      </c>
      <c r="BD541" s="25">
        <v>1</v>
      </c>
    </row>
    <row r="542" spans="1:56" hidden="1">
      <c r="A542" s="25">
        <v>537</v>
      </c>
      <c r="B542" s="25" t="str">
        <f>VLOOKUP(C542,'시스템이펙트 참고자료'!$A:$C,2,FALSE)</f>
        <v>ACTIVE_PHYSICAL_CRITICAL_DAMAGE_UP</v>
      </c>
      <c r="C542" s="25">
        <v>658</v>
      </c>
      <c r="D542" s="25">
        <f>VLOOKUP(C542,'시스템이펙트 참고자료'!$A:$D,4,FALSE)</f>
        <v>0</v>
      </c>
      <c r="E542" s="25">
        <v>0</v>
      </c>
      <c r="F542" s="25">
        <v>0</v>
      </c>
      <c r="G542" s="25">
        <f t="shared" si="44"/>
        <v>4</v>
      </c>
      <c r="H542" s="25" t="s">
        <v>395</v>
      </c>
      <c r="I542" s="25">
        <v>1</v>
      </c>
      <c r="J542" s="25" t="str">
        <f>VLOOKUP(C542,'시스템이펙트 참고자료'!$A:$C,3,FALSE)</f>
        <v>절대값만 가능</v>
      </c>
      <c r="K542" s="25">
        <v>10</v>
      </c>
      <c r="M542" s="25">
        <v>10</v>
      </c>
      <c r="N542" s="25">
        <f t="shared" si="43"/>
        <v>28</v>
      </c>
      <c r="O542" s="25">
        <v>1</v>
      </c>
      <c r="P542" s="25">
        <v>1</v>
      </c>
      <c r="Q542" s="25">
        <v>1</v>
      </c>
      <c r="R542" s="25">
        <v>1</v>
      </c>
      <c r="T542" s="25">
        <v>1</v>
      </c>
      <c r="AA542" s="25">
        <f t="shared" si="46"/>
        <v>128</v>
      </c>
      <c r="AK542" s="25">
        <v>1</v>
      </c>
      <c r="AM542" s="25">
        <v>28</v>
      </c>
      <c r="AN542" s="25">
        <v>100</v>
      </c>
      <c r="AP542" s="25">
        <f t="shared" si="45"/>
        <v>4</v>
      </c>
      <c r="AQ542" s="25" t="str">
        <f>VLOOKUP(C542,'시스템이펙트 참고자료'!$A:$B,2,FALSE)</f>
        <v>ACTIVE_PHYSICAL_CRITICAL_DAMAGE_UP</v>
      </c>
      <c r="AS542" s="25">
        <v>1</v>
      </c>
      <c r="BD542" s="25">
        <v>1</v>
      </c>
    </row>
    <row r="543" spans="1:56" hidden="1">
      <c r="A543" s="25">
        <v>538</v>
      </c>
      <c r="B543" s="25" t="str">
        <f>VLOOKUP(C543,'시스템이펙트 참고자료'!$A:$C,2,FALSE)</f>
        <v>ACTIVE_ENERGY_CRITICAL_DAMAGE_UP</v>
      </c>
      <c r="C543" s="25">
        <v>659</v>
      </c>
      <c r="D543" s="25">
        <f>VLOOKUP(C543,'시스템이펙트 참고자료'!$A:$D,4,FALSE)</f>
        <v>0</v>
      </c>
      <c r="E543" s="25">
        <v>0</v>
      </c>
      <c r="F543" s="25">
        <v>0</v>
      </c>
      <c r="G543" s="25">
        <f t="shared" si="44"/>
        <v>4</v>
      </c>
      <c r="H543" s="25" t="s">
        <v>395</v>
      </c>
      <c r="I543" s="25">
        <v>1</v>
      </c>
      <c r="J543" s="25" t="str">
        <f>VLOOKUP(C543,'시스템이펙트 참고자료'!$A:$C,3,FALSE)</f>
        <v>절대값만 가능</v>
      </c>
      <c r="K543" s="25">
        <v>10</v>
      </c>
      <c r="M543" s="25">
        <v>10</v>
      </c>
      <c r="N543" s="25">
        <f t="shared" si="43"/>
        <v>32</v>
      </c>
      <c r="O543" s="25">
        <v>1</v>
      </c>
      <c r="P543" s="25">
        <v>1</v>
      </c>
      <c r="Q543" s="25">
        <v>1</v>
      </c>
      <c r="R543" s="25">
        <v>1</v>
      </c>
      <c r="T543" s="25">
        <v>1</v>
      </c>
      <c r="AA543" s="25">
        <f t="shared" si="46"/>
        <v>128</v>
      </c>
      <c r="AK543" s="25">
        <v>1</v>
      </c>
      <c r="AM543" s="25">
        <v>32</v>
      </c>
      <c r="AN543" s="25">
        <v>100</v>
      </c>
      <c r="AP543" s="25">
        <f t="shared" si="45"/>
        <v>4</v>
      </c>
      <c r="AQ543" s="25" t="str">
        <f>VLOOKUP(C543,'시스템이펙트 참고자료'!$A:$B,2,FALSE)</f>
        <v>ACTIVE_ENERGY_CRITICAL_DAMAGE_UP</v>
      </c>
      <c r="AS543" s="25">
        <v>1</v>
      </c>
      <c r="BD543" s="25">
        <v>1</v>
      </c>
    </row>
    <row r="544" spans="1:56" hidden="1">
      <c r="A544" s="25">
        <v>539</v>
      </c>
      <c r="B544" s="25" t="str">
        <f>VLOOKUP(C544,'시스템이펙트 참고자료'!$A:$C,2,FALSE)</f>
        <v>ACTIVE_DEX_UP</v>
      </c>
      <c r="C544" s="25">
        <v>613</v>
      </c>
      <c r="D544" s="25">
        <f>VLOOKUP(C544,'시스템이펙트 참고자료'!$A:$D,4,FALSE)</f>
        <v>0</v>
      </c>
      <c r="E544" s="25">
        <v>0</v>
      </c>
      <c r="F544" s="25">
        <v>0</v>
      </c>
      <c r="G544" s="25">
        <f t="shared" si="44"/>
        <v>3</v>
      </c>
      <c r="H544" s="25" t="s">
        <v>395</v>
      </c>
      <c r="I544" s="25">
        <v>1</v>
      </c>
      <c r="J544" s="25" t="str">
        <f>VLOOKUP(C544,'시스템이펙트 참고자료'!$A:$C,3,FALSE)</f>
        <v>절대값/상대값(%) 가능</v>
      </c>
      <c r="K544" s="25">
        <v>10</v>
      </c>
      <c r="M544" s="25">
        <v>10</v>
      </c>
      <c r="N544" s="25">
        <f t="shared" si="43"/>
        <v>44</v>
      </c>
      <c r="O544" s="25">
        <v>1</v>
      </c>
      <c r="P544" s="25">
        <v>1</v>
      </c>
      <c r="Q544" s="25">
        <v>1</v>
      </c>
      <c r="R544" s="25">
        <v>1</v>
      </c>
      <c r="T544" s="25">
        <v>1</v>
      </c>
      <c r="AA544" s="25">
        <f t="shared" si="46"/>
        <v>128</v>
      </c>
      <c r="AK544" s="25">
        <v>1</v>
      </c>
      <c r="AM544" s="25">
        <v>44</v>
      </c>
      <c r="AN544" s="25">
        <v>100</v>
      </c>
      <c r="AP544" s="25">
        <f t="shared" si="45"/>
        <v>3</v>
      </c>
      <c r="AQ544" s="25" t="str">
        <f>VLOOKUP(C544,'시스템이펙트 참고자료'!$A:$B,2,FALSE)</f>
        <v>ACTIVE_DEX_UP</v>
      </c>
      <c r="AS544" s="25">
        <v>1</v>
      </c>
      <c r="BD544" s="25">
        <v>1</v>
      </c>
    </row>
    <row r="545" spans="1:56" hidden="1">
      <c r="A545" s="25">
        <v>540</v>
      </c>
      <c r="B545" s="25" t="str">
        <f>VLOOKUP(C545,'시스템이펙트 참고자료'!$A:$C,2,FALSE)</f>
        <v>ACTIVE_ATTACK_SPEED_UP</v>
      </c>
      <c r="C545" s="25">
        <v>617</v>
      </c>
      <c r="D545" s="25">
        <f>VLOOKUP(C545,'시스템이펙트 참고자료'!$A:$D,4,FALSE)</f>
        <v>1</v>
      </c>
      <c r="E545" s="25">
        <v>0</v>
      </c>
      <c r="F545" s="25">
        <v>0</v>
      </c>
      <c r="G545" s="25">
        <f t="shared" si="44"/>
        <v>10</v>
      </c>
      <c r="H545" s="25" t="s">
        <v>395</v>
      </c>
      <c r="I545" s="25">
        <v>1</v>
      </c>
      <c r="J545" s="25" t="str">
        <f>VLOOKUP(C545,'시스템이펙트 참고자료'!$A:$C,3,FALSE)</f>
        <v>절대값/상대값(%) 가능</v>
      </c>
      <c r="K545" s="25">
        <v>10</v>
      </c>
      <c r="M545" s="25">
        <v>10</v>
      </c>
      <c r="N545" s="25">
        <f t="shared" si="43"/>
        <v>10</v>
      </c>
      <c r="O545" s="25">
        <v>1</v>
      </c>
      <c r="P545" s="25">
        <v>1</v>
      </c>
      <c r="Q545" s="25">
        <v>1</v>
      </c>
      <c r="R545" s="25">
        <v>1</v>
      </c>
      <c r="T545" s="25">
        <v>1</v>
      </c>
      <c r="AA545" s="25">
        <f t="shared" si="46"/>
        <v>128</v>
      </c>
      <c r="AK545" s="25">
        <v>1</v>
      </c>
      <c r="AM545" s="25">
        <v>10</v>
      </c>
      <c r="AN545" s="25">
        <v>100</v>
      </c>
      <c r="AP545" s="25">
        <f t="shared" si="45"/>
        <v>10</v>
      </c>
      <c r="AQ545" s="25" t="str">
        <f>VLOOKUP(C545,'시스템이펙트 참고자료'!$A:$B,2,FALSE)</f>
        <v>ACTIVE_ATTACK_SPEED_UP</v>
      </c>
      <c r="AS545" s="25">
        <v>1</v>
      </c>
      <c r="BD545" s="25">
        <v>1</v>
      </c>
    </row>
    <row r="546" spans="1:56" hidden="1">
      <c r="A546" s="25">
        <v>541</v>
      </c>
      <c r="B546" s="25" t="str">
        <f>VLOOKUP(C546,'시스템이펙트 참고자료'!$A:$C,2,FALSE)</f>
        <v>ACTIVE_STR_UP</v>
      </c>
      <c r="C546" s="25">
        <v>610</v>
      </c>
      <c r="D546" s="25">
        <f>VLOOKUP(C546,'시스템이펙트 참고자료'!$A:$D,4,FALSE)</f>
        <v>0</v>
      </c>
      <c r="E546" s="25">
        <v>0</v>
      </c>
      <c r="F546" s="25">
        <v>0</v>
      </c>
      <c r="G546" s="25">
        <f t="shared" si="44"/>
        <v>2</v>
      </c>
      <c r="H546" s="25" t="s">
        <v>395</v>
      </c>
      <c r="I546" s="25">
        <v>1</v>
      </c>
      <c r="J546" s="25" t="str">
        <f>VLOOKUP(C546,'시스템이펙트 참고자료'!$A:$C,3,FALSE)</f>
        <v>절대값/상대값(%) 가능</v>
      </c>
      <c r="K546" s="25">
        <v>10</v>
      </c>
      <c r="M546" s="25">
        <v>11</v>
      </c>
      <c r="N546" s="25">
        <f t="shared" si="43"/>
        <v>57</v>
      </c>
      <c r="O546" s="25">
        <v>1</v>
      </c>
      <c r="P546" s="25">
        <v>1</v>
      </c>
      <c r="Q546" s="25">
        <v>1</v>
      </c>
      <c r="R546" s="25">
        <v>1</v>
      </c>
      <c r="T546" s="25">
        <v>1</v>
      </c>
      <c r="AA546" s="25">
        <f t="shared" si="46"/>
        <v>128</v>
      </c>
      <c r="AK546" s="25">
        <v>1</v>
      </c>
      <c r="AM546" s="25">
        <v>57</v>
      </c>
      <c r="AN546" s="25">
        <v>100</v>
      </c>
      <c r="AP546" s="25">
        <f t="shared" si="45"/>
        <v>2</v>
      </c>
      <c r="AQ546" s="25" t="str">
        <f>VLOOKUP(C546,'시스템이펙트 참고자료'!$A:$B,2,FALSE)</f>
        <v>ACTIVE_STR_UP</v>
      </c>
      <c r="AS546" s="25">
        <v>1</v>
      </c>
      <c r="BD546" s="25">
        <v>1</v>
      </c>
    </row>
    <row r="547" spans="1:56" hidden="1">
      <c r="A547" s="25">
        <v>542</v>
      </c>
      <c r="B547" s="25" t="str">
        <f>VLOOKUP(C547,'시스템이펙트 참고자료'!$A:$C,2,FALSE)</f>
        <v>ACTIVE_CON_UP</v>
      </c>
      <c r="C547" s="25">
        <v>611</v>
      </c>
      <c r="D547" s="25">
        <f>VLOOKUP(C547,'시스템이펙트 참고자료'!$A:$D,4,FALSE)</f>
        <v>0</v>
      </c>
      <c r="E547" s="25">
        <v>0</v>
      </c>
      <c r="F547" s="25">
        <v>0</v>
      </c>
      <c r="G547" s="25">
        <f t="shared" si="44"/>
        <v>3</v>
      </c>
      <c r="H547" s="25" t="s">
        <v>395</v>
      </c>
      <c r="I547" s="25">
        <v>1</v>
      </c>
      <c r="J547" s="25" t="str">
        <f>VLOOKUP(C547,'시스템이펙트 참고자료'!$A:$C,3,FALSE)</f>
        <v>절대값/상대값(%) 가능</v>
      </c>
      <c r="K547" s="25">
        <v>10</v>
      </c>
      <c r="M547" s="25">
        <v>11</v>
      </c>
      <c r="N547" s="25">
        <f t="shared" si="43"/>
        <v>48</v>
      </c>
      <c r="O547" s="25">
        <v>1</v>
      </c>
      <c r="P547" s="25">
        <v>1</v>
      </c>
      <c r="Q547" s="25">
        <v>1</v>
      </c>
      <c r="R547" s="25">
        <v>1</v>
      </c>
      <c r="T547" s="25">
        <v>1</v>
      </c>
      <c r="AA547" s="25">
        <f t="shared" si="46"/>
        <v>128</v>
      </c>
      <c r="AK547" s="25">
        <v>1</v>
      </c>
      <c r="AM547" s="25">
        <v>48</v>
      </c>
      <c r="AN547" s="25">
        <v>100</v>
      </c>
      <c r="AP547" s="25">
        <f t="shared" si="45"/>
        <v>3</v>
      </c>
      <c r="AQ547" s="25" t="str">
        <f>VLOOKUP(C547,'시스템이펙트 참고자료'!$A:$B,2,FALSE)</f>
        <v>ACTIVE_CON_UP</v>
      </c>
      <c r="AS547" s="25">
        <v>1</v>
      </c>
      <c r="BD547" s="25">
        <v>1</v>
      </c>
    </row>
    <row r="548" spans="1:56" hidden="1">
      <c r="A548" s="25">
        <v>543</v>
      </c>
      <c r="B548" s="25" t="str">
        <f>VLOOKUP(C548,'시스템이펙트 참고자료'!$A:$C,2,FALSE)</f>
        <v>ACTIVE_FOC_UP</v>
      </c>
      <c r="C548" s="25">
        <v>612</v>
      </c>
      <c r="D548" s="25">
        <f>VLOOKUP(C548,'시스템이펙트 참고자료'!$A:$D,4,FALSE)</f>
        <v>0</v>
      </c>
      <c r="E548" s="25">
        <v>0</v>
      </c>
      <c r="F548" s="25">
        <v>0</v>
      </c>
      <c r="G548" s="25">
        <f t="shared" si="44"/>
        <v>2</v>
      </c>
      <c r="H548" s="25" t="s">
        <v>395</v>
      </c>
      <c r="I548" s="25">
        <v>1</v>
      </c>
      <c r="J548" s="25" t="str">
        <f>VLOOKUP(C548,'시스템이펙트 참고자료'!$A:$C,3,FALSE)</f>
        <v>절대값/상대값(%) 가능</v>
      </c>
      <c r="K548" s="25">
        <v>10</v>
      </c>
      <c r="M548" s="25">
        <v>11</v>
      </c>
      <c r="N548" s="25">
        <f t="shared" si="43"/>
        <v>53</v>
      </c>
      <c r="O548" s="25">
        <v>1</v>
      </c>
      <c r="P548" s="25">
        <v>1</v>
      </c>
      <c r="Q548" s="25">
        <v>1</v>
      </c>
      <c r="R548" s="25">
        <v>1</v>
      </c>
      <c r="T548" s="25">
        <v>1</v>
      </c>
      <c r="AA548" s="25">
        <f t="shared" si="46"/>
        <v>128</v>
      </c>
      <c r="AK548" s="25">
        <v>1</v>
      </c>
      <c r="AM548" s="25">
        <v>53</v>
      </c>
      <c r="AN548" s="25">
        <v>100</v>
      </c>
      <c r="AP548" s="25">
        <f t="shared" si="45"/>
        <v>2</v>
      </c>
      <c r="AQ548" s="25" t="str">
        <f>VLOOKUP(C548,'시스템이펙트 참고자료'!$A:$B,2,FALSE)</f>
        <v>ACTIVE_FOC_UP</v>
      </c>
      <c r="AS548" s="25">
        <v>1</v>
      </c>
      <c r="BD548" s="25">
        <v>1</v>
      </c>
    </row>
    <row r="549" spans="1:56" hidden="1">
      <c r="A549" s="25">
        <v>544</v>
      </c>
      <c r="B549" s="25" t="str">
        <f>VLOOKUP(C549,'시스템이펙트 참고자료'!$A:$C,2,FALSE)</f>
        <v>ACTIVE_DEX_UP</v>
      </c>
      <c r="C549" s="25">
        <v>613</v>
      </c>
      <c r="D549" s="25">
        <f>VLOOKUP(C549,'시스템이펙트 참고자료'!$A:$D,4,FALSE)</f>
        <v>0</v>
      </c>
      <c r="E549" s="25">
        <v>0</v>
      </c>
      <c r="F549" s="25">
        <v>0</v>
      </c>
      <c r="G549" s="25">
        <f t="shared" si="44"/>
        <v>3</v>
      </c>
      <c r="H549" s="25" t="s">
        <v>395</v>
      </c>
      <c r="I549" s="25">
        <v>1</v>
      </c>
      <c r="J549" s="25" t="str">
        <f>VLOOKUP(C549,'시스템이펙트 참고자료'!$A:$C,3,FALSE)</f>
        <v>절대값/상대값(%) 가능</v>
      </c>
      <c r="K549" s="25">
        <v>10</v>
      </c>
      <c r="M549" s="25">
        <v>11</v>
      </c>
      <c r="N549" s="25">
        <f t="shared" si="43"/>
        <v>44</v>
      </c>
      <c r="O549" s="25">
        <v>1</v>
      </c>
      <c r="P549" s="25">
        <v>1</v>
      </c>
      <c r="Q549" s="25">
        <v>1</v>
      </c>
      <c r="R549" s="25">
        <v>1</v>
      </c>
      <c r="T549" s="25">
        <v>1</v>
      </c>
      <c r="AA549" s="25">
        <f t="shared" si="46"/>
        <v>128</v>
      </c>
      <c r="AK549" s="25">
        <v>1</v>
      </c>
      <c r="AM549" s="25">
        <v>44</v>
      </c>
      <c r="AN549" s="25">
        <v>100</v>
      </c>
      <c r="AP549" s="25">
        <f t="shared" si="45"/>
        <v>3</v>
      </c>
      <c r="AQ549" s="25" t="str">
        <f>VLOOKUP(C549,'시스템이펙트 참고자료'!$A:$B,2,FALSE)</f>
        <v>ACTIVE_DEX_UP</v>
      </c>
      <c r="AS549" s="25">
        <v>1</v>
      </c>
      <c r="BD549" s="25">
        <v>1</v>
      </c>
    </row>
    <row r="550" spans="1:56" hidden="1">
      <c r="A550" s="25">
        <v>545</v>
      </c>
      <c r="B550" s="25" t="str">
        <f>VLOOKUP(C550,'시스템이펙트 참고자료'!$A:$C,2,FALSE)</f>
        <v>ACTIVE_SOL_UP</v>
      </c>
      <c r="C550" s="25">
        <v>614</v>
      </c>
      <c r="D550" s="25">
        <f>VLOOKUP(C550,'시스템이펙트 참고자료'!$A:$D,4,FALSE)</f>
        <v>0</v>
      </c>
      <c r="E550" s="25">
        <v>0</v>
      </c>
      <c r="F550" s="25">
        <v>0</v>
      </c>
      <c r="G550" s="25">
        <f t="shared" si="44"/>
        <v>2</v>
      </c>
      <c r="H550" s="25" t="s">
        <v>395</v>
      </c>
      <c r="I550" s="25">
        <v>1</v>
      </c>
      <c r="J550" s="25" t="str">
        <f>VLOOKUP(C550,'시스템이펙트 참고자료'!$A:$C,3,FALSE)</f>
        <v>절대값/상대값(%) 가능</v>
      </c>
      <c r="K550" s="25">
        <v>10</v>
      </c>
      <c r="M550" s="25">
        <v>11</v>
      </c>
      <c r="N550" s="25">
        <f t="shared" si="43"/>
        <v>53</v>
      </c>
      <c r="O550" s="25">
        <v>1</v>
      </c>
      <c r="P550" s="25">
        <v>1</v>
      </c>
      <c r="Q550" s="25">
        <v>1</v>
      </c>
      <c r="R550" s="25">
        <v>1</v>
      </c>
      <c r="T550" s="25">
        <v>1</v>
      </c>
      <c r="AA550" s="25">
        <f t="shared" si="46"/>
        <v>128</v>
      </c>
      <c r="AK550" s="25">
        <v>1</v>
      </c>
      <c r="AM550" s="25">
        <v>53</v>
      </c>
      <c r="AN550" s="25">
        <v>100</v>
      </c>
      <c r="AP550" s="25">
        <f t="shared" si="45"/>
        <v>2</v>
      </c>
      <c r="AQ550" s="25" t="str">
        <f>VLOOKUP(C550,'시스템이펙트 참고자료'!$A:$B,2,FALSE)</f>
        <v>ACTIVE_SOL_UP</v>
      </c>
      <c r="AS550" s="25">
        <v>1</v>
      </c>
      <c r="BD550" s="25">
        <v>1</v>
      </c>
    </row>
    <row r="551" spans="1:56" hidden="1">
      <c r="A551" s="25">
        <v>546</v>
      </c>
      <c r="B551" s="25" t="str">
        <f>VLOOKUP(C551,'시스템이펙트 참고자료'!$A:$C,2,FALSE)</f>
        <v>ACTIVE_ENG_UP</v>
      </c>
      <c r="C551" s="25">
        <v>615</v>
      </c>
      <c r="D551" s="25">
        <f>VLOOKUP(C551,'시스템이펙트 참고자료'!$A:$D,4,FALSE)</f>
        <v>0</v>
      </c>
      <c r="E551" s="25">
        <v>0</v>
      </c>
      <c r="F551" s="25">
        <v>0</v>
      </c>
      <c r="G551" s="25">
        <f t="shared" si="44"/>
        <v>2</v>
      </c>
      <c r="H551" s="25" t="s">
        <v>395</v>
      </c>
      <c r="I551" s="25">
        <v>1</v>
      </c>
      <c r="J551" s="25" t="str">
        <f>VLOOKUP(C551,'시스템이펙트 참고자료'!$A:$C,3,FALSE)</f>
        <v>절대값/상대값(%) 가능</v>
      </c>
      <c r="K551" s="25">
        <v>10</v>
      </c>
      <c r="M551" s="25">
        <v>11</v>
      </c>
      <c r="N551" s="25">
        <f t="shared" si="43"/>
        <v>62</v>
      </c>
      <c r="O551" s="25">
        <v>1</v>
      </c>
      <c r="P551" s="25">
        <v>1</v>
      </c>
      <c r="Q551" s="25">
        <v>1</v>
      </c>
      <c r="R551" s="25">
        <v>1</v>
      </c>
      <c r="T551" s="25">
        <v>1</v>
      </c>
      <c r="AA551" s="25">
        <f t="shared" si="46"/>
        <v>128</v>
      </c>
      <c r="AK551" s="25">
        <v>1</v>
      </c>
      <c r="AM551" s="25">
        <v>62</v>
      </c>
      <c r="AN551" s="25">
        <v>100</v>
      </c>
      <c r="AP551" s="25">
        <f t="shared" si="45"/>
        <v>2</v>
      </c>
      <c r="AQ551" s="25" t="str">
        <f>VLOOKUP(C551,'시스템이펙트 참고자료'!$A:$B,2,FALSE)</f>
        <v>ACTIVE_ENG_UP</v>
      </c>
      <c r="AS551" s="25">
        <v>1</v>
      </c>
      <c r="BD551" s="25">
        <v>1</v>
      </c>
    </row>
    <row r="552" spans="1:56" hidden="1">
      <c r="A552" s="25">
        <v>547</v>
      </c>
      <c r="B552" s="25" t="str">
        <f>VLOOKUP(C552,'시스템이펙트 참고자료'!$A:$C,2,FALSE)</f>
        <v>ACTIVE_PHYSICAL_DEFENCE_UP</v>
      </c>
      <c r="C552" s="25">
        <v>608</v>
      </c>
      <c r="D552" s="25">
        <f>VLOOKUP(C552,'시스템이펙트 참고자료'!$A:$D,4,FALSE)</f>
        <v>0</v>
      </c>
      <c r="E552" s="25">
        <v>0</v>
      </c>
      <c r="F552" s="25">
        <v>0</v>
      </c>
      <c r="G552" s="25">
        <f t="shared" si="44"/>
        <v>1</v>
      </c>
      <c r="H552" s="25" t="s">
        <v>395</v>
      </c>
      <c r="I552" s="25">
        <v>1</v>
      </c>
      <c r="J552" s="25" t="str">
        <f>VLOOKUP(C552,'시스템이펙트 참고자료'!$A:$C,3,FALSE)</f>
        <v>절대값/상대값(%) 가능</v>
      </c>
      <c r="K552" s="25">
        <v>10</v>
      </c>
      <c r="M552" s="25">
        <v>12</v>
      </c>
      <c r="N552" s="25">
        <f t="shared" si="43"/>
        <v>1350</v>
      </c>
      <c r="O552" s="25">
        <v>1</v>
      </c>
      <c r="P552" s="25">
        <v>1</v>
      </c>
      <c r="Q552" s="25">
        <v>1</v>
      </c>
      <c r="R552" s="25">
        <v>1</v>
      </c>
      <c r="T552" s="25">
        <v>1</v>
      </c>
      <c r="AA552" s="25">
        <f t="shared" si="46"/>
        <v>128</v>
      </c>
      <c r="AK552" s="25">
        <v>1</v>
      </c>
      <c r="AM552" s="25">
        <v>1350</v>
      </c>
      <c r="AN552" s="25">
        <v>100</v>
      </c>
      <c r="AP552" s="25">
        <f t="shared" si="45"/>
        <v>1</v>
      </c>
      <c r="AQ552" s="25" t="str">
        <f>VLOOKUP(C552,'시스템이펙트 참고자료'!$A:$B,2,FALSE)</f>
        <v>ACTIVE_PHYSICAL_DEFENCE_UP</v>
      </c>
      <c r="AS552" s="25">
        <v>1</v>
      </c>
      <c r="BD552" s="25">
        <v>1</v>
      </c>
    </row>
    <row r="553" spans="1:56" hidden="1">
      <c r="A553" s="25">
        <v>548</v>
      </c>
      <c r="B553" s="25" t="str">
        <f>VLOOKUP(C553,'시스템이펙트 참고자료'!$A:$C,2,FALSE)</f>
        <v>ACTIVE_BLOCK_RATE_UP</v>
      </c>
      <c r="C553" s="25">
        <v>620</v>
      </c>
      <c r="D553" s="25">
        <f>VLOOKUP(C553,'시스템이펙트 참고자료'!$A:$D,4,FALSE)</f>
        <v>0</v>
      </c>
      <c r="E553" s="25">
        <v>0</v>
      </c>
      <c r="F553" s="25">
        <v>0</v>
      </c>
      <c r="G553" s="25">
        <f t="shared" si="44"/>
        <v>1</v>
      </c>
      <c r="H553" s="25" t="s">
        <v>395</v>
      </c>
      <c r="I553" s="25">
        <v>1</v>
      </c>
      <c r="J553" s="25" t="str">
        <f>VLOOKUP(C553,'시스템이펙트 참고자료'!$A:$C,3,FALSE)</f>
        <v>절대값/상대값(%) 가능</v>
      </c>
      <c r="K553" s="25">
        <v>10</v>
      </c>
      <c r="M553" s="25">
        <v>12</v>
      </c>
      <c r="N553" s="25">
        <f t="shared" si="43"/>
        <v>352</v>
      </c>
      <c r="O553" s="25">
        <v>1</v>
      </c>
      <c r="P553" s="25">
        <v>1</v>
      </c>
      <c r="Q553" s="25">
        <v>1</v>
      </c>
      <c r="R553" s="25">
        <v>1</v>
      </c>
      <c r="T553" s="25">
        <v>1</v>
      </c>
      <c r="AA553" s="25">
        <f t="shared" si="46"/>
        <v>128</v>
      </c>
      <c r="AK553" s="25">
        <v>1</v>
      </c>
      <c r="AM553" s="25">
        <v>352</v>
      </c>
      <c r="AN553" s="25">
        <v>100</v>
      </c>
      <c r="AP553" s="25">
        <f t="shared" si="45"/>
        <v>1</v>
      </c>
      <c r="AQ553" s="25" t="str">
        <f>VLOOKUP(C553,'시스템이펙트 참고자료'!$A:$B,2,FALSE)</f>
        <v>ACTIVE_BLOCK_RATE_UP</v>
      </c>
      <c r="AS553" s="25">
        <v>1</v>
      </c>
      <c r="BD553" s="25">
        <v>1</v>
      </c>
    </row>
    <row r="554" spans="1:56" hidden="1">
      <c r="A554" s="25">
        <v>549</v>
      </c>
      <c r="B554" s="25" t="str">
        <f>VLOOKUP(C554,'시스템이펙트 참고자료'!$A:$C,2,FALSE)</f>
        <v>ACTIVE_CON_UP</v>
      </c>
      <c r="C554" s="25">
        <v>611</v>
      </c>
      <c r="D554" s="25">
        <f>VLOOKUP(C554,'시스템이펙트 참고자료'!$A:$D,4,FALSE)</f>
        <v>0</v>
      </c>
      <c r="E554" s="25">
        <v>0</v>
      </c>
      <c r="F554" s="25">
        <v>0</v>
      </c>
      <c r="G554" s="25">
        <f t="shared" si="44"/>
        <v>3</v>
      </c>
      <c r="H554" s="25" t="s">
        <v>395</v>
      </c>
      <c r="I554" s="25">
        <v>1</v>
      </c>
      <c r="J554" s="25" t="str">
        <f>VLOOKUP(C554,'시스템이펙트 참고자료'!$A:$C,3,FALSE)</f>
        <v>절대값/상대값(%) 가능</v>
      </c>
      <c r="K554" s="25">
        <v>10</v>
      </c>
      <c r="M554" s="25">
        <v>12</v>
      </c>
      <c r="N554" s="25">
        <f t="shared" si="43"/>
        <v>48</v>
      </c>
      <c r="O554" s="25">
        <v>1</v>
      </c>
      <c r="P554" s="25">
        <v>1</v>
      </c>
      <c r="Q554" s="25">
        <v>1</v>
      </c>
      <c r="R554" s="25">
        <v>1</v>
      </c>
      <c r="T554" s="25">
        <v>1</v>
      </c>
      <c r="AA554" s="25">
        <f t="shared" si="46"/>
        <v>128</v>
      </c>
      <c r="AK554" s="25">
        <v>1</v>
      </c>
      <c r="AM554" s="25">
        <v>48</v>
      </c>
      <c r="AN554" s="25">
        <v>100</v>
      </c>
      <c r="AP554" s="25">
        <f t="shared" si="45"/>
        <v>3</v>
      </c>
      <c r="AQ554" s="25" t="str">
        <f>VLOOKUP(C554,'시스템이펙트 참고자료'!$A:$B,2,FALSE)</f>
        <v>ACTIVE_CON_UP</v>
      </c>
      <c r="AS554" s="25">
        <v>1</v>
      </c>
      <c r="BD554" s="25">
        <v>1</v>
      </c>
    </row>
    <row r="555" spans="1:56" hidden="1">
      <c r="A555" s="25">
        <v>550</v>
      </c>
      <c r="B555" s="25" t="str">
        <f>VLOOKUP(C555,'시스템이펙트 참고자료'!$A:$C,2,FALSE)</f>
        <v>ACTIVE_FOC_UP</v>
      </c>
      <c r="C555" s="25">
        <v>612</v>
      </c>
      <c r="D555" s="25">
        <f>VLOOKUP(C555,'시스템이펙트 참고자료'!$A:$D,4,FALSE)</f>
        <v>0</v>
      </c>
      <c r="E555" s="25">
        <v>0</v>
      </c>
      <c r="F555" s="25">
        <v>0</v>
      </c>
      <c r="G555" s="25">
        <f t="shared" si="44"/>
        <v>2</v>
      </c>
      <c r="H555" s="25" t="s">
        <v>395</v>
      </c>
      <c r="I555" s="25">
        <v>1</v>
      </c>
      <c r="J555" s="25" t="str">
        <f>VLOOKUP(C555,'시스템이펙트 참고자료'!$A:$C,3,FALSE)</f>
        <v>절대값/상대값(%) 가능</v>
      </c>
      <c r="K555" s="25">
        <v>10</v>
      </c>
      <c r="M555" s="25">
        <v>12</v>
      </c>
      <c r="N555" s="25">
        <f t="shared" si="43"/>
        <v>53</v>
      </c>
      <c r="O555" s="25">
        <v>1</v>
      </c>
      <c r="P555" s="25">
        <v>1</v>
      </c>
      <c r="Q555" s="25">
        <v>1</v>
      </c>
      <c r="R555" s="25">
        <v>1</v>
      </c>
      <c r="T555" s="25">
        <v>1</v>
      </c>
      <c r="AA555" s="25">
        <f t="shared" si="46"/>
        <v>128</v>
      </c>
      <c r="AK555" s="25">
        <v>1</v>
      </c>
      <c r="AM555" s="25">
        <v>53</v>
      </c>
      <c r="AN555" s="25">
        <v>100</v>
      </c>
      <c r="AP555" s="25">
        <f t="shared" si="45"/>
        <v>2</v>
      </c>
      <c r="AQ555" s="25" t="str">
        <f>VLOOKUP(C555,'시스템이펙트 참고자료'!$A:$B,2,FALSE)</f>
        <v>ACTIVE_FOC_UP</v>
      </c>
      <c r="AS555" s="25">
        <v>1</v>
      </c>
      <c r="BD555" s="25">
        <v>1</v>
      </c>
    </row>
    <row r="556" spans="1:56" hidden="1">
      <c r="A556" s="25">
        <v>551</v>
      </c>
      <c r="B556" s="25" t="str">
        <f>VLOOKUP(C556,'시스템이펙트 참고자료'!$A:$C,2,FALSE)</f>
        <v>ACTIVE_PHYSICAL_OFFENCE_UP</v>
      </c>
      <c r="C556" s="25">
        <v>606</v>
      </c>
      <c r="D556" s="25">
        <f>VLOOKUP(C556,'시스템이펙트 참고자료'!$A:$D,4,FALSE)</f>
        <v>0</v>
      </c>
      <c r="E556" s="25">
        <v>0</v>
      </c>
      <c r="F556" s="25">
        <v>0</v>
      </c>
      <c r="G556" s="25">
        <f t="shared" si="44"/>
        <v>1</v>
      </c>
      <c r="H556" s="25" t="s">
        <v>395</v>
      </c>
      <c r="I556" s="25">
        <v>1</v>
      </c>
      <c r="J556" s="25" t="str">
        <f>VLOOKUP(C556,'시스템이펙트 참고자료'!$A:$C,3,FALSE)</f>
        <v>절대값/상대값(%) 가능</v>
      </c>
      <c r="K556" s="25">
        <v>11</v>
      </c>
      <c r="M556" s="25">
        <v>1</v>
      </c>
      <c r="N556" s="25">
        <f t="shared" si="43"/>
        <v>125</v>
      </c>
      <c r="O556" s="25">
        <v>1</v>
      </c>
      <c r="P556" s="25">
        <v>1</v>
      </c>
      <c r="Q556" s="25">
        <v>1</v>
      </c>
      <c r="R556" s="25">
        <v>1</v>
      </c>
      <c r="T556" s="25">
        <v>1</v>
      </c>
      <c r="AA556" s="25">
        <f t="shared" si="46"/>
        <v>128</v>
      </c>
      <c r="AK556" s="25">
        <v>1</v>
      </c>
      <c r="AM556" s="25">
        <v>125</v>
      </c>
      <c r="AN556" s="25">
        <v>100</v>
      </c>
      <c r="AP556" s="25">
        <f t="shared" si="45"/>
        <v>1</v>
      </c>
      <c r="AQ556" s="25" t="str">
        <f>VLOOKUP(C556,'시스템이펙트 참고자료'!$A:$B,2,FALSE)</f>
        <v>ACTIVE_PHYSICAL_OFFENCE_UP</v>
      </c>
      <c r="AS556" s="25">
        <v>1</v>
      </c>
      <c r="BD556" s="25">
        <v>1</v>
      </c>
    </row>
    <row r="557" spans="1:56" hidden="1">
      <c r="A557" s="25">
        <v>552</v>
      </c>
      <c r="B557" s="25" t="str">
        <f>VLOOKUP(C557,'시스템이펙트 참고자료'!$A:$C,2,FALSE)</f>
        <v>ACTIVE_STR_UP</v>
      </c>
      <c r="C557" s="25">
        <v>610</v>
      </c>
      <c r="D557" s="25">
        <f>VLOOKUP(C557,'시스템이펙트 참고자료'!$A:$D,4,FALSE)</f>
        <v>0</v>
      </c>
      <c r="E557" s="25">
        <v>0</v>
      </c>
      <c r="F557" s="25">
        <v>0</v>
      </c>
      <c r="G557" s="25">
        <f t="shared" si="44"/>
        <v>2</v>
      </c>
      <c r="H557" s="25" t="s">
        <v>395</v>
      </c>
      <c r="I557" s="25">
        <v>1</v>
      </c>
      <c r="J557" s="25" t="str">
        <f>VLOOKUP(C557,'시스템이펙트 참고자료'!$A:$C,3,FALSE)</f>
        <v>절대값/상대값(%) 가능</v>
      </c>
      <c r="K557" s="25">
        <v>11</v>
      </c>
      <c r="M557" s="25">
        <v>1</v>
      </c>
      <c r="N557" s="25">
        <f t="shared" si="43"/>
        <v>57</v>
      </c>
      <c r="O557" s="25">
        <v>1</v>
      </c>
      <c r="P557" s="25">
        <v>1</v>
      </c>
      <c r="Q557" s="25">
        <v>1</v>
      </c>
      <c r="R557" s="25">
        <v>1</v>
      </c>
      <c r="T557" s="25">
        <v>1</v>
      </c>
      <c r="AA557" s="25">
        <f t="shared" si="46"/>
        <v>128</v>
      </c>
      <c r="AK557" s="25">
        <v>1</v>
      </c>
      <c r="AM557" s="25">
        <v>57</v>
      </c>
      <c r="AN557" s="25">
        <v>100</v>
      </c>
      <c r="AP557" s="25">
        <f t="shared" si="45"/>
        <v>2</v>
      </c>
      <c r="AQ557" s="25" t="str">
        <f>VLOOKUP(C557,'시스템이펙트 참고자료'!$A:$B,2,FALSE)</f>
        <v>ACTIVE_STR_UP</v>
      </c>
      <c r="AS557" s="25">
        <v>1</v>
      </c>
      <c r="BD557" s="25">
        <v>1</v>
      </c>
    </row>
    <row r="558" spans="1:56" hidden="1">
      <c r="A558" s="25">
        <v>553</v>
      </c>
      <c r="B558" s="25" t="str">
        <f>VLOOKUP(C558,'시스템이펙트 참고자료'!$A:$C,2,FALSE)</f>
        <v>ACTIVE_DEX_UP</v>
      </c>
      <c r="C558" s="25">
        <v>613</v>
      </c>
      <c r="D558" s="25">
        <f>VLOOKUP(C558,'시스템이펙트 참고자료'!$A:$D,4,FALSE)</f>
        <v>0</v>
      </c>
      <c r="E558" s="25">
        <v>0</v>
      </c>
      <c r="F558" s="25">
        <v>0</v>
      </c>
      <c r="G558" s="25">
        <f t="shared" si="44"/>
        <v>3</v>
      </c>
      <c r="H558" s="25" t="s">
        <v>395</v>
      </c>
      <c r="I558" s="25">
        <v>1</v>
      </c>
      <c r="J558" s="25" t="str">
        <f>VLOOKUP(C558,'시스템이펙트 참고자료'!$A:$C,3,FALSE)</f>
        <v>절대값/상대값(%) 가능</v>
      </c>
      <c r="K558" s="25">
        <v>11</v>
      </c>
      <c r="M558" s="25">
        <v>1</v>
      </c>
      <c r="N558" s="25">
        <f t="shared" si="43"/>
        <v>44</v>
      </c>
      <c r="O558" s="25">
        <v>1</v>
      </c>
      <c r="P558" s="25">
        <v>1</v>
      </c>
      <c r="Q558" s="25">
        <v>1</v>
      </c>
      <c r="R558" s="25">
        <v>1</v>
      </c>
      <c r="T558" s="25">
        <v>1</v>
      </c>
      <c r="AA558" s="25">
        <f t="shared" si="46"/>
        <v>128</v>
      </c>
      <c r="AK558" s="25">
        <v>1</v>
      </c>
      <c r="AM558" s="25">
        <v>44</v>
      </c>
      <c r="AN558" s="25">
        <v>100</v>
      </c>
      <c r="AP558" s="25">
        <f t="shared" si="45"/>
        <v>3</v>
      </c>
      <c r="AQ558" s="25" t="str">
        <f>VLOOKUP(C558,'시스템이펙트 참고자료'!$A:$B,2,FALSE)</f>
        <v>ACTIVE_DEX_UP</v>
      </c>
      <c r="AS558" s="25">
        <v>1</v>
      </c>
      <c r="BD558" s="25">
        <v>1</v>
      </c>
    </row>
    <row r="559" spans="1:56" hidden="1">
      <c r="A559" s="25">
        <v>554</v>
      </c>
      <c r="B559" s="25" t="str">
        <f>VLOOKUP(C559,'시스템이펙트 참고자료'!$A:$C,2,FALSE)</f>
        <v>ACTIVE_PHYSICAL_CRITICAL_DAMAGE_UP</v>
      </c>
      <c r="C559" s="25">
        <v>658</v>
      </c>
      <c r="D559" s="25">
        <f>VLOOKUP(C559,'시스템이펙트 참고자료'!$A:$D,4,FALSE)</f>
        <v>0</v>
      </c>
      <c r="E559" s="25">
        <v>0</v>
      </c>
      <c r="F559" s="25">
        <v>0</v>
      </c>
      <c r="G559" s="25">
        <f t="shared" si="44"/>
        <v>4</v>
      </c>
      <c r="H559" s="25" t="s">
        <v>395</v>
      </c>
      <c r="I559" s="25">
        <v>1</v>
      </c>
      <c r="J559" s="25" t="str">
        <f>VLOOKUP(C559,'시스템이펙트 참고자료'!$A:$C,3,FALSE)</f>
        <v>절대값만 가능</v>
      </c>
      <c r="K559" s="25">
        <v>11</v>
      </c>
      <c r="M559" s="25">
        <v>1</v>
      </c>
      <c r="N559" s="25">
        <f t="shared" si="43"/>
        <v>28</v>
      </c>
      <c r="O559" s="25">
        <v>1</v>
      </c>
      <c r="P559" s="25">
        <v>1</v>
      </c>
      <c r="Q559" s="25">
        <v>1</v>
      </c>
      <c r="R559" s="25">
        <v>1</v>
      </c>
      <c r="T559" s="25">
        <v>1</v>
      </c>
      <c r="AA559" s="25">
        <f t="shared" si="46"/>
        <v>128</v>
      </c>
      <c r="AK559" s="25">
        <v>1</v>
      </c>
      <c r="AM559" s="25">
        <v>28</v>
      </c>
      <c r="AN559" s="25">
        <v>100</v>
      </c>
      <c r="AP559" s="25">
        <f t="shared" si="45"/>
        <v>4</v>
      </c>
      <c r="AQ559" s="25" t="str">
        <f>VLOOKUP(C559,'시스템이펙트 참고자료'!$A:$B,2,FALSE)</f>
        <v>ACTIVE_PHYSICAL_CRITICAL_DAMAGE_UP</v>
      </c>
      <c r="AS559" s="25">
        <v>1</v>
      </c>
      <c r="BD559" s="25">
        <v>1</v>
      </c>
    </row>
    <row r="560" spans="1:56" hidden="1">
      <c r="A560" s="25">
        <v>555</v>
      </c>
      <c r="B560" s="25" t="str">
        <f>VLOOKUP(C560,'시스템이펙트 참고자료'!$A:$C,2,FALSE)</f>
        <v>ACTIVE_PHYSICAL_CRITICAL_DAMAGE_UP</v>
      </c>
      <c r="C560" s="25">
        <v>658</v>
      </c>
      <c r="D560" s="25">
        <f>VLOOKUP(C560,'시스템이펙트 참고자료'!$A:$D,4,FALSE)</f>
        <v>0</v>
      </c>
      <c r="E560" s="25">
        <v>0</v>
      </c>
      <c r="F560" s="25">
        <v>0</v>
      </c>
      <c r="G560" s="25">
        <f t="shared" si="44"/>
        <v>4</v>
      </c>
      <c r="H560" s="25" t="s">
        <v>395</v>
      </c>
      <c r="I560" s="25">
        <v>1</v>
      </c>
      <c r="J560" s="25" t="str">
        <f>VLOOKUP(C560,'시스템이펙트 참고자료'!$A:$C,3,FALSE)</f>
        <v>절대값만 가능</v>
      </c>
      <c r="K560" s="25">
        <v>11</v>
      </c>
      <c r="M560" s="25">
        <v>2</v>
      </c>
      <c r="N560" s="25">
        <f t="shared" si="43"/>
        <v>28</v>
      </c>
      <c r="O560" s="25">
        <v>1</v>
      </c>
      <c r="P560" s="25">
        <v>1</v>
      </c>
      <c r="Q560" s="25">
        <v>1</v>
      </c>
      <c r="R560" s="25">
        <v>1</v>
      </c>
      <c r="T560" s="25">
        <v>1</v>
      </c>
      <c r="AA560" s="25">
        <f t="shared" si="46"/>
        <v>128</v>
      </c>
      <c r="AK560" s="25">
        <v>1</v>
      </c>
      <c r="AM560" s="25">
        <v>28</v>
      </c>
      <c r="AN560" s="25">
        <v>100</v>
      </c>
      <c r="AP560" s="25">
        <f t="shared" si="45"/>
        <v>4</v>
      </c>
      <c r="AQ560" s="25" t="str">
        <f>VLOOKUP(C560,'시스템이펙트 참고자료'!$A:$B,2,FALSE)</f>
        <v>ACTIVE_PHYSICAL_CRITICAL_DAMAGE_UP</v>
      </c>
      <c r="AS560" s="25">
        <v>1</v>
      </c>
      <c r="BD560" s="25">
        <v>1</v>
      </c>
    </row>
    <row r="561" spans="1:56" hidden="1">
      <c r="A561" s="25">
        <v>556</v>
      </c>
      <c r="B561" s="25" t="str">
        <f>VLOOKUP(C561,'시스템이펙트 참고자료'!$A:$C,2,FALSE)</f>
        <v>ACTIVE_PHYSICAL_CRITICAL</v>
      </c>
      <c r="C561" s="25">
        <v>632</v>
      </c>
      <c r="D561" s="25">
        <f>VLOOKUP(C561,'시스템이펙트 참고자료'!$A:$D,4,FALSE)</f>
        <v>0</v>
      </c>
      <c r="E561" s="25">
        <v>0</v>
      </c>
      <c r="F561" s="25">
        <v>0</v>
      </c>
      <c r="G561" s="25">
        <f t="shared" si="44"/>
        <v>5</v>
      </c>
      <c r="H561" s="25" t="s">
        <v>395</v>
      </c>
      <c r="I561" s="25">
        <v>1</v>
      </c>
      <c r="J561" s="25" t="str">
        <f>VLOOKUP(C561,'시스템이펙트 참고자료'!$A:$C,3,FALSE)</f>
        <v>절대값/상대값(%) 가능</v>
      </c>
      <c r="K561" s="25">
        <v>11</v>
      </c>
      <c r="M561" s="25">
        <v>2</v>
      </c>
      <c r="N561" s="25">
        <f t="shared" si="43"/>
        <v>21</v>
      </c>
      <c r="O561" s="25">
        <v>1</v>
      </c>
      <c r="P561" s="25">
        <v>1</v>
      </c>
      <c r="Q561" s="25">
        <v>1</v>
      </c>
      <c r="R561" s="25">
        <v>1</v>
      </c>
      <c r="T561" s="25">
        <v>1</v>
      </c>
      <c r="AA561" s="25">
        <f t="shared" si="46"/>
        <v>128</v>
      </c>
      <c r="AK561" s="25">
        <v>1</v>
      </c>
      <c r="AM561" s="25">
        <v>21</v>
      </c>
      <c r="AN561" s="25">
        <v>100</v>
      </c>
      <c r="AP561" s="25">
        <f t="shared" si="45"/>
        <v>5</v>
      </c>
      <c r="AQ561" s="25" t="str">
        <f>VLOOKUP(C561,'시스템이펙트 참고자료'!$A:$B,2,FALSE)</f>
        <v>ACTIVE_PHYSICAL_CRITICAL</v>
      </c>
      <c r="AS561" s="25">
        <v>1</v>
      </c>
      <c r="BD561" s="25">
        <v>1</v>
      </c>
    </row>
    <row r="562" spans="1:56" hidden="1">
      <c r="A562" s="25">
        <v>557</v>
      </c>
      <c r="B562" s="25" t="str">
        <f>VLOOKUP(C562,'시스템이펙트 참고자료'!$A:$C,2,FALSE)</f>
        <v>ACTIVE_DEX_UP</v>
      </c>
      <c r="C562" s="25">
        <v>613</v>
      </c>
      <c r="D562" s="25">
        <f>VLOOKUP(C562,'시스템이펙트 참고자료'!$A:$D,4,FALSE)</f>
        <v>0</v>
      </c>
      <c r="E562" s="25">
        <v>0</v>
      </c>
      <c r="F562" s="25">
        <v>0</v>
      </c>
      <c r="G562" s="25">
        <f t="shared" si="44"/>
        <v>3</v>
      </c>
      <c r="H562" s="25" t="s">
        <v>395</v>
      </c>
      <c r="I562" s="25">
        <v>1</v>
      </c>
      <c r="J562" s="25" t="str">
        <f>VLOOKUP(C562,'시스템이펙트 참고자료'!$A:$C,3,FALSE)</f>
        <v>절대값/상대값(%) 가능</v>
      </c>
      <c r="K562" s="25">
        <v>11</v>
      </c>
      <c r="M562" s="25">
        <v>2</v>
      </c>
      <c r="N562" s="25">
        <f t="shared" si="43"/>
        <v>44</v>
      </c>
      <c r="O562" s="25">
        <v>1</v>
      </c>
      <c r="P562" s="25">
        <v>1</v>
      </c>
      <c r="Q562" s="25">
        <v>1</v>
      </c>
      <c r="R562" s="25">
        <v>1</v>
      </c>
      <c r="T562" s="25">
        <v>1</v>
      </c>
      <c r="AA562" s="25">
        <f t="shared" si="46"/>
        <v>128</v>
      </c>
      <c r="AK562" s="25">
        <v>1</v>
      </c>
      <c r="AM562" s="25">
        <v>44</v>
      </c>
      <c r="AN562" s="25">
        <v>100</v>
      </c>
      <c r="AP562" s="25">
        <f t="shared" si="45"/>
        <v>3</v>
      </c>
      <c r="AQ562" s="25" t="str">
        <f>VLOOKUP(C562,'시스템이펙트 참고자료'!$A:$B,2,FALSE)</f>
        <v>ACTIVE_DEX_UP</v>
      </c>
      <c r="AS562" s="25">
        <v>1</v>
      </c>
      <c r="BD562" s="25">
        <v>1</v>
      </c>
    </row>
    <row r="563" spans="1:56" hidden="1">
      <c r="A563" s="25">
        <v>558</v>
      </c>
      <c r="B563" s="25" t="str">
        <f>VLOOKUP(C563,'시스템이펙트 참고자료'!$A:$C,2,FALSE)</f>
        <v>ACTIVE_FOC_UP</v>
      </c>
      <c r="C563" s="25">
        <v>612</v>
      </c>
      <c r="D563" s="25">
        <f>VLOOKUP(C563,'시스템이펙트 참고자료'!$A:$D,4,FALSE)</f>
        <v>0</v>
      </c>
      <c r="E563" s="25">
        <v>0</v>
      </c>
      <c r="F563" s="25">
        <v>0</v>
      </c>
      <c r="G563" s="25">
        <f t="shared" si="44"/>
        <v>2</v>
      </c>
      <c r="H563" s="25" t="s">
        <v>395</v>
      </c>
      <c r="I563" s="25">
        <v>1</v>
      </c>
      <c r="J563" s="25" t="str">
        <f>VLOOKUP(C563,'시스템이펙트 참고자료'!$A:$C,3,FALSE)</f>
        <v>절대값/상대값(%) 가능</v>
      </c>
      <c r="K563" s="25">
        <v>11</v>
      </c>
      <c r="M563" s="25">
        <v>2</v>
      </c>
      <c r="N563" s="25">
        <f t="shared" si="43"/>
        <v>53</v>
      </c>
      <c r="O563" s="25">
        <v>1</v>
      </c>
      <c r="P563" s="25">
        <v>1</v>
      </c>
      <c r="Q563" s="25">
        <v>1</v>
      </c>
      <c r="R563" s="25">
        <v>1</v>
      </c>
      <c r="T563" s="25">
        <v>1</v>
      </c>
      <c r="AA563" s="25">
        <f t="shared" si="46"/>
        <v>128</v>
      </c>
      <c r="AK563" s="25">
        <v>1</v>
      </c>
      <c r="AM563" s="25">
        <v>53</v>
      </c>
      <c r="AN563" s="25">
        <v>100</v>
      </c>
      <c r="AP563" s="25">
        <f t="shared" si="45"/>
        <v>2</v>
      </c>
      <c r="AQ563" s="25" t="str">
        <f>VLOOKUP(C563,'시스템이펙트 참고자료'!$A:$B,2,FALSE)</f>
        <v>ACTIVE_FOC_UP</v>
      </c>
      <c r="AS563" s="25">
        <v>1</v>
      </c>
      <c r="BD563" s="25">
        <v>1</v>
      </c>
    </row>
    <row r="564" spans="1:56" hidden="1">
      <c r="A564" s="25">
        <v>559</v>
      </c>
      <c r="B564" s="25" t="str">
        <f>VLOOKUP(C564,'시스템이펙트 참고자료'!$A:$C,2,FALSE)</f>
        <v>ACTIVE_ENERGY_OFFENCE_UP</v>
      </c>
      <c r="C564" s="25">
        <v>607</v>
      </c>
      <c r="D564" s="25">
        <f>VLOOKUP(C564,'시스템이펙트 참고자료'!$A:$D,4,FALSE)</f>
        <v>0</v>
      </c>
      <c r="E564" s="25">
        <v>0</v>
      </c>
      <c r="F564" s="25">
        <v>0</v>
      </c>
      <c r="G564" s="25">
        <f t="shared" si="44"/>
        <v>1</v>
      </c>
      <c r="H564" s="25" t="s">
        <v>395</v>
      </c>
      <c r="I564" s="25">
        <v>1</v>
      </c>
      <c r="J564" s="25" t="str">
        <f>VLOOKUP(C564,'시스템이펙트 참고자료'!$A:$C,3,FALSE)</f>
        <v>절대값/상대값(%) 가능</v>
      </c>
      <c r="K564" s="25">
        <v>11</v>
      </c>
      <c r="M564" s="25">
        <v>3</v>
      </c>
      <c r="N564" s="25">
        <f t="shared" si="43"/>
        <v>104</v>
      </c>
      <c r="O564" s="25">
        <v>1</v>
      </c>
      <c r="P564" s="25">
        <v>1</v>
      </c>
      <c r="Q564" s="25">
        <v>1</v>
      </c>
      <c r="R564" s="25">
        <v>1</v>
      </c>
      <c r="T564" s="25">
        <v>1</v>
      </c>
      <c r="AA564" s="25">
        <f t="shared" si="46"/>
        <v>128</v>
      </c>
      <c r="AK564" s="25">
        <v>1</v>
      </c>
      <c r="AM564" s="25">
        <v>104</v>
      </c>
      <c r="AN564" s="25">
        <v>100</v>
      </c>
      <c r="AP564" s="25">
        <f t="shared" si="45"/>
        <v>1</v>
      </c>
      <c r="AQ564" s="25" t="str">
        <f>VLOOKUP(C564,'시스템이펙트 참고자료'!$A:$B,2,FALSE)</f>
        <v>ACTIVE_ENERGY_OFFENCE_UP</v>
      </c>
      <c r="AS564" s="25">
        <v>1</v>
      </c>
      <c r="BD564" s="25">
        <v>1</v>
      </c>
    </row>
    <row r="565" spans="1:56" hidden="1">
      <c r="A565" s="25">
        <v>560</v>
      </c>
      <c r="B565" s="25" t="str">
        <f>VLOOKUP(C565,'시스템이펙트 참고자료'!$A:$C,2,FALSE)</f>
        <v>ACTIVE_FOC_UP</v>
      </c>
      <c r="C565" s="25">
        <v>612</v>
      </c>
      <c r="D565" s="25">
        <f>VLOOKUP(C565,'시스템이펙트 참고자료'!$A:$D,4,FALSE)</f>
        <v>0</v>
      </c>
      <c r="E565" s="25">
        <v>0</v>
      </c>
      <c r="F565" s="25">
        <v>0</v>
      </c>
      <c r="G565" s="25">
        <f t="shared" si="44"/>
        <v>2</v>
      </c>
      <c r="H565" s="25" t="s">
        <v>395</v>
      </c>
      <c r="I565" s="25">
        <v>1</v>
      </c>
      <c r="J565" s="25" t="str">
        <f>VLOOKUP(C565,'시스템이펙트 참고자료'!$A:$C,3,FALSE)</f>
        <v>절대값/상대값(%) 가능</v>
      </c>
      <c r="K565" s="25">
        <v>11</v>
      </c>
      <c r="M565" s="25">
        <v>3</v>
      </c>
      <c r="N565" s="25">
        <f t="shared" si="43"/>
        <v>53</v>
      </c>
      <c r="O565" s="25">
        <v>1</v>
      </c>
      <c r="P565" s="25">
        <v>1</v>
      </c>
      <c r="Q565" s="25">
        <v>1</v>
      </c>
      <c r="R565" s="25">
        <v>1</v>
      </c>
      <c r="T565" s="25">
        <v>1</v>
      </c>
      <c r="AA565" s="25">
        <f t="shared" si="46"/>
        <v>128</v>
      </c>
      <c r="AK565" s="25">
        <v>1</v>
      </c>
      <c r="AM565" s="25">
        <v>53</v>
      </c>
      <c r="AN565" s="25">
        <v>100</v>
      </c>
      <c r="AP565" s="25">
        <f t="shared" si="45"/>
        <v>2</v>
      </c>
      <c r="AQ565" s="25" t="str">
        <f>VLOOKUP(C565,'시스템이펙트 참고자료'!$A:$B,2,FALSE)</f>
        <v>ACTIVE_FOC_UP</v>
      </c>
      <c r="AS565" s="25">
        <v>1</v>
      </c>
      <c r="BD565" s="25">
        <v>1</v>
      </c>
    </row>
    <row r="566" spans="1:56" hidden="1">
      <c r="A566" s="25">
        <v>561</v>
      </c>
      <c r="B566" s="25" t="str">
        <f>VLOOKUP(C566,'시스템이펙트 참고자료'!$A:$C,2,FALSE)</f>
        <v>ACTIVE_SOL_UP</v>
      </c>
      <c r="C566" s="25">
        <v>614</v>
      </c>
      <c r="D566" s="25">
        <f>VLOOKUP(C566,'시스템이펙트 참고자료'!$A:$D,4,FALSE)</f>
        <v>0</v>
      </c>
      <c r="E566" s="25">
        <v>0</v>
      </c>
      <c r="F566" s="25">
        <v>0</v>
      </c>
      <c r="G566" s="25">
        <f t="shared" si="44"/>
        <v>2</v>
      </c>
      <c r="H566" s="25" t="s">
        <v>395</v>
      </c>
      <c r="I566" s="25">
        <v>1</v>
      </c>
      <c r="J566" s="25" t="str">
        <f>VLOOKUP(C566,'시스템이펙트 참고자료'!$A:$C,3,FALSE)</f>
        <v>절대값/상대값(%) 가능</v>
      </c>
      <c r="K566" s="25">
        <v>11</v>
      </c>
      <c r="M566" s="25">
        <v>3</v>
      </c>
      <c r="N566" s="25">
        <f t="shared" si="43"/>
        <v>53</v>
      </c>
      <c r="O566" s="25">
        <v>1</v>
      </c>
      <c r="P566" s="25">
        <v>1</v>
      </c>
      <c r="Q566" s="25">
        <v>1</v>
      </c>
      <c r="R566" s="25">
        <v>1</v>
      </c>
      <c r="T566" s="25">
        <v>1</v>
      </c>
      <c r="AA566" s="25">
        <f t="shared" si="46"/>
        <v>128</v>
      </c>
      <c r="AK566" s="25">
        <v>1</v>
      </c>
      <c r="AM566" s="25">
        <v>53</v>
      </c>
      <c r="AN566" s="25">
        <v>100</v>
      </c>
      <c r="AP566" s="25">
        <f t="shared" si="45"/>
        <v>2</v>
      </c>
      <c r="AQ566" s="25" t="str">
        <f>VLOOKUP(C566,'시스템이펙트 참고자료'!$A:$B,2,FALSE)</f>
        <v>ACTIVE_SOL_UP</v>
      </c>
      <c r="AS566" s="25">
        <v>1</v>
      </c>
      <c r="BD566" s="25">
        <v>1</v>
      </c>
    </row>
    <row r="567" spans="1:56" hidden="1">
      <c r="A567" s="25">
        <v>562</v>
      </c>
      <c r="B567" s="25" t="str">
        <f>VLOOKUP(C567,'시스템이펙트 참고자료'!$A:$C,2,FALSE)</f>
        <v>ACTIVE_ENERGY_CRITICAL_DAMAGE_UP</v>
      </c>
      <c r="C567" s="25">
        <v>659</v>
      </c>
      <c r="D567" s="25">
        <f>VLOOKUP(C567,'시스템이펙트 참고자료'!$A:$D,4,FALSE)</f>
        <v>0</v>
      </c>
      <c r="E567" s="25">
        <v>0</v>
      </c>
      <c r="F567" s="25">
        <v>0</v>
      </c>
      <c r="G567" s="25">
        <f t="shared" si="44"/>
        <v>4</v>
      </c>
      <c r="H567" s="25" t="s">
        <v>395</v>
      </c>
      <c r="I567" s="25">
        <v>1</v>
      </c>
      <c r="J567" s="25" t="str">
        <f>VLOOKUP(C567,'시스템이펙트 참고자료'!$A:$C,3,FALSE)</f>
        <v>절대값만 가능</v>
      </c>
      <c r="K567" s="25">
        <v>11</v>
      </c>
      <c r="M567" s="25">
        <v>3</v>
      </c>
      <c r="N567" s="25">
        <f t="shared" si="43"/>
        <v>32</v>
      </c>
      <c r="O567" s="25">
        <v>1</v>
      </c>
      <c r="P567" s="25">
        <v>1</v>
      </c>
      <c r="Q567" s="25">
        <v>1</v>
      </c>
      <c r="R567" s="25">
        <v>1</v>
      </c>
      <c r="T567" s="25">
        <v>1</v>
      </c>
      <c r="AA567" s="25">
        <f t="shared" si="46"/>
        <v>128</v>
      </c>
      <c r="AK567" s="25">
        <v>1</v>
      </c>
      <c r="AM567" s="25">
        <v>32</v>
      </c>
      <c r="AN567" s="25">
        <v>100</v>
      </c>
      <c r="AP567" s="25">
        <f t="shared" si="45"/>
        <v>4</v>
      </c>
      <c r="AQ567" s="25" t="str">
        <f>VLOOKUP(C567,'시스템이펙트 참고자료'!$A:$B,2,FALSE)</f>
        <v>ACTIVE_ENERGY_CRITICAL_DAMAGE_UP</v>
      </c>
      <c r="AS567" s="25">
        <v>1</v>
      </c>
      <c r="BD567" s="25">
        <v>1</v>
      </c>
    </row>
    <row r="568" spans="1:56" hidden="1">
      <c r="A568" s="25">
        <v>563</v>
      </c>
      <c r="B568" s="25" t="str">
        <f>VLOOKUP(C568,'시스템이펙트 참고자료'!$A:$C,2,FALSE)</f>
        <v>ACTIVE_ENERGY_CRITICAL</v>
      </c>
      <c r="C568" s="25">
        <v>633</v>
      </c>
      <c r="D568" s="25">
        <f>VLOOKUP(C568,'시스템이펙트 참고자료'!$A:$D,4,FALSE)</f>
        <v>0</v>
      </c>
      <c r="E568" s="25">
        <v>0</v>
      </c>
      <c r="F568" s="25">
        <v>0</v>
      </c>
      <c r="G568" s="25">
        <f t="shared" si="44"/>
        <v>5</v>
      </c>
      <c r="H568" s="25" t="s">
        <v>395</v>
      </c>
      <c r="I568" s="25">
        <v>1</v>
      </c>
      <c r="J568" s="25" t="str">
        <f>VLOOKUP(C568,'시스템이펙트 참고자료'!$A:$C,3,FALSE)</f>
        <v>절대값/상대값(%) 가능</v>
      </c>
      <c r="K568" s="25">
        <v>11</v>
      </c>
      <c r="M568" s="25">
        <v>4</v>
      </c>
      <c r="N568" s="25">
        <f t="shared" si="43"/>
        <v>24</v>
      </c>
      <c r="O568" s="25">
        <v>1</v>
      </c>
      <c r="P568" s="25">
        <v>1</v>
      </c>
      <c r="Q568" s="25">
        <v>1</v>
      </c>
      <c r="R568" s="25">
        <v>1</v>
      </c>
      <c r="T568" s="25">
        <v>1</v>
      </c>
      <c r="AA568" s="25">
        <f t="shared" si="46"/>
        <v>128</v>
      </c>
      <c r="AK568" s="25">
        <v>1</v>
      </c>
      <c r="AM568" s="25">
        <v>24</v>
      </c>
      <c r="AN568" s="25">
        <v>100</v>
      </c>
      <c r="AP568" s="25">
        <f t="shared" si="45"/>
        <v>5</v>
      </c>
      <c r="AQ568" s="25" t="str">
        <f>VLOOKUP(C568,'시스템이펙트 참고자료'!$A:$B,2,FALSE)</f>
        <v>ACTIVE_ENERGY_CRITICAL</v>
      </c>
      <c r="AS568" s="25">
        <v>1</v>
      </c>
      <c r="BD568" s="25">
        <v>1</v>
      </c>
    </row>
    <row r="569" spans="1:56" hidden="1">
      <c r="A569" s="25">
        <v>564</v>
      </c>
      <c r="B569" s="25" t="str">
        <f>VLOOKUP(C569,'시스템이펙트 참고자료'!$A:$C,2,FALSE)</f>
        <v>ACTIVE_ENERGY_CRITICAL_DAMAGE_UP</v>
      </c>
      <c r="C569" s="25">
        <v>659</v>
      </c>
      <c r="D569" s="25">
        <f>VLOOKUP(C569,'시스템이펙트 참고자료'!$A:$D,4,FALSE)</f>
        <v>0</v>
      </c>
      <c r="E569" s="25">
        <v>0</v>
      </c>
      <c r="F569" s="25">
        <v>0</v>
      </c>
      <c r="G569" s="25">
        <f t="shared" si="44"/>
        <v>4</v>
      </c>
      <c r="H569" s="25" t="s">
        <v>395</v>
      </c>
      <c r="I569" s="25">
        <v>1</v>
      </c>
      <c r="J569" s="25" t="str">
        <f>VLOOKUP(C569,'시스템이펙트 참고자료'!$A:$C,3,FALSE)</f>
        <v>절대값만 가능</v>
      </c>
      <c r="K569" s="25">
        <v>11</v>
      </c>
      <c r="M569" s="25">
        <v>4</v>
      </c>
      <c r="N569" s="25">
        <f t="shared" si="43"/>
        <v>32</v>
      </c>
      <c r="O569" s="25">
        <v>1</v>
      </c>
      <c r="P569" s="25">
        <v>1</v>
      </c>
      <c r="Q569" s="25">
        <v>1</v>
      </c>
      <c r="R569" s="25">
        <v>1</v>
      </c>
      <c r="T569" s="25">
        <v>1</v>
      </c>
      <c r="AA569" s="25">
        <f t="shared" si="46"/>
        <v>128</v>
      </c>
      <c r="AK569" s="25">
        <v>1</v>
      </c>
      <c r="AM569" s="25">
        <v>32</v>
      </c>
      <c r="AN569" s="25">
        <v>100</v>
      </c>
      <c r="AP569" s="25">
        <f t="shared" si="45"/>
        <v>4</v>
      </c>
      <c r="AQ569" s="25" t="str">
        <f>VLOOKUP(C569,'시스템이펙트 참고자료'!$A:$B,2,FALSE)</f>
        <v>ACTIVE_ENERGY_CRITICAL_DAMAGE_UP</v>
      </c>
      <c r="AS569" s="25">
        <v>1</v>
      </c>
      <c r="BD569" s="25">
        <v>1</v>
      </c>
    </row>
    <row r="570" spans="1:56" hidden="1">
      <c r="A570" s="25">
        <v>565</v>
      </c>
      <c r="B570" s="25" t="str">
        <f>VLOOKUP(C570,'시스템이펙트 참고자료'!$A:$C,2,FALSE)</f>
        <v>ACTIVE_FOC_UP</v>
      </c>
      <c r="C570" s="25">
        <v>612</v>
      </c>
      <c r="D570" s="25">
        <f>VLOOKUP(C570,'시스템이펙트 참고자료'!$A:$D,4,FALSE)</f>
        <v>0</v>
      </c>
      <c r="E570" s="25">
        <v>0</v>
      </c>
      <c r="F570" s="25">
        <v>0</v>
      </c>
      <c r="G570" s="25">
        <f t="shared" si="44"/>
        <v>2</v>
      </c>
      <c r="H570" s="25" t="s">
        <v>395</v>
      </c>
      <c r="I570" s="25">
        <v>1</v>
      </c>
      <c r="J570" s="25" t="str">
        <f>VLOOKUP(C570,'시스템이펙트 참고자료'!$A:$C,3,FALSE)</f>
        <v>절대값/상대값(%) 가능</v>
      </c>
      <c r="K570" s="25">
        <v>11</v>
      </c>
      <c r="M570" s="25">
        <v>4</v>
      </c>
      <c r="N570" s="25">
        <f t="shared" si="43"/>
        <v>53</v>
      </c>
      <c r="O570" s="25">
        <v>1</v>
      </c>
      <c r="P570" s="25">
        <v>1</v>
      </c>
      <c r="Q570" s="25">
        <v>1</v>
      </c>
      <c r="R570" s="25">
        <v>1</v>
      </c>
      <c r="T570" s="25">
        <v>1</v>
      </c>
      <c r="AA570" s="25">
        <f t="shared" si="46"/>
        <v>128</v>
      </c>
      <c r="AK570" s="25">
        <v>1</v>
      </c>
      <c r="AM570" s="25">
        <v>53</v>
      </c>
      <c r="AN570" s="25">
        <v>100</v>
      </c>
      <c r="AP570" s="25">
        <f t="shared" si="45"/>
        <v>2</v>
      </c>
      <c r="AQ570" s="25" t="str">
        <f>VLOOKUP(C570,'시스템이펙트 참고자료'!$A:$B,2,FALSE)</f>
        <v>ACTIVE_FOC_UP</v>
      </c>
      <c r="AS570" s="25">
        <v>1</v>
      </c>
      <c r="BD570" s="25">
        <v>1</v>
      </c>
    </row>
    <row r="571" spans="1:56" hidden="1">
      <c r="A571" s="25">
        <v>566</v>
      </c>
      <c r="B571" s="25" t="str">
        <f>VLOOKUP(C571,'시스템이펙트 참고자료'!$A:$C,2,FALSE)</f>
        <v>ACTIVE_DEX_UP</v>
      </c>
      <c r="C571" s="25">
        <v>613</v>
      </c>
      <c r="D571" s="25">
        <f>VLOOKUP(C571,'시스템이펙트 참고자료'!$A:$D,4,FALSE)</f>
        <v>0</v>
      </c>
      <c r="E571" s="25">
        <v>0</v>
      </c>
      <c r="F571" s="25">
        <v>0</v>
      </c>
      <c r="G571" s="25">
        <f t="shared" si="44"/>
        <v>3</v>
      </c>
      <c r="H571" s="25" t="s">
        <v>395</v>
      </c>
      <c r="I571" s="25">
        <v>1</v>
      </c>
      <c r="J571" s="25" t="str">
        <f>VLOOKUP(C571,'시스템이펙트 참고자료'!$A:$C,3,FALSE)</f>
        <v>절대값/상대값(%) 가능</v>
      </c>
      <c r="K571" s="25">
        <v>11</v>
      </c>
      <c r="M571" s="25">
        <v>4</v>
      </c>
      <c r="N571" s="25">
        <f t="shared" si="43"/>
        <v>44</v>
      </c>
      <c r="O571" s="25">
        <v>1</v>
      </c>
      <c r="P571" s="25">
        <v>1</v>
      </c>
      <c r="Q571" s="25">
        <v>1</v>
      </c>
      <c r="R571" s="25">
        <v>1</v>
      </c>
      <c r="T571" s="25">
        <v>1</v>
      </c>
      <c r="AA571" s="25">
        <f t="shared" si="46"/>
        <v>128</v>
      </c>
      <c r="AK571" s="25">
        <v>1</v>
      </c>
      <c r="AM571" s="25">
        <v>44</v>
      </c>
      <c r="AN571" s="25">
        <v>100</v>
      </c>
      <c r="AP571" s="25">
        <f t="shared" si="45"/>
        <v>3</v>
      </c>
      <c r="AQ571" s="25" t="str">
        <f>VLOOKUP(C571,'시스템이펙트 참고자료'!$A:$B,2,FALSE)</f>
        <v>ACTIVE_DEX_UP</v>
      </c>
      <c r="AS571" s="25">
        <v>1</v>
      </c>
      <c r="BD571" s="25">
        <v>1</v>
      </c>
    </row>
    <row r="572" spans="1:56" hidden="1">
      <c r="A572" s="25">
        <v>567</v>
      </c>
      <c r="B572" s="25" t="str">
        <f>VLOOKUP(C572,'시스템이펙트 참고자료'!$A:$C,2,FALSE)</f>
        <v>ACTIVE_ATTACK_SPEED_UP</v>
      </c>
      <c r="C572" s="25">
        <v>617</v>
      </c>
      <c r="D572" s="25">
        <f>VLOOKUP(C572,'시스템이펙트 참고자료'!$A:$D,4,FALSE)</f>
        <v>1</v>
      </c>
      <c r="E572" s="25">
        <v>0</v>
      </c>
      <c r="F572" s="25">
        <v>0</v>
      </c>
      <c r="G572" s="25">
        <f t="shared" si="44"/>
        <v>10</v>
      </c>
      <c r="H572" s="25" t="s">
        <v>395</v>
      </c>
      <c r="I572" s="25">
        <v>1</v>
      </c>
      <c r="J572" s="25" t="str">
        <f>VLOOKUP(C572,'시스템이펙트 참고자료'!$A:$C,3,FALSE)</f>
        <v>절대값/상대값(%) 가능</v>
      </c>
      <c r="K572" s="25">
        <v>11</v>
      </c>
      <c r="M572" s="25">
        <v>5</v>
      </c>
      <c r="N572" s="25">
        <f t="shared" si="43"/>
        <v>10</v>
      </c>
      <c r="O572" s="25">
        <v>1</v>
      </c>
      <c r="P572" s="25">
        <v>1</v>
      </c>
      <c r="Q572" s="25">
        <v>1</v>
      </c>
      <c r="R572" s="25">
        <v>1</v>
      </c>
      <c r="T572" s="25">
        <v>1</v>
      </c>
      <c r="AA572" s="25">
        <f t="shared" si="46"/>
        <v>128</v>
      </c>
      <c r="AK572" s="25">
        <v>1</v>
      </c>
      <c r="AM572" s="25">
        <v>10</v>
      </c>
      <c r="AN572" s="25">
        <v>100</v>
      </c>
      <c r="AP572" s="25">
        <f t="shared" si="45"/>
        <v>10</v>
      </c>
      <c r="AQ572" s="25" t="str">
        <f>VLOOKUP(C572,'시스템이펙트 참고자료'!$A:$B,2,FALSE)</f>
        <v>ACTIVE_ATTACK_SPEED_UP</v>
      </c>
      <c r="AS572" s="25">
        <v>1</v>
      </c>
      <c r="BD572" s="25">
        <v>1</v>
      </c>
    </row>
    <row r="573" spans="1:56" hidden="1">
      <c r="A573" s="25">
        <v>568</v>
      </c>
      <c r="B573" s="25" t="str">
        <f>VLOOKUP(C573,'시스템이펙트 참고자료'!$A:$C,2,FALSE)</f>
        <v>ACTIVE_DEX_UP</v>
      </c>
      <c r="C573" s="25">
        <v>613</v>
      </c>
      <c r="D573" s="25">
        <f>VLOOKUP(C573,'시스템이펙트 참고자료'!$A:$D,4,FALSE)</f>
        <v>0</v>
      </c>
      <c r="E573" s="25">
        <v>0</v>
      </c>
      <c r="F573" s="25">
        <v>0</v>
      </c>
      <c r="G573" s="25">
        <f t="shared" si="44"/>
        <v>3</v>
      </c>
      <c r="H573" s="25" t="s">
        <v>395</v>
      </c>
      <c r="I573" s="25">
        <v>1</v>
      </c>
      <c r="J573" s="25" t="str">
        <f>VLOOKUP(C573,'시스템이펙트 참고자료'!$A:$C,3,FALSE)</f>
        <v>절대값/상대값(%) 가능</v>
      </c>
      <c r="K573" s="25">
        <v>11</v>
      </c>
      <c r="M573" s="25">
        <v>5</v>
      </c>
      <c r="N573" s="25">
        <f t="shared" si="43"/>
        <v>44</v>
      </c>
      <c r="O573" s="25">
        <v>1</v>
      </c>
      <c r="P573" s="25">
        <v>1</v>
      </c>
      <c r="Q573" s="25">
        <v>1</v>
      </c>
      <c r="R573" s="25">
        <v>1</v>
      </c>
      <c r="T573" s="25">
        <v>1</v>
      </c>
      <c r="AA573" s="25">
        <f t="shared" si="46"/>
        <v>128</v>
      </c>
      <c r="AK573" s="25">
        <v>1</v>
      </c>
      <c r="AM573" s="25">
        <v>44</v>
      </c>
      <c r="AN573" s="25">
        <v>100</v>
      </c>
      <c r="AP573" s="25">
        <f t="shared" si="45"/>
        <v>3</v>
      </c>
      <c r="AQ573" s="25" t="str">
        <f>VLOOKUP(C573,'시스템이펙트 참고자료'!$A:$B,2,FALSE)</f>
        <v>ACTIVE_DEX_UP</v>
      </c>
      <c r="AS573" s="25">
        <v>1</v>
      </c>
      <c r="BD573" s="25">
        <v>1</v>
      </c>
    </row>
    <row r="574" spans="1:56" hidden="1">
      <c r="A574" s="25">
        <v>569</v>
      </c>
      <c r="B574" s="25" t="str">
        <f>VLOOKUP(C574,'시스템이펙트 참고자료'!$A:$C,2,FALSE)</f>
        <v>ACTIVE_FOC_UP</v>
      </c>
      <c r="C574" s="25">
        <v>612</v>
      </c>
      <c r="D574" s="25">
        <f>VLOOKUP(C574,'시스템이펙트 참고자료'!$A:$D,4,FALSE)</f>
        <v>0</v>
      </c>
      <c r="E574" s="25">
        <v>0</v>
      </c>
      <c r="F574" s="25">
        <v>0</v>
      </c>
      <c r="G574" s="25">
        <f t="shared" si="44"/>
        <v>2</v>
      </c>
      <c r="H574" s="25" t="s">
        <v>395</v>
      </c>
      <c r="I574" s="25">
        <v>1</v>
      </c>
      <c r="J574" s="25" t="str">
        <f>VLOOKUP(C574,'시스템이펙트 참고자료'!$A:$C,3,FALSE)</f>
        <v>절대값/상대값(%) 가능</v>
      </c>
      <c r="K574" s="25">
        <v>11</v>
      </c>
      <c r="M574" s="25">
        <v>5</v>
      </c>
      <c r="N574" s="25">
        <f t="shared" si="43"/>
        <v>53</v>
      </c>
      <c r="O574" s="25">
        <v>1</v>
      </c>
      <c r="P574" s="25">
        <v>1</v>
      </c>
      <c r="Q574" s="25">
        <v>1</v>
      </c>
      <c r="R574" s="25">
        <v>1</v>
      </c>
      <c r="T574" s="25">
        <v>1</v>
      </c>
      <c r="AA574" s="25">
        <f t="shared" si="46"/>
        <v>128</v>
      </c>
      <c r="AK574" s="25">
        <v>1</v>
      </c>
      <c r="AM574" s="25">
        <v>53</v>
      </c>
      <c r="AN574" s="25">
        <v>100</v>
      </c>
      <c r="AP574" s="25">
        <f t="shared" si="45"/>
        <v>2</v>
      </c>
      <c r="AQ574" s="25" t="str">
        <f>VLOOKUP(C574,'시스템이펙트 참고자료'!$A:$B,2,FALSE)</f>
        <v>ACTIVE_FOC_UP</v>
      </c>
      <c r="AS574" s="25">
        <v>1</v>
      </c>
      <c r="BD574" s="25">
        <v>1</v>
      </c>
    </row>
    <row r="575" spans="1:56" hidden="1">
      <c r="A575" s="25">
        <v>570</v>
      </c>
      <c r="B575" s="25" t="str">
        <f>VLOOKUP(C575,'시스템이펙트 참고자료'!$A:$C,2,FALSE)</f>
        <v>ACTIVE_PHYSICAL_OFFENCE_UP</v>
      </c>
      <c r="C575" s="25">
        <v>606</v>
      </c>
      <c r="D575" s="25">
        <f>VLOOKUP(C575,'시스템이펙트 참고자료'!$A:$D,4,FALSE)</f>
        <v>0</v>
      </c>
      <c r="E575" s="25">
        <v>0</v>
      </c>
      <c r="F575" s="25">
        <v>0</v>
      </c>
      <c r="G575" s="25">
        <f t="shared" si="44"/>
        <v>1</v>
      </c>
      <c r="H575" s="25" t="s">
        <v>395</v>
      </c>
      <c r="I575" s="25">
        <v>1</v>
      </c>
      <c r="J575" s="25" t="str">
        <f>VLOOKUP(C575,'시스템이펙트 참고자료'!$A:$C,3,FALSE)</f>
        <v>절대값/상대값(%) 가능</v>
      </c>
      <c r="K575" s="25">
        <v>11</v>
      </c>
      <c r="M575" s="25">
        <v>5</v>
      </c>
      <c r="N575" s="25">
        <f t="shared" si="43"/>
        <v>125</v>
      </c>
      <c r="O575" s="25">
        <v>1</v>
      </c>
      <c r="P575" s="25">
        <v>1</v>
      </c>
      <c r="Q575" s="25">
        <v>1</v>
      </c>
      <c r="R575" s="25">
        <v>1</v>
      </c>
      <c r="T575" s="25">
        <v>1</v>
      </c>
      <c r="AA575" s="25">
        <f t="shared" si="46"/>
        <v>128</v>
      </c>
      <c r="AK575" s="25">
        <v>1</v>
      </c>
      <c r="AM575" s="25">
        <v>125</v>
      </c>
      <c r="AN575" s="25">
        <v>100</v>
      </c>
      <c r="AP575" s="25">
        <f t="shared" si="45"/>
        <v>1</v>
      </c>
      <c r="AQ575" s="25" t="str">
        <f>VLOOKUP(C575,'시스템이펙트 참고자료'!$A:$B,2,FALSE)</f>
        <v>ACTIVE_PHYSICAL_OFFENCE_UP</v>
      </c>
      <c r="AS575" s="25">
        <v>1</v>
      </c>
      <c r="BD575" s="25">
        <v>1</v>
      </c>
    </row>
    <row r="576" spans="1:56" hidden="1">
      <c r="A576" s="25">
        <v>571</v>
      </c>
      <c r="B576" s="25" t="str">
        <f>VLOOKUP(C576,'시스템이펙트 참고자료'!$A:$C,2,FALSE)</f>
        <v>ACTIVE_ENERGY_OFFENCE_UP</v>
      </c>
      <c r="C576" s="25">
        <v>607</v>
      </c>
      <c r="D576" s="25">
        <f>VLOOKUP(C576,'시스템이펙트 참고자료'!$A:$D,4,FALSE)</f>
        <v>0</v>
      </c>
      <c r="E576" s="25">
        <v>0</v>
      </c>
      <c r="F576" s="25">
        <v>0</v>
      </c>
      <c r="G576" s="25">
        <f t="shared" si="44"/>
        <v>1</v>
      </c>
      <c r="H576" s="25" t="s">
        <v>395</v>
      </c>
      <c r="I576" s="25">
        <v>1</v>
      </c>
      <c r="J576" s="25" t="str">
        <f>VLOOKUP(C576,'시스템이펙트 참고자료'!$A:$C,3,FALSE)</f>
        <v>절대값/상대값(%) 가능</v>
      </c>
      <c r="K576" s="25">
        <v>11</v>
      </c>
      <c r="M576" s="25">
        <v>5</v>
      </c>
      <c r="N576" s="25">
        <f t="shared" si="43"/>
        <v>104</v>
      </c>
      <c r="O576" s="25">
        <v>1</v>
      </c>
      <c r="P576" s="25">
        <v>1</v>
      </c>
      <c r="Q576" s="25">
        <v>1</v>
      </c>
      <c r="R576" s="25">
        <v>1</v>
      </c>
      <c r="T576" s="25">
        <v>1</v>
      </c>
      <c r="AA576" s="25">
        <f t="shared" si="46"/>
        <v>128</v>
      </c>
      <c r="AK576" s="25">
        <v>1</v>
      </c>
      <c r="AM576" s="25">
        <v>104</v>
      </c>
      <c r="AN576" s="25">
        <v>100</v>
      </c>
      <c r="AP576" s="25">
        <f t="shared" si="45"/>
        <v>1</v>
      </c>
      <c r="AQ576" s="25" t="str">
        <f>VLOOKUP(C576,'시스템이펙트 참고자료'!$A:$B,2,FALSE)</f>
        <v>ACTIVE_ENERGY_OFFENCE_UP</v>
      </c>
      <c r="AS576" s="25">
        <v>1</v>
      </c>
      <c r="BD576" s="25">
        <v>1</v>
      </c>
    </row>
    <row r="577" spans="1:56" hidden="1">
      <c r="A577" s="25">
        <v>572</v>
      </c>
      <c r="B577" s="25" t="str">
        <f>VLOOKUP(C577,'시스템이펙트 참고자료'!$A:$C,2,FALSE)</f>
        <v>ACTIVE_PHYSICAL_OFFENCE_UP</v>
      </c>
      <c r="C577" s="25">
        <v>606</v>
      </c>
      <c r="D577" s="25">
        <f>VLOOKUP(C577,'시스템이펙트 참고자료'!$A:$D,4,FALSE)</f>
        <v>0</v>
      </c>
      <c r="E577" s="25">
        <v>0</v>
      </c>
      <c r="F577" s="25">
        <v>0</v>
      </c>
      <c r="G577" s="25">
        <f t="shared" si="44"/>
        <v>1</v>
      </c>
      <c r="H577" s="25" t="s">
        <v>395</v>
      </c>
      <c r="I577" s="25">
        <v>1</v>
      </c>
      <c r="J577" s="25" t="str">
        <f>VLOOKUP(C577,'시스템이펙트 참고자료'!$A:$C,3,FALSE)</f>
        <v>절대값/상대값(%) 가능</v>
      </c>
      <c r="K577" s="25">
        <v>11</v>
      </c>
      <c r="M577" s="25">
        <v>6</v>
      </c>
      <c r="N577" s="25">
        <f t="shared" si="43"/>
        <v>125</v>
      </c>
      <c r="O577" s="25">
        <v>1</v>
      </c>
      <c r="P577" s="25">
        <v>1</v>
      </c>
      <c r="Q577" s="25">
        <v>1</v>
      </c>
      <c r="R577" s="25">
        <v>1</v>
      </c>
      <c r="T577" s="25">
        <v>1</v>
      </c>
      <c r="AA577" s="25">
        <f t="shared" si="46"/>
        <v>128</v>
      </c>
      <c r="AK577" s="25">
        <v>1</v>
      </c>
      <c r="AM577" s="25">
        <v>125</v>
      </c>
      <c r="AN577" s="25">
        <v>100</v>
      </c>
      <c r="AP577" s="25">
        <f t="shared" si="45"/>
        <v>1</v>
      </c>
      <c r="AQ577" s="25" t="str">
        <f>VLOOKUP(C577,'시스템이펙트 참고자료'!$A:$B,2,FALSE)</f>
        <v>ACTIVE_PHYSICAL_OFFENCE_UP</v>
      </c>
      <c r="AS577" s="25">
        <v>1</v>
      </c>
      <c r="BD577" s="25">
        <v>1</v>
      </c>
    </row>
    <row r="578" spans="1:56" hidden="1">
      <c r="A578" s="25">
        <v>573</v>
      </c>
      <c r="B578" s="25" t="str">
        <f>VLOOKUP(C578,'시스템이펙트 참고자료'!$A:$C,2,FALSE)</f>
        <v>ACTIVE_ENERGY_OFFENCE_UP</v>
      </c>
      <c r="C578" s="25">
        <v>607</v>
      </c>
      <c r="D578" s="25">
        <f>VLOOKUP(C578,'시스템이펙트 참고자료'!$A:$D,4,FALSE)</f>
        <v>0</v>
      </c>
      <c r="E578" s="25">
        <v>0</v>
      </c>
      <c r="F578" s="25">
        <v>0</v>
      </c>
      <c r="G578" s="25">
        <f t="shared" si="44"/>
        <v>1</v>
      </c>
      <c r="H578" s="25" t="s">
        <v>395</v>
      </c>
      <c r="I578" s="25">
        <v>1</v>
      </c>
      <c r="J578" s="25" t="str">
        <f>VLOOKUP(C578,'시스템이펙트 참고자료'!$A:$C,3,FALSE)</f>
        <v>절대값/상대값(%) 가능</v>
      </c>
      <c r="K578" s="25">
        <v>11</v>
      </c>
      <c r="M578" s="25">
        <v>6</v>
      </c>
      <c r="N578" s="25">
        <f t="shared" si="43"/>
        <v>104</v>
      </c>
      <c r="O578" s="25">
        <v>1</v>
      </c>
      <c r="P578" s="25">
        <v>1</v>
      </c>
      <c r="Q578" s="25">
        <v>1</v>
      </c>
      <c r="R578" s="25">
        <v>1</v>
      </c>
      <c r="T578" s="25">
        <v>1</v>
      </c>
      <c r="AA578" s="25">
        <f t="shared" si="46"/>
        <v>128</v>
      </c>
      <c r="AK578" s="25">
        <v>1</v>
      </c>
      <c r="AM578" s="25">
        <v>104</v>
      </c>
      <c r="AN578" s="25">
        <v>100</v>
      </c>
      <c r="AP578" s="25">
        <f t="shared" si="45"/>
        <v>1</v>
      </c>
      <c r="AQ578" s="25" t="str">
        <f>VLOOKUP(C578,'시스템이펙트 참고자료'!$A:$B,2,FALSE)</f>
        <v>ACTIVE_ENERGY_OFFENCE_UP</v>
      </c>
      <c r="AS578" s="25">
        <v>1</v>
      </c>
      <c r="BD578" s="25">
        <v>1</v>
      </c>
    </row>
    <row r="579" spans="1:56" hidden="1">
      <c r="A579" s="25">
        <v>574</v>
      </c>
      <c r="B579" s="25" t="str">
        <f>VLOOKUP(C579,'시스템이펙트 참고자료'!$A:$C,2,FALSE)</f>
        <v>ACTIVE_STR_UP</v>
      </c>
      <c r="C579" s="25">
        <v>610</v>
      </c>
      <c r="D579" s="25">
        <f>VLOOKUP(C579,'시스템이펙트 참고자료'!$A:$D,4,FALSE)</f>
        <v>0</v>
      </c>
      <c r="E579" s="25">
        <v>0</v>
      </c>
      <c r="F579" s="25">
        <v>0</v>
      </c>
      <c r="G579" s="25">
        <f t="shared" si="44"/>
        <v>2</v>
      </c>
      <c r="H579" s="25" t="s">
        <v>395</v>
      </c>
      <c r="I579" s="25">
        <v>1</v>
      </c>
      <c r="J579" s="25" t="str">
        <f>VLOOKUP(C579,'시스템이펙트 참고자료'!$A:$C,3,FALSE)</f>
        <v>절대값/상대값(%) 가능</v>
      </c>
      <c r="K579" s="25">
        <v>11</v>
      </c>
      <c r="M579" s="25">
        <v>6</v>
      </c>
      <c r="N579" s="25">
        <f t="shared" si="43"/>
        <v>57</v>
      </c>
      <c r="O579" s="25">
        <v>1</v>
      </c>
      <c r="P579" s="25">
        <v>1</v>
      </c>
      <c r="Q579" s="25">
        <v>1</v>
      </c>
      <c r="R579" s="25">
        <v>1</v>
      </c>
      <c r="T579" s="25">
        <v>1</v>
      </c>
      <c r="AA579" s="25">
        <f t="shared" si="46"/>
        <v>128</v>
      </c>
      <c r="AK579" s="25">
        <v>1</v>
      </c>
      <c r="AM579" s="25">
        <v>57</v>
      </c>
      <c r="AN579" s="25">
        <v>100</v>
      </c>
      <c r="AP579" s="25">
        <f t="shared" si="45"/>
        <v>2</v>
      </c>
      <c r="AQ579" s="25" t="str">
        <f>VLOOKUP(C579,'시스템이펙트 참고자료'!$A:$B,2,FALSE)</f>
        <v>ACTIVE_STR_UP</v>
      </c>
      <c r="AS579" s="25">
        <v>1</v>
      </c>
      <c r="BD579" s="25">
        <v>1</v>
      </c>
    </row>
    <row r="580" spans="1:56" hidden="1">
      <c r="A580" s="25">
        <v>575</v>
      </c>
      <c r="B580" s="25" t="str">
        <f>VLOOKUP(C580,'시스템이펙트 참고자료'!$A:$C,2,FALSE)</f>
        <v>ACTIVE_SOL_UP</v>
      </c>
      <c r="C580" s="25">
        <v>614</v>
      </c>
      <c r="D580" s="25">
        <f>VLOOKUP(C580,'시스템이펙트 참고자료'!$A:$D,4,FALSE)</f>
        <v>0</v>
      </c>
      <c r="E580" s="25">
        <v>0</v>
      </c>
      <c r="F580" s="25">
        <v>0</v>
      </c>
      <c r="G580" s="25">
        <f t="shared" si="44"/>
        <v>2</v>
      </c>
      <c r="H580" s="25" t="s">
        <v>395</v>
      </c>
      <c r="I580" s="25">
        <v>1</v>
      </c>
      <c r="J580" s="25" t="str">
        <f>VLOOKUP(C580,'시스템이펙트 참고자료'!$A:$C,3,FALSE)</f>
        <v>절대값/상대값(%) 가능</v>
      </c>
      <c r="K580" s="25">
        <v>11</v>
      </c>
      <c r="M580" s="25">
        <v>6</v>
      </c>
      <c r="N580" s="25">
        <f t="shared" si="43"/>
        <v>53</v>
      </c>
      <c r="O580" s="25">
        <v>1</v>
      </c>
      <c r="P580" s="25">
        <v>1</v>
      </c>
      <c r="Q580" s="25">
        <v>1</v>
      </c>
      <c r="R580" s="25">
        <v>1</v>
      </c>
      <c r="T580" s="25">
        <v>1</v>
      </c>
      <c r="AA580" s="25">
        <f t="shared" si="46"/>
        <v>128</v>
      </c>
      <c r="AK580" s="25">
        <v>1</v>
      </c>
      <c r="AM580" s="25">
        <v>53</v>
      </c>
      <c r="AN580" s="25">
        <v>100</v>
      </c>
      <c r="AP580" s="25">
        <f t="shared" si="45"/>
        <v>2</v>
      </c>
      <c r="AQ580" s="25" t="str">
        <f>VLOOKUP(C580,'시스템이펙트 참고자료'!$A:$B,2,FALSE)</f>
        <v>ACTIVE_SOL_UP</v>
      </c>
      <c r="AS580" s="25">
        <v>1</v>
      </c>
      <c r="BD580" s="25">
        <v>1</v>
      </c>
    </row>
    <row r="581" spans="1:56" hidden="1">
      <c r="A581" s="25">
        <v>576</v>
      </c>
      <c r="B581" s="25" t="str">
        <f>VLOOKUP(C581,'시스템이펙트 참고자료'!$A:$C,2,FALSE)</f>
        <v>ACTIVE_PHYSICAL_CRITICAL_DAMAGE_UP</v>
      </c>
      <c r="C581" s="25">
        <v>658</v>
      </c>
      <c r="D581" s="25">
        <f>VLOOKUP(C581,'시스템이펙트 참고자료'!$A:$D,4,FALSE)</f>
        <v>0</v>
      </c>
      <c r="E581" s="25">
        <v>0</v>
      </c>
      <c r="F581" s="25">
        <v>0</v>
      </c>
      <c r="G581" s="25">
        <f t="shared" si="44"/>
        <v>4</v>
      </c>
      <c r="H581" s="25" t="s">
        <v>395</v>
      </c>
      <c r="I581" s="25">
        <v>1</v>
      </c>
      <c r="J581" s="25" t="str">
        <f>VLOOKUP(C581,'시스템이펙트 참고자료'!$A:$C,3,FALSE)</f>
        <v>절대값만 가능</v>
      </c>
      <c r="K581" s="25">
        <v>11</v>
      </c>
      <c r="M581" s="25">
        <v>6</v>
      </c>
      <c r="N581" s="25">
        <f t="shared" si="43"/>
        <v>28</v>
      </c>
      <c r="O581" s="25">
        <v>1</v>
      </c>
      <c r="P581" s="25">
        <v>1</v>
      </c>
      <c r="Q581" s="25">
        <v>1</v>
      </c>
      <c r="R581" s="25">
        <v>1</v>
      </c>
      <c r="T581" s="25">
        <v>1</v>
      </c>
      <c r="AA581" s="25">
        <f t="shared" si="46"/>
        <v>128</v>
      </c>
      <c r="AK581" s="25">
        <v>1</v>
      </c>
      <c r="AM581" s="25">
        <v>28</v>
      </c>
      <c r="AN581" s="25">
        <v>100</v>
      </c>
      <c r="AP581" s="25">
        <f t="shared" si="45"/>
        <v>4</v>
      </c>
      <c r="AQ581" s="25" t="str">
        <f>VLOOKUP(C581,'시스템이펙트 참고자료'!$A:$B,2,FALSE)</f>
        <v>ACTIVE_PHYSICAL_CRITICAL_DAMAGE_UP</v>
      </c>
      <c r="AS581" s="25">
        <v>1</v>
      </c>
      <c r="BD581" s="25">
        <v>1</v>
      </c>
    </row>
    <row r="582" spans="1:56" hidden="1">
      <c r="A582" s="25">
        <v>577</v>
      </c>
      <c r="B582" s="25" t="str">
        <f>VLOOKUP(C582,'시스템이펙트 참고자료'!$A:$C,2,FALSE)</f>
        <v>ACTIVE_ENERGY_CRITICAL_DAMAGE_UP</v>
      </c>
      <c r="C582" s="25">
        <v>659</v>
      </c>
      <c r="D582" s="25">
        <f>VLOOKUP(C582,'시스템이펙트 참고자료'!$A:$D,4,FALSE)</f>
        <v>0</v>
      </c>
      <c r="E582" s="25">
        <v>0</v>
      </c>
      <c r="F582" s="25">
        <v>0</v>
      </c>
      <c r="G582" s="25">
        <f t="shared" si="44"/>
        <v>4</v>
      </c>
      <c r="H582" s="25" t="s">
        <v>395</v>
      </c>
      <c r="I582" s="25">
        <v>1</v>
      </c>
      <c r="J582" s="25" t="str">
        <f>VLOOKUP(C582,'시스템이펙트 참고자료'!$A:$C,3,FALSE)</f>
        <v>절대값만 가능</v>
      </c>
      <c r="K582" s="25">
        <v>11</v>
      </c>
      <c r="M582" s="25">
        <v>6</v>
      </c>
      <c r="N582" s="25">
        <f t="shared" si="43"/>
        <v>32</v>
      </c>
      <c r="O582" s="25">
        <v>1</v>
      </c>
      <c r="P582" s="25">
        <v>1</v>
      </c>
      <c r="Q582" s="25">
        <v>1</v>
      </c>
      <c r="R582" s="25">
        <v>1</v>
      </c>
      <c r="T582" s="25">
        <v>1</v>
      </c>
      <c r="AA582" s="25">
        <f t="shared" si="46"/>
        <v>128</v>
      </c>
      <c r="AK582" s="25">
        <v>1</v>
      </c>
      <c r="AM582" s="25">
        <v>32</v>
      </c>
      <c r="AN582" s="25">
        <v>100</v>
      </c>
      <c r="AP582" s="25">
        <f t="shared" si="45"/>
        <v>4</v>
      </c>
      <c r="AQ582" s="25" t="str">
        <f>VLOOKUP(C582,'시스템이펙트 참고자료'!$A:$B,2,FALSE)</f>
        <v>ACTIVE_ENERGY_CRITICAL_DAMAGE_UP</v>
      </c>
      <c r="AS582" s="25">
        <v>1</v>
      </c>
      <c r="BD582" s="25">
        <v>1</v>
      </c>
    </row>
    <row r="583" spans="1:56" hidden="1">
      <c r="A583" s="25">
        <v>578</v>
      </c>
      <c r="B583" s="25" t="str">
        <f>VLOOKUP(C583,'시스템이펙트 참고자료'!$A:$C,2,FALSE)</f>
        <v>ACTIVE_FOC_UP</v>
      </c>
      <c r="C583" s="25">
        <v>612</v>
      </c>
      <c r="D583" s="25">
        <f>VLOOKUP(C583,'시스템이펙트 참고자료'!$A:$D,4,FALSE)</f>
        <v>0</v>
      </c>
      <c r="E583" s="25">
        <v>0</v>
      </c>
      <c r="F583" s="25">
        <v>0</v>
      </c>
      <c r="G583" s="25">
        <f t="shared" si="44"/>
        <v>2</v>
      </c>
      <c r="H583" s="25" t="s">
        <v>395</v>
      </c>
      <c r="I583" s="25">
        <v>1</v>
      </c>
      <c r="J583" s="25" t="str">
        <f>VLOOKUP(C583,'시스템이펙트 참고자료'!$A:$C,3,FALSE)</f>
        <v>절대값/상대값(%) 가능</v>
      </c>
      <c r="K583" s="25">
        <v>11</v>
      </c>
      <c r="M583" s="25">
        <v>7</v>
      </c>
      <c r="N583" s="25">
        <f t="shared" ref="N583:N646" si="47">IF(BD583&gt;0,INT(AM583/AK583),0)</f>
        <v>53</v>
      </c>
      <c r="O583" s="25">
        <v>1</v>
      </c>
      <c r="P583" s="25">
        <v>1</v>
      </c>
      <c r="Q583" s="25">
        <v>1</v>
      </c>
      <c r="R583" s="25">
        <v>1</v>
      </c>
      <c r="T583" s="25">
        <v>1</v>
      </c>
      <c r="AA583" s="25">
        <f t="shared" si="46"/>
        <v>128</v>
      </c>
      <c r="AK583" s="25">
        <v>1</v>
      </c>
      <c r="AM583" s="25">
        <v>53</v>
      </c>
      <c r="AN583" s="25">
        <v>100</v>
      </c>
      <c r="AP583" s="25">
        <f t="shared" si="45"/>
        <v>2</v>
      </c>
      <c r="AQ583" s="25" t="str">
        <f>VLOOKUP(C583,'시스템이펙트 참고자료'!$A:$B,2,FALSE)</f>
        <v>ACTIVE_FOC_UP</v>
      </c>
      <c r="AS583" s="25">
        <v>1</v>
      </c>
      <c r="BD583" s="25">
        <v>1</v>
      </c>
    </row>
    <row r="584" spans="1:56" hidden="1">
      <c r="A584" s="25">
        <v>579</v>
      </c>
      <c r="B584" s="25" t="str">
        <f>VLOOKUP(C584,'시스템이펙트 참고자료'!$A:$C,2,FALSE)</f>
        <v>ACTIVE_ATTACK_RATE_UP</v>
      </c>
      <c r="C584" s="25">
        <v>618</v>
      </c>
      <c r="D584" s="25">
        <f>VLOOKUP(C584,'시스템이펙트 참고자료'!$A:$D,4,FALSE)</f>
        <v>0</v>
      </c>
      <c r="E584" s="25">
        <v>0</v>
      </c>
      <c r="F584" s="25">
        <v>0</v>
      </c>
      <c r="G584" s="25">
        <f t="shared" si="44"/>
        <v>1</v>
      </c>
      <c r="H584" s="25" t="s">
        <v>395</v>
      </c>
      <c r="I584" s="25">
        <v>1</v>
      </c>
      <c r="J584" s="25" t="str">
        <f>VLOOKUP(C584,'시스템이펙트 참고자료'!$A:$C,3,FALSE)</f>
        <v>절대값/상대값(%) 가능</v>
      </c>
      <c r="K584" s="25">
        <v>11</v>
      </c>
      <c r="M584" s="25">
        <v>7</v>
      </c>
      <c r="N584" s="25">
        <f t="shared" si="47"/>
        <v>528</v>
      </c>
      <c r="O584" s="25">
        <v>1</v>
      </c>
      <c r="P584" s="25">
        <v>1</v>
      </c>
      <c r="Q584" s="25">
        <v>1</v>
      </c>
      <c r="R584" s="25">
        <v>1</v>
      </c>
      <c r="T584" s="25">
        <v>1</v>
      </c>
      <c r="AA584" s="25">
        <f t="shared" si="46"/>
        <v>128</v>
      </c>
      <c r="AK584" s="25">
        <v>1</v>
      </c>
      <c r="AM584" s="25">
        <v>528</v>
      </c>
      <c r="AN584" s="25">
        <v>100</v>
      </c>
      <c r="AP584" s="25">
        <f t="shared" si="45"/>
        <v>1</v>
      </c>
      <c r="AQ584" s="25" t="str">
        <f>VLOOKUP(C584,'시스템이펙트 참고자료'!$A:$B,2,FALSE)</f>
        <v>ACTIVE_ATTACK_RATE_UP</v>
      </c>
      <c r="AS584" s="25">
        <v>1</v>
      </c>
      <c r="BD584" s="25">
        <v>1</v>
      </c>
    </row>
    <row r="585" spans="1:56" hidden="1">
      <c r="A585" s="25">
        <v>580</v>
      </c>
      <c r="B585" s="25" t="str">
        <f>VLOOKUP(C585,'시스템이펙트 참고자료'!$A:$C,2,FALSE)</f>
        <v>ACTIVE_ENG_UP</v>
      </c>
      <c r="C585" s="25">
        <v>615</v>
      </c>
      <c r="D585" s="25">
        <f>VLOOKUP(C585,'시스템이펙트 참고자료'!$A:$D,4,FALSE)</f>
        <v>0</v>
      </c>
      <c r="E585" s="25">
        <v>0</v>
      </c>
      <c r="F585" s="25">
        <v>0</v>
      </c>
      <c r="G585" s="25">
        <f t="shared" si="44"/>
        <v>2</v>
      </c>
      <c r="H585" s="25" t="s">
        <v>395</v>
      </c>
      <c r="I585" s="25">
        <v>1</v>
      </c>
      <c r="J585" s="25" t="str">
        <f>VLOOKUP(C585,'시스템이펙트 참고자료'!$A:$C,3,FALSE)</f>
        <v>절대값/상대값(%) 가능</v>
      </c>
      <c r="K585" s="25">
        <v>11</v>
      </c>
      <c r="M585" s="25">
        <v>7</v>
      </c>
      <c r="N585" s="25">
        <f t="shared" si="47"/>
        <v>62</v>
      </c>
      <c r="O585" s="25">
        <v>1</v>
      </c>
      <c r="P585" s="25">
        <v>1</v>
      </c>
      <c r="Q585" s="25">
        <v>1</v>
      </c>
      <c r="R585" s="25">
        <v>1</v>
      </c>
      <c r="T585" s="25">
        <v>1</v>
      </c>
      <c r="AA585" s="25">
        <f t="shared" si="46"/>
        <v>128</v>
      </c>
      <c r="AK585" s="25">
        <v>1</v>
      </c>
      <c r="AM585" s="25">
        <v>62</v>
      </c>
      <c r="AN585" s="25">
        <v>100</v>
      </c>
      <c r="AP585" s="25">
        <f t="shared" si="45"/>
        <v>2</v>
      </c>
      <c r="AQ585" s="25" t="str">
        <f>VLOOKUP(C585,'시스템이펙트 참고자료'!$A:$B,2,FALSE)</f>
        <v>ACTIVE_ENG_UP</v>
      </c>
      <c r="AS585" s="25">
        <v>1</v>
      </c>
      <c r="BD585" s="25">
        <v>1</v>
      </c>
    </row>
    <row r="586" spans="1:56" hidden="1">
      <c r="A586" s="25">
        <v>581</v>
      </c>
      <c r="B586" s="25" t="str">
        <f>VLOOKUP(C586,'시스템이펙트 참고자료'!$A:$C,2,FALSE)</f>
        <v>ACTIVE_PHYSICAL_CRITICAL</v>
      </c>
      <c r="C586" s="25">
        <v>632</v>
      </c>
      <c r="D586" s="25">
        <f>VLOOKUP(C586,'시스템이펙트 참고자료'!$A:$D,4,FALSE)</f>
        <v>0</v>
      </c>
      <c r="E586" s="25">
        <v>0</v>
      </c>
      <c r="F586" s="25">
        <v>0</v>
      </c>
      <c r="G586" s="25">
        <f t="shared" si="44"/>
        <v>5</v>
      </c>
      <c r="H586" s="25" t="s">
        <v>395</v>
      </c>
      <c r="I586" s="25">
        <v>1</v>
      </c>
      <c r="J586" s="25" t="str">
        <f>VLOOKUP(C586,'시스템이펙트 참고자료'!$A:$C,3,FALSE)</f>
        <v>절대값/상대값(%) 가능</v>
      </c>
      <c r="K586" s="25">
        <v>11</v>
      </c>
      <c r="M586" s="25">
        <v>7</v>
      </c>
      <c r="N586" s="25">
        <f t="shared" si="47"/>
        <v>21</v>
      </c>
      <c r="O586" s="25">
        <v>1</v>
      </c>
      <c r="P586" s="25">
        <v>1</v>
      </c>
      <c r="Q586" s="25">
        <v>1</v>
      </c>
      <c r="R586" s="25">
        <v>1</v>
      </c>
      <c r="T586" s="25">
        <v>1</v>
      </c>
      <c r="AA586" s="25">
        <f t="shared" si="46"/>
        <v>128</v>
      </c>
      <c r="AK586" s="25">
        <v>1</v>
      </c>
      <c r="AM586" s="25">
        <v>21</v>
      </c>
      <c r="AN586" s="25">
        <v>100</v>
      </c>
      <c r="AP586" s="25">
        <f t="shared" si="45"/>
        <v>5</v>
      </c>
      <c r="AQ586" s="25" t="str">
        <f>VLOOKUP(C586,'시스템이펙트 참고자료'!$A:$B,2,FALSE)</f>
        <v>ACTIVE_PHYSICAL_CRITICAL</v>
      </c>
      <c r="AS586" s="25">
        <v>1</v>
      </c>
      <c r="BD586" s="25">
        <v>1</v>
      </c>
    </row>
    <row r="587" spans="1:56" hidden="1">
      <c r="A587" s="25">
        <v>582</v>
      </c>
      <c r="B587" s="25" t="str">
        <f>VLOOKUP(C587,'시스템이펙트 참고자료'!$A:$C,2,FALSE)</f>
        <v>ACTIVE_ENERGY_CRITICAL</v>
      </c>
      <c r="C587" s="25">
        <v>633</v>
      </c>
      <c r="D587" s="25">
        <f>VLOOKUP(C587,'시스템이펙트 참고자료'!$A:$D,4,FALSE)</f>
        <v>0</v>
      </c>
      <c r="E587" s="25">
        <v>0</v>
      </c>
      <c r="F587" s="25">
        <v>0</v>
      </c>
      <c r="G587" s="25">
        <f t="shared" si="44"/>
        <v>5</v>
      </c>
      <c r="H587" s="25" t="s">
        <v>395</v>
      </c>
      <c r="I587" s="25">
        <v>1</v>
      </c>
      <c r="J587" s="25" t="str">
        <f>VLOOKUP(C587,'시스템이펙트 참고자료'!$A:$C,3,FALSE)</f>
        <v>절대값/상대값(%) 가능</v>
      </c>
      <c r="K587" s="25">
        <v>11</v>
      </c>
      <c r="M587" s="25">
        <v>7</v>
      </c>
      <c r="N587" s="25">
        <f t="shared" si="47"/>
        <v>24</v>
      </c>
      <c r="O587" s="25">
        <v>1</v>
      </c>
      <c r="P587" s="25">
        <v>1</v>
      </c>
      <c r="Q587" s="25">
        <v>1</v>
      </c>
      <c r="R587" s="25">
        <v>1</v>
      </c>
      <c r="T587" s="25">
        <v>1</v>
      </c>
      <c r="AA587" s="25">
        <f t="shared" si="46"/>
        <v>128</v>
      </c>
      <c r="AK587" s="25">
        <v>1</v>
      </c>
      <c r="AM587" s="25">
        <v>24</v>
      </c>
      <c r="AN587" s="25">
        <v>100</v>
      </c>
      <c r="AP587" s="25">
        <f t="shared" si="45"/>
        <v>5</v>
      </c>
      <c r="AQ587" s="25" t="str">
        <f>VLOOKUP(C587,'시스템이펙트 참고자료'!$A:$B,2,FALSE)</f>
        <v>ACTIVE_ENERGY_CRITICAL</v>
      </c>
      <c r="AS587" s="25">
        <v>1</v>
      </c>
      <c r="BD587" s="25">
        <v>1</v>
      </c>
    </row>
    <row r="588" spans="1:56" hidden="1">
      <c r="A588" s="25">
        <v>583</v>
      </c>
      <c r="B588" s="25" t="str">
        <f>VLOOKUP(C588,'시스템이펙트 참고자료'!$A:$C,2,FALSE)</f>
        <v>ACTIVE_FOC_UP</v>
      </c>
      <c r="C588" s="25">
        <v>612</v>
      </c>
      <c r="D588" s="25">
        <f>VLOOKUP(C588,'시스템이펙트 참고자료'!$A:$D,4,FALSE)</f>
        <v>0</v>
      </c>
      <c r="E588" s="25">
        <v>0</v>
      </c>
      <c r="F588" s="25">
        <v>0</v>
      </c>
      <c r="G588" s="25">
        <f t="shared" si="44"/>
        <v>2</v>
      </c>
      <c r="H588" s="25" t="s">
        <v>395</v>
      </c>
      <c r="I588" s="25">
        <v>1</v>
      </c>
      <c r="J588" s="25" t="str">
        <f>VLOOKUP(C588,'시스템이펙트 참고자료'!$A:$C,3,FALSE)</f>
        <v>절대값/상대값(%) 가능</v>
      </c>
      <c r="K588" s="25">
        <v>11</v>
      </c>
      <c r="M588" s="25">
        <v>8</v>
      </c>
      <c r="N588" s="25">
        <f t="shared" si="47"/>
        <v>53</v>
      </c>
      <c r="O588" s="25">
        <v>1</v>
      </c>
      <c r="P588" s="25">
        <v>1</v>
      </c>
      <c r="Q588" s="25">
        <v>1</v>
      </c>
      <c r="R588" s="25">
        <v>1</v>
      </c>
      <c r="T588" s="25">
        <v>1</v>
      </c>
      <c r="AA588" s="25">
        <f t="shared" si="46"/>
        <v>128</v>
      </c>
      <c r="AK588" s="25">
        <v>1</v>
      </c>
      <c r="AM588" s="25">
        <v>53</v>
      </c>
      <c r="AN588" s="25">
        <v>100</v>
      </c>
      <c r="AP588" s="25">
        <f t="shared" si="45"/>
        <v>2</v>
      </c>
      <c r="AQ588" s="25" t="str">
        <f>VLOOKUP(C588,'시스템이펙트 참고자료'!$A:$B,2,FALSE)</f>
        <v>ACTIVE_FOC_UP</v>
      </c>
      <c r="AS588" s="25">
        <v>1</v>
      </c>
      <c r="BD588" s="25">
        <v>1</v>
      </c>
    </row>
    <row r="589" spans="1:56" hidden="1">
      <c r="A589" s="25">
        <v>584</v>
      </c>
      <c r="B589" s="25" t="str">
        <f>VLOOKUP(C589,'시스템이펙트 참고자료'!$A:$C,2,FALSE)</f>
        <v>ACTIVE_CON_UP</v>
      </c>
      <c r="C589" s="25">
        <v>611</v>
      </c>
      <c r="D589" s="25">
        <f>VLOOKUP(C589,'시스템이펙트 참고자료'!$A:$D,4,FALSE)</f>
        <v>0</v>
      </c>
      <c r="E589" s="25">
        <v>0</v>
      </c>
      <c r="F589" s="25">
        <v>0</v>
      </c>
      <c r="G589" s="25">
        <f t="shared" si="44"/>
        <v>3</v>
      </c>
      <c r="H589" s="25" t="s">
        <v>395</v>
      </c>
      <c r="I589" s="25">
        <v>1</v>
      </c>
      <c r="J589" s="25" t="str">
        <f>VLOOKUP(C589,'시스템이펙트 참고자료'!$A:$C,3,FALSE)</f>
        <v>절대값/상대값(%) 가능</v>
      </c>
      <c r="K589" s="25">
        <v>11</v>
      </c>
      <c r="M589" s="25">
        <v>8</v>
      </c>
      <c r="N589" s="25">
        <f t="shared" si="47"/>
        <v>48</v>
      </c>
      <c r="O589" s="25">
        <v>1</v>
      </c>
      <c r="P589" s="25">
        <v>1</v>
      </c>
      <c r="Q589" s="25">
        <v>1</v>
      </c>
      <c r="R589" s="25">
        <v>1</v>
      </c>
      <c r="T589" s="25">
        <v>1</v>
      </c>
      <c r="AA589" s="25">
        <f t="shared" si="46"/>
        <v>128</v>
      </c>
      <c r="AK589" s="25">
        <v>1</v>
      </c>
      <c r="AM589" s="25">
        <v>48</v>
      </c>
      <c r="AN589" s="25">
        <v>100</v>
      </c>
      <c r="AP589" s="25">
        <f t="shared" si="45"/>
        <v>3</v>
      </c>
      <c r="AQ589" s="25" t="str">
        <f>VLOOKUP(C589,'시스템이펙트 참고자료'!$A:$B,2,FALSE)</f>
        <v>ACTIVE_CON_UP</v>
      </c>
      <c r="AS589" s="25">
        <v>1</v>
      </c>
      <c r="BD589" s="25">
        <v>1</v>
      </c>
    </row>
    <row r="590" spans="1:56" hidden="1">
      <c r="A590" s="25">
        <v>585</v>
      </c>
      <c r="B590" s="25" t="str">
        <f>VLOOKUP(C590,'시스템이펙트 참고자료'!$A:$C,2,FALSE)</f>
        <v>ACTIVE_BLOCK_RATE_UP</v>
      </c>
      <c r="C590" s="25">
        <v>620</v>
      </c>
      <c r="D590" s="25">
        <f>VLOOKUP(C590,'시스템이펙트 참고자료'!$A:$D,4,FALSE)</f>
        <v>0</v>
      </c>
      <c r="E590" s="25">
        <v>0</v>
      </c>
      <c r="F590" s="25">
        <v>0</v>
      </c>
      <c r="G590" s="25">
        <f t="shared" si="44"/>
        <v>1</v>
      </c>
      <c r="H590" s="25" t="s">
        <v>395</v>
      </c>
      <c r="I590" s="25">
        <v>1</v>
      </c>
      <c r="J590" s="25" t="str">
        <f>VLOOKUP(C590,'시스템이펙트 참고자료'!$A:$C,3,FALSE)</f>
        <v>절대값/상대값(%) 가능</v>
      </c>
      <c r="K590" s="25">
        <v>11</v>
      </c>
      <c r="M590" s="25">
        <v>8</v>
      </c>
      <c r="N590" s="25">
        <f t="shared" si="47"/>
        <v>352</v>
      </c>
      <c r="O590" s="25">
        <v>1</v>
      </c>
      <c r="P590" s="25">
        <v>1</v>
      </c>
      <c r="Q590" s="25">
        <v>1</v>
      </c>
      <c r="R590" s="25">
        <v>1</v>
      </c>
      <c r="T590" s="25">
        <v>1</v>
      </c>
      <c r="AA590" s="25">
        <f t="shared" si="46"/>
        <v>128</v>
      </c>
      <c r="AK590" s="25">
        <v>1</v>
      </c>
      <c r="AM590" s="25">
        <v>352</v>
      </c>
      <c r="AN590" s="25">
        <v>100</v>
      </c>
      <c r="AP590" s="25">
        <f t="shared" si="45"/>
        <v>1</v>
      </c>
      <c r="AQ590" s="25" t="str">
        <f>VLOOKUP(C590,'시스템이펙트 참고자료'!$A:$B,2,FALSE)</f>
        <v>ACTIVE_BLOCK_RATE_UP</v>
      </c>
      <c r="AS590" s="25">
        <v>1</v>
      </c>
      <c r="BD590" s="25">
        <v>1</v>
      </c>
    </row>
    <row r="591" spans="1:56" hidden="1">
      <c r="A591" s="25">
        <v>586</v>
      </c>
      <c r="B591" s="25" t="str">
        <f>VLOOKUP(C591,'시스템이펙트 참고자료'!$A:$C,2,FALSE)</f>
        <v>ACTIVE_ENG_UP</v>
      </c>
      <c r="C591" s="25">
        <v>615</v>
      </c>
      <c r="D591" s="25">
        <f>VLOOKUP(C591,'시스템이펙트 참고자료'!$A:$D,4,FALSE)</f>
        <v>0</v>
      </c>
      <c r="E591" s="25">
        <v>0</v>
      </c>
      <c r="F591" s="25">
        <v>0</v>
      </c>
      <c r="G591" s="25">
        <f t="shared" si="44"/>
        <v>2</v>
      </c>
      <c r="H591" s="25" t="s">
        <v>395</v>
      </c>
      <c r="I591" s="25">
        <v>1</v>
      </c>
      <c r="J591" s="25" t="str">
        <f>VLOOKUP(C591,'시스템이펙트 참고자료'!$A:$C,3,FALSE)</f>
        <v>절대값/상대값(%) 가능</v>
      </c>
      <c r="K591" s="25">
        <v>11</v>
      </c>
      <c r="M591" s="25">
        <v>8</v>
      </c>
      <c r="N591" s="25">
        <f t="shared" si="47"/>
        <v>62</v>
      </c>
      <c r="O591" s="25">
        <v>1</v>
      </c>
      <c r="P591" s="25">
        <v>1</v>
      </c>
      <c r="Q591" s="25">
        <v>1</v>
      </c>
      <c r="R591" s="25">
        <v>1</v>
      </c>
      <c r="T591" s="25">
        <v>1</v>
      </c>
      <c r="AA591" s="25">
        <f t="shared" si="46"/>
        <v>128</v>
      </c>
      <c r="AK591" s="25">
        <v>1</v>
      </c>
      <c r="AM591" s="25">
        <v>62</v>
      </c>
      <c r="AN591" s="25">
        <v>100</v>
      </c>
      <c r="AP591" s="25">
        <f t="shared" si="45"/>
        <v>2</v>
      </c>
      <c r="AQ591" s="25" t="str">
        <f>VLOOKUP(C591,'시스템이펙트 참고자료'!$A:$B,2,FALSE)</f>
        <v>ACTIVE_ENG_UP</v>
      </c>
      <c r="AS591" s="25">
        <v>1</v>
      </c>
      <c r="BD591" s="25">
        <v>1</v>
      </c>
    </row>
    <row r="592" spans="1:56" hidden="1">
      <c r="A592" s="25">
        <v>587</v>
      </c>
      <c r="B592" s="25" t="str">
        <f>VLOOKUP(C592,'시스템이펙트 참고자료'!$A:$C,2,FALSE)</f>
        <v>ACTIVE_PHYSICAL_CRITICAL</v>
      </c>
      <c r="C592" s="25">
        <v>632</v>
      </c>
      <c r="D592" s="25">
        <f>VLOOKUP(C592,'시스템이펙트 참고자료'!$A:$D,4,FALSE)</f>
        <v>0</v>
      </c>
      <c r="E592" s="25">
        <v>0</v>
      </c>
      <c r="F592" s="25">
        <v>0</v>
      </c>
      <c r="G592" s="25">
        <f t="shared" si="44"/>
        <v>5</v>
      </c>
      <c r="H592" s="25" t="s">
        <v>395</v>
      </c>
      <c r="I592" s="25">
        <v>1</v>
      </c>
      <c r="J592" s="25" t="str">
        <f>VLOOKUP(C592,'시스템이펙트 참고자료'!$A:$C,3,FALSE)</f>
        <v>절대값/상대값(%) 가능</v>
      </c>
      <c r="K592" s="25">
        <v>11</v>
      </c>
      <c r="M592" s="25">
        <v>9</v>
      </c>
      <c r="N592" s="25">
        <f t="shared" si="47"/>
        <v>21</v>
      </c>
      <c r="O592" s="25">
        <v>1</v>
      </c>
      <c r="P592" s="25">
        <v>1</v>
      </c>
      <c r="Q592" s="25">
        <v>1</v>
      </c>
      <c r="R592" s="25">
        <v>1</v>
      </c>
      <c r="T592" s="25">
        <v>1</v>
      </c>
      <c r="AA592" s="25">
        <f t="shared" si="46"/>
        <v>128</v>
      </c>
      <c r="AK592" s="25">
        <v>1</v>
      </c>
      <c r="AM592" s="25">
        <v>21</v>
      </c>
      <c r="AN592" s="25">
        <v>100</v>
      </c>
      <c r="AP592" s="25">
        <f t="shared" si="45"/>
        <v>5</v>
      </c>
      <c r="AQ592" s="25" t="str">
        <f>VLOOKUP(C592,'시스템이펙트 참고자료'!$A:$B,2,FALSE)</f>
        <v>ACTIVE_PHYSICAL_CRITICAL</v>
      </c>
      <c r="AS592" s="25">
        <v>1</v>
      </c>
      <c r="BD592" s="25">
        <v>1</v>
      </c>
    </row>
    <row r="593" spans="1:56" hidden="1">
      <c r="A593" s="25">
        <v>588</v>
      </c>
      <c r="B593" s="25" t="str">
        <f>VLOOKUP(C593,'시스템이펙트 참고자료'!$A:$C,2,FALSE)</f>
        <v>ACTIVE_ENERGY_CRITICAL</v>
      </c>
      <c r="C593" s="25">
        <v>633</v>
      </c>
      <c r="D593" s="25">
        <f>VLOOKUP(C593,'시스템이펙트 참고자료'!$A:$D,4,FALSE)</f>
        <v>0</v>
      </c>
      <c r="E593" s="25">
        <v>0</v>
      </c>
      <c r="F593" s="25">
        <v>0</v>
      </c>
      <c r="G593" s="25">
        <f t="shared" si="44"/>
        <v>5</v>
      </c>
      <c r="H593" s="25" t="s">
        <v>395</v>
      </c>
      <c r="I593" s="25">
        <v>1</v>
      </c>
      <c r="J593" s="25" t="str">
        <f>VLOOKUP(C593,'시스템이펙트 참고자료'!$A:$C,3,FALSE)</f>
        <v>절대값/상대값(%) 가능</v>
      </c>
      <c r="K593" s="25">
        <v>11</v>
      </c>
      <c r="M593" s="25">
        <v>9</v>
      </c>
      <c r="N593" s="25">
        <f t="shared" si="47"/>
        <v>24</v>
      </c>
      <c r="O593" s="25">
        <v>1</v>
      </c>
      <c r="P593" s="25">
        <v>1</v>
      </c>
      <c r="Q593" s="25">
        <v>1</v>
      </c>
      <c r="R593" s="25">
        <v>1</v>
      </c>
      <c r="T593" s="25">
        <v>1</v>
      </c>
      <c r="AA593" s="25">
        <f t="shared" si="46"/>
        <v>128</v>
      </c>
      <c r="AK593" s="25">
        <v>1</v>
      </c>
      <c r="AM593" s="25">
        <v>24</v>
      </c>
      <c r="AN593" s="25">
        <v>100</v>
      </c>
      <c r="AP593" s="25">
        <f t="shared" si="45"/>
        <v>5</v>
      </c>
      <c r="AQ593" s="25" t="str">
        <f>VLOOKUP(C593,'시스템이펙트 참고자료'!$A:$B,2,FALSE)</f>
        <v>ACTIVE_ENERGY_CRITICAL</v>
      </c>
      <c r="AS593" s="25">
        <v>1</v>
      </c>
      <c r="BD593" s="25">
        <v>1</v>
      </c>
    </row>
    <row r="594" spans="1:56" hidden="1">
      <c r="A594" s="25">
        <v>589</v>
      </c>
      <c r="B594" s="25" t="str">
        <f>VLOOKUP(C594,'시스템이펙트 참고자료'!$A:$C,2,FALSE)</f>
        <v>ACTIVE_DEX_UP</v>
      </c>
      <c r="C594" s="25">
        <v>613</v>
      </c>
      <c r="D594" s="25">
        <f>VLOOKUP(C594,'시스템이펙트 참고자료'!$A:$D,4,FALSE)</f>
        <v>0</v>
      </c>
      <c r="E594" s="25">
        <v>0</v>
      </c>
      <c r="F594" s="25">
        <v>0</v>
      </c>
      <c r="G594" s="25">
        <f t="shared" ref="G594:G657" si="48">IF(N594&gt;0,INT(100/N594+0.99),0)</f>
        <v>3</v>
      </c>
      <c r="H594" s="25" t="s">
        <v>395</v>
      </c>
      <c r="I594" s="25">
        <v>1</v>
      </c>
      <c r="J594" s="25" t="str">
        <f>VLOOKUP(C594,'시스템이펙트 참고자료'!$A:$C,3,FALSE)</f>
        <v>절대값/상대값(%) 가능</v>
      </c>
      <c r="K594" s="25">
        <v>11</v>
      </c>
      <c r="M594" s="25">
        <v>9</v>
      </c>
      <c r="N594" s="25">
        <f t="shared" si="47"/>
        <v>44</v>
      </c>
      <c r="O594" s="25">
        <v>1</v>
      </c>
      <c r="P594" s="25">
        <v>1</v>
      </c>
      <c r="Q594" s="25">
        <v>1</v>
      </c>
      <c r="R594" s="25">
        <v>1</v>
      </c>
      <c r="T594" s="25">
        <v>1</v>
      </c>
      <c r="AA594" s="25">
        <f t="shared" si="46"/>
        <v>128</v>
      </c>
      <c r="AK594" s="25">
        <v>1</v>
      </c>
      <c r="AM594" s="25">
        <v>44</v>
      </c>
      <c r="AN594" s="25">
        <v>100</v>
      </c>
      <c r="AP594" s="25">
        <f t="shared" ref="AP594:AP657" si="49">INT(100/N594+0.99)</f>
        <v>3</v>
      </c>
      <c r="AQ594" s="25" t="str">
        <f>VLOOKUP(C594,'시스템이펙트 참고자료'!$A:$B,2,FALSE)</f>
        <v>ACTIVE_DEX_UP</v>
      </c>
      <c r="AS594" s="25">
        <v>1</v>
      </c>
      <c r="BD594" s="25">
        <v>1</v>
      </c>
    </row>
    <row r="595" spans="1:56" hidden="1">
      <c r="A595" s="25">
        <v>590</v>
      </c>
      <c r="B595" s="25" t="str">
        <f>VLOOKUP(C595,'시스템이펙트 참고자료'!$A:$C,2,FALSE)</f>
        <v>ACTIVE_FOC_UP</v>
      </c>
      <c r="C595" s="25">
        <v>612</v>
      </c>
      <c r="D595" s="25">
        <f>VLOOKUP(C595,'시스템이펙트 참고자료'!$A:$D,4,FALSE)</f>
        <v>0</v>
      </c>
      <c r="E595" s="25">
        <v>0</v>
      </c>
      <c r="F595" s="25">
        <v>0</v>
      </c>
      <c r="G595" s="25">
        <f t="shared" si="48"/>
        <v>2</v>
      </c>
      <c r="H595" s="25" t="s">
        <v>395</v>
      </c>
      <c r="I595" s="25">
        <v>1</v>
      </c>
      <c r="J595" s="25" t="str">
        <f>VLOOKUP(C595,'시스템이펙트 참고자료'!$A:$C,3,FALSE)</f>
        <v>절대값/상대값(%) 가능</v>
      </c>
      <c r="K595" s="25">
        <v>11</v>
      </c>
      <c r="M595" s="25">
        <v>9</v>
      </c>
      <c r="N595" s="25">
        <f t="shared" si="47"/>
        <v>53</v>
      </c>
      <c r="O595" s="25">
        <v>1</v>
      </c>
      <c r="P595" s="25">
        <v>1</v>
      </c>
      <c r="Q595" s="25">
        <v>1</v>
      </c>
      <c r="R595" s="25">
        <v>1</v>
      </c>
      <c r="T595" s="25">
        <v>1</v>
      </c>
      <c r="AA595" s="25">
        <f t="shared" ref="AA595:AA658" si="50">2^AA$1</f>
        <v>128</v>
      </c>
      <c r="AK595" s="25">
        <v>1</v>
      </c>
      <c r="AM595" s="25">
        <v>53</v>
      </c>
      <c r="AN595" s="25">
        <v>100</v>
      </c>
      <c r="AP595" s="25">
        <f t="shared" si="49"/>
        <v>2</v>
      </c>
      <c r="AQ595" s="25" t="str">
        <f>VLOOKUP(C595,'시스템이펙트 참고자료'!$A:$B,2,FALSE)</f>
        <v>ACTIVE_FOC_UP</v>
      </c>
      <c r="AS595" s="25">
        <v>1</v>
      </c>
      <c r="BD595" s="25">
        <v>1</v>
      </c>
    </row>
    <row r="596" spans="1:56" hidden="1">
      <c r="A596" s="25">
        <v>591</v>
      </c>
      <c r="B596" s="25" t="str">
        <f>VLOOKUP(C596,'시스템이펙트 참고자료'!$A:$C,2,FALSE)</f>
        <v>ACTIVE_PHYSICAL_CRITICAL_DAMAGE_UP</v>
      </c>
      <c r="C596" s="25">
        <v>658</v>
      </c>
      <c r="D596" s="25">
        <f>VLOOKUP(C596,'시스템이펙트 참고자료'!$A:$D,4,FALSE)</f>
        <v>0</v>
      </c>
      <c r="E596" s="25">
        <v>0</v>
      </c>
      <c r="F596" s="25">
        <v>0</v>
      </c>
      <c r="G596" s="25">
        <f t="shared" si="48"/>
        <v>4</v>
      </c>
      <c r="H596" s="25" t="s">
        <v>395</v>
      </c>
      <c r="I596" s="25">
        <v>1</v>
      </c>
      <c r="J596" s="25" t="str">
        <f>VLOOKUP(C596,'시스템이펙트 참고자료'!$A:$C,3,FALSE)</f>
        <v>절대값만 가능</v>
      </c>
      <c r="K596" s="25">
        <v>11</v>
      </c>
      <c r="M596" s="25">
        <v>10</v>
      </c>
      <c r="N596" s="25">
        <f t="shared" si="47"/>
        <v>28</v>
      </c>
      <c r="O596" s="25">
        <v>1</v>
      </c>
      <c r="P596" s="25">
        <v>1</v>
      </c>
      <c r="Q596" s="25">
        <v>1</v>
      </c>
      <c r="R596" s="25">
        <v>1</v>
      </c>
      <c r="T596" s="25">
        <v>1</v>
      </c>
      <c r="AA596" s="25">
        <f t="shared" si="50"/>
        <v>128</v>
      </c>
      <c r="AK596" s="25">
        <v>1</v>
      </c>
      <c r="AM596" s="25">
        <v>28</v>
      </c>
      <c r="AN596" s="25">
        <v>100</v>
      </c>
      <c r="AP596" s="25">
        <f t="shared" si="49"/>
        <v>4</v>
      </c>
      <c r="AQ596" s="25" t="str">
        <f>VLOOKUP(C596,'시스템이펙트 참고자료'!$A:$B,2,FALSE)</f>
        <v>ACTIVE_PHYSICAL_CRITICAL_DAMAGE_UP</v>
      </c>
      <c r="AS596" s="25">
        <v>1</v>
      </c>
      <c r="BD596" s="25">
        <v>1</v>
      </c>
    </row>
    <row r="597" spans="1:56" hidden="1">
      <c r="A597" s="25">
        <v>592</v>
      </c>
      <c r="B597" s="25" t="str">
        <f>VLOOKUP(C597,'시스템이펙트 참고자료'!$A:$C,2,FALSE)</f>
        <v>ACTIVE_ENERGY_CRITICAL_DAMAGE_UP</v>
      </c>
      <c r="C597" s="25">
        <v>659</v>
      </c>
      <c r="D597" s="25">
        <f>VLOOKUP(C597,'시스템이펙트 참고자료'!$A:$D,4,FALSE)</f>
        <v>0</v>
      </c>
      <c r="E597" s="25">
        <v>0</v>
      </c>
      <c r="F597" s="25">
        <v>0</v>
      </c>
      <c r="G597" s="25">
        <f t="shared" si="48"/>
        <v>4</v>
      </c>
      <c r="H597" s="25" t="s">
        <v>395</v>
      </c>
      <c r="I597" s="25">
        <v>1</v>
      </c>
      <c r="J597" s="25" t="str">
        <f>VLOOKUP(C597,'시스템이펙트 참고자료'!$A:$C,3,FALSE)</f>
        <v>절대값만 가능</v>
      </c>
      <c r="K597" s="25">
        <v>11</v>
      </c>
      <c r="M597" s="25">
        <v>10</v>
      </c>
      <c r="N597" s="25">
        <f t="shared" si="47"/>
        <v>32</v>
      </c>
      <c r="O597" s="25">
        <v>1</v>
      </c>
      <c r="P597" s="25">
        <v>1</v>
      </c>
      <c r="Q597" s="25">
        <v>1</v>
      </c>
      <c r="R597" s="25">
        <v>1</v>
      </c>
      <c r="T597" s="25">
        <v>1</v>
      </c>
      <c r="AA597" s="25">
        <f t="shared" si="50"/>
        <v>128</v>
      </c>
      <c r="AK597" s="25">
        <v>1</v>
      </c>
      <c r="AM597" s="25">
        <v>32</v>
      </c>
      <c r="AN597" s="25">
        <v>100</v>
      </c>
      <c r="AP597" s="25">
        <f t="shared" si="49"/>
        <v>4</v>
      </c>
      <c r="AQ597" s="25" t="str">
        <f>VLOOKUP(C597,'시스템이펙트 참고자료'!$A:$B,2,FALSE)</f>
        <v>ACTIVE_ENERGY_CRITICAL_DAMAGE_UP</v>
      </c>
      <c r="AS597" s="25">
        <v>1</v>
      </c>
      <c r="BD597" s="25">
        <v>1</v>
      </c>
    </row>
    <row r="598" spans="1:56" hidden="1">
      <c r="A598" s="25">
        <v>593</v>
      </c>
      <c r="B598" s="25" t="str">
        <f>VLOOKUP(C598,'시스템이펙트 참고자료'!$A:$C,2,FALSE)</f>
        <v>ACTIVE_DEX_UP</v>
      </c>
      <c r="C598" s="25">
        <v>613</v>
      </c>
      <c r="D598" s="25">
        <f>VLOOKUP(C598,'시스템이펙트 참고자료'!$A:$D,4,FALSE)</f>
        <v>0</v>
      </c>
      <c r="E598" s="25">
        <v>0</v>
      </c>
      <c r="F598" s="25">
        <v>0</v>
      </c>
      <c r="G598" s="25">
        <f t="shared" si="48"/>
        <v>3</v>
      </c>
      <c r="H598" s="25" t="s">
        <v>395</v>
      </c>
      <c r="I598" s="25">
        <v>1</v>
      </c>
      <c r="J598" s="25" t="str">
        <f>VLOOKUP(C598,'시스템이펙트 참고자료'!$A:$C,3,FALSE)</f>
        <v>절대값/상대값(%) 가능</v>
      </c>
      <c r="K598" s="25">
        <v>11</v>
      </c>
      <c r="M598" s="25">
        <v>10</v>
      </c>
      <c r="N598" s="25">
        <f t="shared" si="47"/>
        <v>44</v>
      </c>
      <c r="O598" s="25">
        <v>1</v>
      </c>
      <c r="P598" s="25">
        <v>1</v>
      </c>
      <c r="Q598" s="25">
        <v>1</v>
      </c>
      <c r="R598" s="25">
        <v>1</v>
      </c>
      <c r="T598" s="25">
        <v>1</v>
      </c>
      <c r="AA598" s="25">
        <f t="shared" si="50"/>
        <v>128</v>
      </c>
      <c r="AK598" s="25">
        <v>1</v>
      </c>
      <c r="AM598" s="25">
        <v>44</v>
      </c>
      <c r="AN598" s="25">
        <v>100</v>
      </c>
      <c r="AP598" s="25">
        <f t="shared" si="49"/>
        <v>3</v>
      </c>
      <c r="AQ598" s="25" t="str">
        <f>VLOOKUP(C598,'시스템이펙트 참고자료'!$A:$B,2,FALSE)</f>
        <v>ACTIVE_DEX_UP</v>
      </c>
      <c r="AS598" s="25">
        <v>1</v>
      </c>
      <c r="BD598" s="25">
        <v>1</v>
      </c>
    </row>
    <row r="599" spans="1:56" hidden="1">
      <c r="A599" s="25">
        <v>594</v>
      </c>
      <c r="B599" s="25" t="str">
        <f>VLOOKUP(C599,'시스템이펙트 참고자료'!$A:$C,2,FALSE)</f>
        <v>ACTIVE_ATTACK_SPEED_UP</v>
      </c>
      <c r="C599" s="25">
        <v>617</v>
      </c>
      <c r="D599" s="25">
        <f>VLOOKUP(C599,'시스템이펙트 참고자료'!$A:$D,4,FALSE)</f>
        <v>1</v>
      </c>
      <c r="E599" s="25">
        <v>0</v>
      </c>
      <c r="F599" s="25">
        <v>0</v>
      </c>
      <c r="G599" s="25">
        <f t="shared" si="48"/>
        <v>10</v>
      </c>
      <c r="H599" s="25" t="s">
        <v>395</v>
      </c>
      <c r="I599" s="25">
        <v>1</v>
      </c>
      <c r="J599" s="25" t="str">
        <f>VLOOKUP(C599,'시스템이펙트 참고자료'!$A:$C,3,FALSE)</f>
        <v>절대값/상대값(%) 가능</v>
      </c>
      <c r="K599" s="25">
        <v>11</v>
      </c>
      <c r="M599" s="25">
        <v>10</v>
      </c>
      <c r="N599" s="25">
        <f t="shared" si="47"/>
        <v>10</v>
      </c>
      <c r="O599" s="25">
        <v>1</v>
      </c>
      <c r="P599" s="25">
        <v>1</v>
      </c>
      <c r="Q599" s="25">
        <v>1</v>
      </c>
      <c r="R599" s="25">
        <v>1</v>
      </c>
      <c r="T599" s="25">
        <v>1</v>
      </c>
      <c r="AA599" s="25">
        <f t="shared" si="50"/>
        <v>128</v>
      </c>
      <c r="AK599" s="25">
        <v>1</v>
      </c>
      <c r="AM599" s="25">
        <v>10</v>
      </c>
      <c r="AN599" s="25">
        <v>100</v>
      </c>
      <c r="AP599" s="25">
        <f t="shared" si="49"/>
        <v>10</v>
      </c>
      <c r="AQ599" s="25" t="str">
        <f>VLOOKUP(C599,'시스템이펙트 참고자료'!$A:$B,2,FALSE)</f>
        <v>ACTIVE_ATTACK_SPEED_UP</v>
      </c>
      <c r="AS599" s="25">
        <v>1</v>
      </c>
      <c r="BD599" s="25">
        <v>1</v>
      </c>
    </row>
    <row r="600" spans="1:56" hidden="1">
      <c r="A600" s="25">
        <v>595</v>
      </c>
      <c r="B600" s="25" t="str">
        <f>VLOOKUP(C600,'시스템이펙트 참고자료'!$A:$C,2,FALSE)</f>
        <v>ACTIVE_STR_UP</v>
      </c>
      <c r="C600" s="25">
        <v>610</v>
      </c>
      <c r="D600" s="25">
        <f>VLOOKUP(C600,'시스템이펙트 참고자료'!$A:$D,4,FALSE)</f>
        <v>0</v>
      </c>
      <c r="E600" s="25">
        <v>0</v>
      </c>
      <c r="F600" s="25">
        <v>0</v>
      </c>
      <c r="G600" s="25">
        <f t="shared" si="48"/>
        <v>2</v>
      </c>
      <c r="H600" s="25" t="s">
        <v>395</v>
      </c>
      <c r="I600" s="25">
        <v>1</v>
      </c>
      <c r="J600" s="25" t="str">
        <f>VLOOKUP(C600,'시스템이펙트 참고자료'!$A:$C,3,FALSE)</f>
        <v>절대값/상대값(%) 가능</v>
      </c>
      <c r="K600" s="25">
        <v>11</v>
      </c>
      <c r="M600" s="25">
        <v>11</v>
      </c>
      <c r="N600" s="25">
        <f t="shared" si="47"/>
        <v>57</v>
      </c>
      <c r="O600" s="25">
        <v>1</v>
      </c>
      <c r="P600" s="25">
        <v>1</v>
      </c>
      <c r="Q600" s="25">
        <v>1</v>
      </c>
      <c r="R600" s="25">
        <v>1</v>
      </c>
      <c r="T600" s="25">
        <v>1</v>
      </c>
      <c r="AA600" s="25">
        <f t="shared" si="50"/>
        <v>128</v>
      </c>
      <c r="AK600" s="25">
        <v>1</v>
      </c>
      <c r="AM600" s="25">
        <v>57</v>
      </c>
      <c r="AN600" s="25">
        <v>100</v>
      </c>
      <c r="AP600" s="25">
        <f t="shared" si="49"/>
        <v>2</v>
      </c>
      <c r="AQ600" s="25" t="str">
        <f>VLOOKUP(C600,'시스템이펙트 참고자료'!$A:$B,2,FALSE)</f>
        <v>ACTIVE_STR_UP</v>
      </c>
      <c r="AS600" s="25">
        <v>1</v>
      </c>
      <c r="BD600" s="25">
        <v>1</v>
      </c>
    </row>
    <row r="601" spans="1:56" hidden="1">
      <c r="A601" s="25">
        <v>596</v>
      </c>
      <c r="B601" s="25" t="str">
        <f>VLOOKUP(C601,'시스템이펙트 참고자료'!$A:$C,2,FALSE)</f>
        <v>ACTIVE_CON_UP</v>
      </c>
      <c r="C601" s="25">
        <v>611</v>
      </c>
      <c r="D601" s="25">
        <f>VLOOKUP(C601,'시스템이펙트 참고자료'!$A:$D,4,FALSE)</f>
        <v>0</v>
      </c>
      <c r="E601" s="25">
        <v>0</v>
      </c>
      <c r="F601" s="25">
        <v>0</v>
      </c>
      <c r="G601" s="25">
        <f t="shared" si="48"/>
        <v>3</v>
      </c>
      <c r="H601" s="25" t="s">
        <v>395</v>
      </c>
      <c r="I601" s="25">
        <v>1</v>
      </c>
      <c r="J601" s="25" t="str">
        <f>VLOOKUP(C601,'시스템이펙트 참고자료'!$A:$C,3,FALSE)</f>
        <v>절대값/상대값(%) 가능</v>
      </c>
      <c r="K601" s="25">
        <v>11</v>
      </c>
      <c r="M601" s="25">
        <v>11</v>
      </c>
      <c r="N601" s="25">
        <f t="shared" si="47"/>
        <v>48</v>
      </c>
      <c r="O601" s="25">
        <v>1</v>
      </c>
      <c r="P601" s="25">
        <v>1</v>
      </c>
      <c r="Q601" s="25">
        <v>1</v>
      </c>
      <c r="R601" s="25">
        <v>1</v>
      </c>
      <c r="T601" s="25">
        <v>1</v>
      </c>
      <c r="AA601" s="25">
        <f t="shared" si="50"/>
        <v>128</v>
      </c>
      <c r="AK601" s="25">
        <v>1</v>
      </c>
      <c r="AM601" s="25">
        <v>48</v>
      </c>
      <c r="AN601" s="25">
        <v>100</v>
      </c>
      <c r="AP601" s="25">
        <f t="shared" si="49"/>
        <v>3</v>
      </c>
      <c r="AQ601" s="25" t="str">
        <f>VLOOKUP(C601,'시스템이펙트 참고자료'!$A:$B,2,FALSE)</f>
        <v>ACTIVE_CON_UP</v>
      </c>
      <c r="AS601" s="25">
        <v>1</v>
      </c>
      <c r="BD601" s="25">
        <v>1</v>
      </c>
    </row>
    <row r="602" spans="1:56" hidden="1">
      <c r="A602" s="25">
        <v>597</v>
      </c>
      <c r="B602" s="25" t="str">
        <f>VLOOKUP(C602,'시스템이펙트 참고자료'!$A:$C,2,FALSE)</f>
        <v>ACTIVE_FOC_UP</v>
      </c>
      <c r="C602" s="25">
        <v>612</v>
      </c>
      <c r="D602" s="25">
        <f>VLOOKUP(C602,'시스템이펙트 참고자료'!$A:$D,4,FALSE)</f>
        <v>0</v>
      </c>
      <c r="E602" s="25">
        <v>0</v>
      </c>
      <c r="F602" s="25">
        <v>0</v>
      </c>
      <c r="G602" s="25">
        <f t="shared" si="48"/>
        <v>2</v>
      </c>
      <c r="H602" s="25" t="s">
        <v>395</v>
      </c>
      <c r="I602" s="25">
        <v>1</v>
      </c>
      <c r="J602" s="25" t="str">
        <f>VLOOKUP(C602,'시스템이펙트 참고자료'!$A:$C,3,FALSE)</f>
        <v>절대값/상대값(%) 가능</v>
      </c>
      <c r="K602" s="25">
        <v>11</v>
      </c>
      <c r="M602" s="25">
        <v>11</v>
      </c>
      <c r="N602" s="25">
        <f t="shared" si="47"/>
        <v>53</v>
      </c>
      <c r="O602" s="25">
        <v>1</v>
      </c>
      <c r="P602" s="25">
        <v>1</v>
      </c>
      <c r="Q602" s="25">
        <v>1</v>
      </c>
      <c r="R602" s="25">
        <v>1</v>
      </c>
      <c r="T602" s="25">
        <v>1</v>
      </c>
      <c r="AA602" s="25">
        <f t="shared" si="50"/>
        <v>128</v>
      </c>
      <c r="AK602" s="25">
        <v>1</v>
      </c>
      <c r="AM602" s="25">
        <v>53</v>
      </c>
      <c r="AN602" s="25">
        <v>100</v>
      </c>
      <c r="AP602" s="25">
        <f t="shared" si="49"/>
        <v>2</v>
      </c>
      <c r="AQ602" s="25" t="str">
        <f>VLOOKUP(C602,'시스템이펙트 참고자료'!$A:$B,2,FALSE)</f>
        <v>ACTIVE_FOC_UP</v>
      </c>
      <c r="AS602" s="25">
        <v>1</v>
      </c>
      <c r="BD602" s="25">
        <v>1</v>
      </c>
    </row>
    <row r="603" spans="1:56" hidden="1">
      <c r="A603" s="25">
        <v>598</v>
      </c>
      <c r="B603" s="25" t="str">
        <f>VLOOKUP(C603,'시스템이펙트 참고자료'!$A:$C,2,FALSE)</f>
        <v>ACTIVE_DEX_UP</v>
      </c>
      <c r="C603" s="25">
        <v>613</v>
      </c>
      <c r="D603" s="25">
        <f>VLOOKUP(C603,'시스템이펙트 참고자료'!$A:$D,4,FALSE)</f>
        <v>0</v>
      </c>
      <c r="E603" s="25">
        <v>0</v>
      </c>
      <c r="F603" s="25">
        <v>0</v>
      </c>
      <c r="G603" s="25">
        <f t="shared" si="48"/>
        <v>3</v>
      </c>
      <c r="H603" s="25" t="s">
        <v>395</v>
      </c>
      <c r="I603" s="25">
        <v>1</v>
      </c>
      <c r="J603" s="25" t="str">
        <f>VLOOKUP(C603,'시스템이펙트 참고자료'!$A:$C,3,FALSE)</f>
        <v>절대값/상대값(%) 가능</v>
      </c>
      <c r="K603" s="25">
        <v>11</v>
      </c>
      <c r="M603" s="25">
        <v>11</v>
      </c>
      <c r="N603" s="25">
        <f t="shared" si="47"/>
        <v>44</v>
      </c>
      <c r="O603" s="25">
        <v>1</v>
      </c>
      <c r="P603" s="25">
        <v>1</v>
      </c>
      <c r="Q603" s="25">
        <v>1</v>
      </c>
      <c r="R603" s="25">
        <v>1</v>
      </c>
      <c r="T603" s="25">
        <v>1</v>
      </c>
      <c r="AA603" s="25">
        <f t="shared" si="50"/>
        <v>128</v>
      </c>
      <c r="AK603" s="25">
        <v>1</v>
      </c>
      <c r="AM603" s="25">
        <v>44</v>
      </c>
      <c r="AN603" s="25">
        <v>100</v>
      </c>
      <c r="AP603" s="25">
        <f t="shared" si="49"/>
        <v>3</v>
      </c>
      <c r="AQ603" s="25" t="str">
        <f>VLOOKUP(C603,'시스템이펙트 참고자료'!$A:$B,2,FALSE)</f>
        <v>ACTIVE_DEX_UP</v>
      </c>
      <c r="AS603" s="25">
        <v>1</v>
      </c>
      <c r="BD603" s="25">
        <v>1</v>
      </c>
    </row>
    <row r="604" spans="1:56" hidden="1">
      <c r="A604" s="25">
        <v>599</v>
      </c>
      <c r="B604" s="25" t="str">
        <f>VLOOKUP(C604,'시스템이펙트 참고자료'!$A:$C,2,FALSE)</f>
        <v>ACTIVE_SOL_UP</v>
      </c>
      <c r="C604" s="25">
        <v>614</v>
      </c>
      <c r="D604" s="25">
        <f>VLOOKUP(C604,'시스템이펙트 참고자료'!$A:$D,4,FALSE)</f>
        <v>0</v>
      </c>
      <c r="E604" s="25">
        <v>0</v>
      </c>
      <c r="F604" s="25">
        <v>0</v>
      </c>
      <c r="G604" s="25">
        <f t="shared" si="48"/>
        <v>2</v>
      </c>
      <c r="H604" s="25" t="s">
        <v>395</v>
      </c>
      <c r="I604" s="25">
        <v>1</v>
      </c>
      <c r="J604" s="25" t="str">
        <f>VLOOKUP(C604,'시스템이펙트 참고자료'!$A:$C,3,FALSE)</f>
        <v>절대값/상대값(%) 가능</v>
      </c>
      <c r="K604" s="25">
        <v>11</v>
      </c>
      <c r="M604" s="25">
        <v>11</v>
      </c>
      <c r="N604" s="25">
        <f t="shared" si="47"/>
        <v>53</v>
      </c>
      <c r="O604" s="25">
        <v>1</v>
      </c>
      <c r="P604" s="25">
        <v>1</v>
      </c>
      <c r="Q604" s="25">
        <v>1</v>
      </c>
      <c r="R604" s="25">
        <v>1</v>
      </c>
      <c r="T604" s="25">
        <v>1</v>
      </c>
      <c r="AA604" s="25">
        <f t="shared" si="50"/>
        <v>128</v>
      </c>
      <c r="AK604" s="25">
        <v>1</v>
      </c>
      <c r="AM604" s="25">
        <v>53</v>
      </c>
      <c r="AN604" s="25">
        <v>100</v>
      </c>
      <c r="AP604" s="25">
        <f t="shared" si="49"/>
        <v>2</v>
      </c>
      <c r="AQ604" s="25" t="str">
        <f>VLOOKUP(C604,'시스템이펙트 참고자료'!$A:$B,2,FALSE)</f>
        <v>ACTIVE_SOL_UP</v>
      </c>
      <c r="AS604" s="25">
        <v>1</v>
      </c>
      <c r="BD604" s="25">
        <v>1</v>
      </c>
    </row>
    <row r="605" spans="1:56" hidden="1">
      <c r="A605" s="25">
        <v>600</v>
      </c>
      <c r="B605" s="25" t="str">
        <f>VLOOKUP(C605,'시스템이펙트 참고자료'!$A:$C,2,FALSE)</f>
        <v>ACTIVE_ENG_UP</v>
      </c>
      <c r="C605" s="25">
        <v>615</v>
      </c>
      <c r="D605" s="25">
        <f>VLOOKUP(C605,'시스템이펙트 참고자료'!$A:$D,4,FALSE)</f>
        <v>0</v>
      </c>
      <c r="E605" s="25">
        <v>0</v>
      </c>
      <c r="F605" s="25">
        <v>0</v>
      </c>
      <c r="G605" s="25">
        <f t="shared" si="48"/>
        <v>2</v>
      </c>
      <c r="H605" s="25" t="s">
        <v>395</v>
      </c>
      <c r="I605" s="25">
        <v>1</v>
      </c>
      <c r="J605" s="25" t="str">
        <f>VLOOKUP(C605,'시스템이펙트 참고자료'!$A:$C,3,FALSE)</f>
        <v>절대값/상대값(%) 가능</v>
      </c>
      <c r="K605" s="25">
        <v>11</v>
      </c>
      <c r="M605" s="25">
        <v>11</v>
      </c>
      <c r="N605" s="25">
        <f t="shared" si="47"/>
        <v>62</v>
      </c>
      <c r="O605" s="25">
        <v>1</v>
      </c>
      <c r="P605" s="25">
        <v>1</v>
      </c>
      <c r="Q605" s="25">
        <v>1</v>
      </c>
      <c r="R605" s="25">
        <v>1</v>
      </c>
      <c r="T605" s="25">
        <v>1</v>
      </c>
      <c r="AA605" s="25">
        <f t="shared" si="50"/>
        <v>128</v>
      </c>
      <c r="AK605" s="25">
        <v>1</v>
      </c>
      <c r="AM605" s="25">
        <v>62</v>
      </c>
      <c r="AN605" s="25">
        <v>100</v>
      </c>
      <c r="AP605" s="25">
        <f t="shared" si="49"/>
        <v>2</v>
      </c>
      <c r="AQ605" s="25" t="str">
        <f>VLOOKUP(C605,'시스템이펙트 참고자료'!$A:$B,2,FALSE)</f>
        <v>ACTIVE_ENG_UP</v>
      </c>
      <c r="AS605" s="25">
        <v>1</v>
      </c>
      <c r="BD605" s="25">
        <v>1</v>
      </c>
    </row>
    <row r="606" spans="1:56" hidden="1">
      <c r="A606" s="25">
        <v>601</v>
      </c>
      <c r="B606" s="25" t="str">
        <f>VLOOKUP(C606,'시스템이펙트 참고자료'!$A:$C,2,FALSE)</f>
        <v>ACTIVE_PHYSICAL_DEFENCE_UP</v>
      </c>
      <c r="C606" s="25">
        <v>608</v>
      </c>
      <c r="D606" s="25">
        <f>VLOOKUP(C606,'시스템이펙트 참고자료'!$A:$D,4,FALSE)</f>
        <v>0</v>
      </c>
      <c r="E606" s="25">
        <v>0</v>
      </c>
      <c r="F606" s="25">
        <v>0</v>
      </c>
      <c r="G606" s="25">
        <f t="shared" si="48"/>
        <v>1</v>
      </c>
      <c r="H606" s="25" t="s">
        <v>395</v>
      </c>
      <c r="I606" s="25">
        <v>1</v>
      </c>
      <c r="J606" s="25" t="str">
        <f>VLOOKUP(C606,'시스템이펙트 참고자료'!$A:$C,3,FALSE)</f>
        <v>절대값/상대값(%) 가능</v>
      </c>
      <c r="K606" s="25">
        <v>11</v>
      </c>
      <c r="M606" s="25">
        <v>12</v>
      </c>
      <c r="N606" s="25">
        <f t="shared" si="47"/>
        <v>1350</v>
      </c>
      <c r="O606" s="25">
        <v>1</v>
      </c>
      <c r="P606" s="25">
        <v>1</v>
      </c>
      <c r="Q606" s="25">
        <v>1</v>
      </c>
      <c r="R606" s="25">
        <v>1</v>
      </c>
      <c r="T606" s="25">
        <v>1</v>
      </c>
      <c r="AA606" s="25">
        <f t="shared" si="50"/>
        <v>128</v>
      </c>
      <c r="AK606" s="25">
        <v>1</v>
      </c>
      <c r="AM606" s="25">
        <v>1350</v>
      </c>
      <c r="AN606" s="25">
        <v>100</v>
      </c>
      <c r="AP606" s="25">
        <f t="shared" si="49"/>
        <v>1</v>
      </c>
      <c r="AQ606" s="25" t="str">
        <f>VLOOKUP(C606,'시스템이펙트 참고자료'!$A:$B,2,FALSE)</f>
        <v>ACTIVE_PHYSICAL_DEFENCE_UP</v>
      </c>
      <c r="AS606" s="25">
        <v>1</v>
      </c>
      <c r="BD606" s="25">
        <v>1</v>
      </c>
    </row>
    <row r="607" spans="1:56" hidden="1">
      <c r="A607" s="25">
        <v>602</v>
      </c>
      <c r="B607" s="25" t="str">
        <f>VLOOKUP(C607,'시스템이펙트 참고자료'!$A:$C,2,FALSE)</f>
        <v>ACTIVE_BLOCK_RATE_UP</v>
      </c>
      <c r="C607" s="25">
        <v>620</v>
      </c>
      <c r="D607" s="25">
        <f>VLOOKUP(C607,'시스템이펙트 참고자료'!$A:$D,4,FALSE)</f>
        <v>0</v>
      </c>
      <c r="E607" s="25">
        <v>0</v>
      </c>
      <c r="F607" s="25">
        <v>0</v>
      </c>
      <c r="G607" s="25">
        <f t="shared" si="48"/>
        <v>1</v>
      </c>
      <c r="H607" s="25" t="s">
        <v>395</v>
      </c>
      <c r="I607" s="25">
        <v>1</v>
      </c>
      <c r="J607" s="25" t="str">
        <f>VLOOKUP(C607,'시스템이펙트 참고자료'!$A:$C,3,FALSE)</f>
        <v>절대값/상대값(%) 가능</v>
      </c>
      <c r="K607" s="25">
        <v>11</v>
      </c>
      <c r="M607" s="25">
        <v>12</v>
      </c>
      <c r="N607" s="25">
        <f t="shared" si="47"/>
        <v>352</v>
      </c>
      <c r="O607" s="25">
        <v>1</v>
      </c>
      <c r="P607" s="25">
        <v>1</v>
      </c>
      <c r="Q607" s="25">
        <v>1</v>
      </c>
      <c r="R607" s="25">
        <v>1</v>
      </c>
      <c r="T607" s="25">
        <v>1</v>
      </c>
      <c r="AA607" s="25">
        <f t="shared" si="50"/>
        <v>128</v>
      </c>
      <c r="AK607" s="25">
        <v>1</v>
      </c>
      <c r="AM607" s="25">
        <v>352</v>
      </c>
      <c r="AN607" s="25">
        <v>100</v>
      </c>
      <c r="AP607" s="25">
        <f t="shared" si="49"/>
        <v>1</v>
      </c>
      <c r="AQ607" s="25" t="str">
        <f>VLOOKUP(C607,'시스템이펙트 참고자료'!$A:$B,2,FALSE)</f>
        <v>ACTIVE_BLOCK_RATE_UP</v>
      </c>
      <c r="AS607" s="25">
        <v>1</v>
      </c>
      <c r="BD607" s="25">
        <v>1</v>
      </c>
    </row>
    <row r="608" spans="1:56" hidden="1">
      <c r="A608" s="25">
        <v>603</v>
      </c>
      <c r="B608" s="25" t="str">
        <f>VLOOKUP(C608,'시스템이펙트 참고자료'!$A:$C,2,FALSE)</f>
        <v>ACTIVE_CON_UP</v>
      </c>
      <c r="C608" s="25">
        <v>611</v>
      </c>
      <c r="D608" s="25">
        <f>VLOOKUP(C608,'시스템이펙트 참고자료'!$A:$D,4,FALSE)</f>
        <v>0</v>
      </c>
      <c r="E608" s="25">
        <v>0</v>
      </c>
      <c r="F608" s="25">
        <v>0</v>
      </c>
      <c r="G608" s="25">
        <f t="shared" si="48"/>
        <v>3</v>
      </c>
      <c r="H608" s="25" t="s">
        <v>395</v>
      </c>
      <c r="I608" s="25">
        <v>1</v>
      </c>
      <c r="J608" s="25" t="str">
        <f>VLOOKUP(C608,'시스템이펙트 참고자료'!$A:$C,3,FALSE)</f>
        <v>절대값/상대값(%) 가능</v>
      </c>
      <c r="K608" s="25">
        <v>11</v>
      </c>
      <c r="M608" s="25">
        <v>12</v>
      </c>
      <c r="N608" s="25">
        <f t="shared" si="47"/>
        <v>48</v>
      </c>
      <c r="O608" s="25">
        <v>1</v>
      </c>
      <c r="P608" s="25">
        <v>1</v>
      </c>
      <c r="Q608" s="25">
        <v>1</v>
      </c>
      <c r="R608" s="25">
        <v>1</v>
      </c>
      <c r="T608" s="25">
        <v>1</v>
      </c>
      <c r="AA608" s="25">
        <f t="shared" si="50"/>
        <v>128</v>
      </c>
      <c r="AK608" s="25">
        <v>1</v>
      </c>
      <c r="AM608" s="25">
        <v>48</v>
      </c>
      <c r="AN608" s="25">
        <v>100</v>
      </c>
      <c r="AP608" s="25">
        <f t="shared" si="49"/>
        <v>3</v>
      </c>
      <c r="AQ608" s="25" t="str">
        <f>VLOOKUP(C608,'시스템이펙트 참고자료'!$A:$B,2,FALSE)</f>
        <v>ACTIVE_CON_UP</v>
      </c>
      <c r="AS608" s="25">
        <v>1</v>
      </c>
      <c r="BD608" s="25">
        <v>1</v>
      </c>
    </row>
    <row r="609" spans="1:56" hidden="1">
      <c r="A609" s="25">
        <v>604</v>
      </c>
      <c r="B609" s="25" t="str">
        <f>VLOOKUP(C609,'시스템이펙트 참고자료'!$A:$C,2,FALSE)</f>
        <v>ACTIVE_FOC_UP</v>
      </c>
      <c r="C609" s="25">
        <v>612</v>
      </c>
      <c r="D609" s="25">
        <f>VLOOKUP(C609,'시스템이펙트 참고자료'!$A:$D,4,FALSE)</f>
        <v>0</v>
      </c>
      <c r="E609" s="25">
        <v>0</v>
      </c>
      <c r="F609" s="25">
        <v>0</v>
      </c>
      <c r="G609" s="25">
        <f t="shared" si="48"/>
        <v>2</v>
      </c>
      <c r="H609" s="25" t="s">
        <v>395</v>
      </c>
      <c r="I609" s="25">
        <v>1</v>
      </c>
      <c r="J609" s="25" t="str">
        <f>VLOOKUP(C609,'시스템이펙트 참고자료'!$A:$C,3,FALSE)</f>
        <v>절대값/상대값(%) 가능</v>
      </c>
      <c r="K609" s="25">
        <v>11</v>
      </c>
      <c r="M609" s="25">
        <v>12</v>
      </c>
      <c r="N609" s="25">
        <f t="shared" si="47"/>
        <v>53</v>
      </c>
      <c r="O609" s="25">
        <v>1</v>
      </c>
      <c r="P609" s="25">
        <v>1</v>
      </c>
      <c r="Q609" s="25">
        <v>1</v>
      </c>
      <c r="R609" s="25">
        <v>1</v>
      </c>
      <c r="T609" s="25">
        <v>1</v>
      </c>
      <c r="AA609" s="25">
        <f t="shared" si="50"/>
        <v>128</v>
      </c>
      <c r="AK609" s="25">
        <v>1</v>
      </c>
      <c r="AM609" s="25">
        <v>53</v>
      </c>
      <c r="AN609" s="25">
        <v>100</v>
      </c>
      <c r="AP609" s="25">
        <f t="shared" si="49"/>
        <v>2</v>
      </c>
      <c r="AQ609" s="25" t="str">
        <f>VLOOKUP(C609,'시스템이펙트 참고자료'!$A:$B,2,FALSE)</f>
        <v>ACTIVE_FOC_UP</v>
      </c>
      <c r="AS609" s="25">
        <v>1</v>
      </c>
      <c r="BD609" s="25">
        <v>1</v>
      </c>
    </row>
    <row r="610" spans="1:56" hidden="1">
      <c r="A610" s="25">
        <v>605</v>
      </c>
      <c r="B610" s="25" t="str">
        <f>VLOOKUP(C610,'시스템이펙트 참고자료'!$A:$C,2,FALSE)</f>
        <v>ACTIVE_ENERGY_OFFENCE_UP</v>
      </c>
      <c r="C610" s="25">
        <v>607</v>
      </c>
      <c r="D610" s="25">
        <f>VLOOKUP(C610,'시스템이펙트 참고자료'!$A:$D,4,FALSE)</f>
        <v>0</v>
      </c>
      <c r="E610" s="25">
        <v>0</v>
      </c>
      <c r="F610" s="25">
        <v>0</v>
      </c>
      <c r="G610" s="25">
        <f t="shared" si="48"/>
        <v>1</v>
      </c>
      <c r="H610" s="25" t="s">
        <v>395</v>
      </c>
      <c r="I610" s="25">
        <v>1</v>
      </c>
      <c r="J610" s="25" t="str">
        <f>VLOOKUP(C610,'시스템이펙트 참고자료'!$A:$C,3,FALSE)</f>
        <v>절대값/상대값(%) 가능</v>
      </c>
      <c r="K610" s="25">
        <v>12</v>
      </c>
      <c r="M610" s="25">
        <v>3</v>
      </c>
      <c r="N610" s="25">
        <f t="shared" si="47"/>
        <v>104</v>
      </c>
      <c r="O610" s="25">
        <v>1</v>
      </c>
      <c r="P610" s="25">
        <v>1</v>
      </c>
      <c r="Q610" s="25">
        <v>1</v>
      </c>
      <c r="R610" s="25">
        <v>1</v>
      </c>
      <c r="T610" s="25">
        <v>1</v>
      </c>
      <c r="AA610" s="25">
        <f t="shared" si="50"/>
        <v>128</v>
      </c>
      <c r="AK610" s="25">
        <v>1</v>
      </c>
      <c r="AM610" s="25">
        <v>104</v>
      </c>
      <c r="AN610" s="25">
        <v>100</v>
      </c>
      <c r="AP610" s="25">
        <f t="shared" si="49"/>
        <v>1</v>
      </c>
      <c r="AQ610" s="25" t="str">
        <f>VLOOKUP(C610,'시스템이펙트 참고자료'!$A:$B,2,FALSE)</f>
        <v>ACTIVE_ENERGY_OFFENCE_UP</v>
      </c>
      <c r="AS610" s="25">
        <v>1</v>
      </c>
      <c r="BD610" s="25">
        <v>1</v>
      </c>
    </row>
    <row r="611" spans="1:56" hidden="1">
      <c r="A611" s="25">
        <v>606</v>
      </c>
      <c r="B611" s="25" t="str">
        <f>VLOOKUP(C611,'시스템이펙트 참고자료'!$A:$C,2,FALSE)</f>
        <v>ACTIVE_FOC_UP</v>
      </c>
      <c r="C611" s="25">
        <v>612</v>
      </c>
      <c r="D611" s="25">
        <f>VLOOKUP(C611,'시스템이펙트 참고자료'!$A:$D,4,FALSE)</f>
        <v>0</v>
      </c>
      <c r="E611" s="25">
        <v>0</v>
      </c>
      <c r="F611" s="25">
        <v>0</v>
      </c>
      <c r="G611" s="25">
        <f t="shared" si="48"/>
        <v>2</v>
      </c>
      <c r="H611" s="25" t="s">
        <v>395</v>
      </c>
      <c r="I611" s="25">
        <v>1</v>
      </c>
      <c r="J611" s="25" t="str">
        <f>VLOOKUP(C611,'시스템이펙트 참고자료'!$A:$C,3,FALSE)</f>
        <v>절대값/상대값(%) 가능</v>
      </c>
      <c r="K611" s="25">
        <v>12</v>
      </c>
      <c r="M611" s="25">
        <v>3</v>
      </c>
      <c r="N611" s="25">
        <f t="shared" si="47"/>
        <v>53</v>
      </c>
      <c r="O611" s="25">
        <v>1</v>
      </c>
      <c r="P611" s="25">
        <v>1</v>
      </c>
      <c r="Q611" s="25">
        <v>1</v>
      </c>
      <c r="R611" s="25">
        <v>1</v>
      </c>
      <c r="T611" s="25">
        <v>1</v>
      </c>
      <c r="AA611" s="25">
        <f t="shared" si="50"/>
        <v>128</v>
      </c>
      <c r="AK611" s="25">
        <v>1</v>
      </c>
      <c r="AM611" s="25">
        <v>53</v>
      </c>
      <c r="AN611" s="25">
        <v>100</v>
      </c>
      <c r="AP611" s="25">
        <f t="shared" si="49"/>
        <v>2</v>
      </c>
      <c r="AQ611" s="25" t="str">
        <f>VLOOKUP(C611,'시스템이펙트 참고자료'!$A:$B,2,FALSE)</f>
        <v>ACTIVE_FOC_UP</v>
      </c>
      <c r="AS611" s="25">
        <v>1</v>
      </c>
      <c r="BD611" s="25">
        <v>1</v>
      </c>
    </row>
    <row r="612" spans="1:56" hidden="1">
      <c r="A612" s="25">
        <v>607</v>
      </c>
      <c r="B612" s="25" t="str">
        <f>VLOOKUP(C612,'시스템이펙트 참고자료'!$A:$C,2,FALSE)</f>
        <v>ACTIVE_SOL_UP</v>
      </c>
      <c r="C612" s="25">
        <v>614</v>
      </c>
      <c r="D612" s="25">
        <f>VLOOKUP(C612,'시스템이펙트 참고자료'!$A:$D,4,FALSE)</f>
        <v>0</v>
      </c>
      <c r="E612" s="25">
        <v>0</v>
      </c>
      <c r="F612" s="25">
        <v>0</v>
      </c>
      <c r="G612" s="25">
        <f t="shared" si="48"/>
        <v>2</v>
      </c>
      <c r="H612" s="25" t="s">
        <v>395</v>
      </c>
      <c r="I612" s="25">
        <v>1</v>
      </c>
      <c r="J612" s="25" t="str">
        <f>VLOOKUP(C612,'시스템이펙트 참고자료'!$A:$C,3,FALSE)</f>
        <v>절대값/상대값(%) 가능</v>
      </c>
      <c r="K612" s="25">
        <v>12</v>
      </c>
      <c r="M612" s="25">
        <v>3</v>
      </c>
      <c r="N612" s="25">
        <f t="shared" si="47"/>
        <v>53</v>
      </c>
      <c r="O612" s="25">
        <v>1</v>
      </c>
      <c r="P612" s="25">
        <v>1</v>
      </c>
      <c r="Q612" s="25">
        <v>1</v>
      </c>
      <c r="R612" s="25">
        <v>1</v>
      </c>
      <c r="T612" s="25">
        <v>1</v>
      </c>
      <c r="AA612" s="25">
        <f t="shared" si="50"/>
        <v>128</v>
      </c>
      <c r="AK612" s="25">
        <v>1</v>
      </c>
      <c r="AM612" s="25">
        <v>53</v>
      </c>
      <c r="AN612" s="25">
        <v>100</v>
      </c>
      <c r="AP612" s="25">
        <f t="shared" si="49"/>
        <v>2</v>
      </c>
      <c r="AQ612" s="25" t="str">
        <f>VLOOKUP(C612,'시스템이펙트 참고자료'!$A:$B,2,FALSE)</f>
        <v>ACTIVE_SOL_UP</v>
      </c>
      <c r="AS612" s="25">
        <v>1</v>
      </c>
      <c r="BD612" s="25">
        <v>1</v>
      </c>
    </row>
    <row r="613" spans="1:56" hidden="1">
      <c r="A613" s="25">
        <v>608</v>
      </c>
      <c r="B613" s="25" t="str">
        <f>VLOOKUP(C613,'시스템이펙트 참고자료'!$A:$C,2,FALSE)</f>
        <v>ACTIVE_ENERGY_CRITICAL_DAMAGE_UP</v>
      </c>
      <c r="C613" s="25">
        <v>659</v>
      </c>
      <c r="D613" s="25">
        <f>VLOOKUP(C613,'시스템이펙트 참고자료'!$A:$D,4,FALSE)</f>
        <v>0</v>
      </c>
      <c r="E613" s="25">
        <v>0</v>
      </c>
      <c r="F613" s="25">
        <v>0</v>
      </c>
      <c r="G613" s="25">
        <f t="shared" si="48"/>
        <v>4</v>
      </c>
      <c r="H613" s="25" t="s">
        <v>395</v>
      </c>
      <c r="I613" s="25">
        <v>1</v>
      </c>
      <c r="J613" s="25" t="str">
        <f>VLOOKUP(C613,'시스템이펙트 참고자료'!$A:$C,3,FALSE)</f>
        <v>절대값만 가능</v>
      </c>
      <c r="K613" s="25">
        <v>12</v>
      </c>
      <c r="M613" s="25">
        <v>3</v>
      </c>
      <c r="N613" s="25">
        <f t="shared" si="47"/>
        <v>32</v>
      </c>
      <c r="O613" s="25">
        <v>1</v>
      </c>
      <c r="P613" s="25">
        <v>1</v>
      </c>
      <c r="Q613" s="25">
        <v>1</v>
      </c>
      <c r="R613" s="25">
        <v>1</v>
      </c>
      <c r="T613" s="25">
        <v>1</v>
      </c>
      <c r="AA613" s="25">
        <f t="shared" si="50"/>
        <v>128</v>
      </c>
      <c r="AK613" s="25">
        <v>1</v>
      </c>
      <c r="AM613" s="25">
        <v>32</v>
      </c>
      <c r="AN613" s="25">
        <v>100</v>
      </c>
      <c r="AP613" s="25">
        <f t="shared" si="49"/>
        <v>4</v>
      </c>
      <c r="AQ613" s="25" t="str">
        <f>VLOOKUP(C613,'시스템이펙트 참고자료'!$A:$B,2,FALSE)</f>
        <v>ACTIVE_ENERGY_CRITICAL_DAMAGE_UP</v>
      </c>
      <c r="AS613" s="25">
        <v>1</v>
      </c>
      <c r="BD613" s="25">
        <v>1</v>
      </c>
    </row>
    <row r="614" spans="1:56" hidden="1">
      <c r="A614" s="25">
        <v>609</v>
      </c>
      <c r="B614" s="25" t="str">
        <f>VLOOKUP(C614,'시스템이펙트 참고자료'!$A:$C,2,FALSE)</f>
        <v>ACTIVE_ENERGY_CRITICAL</v>
      </c>
      <c r="C614" s="25">
        <v>633</v>
      </c>
      <c r="D614" s="25">
        <f>VLOOKUP(C614,'시스템이펙트 참고자료'!$A:$D,4,FALSE)</f>
        <v>0</v>
      </c>
      <c r="E614" s="25">
        <v>0</v>
      </c>
      <c r="F614" s="25">
        <v>0</v>
      </c>
      <c r="G614" s="25">
        <f t="shared" si="48"/>
        <v>5</v>
      </c>
      <c r="H614" s="25" t="s">
        <v>395</v>
      </c>
      <c r="I614" s="25">
        <v>1</v>
      </c>
      <c r="J614" s="25" t="str">
        <f>VLOOKUP(C614,'시스템이펙트 참고자료'!$A:$C,3,FALSE)</f>
        <v>절대값/상대값(%) 가능</v>
      </c>
      <c r="K614" s="25">
        <v>12</v>
      </c>
      <c r="M614" s="25">
        <v>4</v>
      </c>
      <c r="N614" s="25">
        <f t="shared" si="47"/>
        <v>24</v>
      </c>
      <c r="O614" s="25">
        <v>1</v>
      </c>
      <c r="P614" s="25">
        <v>1</v>
      </c>
      <c r="Q614" s="25">
        <v>1</v>
      </c>
      <c r="R614" s="25">
        <v>1</v>
      </c>
      <c r="T614" s="25">
        <v>1</v>
      </c>
      <c r="AA614" s="25">
        <f t="shared" si="50"/>
        <v>128</v>
      </c>
      <c r="AK614" s="25">
        <v>1</v>
      </c>
      <c r="AM614" s="25">
        <v>24</v>
      </c>
      <c r="AN614" s="25">
        <v>100</v>
      </c>
      <c r="AP614" s="25">
        <f t="shared" si="49"/>
        <v>5</v>
      </c>
      <c r="AQ614" s="25" t="str">
        <f>VLOOKUP(C614,'시스템이펙트 참고자료'!$A:$B,2,FALSE)</f>
        <v>ACTIVE_ENERGY_CRITICAL</v>
      </c>
      <c r="AS614" s="25">
        <v>1</v>
      </c>
      <c r="BD614" s="25">
        <v>1</v>
      </c>
    </row>
    <row r="615" spans="1:56" hidden="1">
      <c r="A615" s="25">
        <v>610</v>
      </c>
      <c r="B615" s="25" t="str">
        <f>VLOOKUP(C615,'시스템이펙트 참고자료'!$A:$C,2,FALSE)</f>
        <v>ACTIVE_ENERGY_CRITICAL_DAMAGE_UP</v>
      </c>
      <c r="C615" s="25">
        <v>659</v>
      </c>
      <c r="D615" s="25">
        <f>VLOOKUP(C615,'시스템이펙트 참고자료'!$A:$D,4,FALSE)</f>
        <v>0</v>
      </c>
      <c r="E615" s="25">
        <v>0</v>
      </c>
      <c r="F615" s="25">
        <v>0</v>
      </c>
      <c r="G615" s="25">
        <f t="shared" si="48"/>
        <v>4</v>
      </c>
      <c r="H615" s="25" t="s">
        <v>395</v>
      </c>
      <c r="I615" s="25">
        <v>1</v>
      </c>
      <c r="J615" s="25" t="str">
        <f>VLOOKUP(C615,'시스템이펙트 참고자료'!$A:$C,3,FALSE)</f>
        <v>절대값만 가능</v>
      </c>
      <c r="K615" s="25">
        <v>12</v>
      </c>
      <c r="M615" s="25">
        <v>4</v>
      </c>
      <c r="N615" s="25">
        <f t="shared" si="47"/>
        <v>32</v>
      </c>
      <c r="O615" s="25">
        <v>1</v>
      </c>
      <c r="P615" s="25">
        <v>1</v>
      </c>
      <c r="Q615" s="25">
        <v>1</v>
      </c>
      <c r="R615" s="25">
        <v>1</v>
      </c>
      <c r="T615" s="25">
        <v>1</v>
      </c>
      <c r="AA615" s="25">
        <f t="shared" si="50"/>
        <v>128</v>
      </c>
      <c r="AK615" s="25">
        <v>1</v>
      </c>
      <c r="AM615" s="25">
        <v>32</v>
      </c>
      <c r="AN615" s="25">
        <v>100</v>
      </c>
      <c r="AP615" s="25">
        <f t="shared" si="49"/>
        <v>4</v>
      </c>
      <c r="AQ615" s="25" t="str">
        <f>VLOOKUP(C615,'시스템이펙트 참고자료'!$A:$B,2,FALSE)</f>
        <v>ACTIVE_ENERGY_CRITICAL_DAMAGE_UP</v>
      </c>
      <c r="AS615" s="25">
        <v>1</v>
      </c>
      <c r="BD615" s="25">
        <v>1</v>
      </c>
    </row>
    <row r="616" spans="1:56" hidden="1">
      <c r="A616" s="25">
        <v>611</v>
      </c>
      <c r="B616" s="25" t="str">
        <f>VLOOKUP(C616,'시스템이펙트 참고자료'!$A:$C,2,FALSE)</f>
        <v>ACTIVE_FOC_UP</v>
      </c>
      <c r="C616" s="25">
        <v>612</v>
      </c>
      <c r="D616" s="25">
        <f>VLOOKUP(C616,'시스템이펙트 참고자료'!$A:$D,4,FALSE)</f>
        <v>0</v>
      </c>
      <c r="E616" s="25">
        <v>0</v>
      </c>
      <c r="F616" s="25">
        <v>0</v>
      </c>
      <c r="G616" s="25">
        <f t="shared" si="48"/>
        <v>2</v>
      </c>
      <c r="H616" s="25" t="s">
        <v>395</v>
      </c>
      <c r="I616" s="25">
        <v>1</v>
      </c>
      <c r="J616" s="25" t="str">
        <f>VLOOKUP(C616,'시스템이펙트 참고자료'!$A:$C,3,FALSE)</f>
        <v>절대값/상대값(%) 가능</v>
      </c>
      <c r="K616" s="25">
        <v>12</v>
      </c>
      <c r="M616" s="25">
        <v>4</v>
      </c>
      <c r="N616" s="25">
        <f t="shared" si="47"/>
        <v>53</v>
      </c>
      <c r="O616" s="25">
        <v>1</v>
      </c>
      <c r="P616" s="25">
        <v>1</v>
      </c>
      <c r="Q616" s="25">
        <v>1</v>
      </c>
      <c r="R616" s="25">
        <v>1</v>
      </c>
      <c r="T616" s="25">
        <v>1</v>
      </c>
      <c r="AA616" s="25">
        <f t="shared" si="50"/>
        <v>128</v>
      </c>
      <c r="AK616" s="25">
        <v>1</v>
      </c>
      <c r="AM616" s="25">
        <v>53</v>
      </c>
      <c r="AN616" s="25">
        <v>100</v>
      </c>
      <c r="AP616" s="25">
        <f t="shared" si="49"/>
        <v>2</v>
      </c>
      <c r="AQ616" s="25" t="str">
        <f>VLOOKUP(C616,'시스템이펙트 참고자료'!$A:$B,2,FALSE)</f>
        <v>ACTIVE_FOC_UP</v>
      </c>
      <c r="AS616" s="25">
        <v>1</v>
      </c>
      <c r="BD616" s="25">
        <v>1</v>
      </c>
    </row>
    <row r="617" spans="1:56" hidden="1">
      <c r="A617" s="25">
        <v>612</v>
      </c>
      <c r="B617" s="25" t="str">
        <f>VLOOKUP(C617,'시스템이펙트 참고자료'!$A:$C,2,FALSE)</f>
        <v>ACTIVE_DEX_UP</v>
      </c>
      <c r="C617" s="25">
        <v>613</v>
      </c>
      <c r="D617" s="25">
        <f>VLOOKUP(C617,'시스템이펙트 참고자료'!$A:$D,4,FALSE)</f>
        <v>0</v>
      </c>
      <c r="E617" s="25">
        <v>0</v>
      </c>
      <c r="F617" s="25">
        <v>0</v>
      </c>
      <c r="G617" s="25">
        <f t="shared" si="48"/>
        <v>3</v>
      </c>
      <c r="H617" s="25" t="s">
        <v>395</v>
      </c>
      <c r="I617" s="25">
        <v>1</v>
      </c>
      <c r="J617" s="25" t="str">
        <f>VLOOKUP(C617,'시스템이펙트 참고자료'!$A:$C,3,FALSE)</f>
        <v>절대값/상대값(%) 가능</v>
      </c>
      <c r="K617" s="25">
        <v>12</v>
      </c>
      <c r="M617" s="25">
        <v>4</v>
      </c>
      <c r="N617" s="25">
        <f t="shared" si="47"/>
        <v>44</v>
      </c>
      <c r="O617" s="25">
        <v>1</v>
      </c>
      <c r="P617" s="25">
        <v>1</v>
      </c>
      <c r="Q617" s="25">
        <v>1</v>
      </c>
      <c r="R617" s="25">
        <v>1</v>
      </c>
      <c r="T617" s="25">
        <v>1</v>
      </c>
      <c r="AA617" s="25">
        <f t="shared" si="50"/>
        <v>128</v>
      </c>
      <c r="AK617" s="25">
        <v>1</v>
      </c>
      <c r="AM617" s="25">
        <v>44</v>
      </c>
      <c r="AN617" s="25">
        <v>100</v>
      </c>
      <c r="AP617" s="25">
        <f t="shared" si="49"/>
        <v>3</v>
      </c>
      <c r="AQ617" s="25" t="str">
        <f>VLOOKUP(C617,'시스템이펙트 참고자료'!$A:$B,2,FALSE)</f>
        <v>ACTIVE_DEX_UP</v>
      </c>
      <c r="AS617" s="25">
        <v>1</v>
      </c>
      <c r="BD617" s="25">
        <v>1</v>
      </c>
    </row>
    <row r="618" spans="1:56" hidden="1">
      <c r="A618" s="25">
        <v>613</v>
      </c>
      <c r="B618" s="25" t="str">
        <f>VLOOKUP(C618,'시스템이펙트 참고자료'!$A:$C,2,FALSE)</f>
        <v>ACTIVE_ATTACK_SPEED_UP</v>
      </c>
      <c r="C618" s="25">
        <v>617</v>
      </c>
      <c r="D618" s="25">
        <f>VLOOKUP(C618,'시스템이펙트 참고자료'!$A:$D,4,FALSE)</f>
        <v>1</v>
      </c>
      <c r="E618" s="25">
        <v>0</v>
      </c>
      <c r="F618" s="25">
        <v>0</v>
      </c>
      <c r="G618" s="25">
        <f t="shared" si="48"/>
        <v>10</v>
      </c>
      <c r="H618" s="25" t="s">
        <v>395</v>
      </c>
      <c r="I618" s="25">
        <v>1</v>
      </c>
      <c r="J618" s="25" t="str">
        <f>VLOOKUP(C618,'시스템이펙트 참고자료'!$A:$C,3,FALSE)</f>
        <v>절대값/상대값(%) 가능</v>
      </c>
      <c r="K618" s="25">
        <v>12</v>
      </c>
      <c r="M618" s="25">
        <v>5</v>
      </c>
      <c r="N618" s="25">
        <f t="shared" si="47"/>
        <v>10</v>
      </c>
      <c r="O618" s="25">
        <v>1</v>
      </c>
      <c r="P618" s="25">
        <v>1</v>
      </c>
      <c r="Q618" s="25">
        <v>1</v>
      </c>
      <c r="R618" s="25">
        <v>1</v>
      </c>
      <c r="T618" s="25">
        <v>1</v>
      </c>
      <c r="AA618" s="25">
        <f t="shared" si="50"/>
        <v>128</v>
      </c>
      <c r="AK618" s="25">
        <v>1</v>
      </c>
      <c r="AM618" s="25">
        <v>10</v>
      </c>
      <c r="AN618" s="25">
        <v>100</v>
      </c>
      <c r="AP618" s="25">
        <f t="shared" si="49"/>
        <v>10</v>
      </c>
      <c r="AQ618" s="25" t="str">
        <f>VLOOKUP(C618,'시스템이펙트 참고자료'!$A:$B,2,FALSE)</f>
        <v>ACTIVE_ATTACK_SPEED_UP</v>
      </c>
      <c r="AS618" s="25">
        <v>1</v>
      </c>
      <c r="BD618" s="25">
        <v>1</v>
      </c>
    </row>
    <row r="619" spans="1:56" hidden="1">
      <c r="A619" s="25">
        <v>614</v>
      </c>
      <c r="B619" s="25" t="str">
        <f>VLOOKUP(C619,'시스템이펙트 참고자료'!$A:$C,2,FALSE)</f>
        <v>ACTIVE_DEX_UP</v>
      </c>
      <c r="C619" s="25">
        <v>613</v>
      </c>
      <c r="D619" s="25">
        <f>VLOOKUP(C619,'시스템이펙트 참고자료'!$A:$D,4,FALSE)</f>
        <v>0</v>
      </c>
      <c r="E619" s="25">
        <v>0</v>
      </c>
      <c r="F619" s="25">
        <v>0</v>
      </c>
      <c r="G619" s="25">
        <f t="shared" si="48"/>
        <v>3</v>
      </c>
      <c r="H619" s="25" t="s">
        <v>395</v>
      </c>
      <c r="I619" s="25">
        <v>1</v>
      </c>
      <c r="J619" s="25" t="str">
        <f>VLOOKUP(C619,'시스템이펙트 참고자료'!$A:$C,3,FALSE)</f>
        <v>절대값/상대값(%) 가능</v>
      </c>
      <c r="K619" s="25">
        <v>12</v>
      </c>
      <c r="M619" s="25">
        <v>5</v>
      </c>
      <c r="N619" s="25">
        <f t="shared" si="47"/>
        <v>44</v>
      </c>
      <c r="O619" s="25">
        <v>1</v>
      </c>
      <c r="P619" s="25">
        <v>1</v>
      </c>
      <c r="Q619" s="25">
        <v>1</v>
      </c>
      <c r="R619" s="25">
        <v>1</v>
      </c>
      <c r="T619" s="25">
        <v>1</v>
      </c>
      <c r="AA619" s="25">
        <f t="shared" si="50"/>
        <v>128</v>
      </c>
      <c r="AK619" s="25">
        <v>1</v>
      </c>
      <c r="AM619" s="25">
        <v>44</v>
      </c>
      <c r="AN619" s="25">
        <v>100</v>
      </c>
      <c r="AP619" s="25">
        <f t="shared" si="49"/>
        <v>3</v>
      </c>
      <c r="AQ619" s="25" t="str">
        <f>VLOOKUP(C619,'시스템이펙트 참고자료'!$A:$B,2,FALSE)</f>
        <v>ACTIVE_DEX_UP</v>
      </c>
      <c r="AS619" s="25">
        <v>1</v>
      </c>
      <c r="BD619" s="25">
        <v>1</v>
      </c>
    </row>
    <row r="620" spans="1:56" hidden="1">
      <c r="A620" s="25">
        <v>615</v>
      </c>
      <c r="B620" s="25" t="str">
        <f>VLOOKUP(C620,'시스템이펙트 참고자료'!$A:$C,2,FALSE)</f>
        <v>ACTIVE_FOC_UP</v>
      </c>
      <c r="C620" s="25">
        <v>612</v>
      </c>
      <c r="D620" s="25">
        <f>VLOOKUP(C620,'시스템이펙트 참고자료'!$A:$D,4,FALSE)</f>
        <v>0</v>
      </c>
      <c r="E620" s="25">
        <v>0</v>
      </c>
      <c r="F620" s="25">
        <v>0</v>
      </c>
      <c r="G620" s="25">
        <f t="shared" si="48"/>
        <v>2</v>
      </c>
      <c r="H620" s="25" t="s">
        <v>395</v>
      </c>
      <c r="I620" s="25">
        <v>1</v>
      </c>
      <c r="J620" s="25" t="str">
        <f>VLOOKUP(C620,'시스템이펙트 참고자료'!$A:$C,3,FALSE)</f>
        <v>절대값/상대값(%) 가능</v>
      </c>
      <c r="K620" s="25">
        <v>12</v>
      </c>
      <c r="M620" s="25">
        <v>5</v>
      </c>
      <c r="N620" s="25">
        <f t="shared" si="47"/>
        <v>53</v>
      </c>
      <c r="O620" s="25">
        <v>1</v>
      </c>
      <c r="P620" s="25">
        <v>1</v>
      </c>
      <c r="Q620" s="25">
        <v>1</v>
      </c>
      <c r="R620" s="25">
        <v>1</v>
      </c>
      <c r="T620" s="25">
        <v>1</v>
      </c>
      <c r="AA620" s="25">
        <f t="shared" si="50"/>
        <v>128</v>
      </c>
      <c r="AK620" s="25">
        <v>1</v>
      </c>
      <c r="AM620" s="25">
        <v>53</v>
      </c>
      <c r="AN620" s="25">
        <v>100</v>
      </c>
      <c r="AP620" s="25">
        <f t="shared" si="49"/>
        <v>2</v>
      </c>
      <c r="AQ620" s="25" t="str">
        <f>VLOOKUP(C620,'시스템이펙트 참고자료'!$A:$B,2,FALSE)</f>
        <v>ACTIVE_FOC_UP</v>
      </c>
      <c r="AS620" s="25">
        <v>1</v>
      </c>
      <c r="BD620" s="25">
        <v>1</v>
      </c>
    </row>
    <row r="621" spans="1:56" hidden="1">
      <c r="A621" s="25">
        <v>616</v>
      </c>
      <c r="B621" s="25" t="str">
        <f>VLOOKUP(C621,'시스템이펙트 참고자료'!$A:$C,2,FALSE)</f>
        <v>ACTIVE_PHYSICAL_OFFENCE_UP</v>
      </c>
      <c r="C621" s="25">
        <v>606</v>
      </c>
      <c r="D621" s="25">
        <f>VLOOKUP(C621,'시스템이펙트 참고자료'!$A:$D,4,FALSE)</f>
        <v>0</v>
      </c>
      <c r="E621" s="25">
        <v>0</v>
      </c>
      <c r="F621" s="25">
        <v>0</v>
      </c>
      <c r="G621" s="25">
        <f t="shared" si="48"/>
        <v>1</v>
      </c>
      <c r="H621" s="25" t="s">
        <v>395</v>
      </c>
      <c r="I621" s="25">
        <v>1</v>
      </c>
      <c r="J621" s="25" t="str">
        <f>VLOOKUP(C621,'시스템이펙트 참고자료'!$A:$C,3,FALSE)</f>
        <v>절대값/상대값(%) 가능</v>
      </c>
      <c r="K621" s="25">
        <v>12</v>
      </c>
      <c r="M621" s="25">
        <v>5</v>
      </c>
      <c r="N621" s="25">
        <f t="shared" si="47"/>
        <v>125</v>
      </c>
      <c r="O621" s="25">
        <v>1</v>
      </c>
      <c r="P621" s="25">
        <v>1</v>
      </c>
      <c r="Q621" s="25">
        <v>1</v>
      </c>
      <c r="R621" s="25">
        <v>1</v>
      </c>
      <c r="T621" s="25">
        <v>1</v>
      </c>
      <c r="AA621" s="25">
        <f t="shared" si="50"/>
        <v>128</v>
      </c>
      <c r="AK621" s="25">
        <v>1</v>
      </c>
      <c r="AM621" s="25">
        <v>125</v>
      </c>
      <c r="AN621" s="25">
        <v>100</v>
      </c>
      <c r="AP621" s="25">
        <f t="shared" si="49"/>
        <v>1</v>
      </c>
      <c r="AQ621" s="25" t="str">
        <f>VLOOKUP(C621,'시스템이펙트 참고자료'!$A:$B,2,FALSE)</f>
        <v>ACTIVE_PHYSICAL_OFFENCE_UP</v>
      </c>
      <c r="AS621" s="25">
        <v>1</v>
      </c>
      <c r="BD621" s="25">
        <v>1</v>
      </c>
    </row>
    <row r="622" spans="1:56" hidden="1">
      <c r="A622" s="25">
        <v>617</v>
      </c>
      <c r="B622" s="25" t="str">
        <f>VLOOKUP(C622,'시스템이펙트 참고자료'!$A:$C,2,FALSE)</f>
        <v>ACTIVE_ENERGY_OFFENCE_UP</v>
      </c>
      <c r="C622" s="25">
        <v>607</v>
      </c>
      <c r="D622" s="25">
        <f>VLOOKUP(C622,'시스템이펙트 참고자료'!$A:$D,4,FALSE)</f>
        <v>0</v>
      </c>
      <c r="E622" s="25">
        <v>0</v>
      </c>
      <c r="F622" s="25">
        <v>0</v>
      </c>
      <c r="G622" s="25">
        <f t="shared" si="48"/>
        <v>1</v>
      </c>
      <c r="H622" s="25" t="s">
        <v>395</v>
      </c>
      <c r="I622" s="25">
        <v>1</v>
      </c>
      <c r="J622" s="25" t="str">
        <f>VLOOKUP(C622,'시스템이펙트 참고자료'!$A:$C,3,FALSE)</f>
        <v>절대값/상대값(%) 가능</v>
      </c>
      <c r="K622" s="25">
        <v>12</v>
      </c>
      <c r="M622" s="25">
        <v>5</v>
      </c>
      <c r="N622" s="25">
        <f t="shared" si="47"/>
        <v>104</v>
      </c>
      <c r="O622" s="25">
        <v>1</v>
      </c>
      <c r="P622" s="25">
        <v>1</v>
      </c>
      <c r="Q622" s="25">
        <v>1</v>
      </c>
      <c r="R622" s="25">
        <v>1</v>
      </c>
      <c r="T622" s="25">
        <v>1</v>
      </c>
      <c r="AA622" s="25">
        <f t="shared" si="50"/>
        <v>128</v>
      </c>
      <c r="AK622" s="25">
        <v>1</v>
      </c>
      <c r="AM622" s="25">
        <v>104</v>
      </c>
      <c r="AN622" s="25">
        <v>100</v>
      </c>
      <c r="AP622" s="25">
        <f t="shared" si="49"/>
        <v>1</v>
      </c>
      <c r="AQ622" s="25" t="str">
        <f>VLOOKUP(C622,'시스템이펙트 참고자료'!$A:$B,2,FALSE)</f>
        <v>ACTIVE_ENERGY_OFFENCE_UP</v>
      </c>
      <c r="AS622" s="25">
        <v>1</v>
      </c>
      <c r="BD622" s="25">
        <v>1</v>
      </c>
    </row>
    <row r="623" spans="1:56" hidden="1">
      <c r="A623" s="25">
        <v>618</v>
      </c>
      <c r="B623" s="25" t="str">
        <f>VLOOKUP(C623,'시스템이펙트 참고자료'!$A:$C,2,FALSE)</f>
        <v>ACTIVE_PHYSICAL_OFFENCE_UP</v>
      </c>
      <c r="C623" s="25">
        <v>606</v>
      </c>
      <c r="D623" s="25">
        <f>VLOOKUP(C623,'시스템이펙트 참고자료'!$A:$D,4,FALSE)</f>
        <v>0</v>
      </c>
      <c r="E623" s="25">
        <v>0</v>
      </c>
      <c r="F623" s="25">
        <v>0</v>
      </c>
      <c r="G623" s="25">
        <f t="shared" si="48"/>
        <v>1</v>
      </c>
      <c r="H623" s="25" t="s">
        <v>395</v>
      </c>
      <c r="I623" s="25">
        <v>1</v>
      </c>
      <c r="J623" s="25" t="str">
        <f>VLOOKUP(C623,'시스템이펙트 참고자료'!$A:$C,3,FALSE)</f>
        <v>절대값/상대값(%) 가능</v>
      </c>
      <c r="K623" s="25">
        <v>12</v>
      </c>
      <c r="M623" s="25">
        <v>6</v>
      </c>
      <c r="N623" s="25">
        <f t="shared" si="47"/>
        <v>125</v>
      </c>
      <c r="O623" s="25">
        <v>1</v>
      </c>
      <c r="P623" s="25">
        <v>1</v>
      </c>
      <c r="Q623" s="25">
        <v>1</v>
      </c>
      <c r="R623" s="25">
        <v>1</v>
      </c>
      <c r="T623" s="25">
        <v>1</v>
      </c>
      <c r="AA623" s="25">
        <f t="shared" si="50"/>
        <v>128</v>
      </c>
      <c r="AK623" s="25">
        <v>1</v>
      </c>
      <c r="AM623" s="25">
        <v>125</v>
      </c>
      <c r="AN623" s="25">
        <v>100</v>
      </c>
      <c r="AP623" s="25">
        <f t="shared" si="49"/>
        <v>1</v>
      </c>
      <c r="AQ623" s="25" t="str">
        <f>VLOOKUP(C623,'시스템이펙트 참고자료'!$A:$B,2,FALSE)</f>
        <v>ACTIVE_PHYSICAL_OFFENCE_UP</v>
      </c>
      <c r="AS623" s="25">
        <v>1</v>
      </c>
      <c r="BD623" s="25">
        <v>1</v>
      </c>
    </row>
    <row r="624" spans="1:56" hidden="1">
      <c r="A624" s="25">
        <v>619</v>
      </c>
      <c r="B624" s="25" t="str">
        <f>VLOOKUP(C624,'시스템이펙트 참고자료'!$A:$C,2,FALSE)</f>
        <v>ACTIVE_ENERGY_OFFENCE_UP</v>
      </c>
      <c r="C624" s="25">
        <v>607</v>
      </c>
      <c r="D624" s="25">
        <f>VLOOKUP(C624,'시스템이펙트 참고자료'!$A:$D,4,FALSE)</f>
        <v>0</v>
      </c>
      <c r="E624" s="25">
        <v>0</v>
      </c>
      <c r="F624" s="25">
        <v>0</v>
      </c>
      <c r="G624" s="25">
        <f t="shared" si="48"/>
        <v>1</v>
      </c>
      <c r="H624" s="25" t="s">
        <v>395</v>
      </c>
      <c r="I624" s="25">
        <v>1</v>
      </c>
      <c r="J624" s="25" t="str">
        <f>VLOOKUP(C624,'시스템이펙트 참고자료'!$A:$C,3,FALSE)</f>
        <v>절대값/상대값(%) 가능</v>
      </c>
      <c r="K624" s="25">
        <v>12</v>
      </c>
      <c r="M624" s="25">
        <v>6</v>
      </c>
      <c r="N624" s="25">
        <f t="shared" si="47"/>
        <v>104</v>
      </c>
      <c r="O624" s="25">
        <v>1</v>
      </c>
      <c r="P624" s="25">
        <v>1</v>
      </c>
      <c r="Q624" s="25">
        <v>1</v>
      </c>
      <c r="R624" s="25">
        <v>1</v>
      </c>
      <c r="T624" s="25">
        <v>1</v>
      </c>
      <c r="AA624" s="25">
        <f t="shared" si="50"/>
        <v>128</v>
      </c>
      <c r="AK624" s="25">
        <v>1</v>
      </c>
      <c r="AM624" s="25">
        <v>104</v>
      </c>
      <c r="AN624" s="25">
        <v>100</v>
      </c>
      <c r="AP624" s="25">
        <f t="shared" si="49"/>
        <v>1</v>
      </c>
      <c r="AQ624" s="25" t="str">
        <f>VLOOKUP(C624,'시스템이펙트 참고자료'!$A:$B,2,FALSE)</f>
        <v>ACTIVE_ENERGY_OFFENCE_UP</v>
      </c>
      <c r="AS624" s="25">
        <v>1</v>
      </c>
      <c r="BD624" s="25">
        <v>1</v>
      </c>
    </row>
    <row r="625" spans="1:56" hidden="1">
      <c r="A625" s="25">
        <v>620</v>
      </c>
      <c r="B625" s="25" t="str">
        <f>VLOOKUP(C625,'시스템이펙트 참고자료'!$A:$C,2,FALSE)</f>
        <v>ACTIVE_STR_UP</v>
      </c>
      <c r="C625" s="25">
        <v>610</v>
      </c>
      <c r="D625" s="25">
        <f>VLOOKUP(C625,'시스템이펙트 참고자료'!$A:$D,4,FALSE)</f>
        <v>0</v>
      </c>
      <c r="E625" s="25">
        <v>0</v>
      </c>
      <c r="F625" s="25">
        <v>0</v>
      </c>
      <c r="G625" s="25">
        <f t="shared" si="48"/>
        <v>2</v>
      </c>
      <c r="H625" s="25" t="s">
        <v>395</v>
      </c>
      <c r="I625" s="25">
        <v>1</v>
      </c>
      <c r="J625" s="25" t="str">
        <f>VLOOKUP(C625,'시스템이펙트 참고자료'!$A:$C,3,FALSE)</f>
        <v>절대값/상대값(%) 가능</v>
      </c>
      <c r="K625" s="25">
        <v>12</v>
      </c>
      <c r="M625" s="25">
        <v>6</v>
      </c>
      <c r="N625" s="25">
        <f t="shared" si="47"/>
        <v>57</v>
      </c>
      <c r="O625" s="25">
        <v>1</v>
      </c>
      <c r="P625" s="25">
        <v>1</v>
      </c>
      <c r="Q625" s="25">
        <v>1</v>
      </c>
      <c r="R625" s="25">
        <v>1</v>
      </c>
      <c r="T625" s="25">
        <v>1</v>
      </c>
      <c r="AA625" s="25">
        <f t="shared" si="50"/>
        <v>128</v>
      </c>
      <c r="AK625" s="25">
        <v>1</v>
      </c>
      <c r="AM625" s="25">
        <v>57</v>
      </c>
      <c r="AN625" s="25">
        <v>100</v>
      </c>
      <c r="AP625" s="25">
        <f t="shared" si="49"/>
        <v>2</v>
      </c>
      <c r="AQ625" s="25" t="str">
        <f>VLOOKUP(C625,'시스템이펙트 참고자료'!$A:$B,2,FALSE)</f>
        <v>ACTIVE_STR_UP</v>
      </c>
      <c r="AS625" s="25">
        <v>1</v>
      </c>
      <c r="BD625" s="25">
        <v>1</v>
      </c>
    </row>
    <row r="626" spans="1:56" hidden="1">
      <c r="A626" s="25">
        <v>621</v>
      </c>
      <c r="B626" s="25" t="str">
        <f>VLOOKUP(C626,'시스템이펙트 참고자료'!$A:$C,2,FALSE)</f>
        <v>ACTIVE_SOL_UP</v>
      </c>
      <c r="C626" s="25">
        <v>614</v>
      </c>
      <c r="D626" s="25">
        <f>VLOOKUP(C626,'시스템이펙트 참고자료'!$A:$D,4,FALSE)</f>
        <v>0</v>
      </c>
      <c r="E626" s="25">
        <v>0</v>
      </c>
      <c r="F626" s="25">
        <v>0</v>
      </c>
      <c r="G626" s="25">
        <f t="shared" si="48"/>
        <v>2</v>
      </c>
      <c r="H626" s="25" t="s">
        <v>395</v>
      </c>
      <c r="I626" s="25">
        <v>1</v>
      </c>
      <c r="J626" s="25" t="str">
        <f>VLOOKUP(C626,'시스템이펙트 참고자료'!$A:$C,3,FALSE)</f>
        <v>절대값/상대값(%) 가능</v>
      </c>
      <c r="K626" s="25">
        <v>12</v>
      </c>
      <c r="M626" s="25">
        <v>6</v>
      </c>
      <c r="N626" s="25">
        <f t="shared" si="47"/>
        <v>53</v>
      </c>
      <c r="O626" s="25">
        <v>1</v>
      </c>
      <c r="P626" s="25">
        <v>1</v>
      </c>
      <c r="Q626" s="25">
        <v>1</v>
      </c>
      <c r="R626" s="25">
        <v>1</v>
      </c>
      <c r="T626" s="25">
        <v>1</v>
      </c>
      <c r="AA626" s="25">
        <f t="shared" si="50"/>
        <v>128</v>
      </c>
      <c r="AK626" s="25">
        <v>1</v>
      </c>
      <c r="AM626" s="25">
        <v>53</v>
      </c>
      <c r="AN626" s="25">
        <v>100</v>
      </c>
      <c r="AP626" s="25">
        <f t="shared" si="49"/>
        <v>2</v>
      </c>
      <c r="AQ626" s="25" t="str">
        <f>VLOOKUP(C626,'시스템이펙트 참고자료'!$A:$B,2,FALSE)</f>
        <v>ACTIVE_SOL_UP</v>
      </c>
      <c r="AS626" s="25">
        <v>1</v>
      </c>
      <c r="BD626" s="25">
        <v>1</v>
      </c>
    </row>
    <row r="627" spans="1:56" hidden="1">
      <c r="A627" s="25">
        <v>622</v>
      </c>
      <c r="B627" s="25" t="str">
        <f>VLOOKUP(C627,'시스템이펙트 참고자료'!$A:$C,2,FALSE)</f>
        <v>ACTIVE_PHYSICAL_CRITICAL_DAMAGE_UP</v>
      </c>
      <c r="C627" s="25">
        <v>658</v>
      </c>
      <c r="D627" s="25">
        <f>VLOOKUP(C627,'시스템이펙트 참고자료'!$A:$D,4,FALSE)</f>
        <v>0</v>
      </c>
      <c r="E627" s="25">
        <v>0</v>
      </c>
      <c r="F627" s="25">
        <v>0</v>
      </c>
      <c r="G627" s="25">
        <f t="shared" si="48"/>
        <v>4</v>
      </c>
      <c r="H627" s="25" t="s">
        <v>395</v>
      </c>
      <c r="I627" s="25">
        <v>1</v>
      </c>
      <c r="J627" s="25" t="str">
        <f>VLOOKUP(C627,'시스템이펙트 참고자료'!$A:$C,3,FALSE)</f>
        <v>절대값만 가능</v>
      </c>
      <c r="K627" s="25">
        <v>12</v>
      </c>
      <c r="M627" s="25">
        <v>6</v>
      </c>
      <c r="N627" s="25">
        <f t="shared" si="47"/>
        <v>28</v>
      </c>
      <c r="O627" s="25">
        <v>1</v>
      </c>
      <c r="P627" s="25">
        <v>1</v>
      </c>
      <c r="Q627" s="25">
        <v>1</v>
      </c>
      <c r="R627" s="25">
        <v>1</v>
      </c>
      <c r="T627" s="25">
        <v>1</v>
      </c>
      <c r="AA627" s="25">
        <f t="shared" si="50"/>
        <v>128</v>
      </c>
      <c r="AK627" s="25">
        <v>1</v>
      </c>
      <c r="AM627" s="25">
        <v>28</v>
      </c>
      <c r="AN627" s="25">
        <v>100</v>
      </c>
      <c r="AP627" s="25">
        <f t="shared" si="49"/>
        <v>4</v>
      </c>
      <c r="AQ627" s="25" t="str">
        <f>VLOOKUP(C627,'시스템이펙트 참고자료'!$A:$B,2,FALSE)</f>
        <v>ACTIVE_PHYSICAL_CRITICAL_DAMAGE_UP</v>
      </c>
      <c r="AS627" s="25">
        <v>1</v>
      </c>
      <c r="BD627" s="25">
        <v>1</v>
      </c>
    </row>
    <row r="628" spans="1:56" hidden="1">
      <c r="A628" s="25">
        <v>623</v>
      </c>
      <c r="B628" s="25" t="str">
        <f>VLOOKUP(C628,'시스템이펙트 참고자료'!$A:$C,2,FALSE)</f>
        <v>ACTIVE_ENERGY_CRITICAL_DAMAGE_UP</v>
      </c>
      <c r="C628" s="25">
        <v>659</v>
      </c>
      <c r="D628" s="25">
        <f>VLOOKUP(C628,'시스템이펙트 참고자료'!$A:$D,4,FALSE)</f>
        <v>0</v>
      </c>
      <c r="E628" s="25">
        <v>0</v>
      </c>
      <c r="F628" s="25">
        <v>0</v>
      </c>
      <c r="G628" s="25">
        <f t="shared" si="48"/>
        <v>4</v>
      </c>
      <c r="H628" s="25" t="s">
        <v>395</v>
      </c>
      <c r="I628" s="25">
        <v>1</v>
      </c>
      <c r="J628" s="25" t="str">
        <f>VLOOKUP(C628,'시스템이펙트 참고자료'!$A:$C,3,FALSE)</f>
        <v>절대값만 가능</v>
      </c>
      <c r="K628" s="25">
        <v>12</v>
      </c>
      <c r="M628" s="25">
        <v>6</v>
      </c>
      <c r="N628" s="25">
        <f t="shared" si="47"/>
        <v>32</v>
      </c>
      <c r="O628" s="25">
        <v>1</v>
      </c>
      <c r="P628" s="25">
        <v>1</v>
      </c>
      <c r="Q628" s="25">
        <v>1</v>
      </c>
      <c r="R628" s="25">
        <v>1</v>
      </c>
      <c r="T628" s="25">
        <v>1</v>
      </c>
      <c r="AA628" s="25">
        <f t="shared" si="50"/>
        <v>128</v>
      </c>
      <c r="AK628" s="25">
        <v>1</v>
      </c>
      <c r="AM628" s="25">
        <v>32</v>
      </c>
      <c r="AN628" s="25">
        <v>100</v>
      </c>
      <c r="AP628" s="25">
        <f t="shared" si="49"/>
        <v>4</v>
      </c>
      <c r="AQ628" s="25" t="str">
        <f>VLOOKUP(C628,'시스템이펙트 참고자료'!$A:$B,2,FALSE)</f>
        <v>ACTIVE_ENERGY_CRITICAL_DAMAGE_UP</v>
      </c>
      <c r="AS628" s="25">
        <v>1</v>
      </c>
      <c r="BD628" s="25">
        <v>1</v>
      </c>
    </row>
    <row r="629" spans="1:56" hidden="1">
      <c r="A629" s="25">
        <v>624</v>
      </c>
      <c r="B629" s="25" t="str">
        <f>VLOOKUP(C629,'시스템이펙트 참고자료'!$A:$C,2,FALSE)</f>
        <v>ACTIVE_FOC_UP</v>
      </c>
      <c r="C629" s="25">
        <v>612</v>
      </c>
      <c r="D629" s="25">
        <f>VLOOKUP(C629,'시스템이펙트 참고자료'!$A:$D,4,FALSE)</f>
        <v>0</v>
      </c>
      <c r="E629" s="25">
        <v>0</v>
      </c>
      <c r="F629" s="25">
        <v>0</v>
      </c>
      <c r="G629" s="25">
        <f t="shared" si="48"/>
        <v>2</v>
      </c>
      <c r="H629" s="25" t="s">
        <v>395</v>
      </c>
      <c r="I629" s="25">
        <v>1</v>
      </c>
      <c r="J629" s="25" t="str">
        <f>VLOOKUP(C629,'시스템이펙트 참고자료'!$A:$C,3,FALSE)</f>
        <v>절대값/상대값(%) 가능</v>
      </c>
      <c r="K629" s="25">
        <v>12</v>
      </c>
      <c r="M629" s="25">
        <v>7</v>
      </c>
      <c r="N629" s="25">
        <f t="shared" si="47"/>
        <v>53</v>
      </c>
      <c r="O629" s="25">
        <v>1</v>
      </c>
      <c r="P629" s="25">
        <v>1</v>
      </c>
      <c r="Q629" s="25">
        <v>1</v>
      </c>
      <c r="R629" s="25">
        <v>1</v>
      </c>
      <c r="T629" s="25">
        <v>1</v>
      </c>
      <c r="AA629" s="25">
        <f t="shared" si="50"/>
        <v>128</v>
      </c>
      <c r="AK629" s="25">
        <v>1</v>
      </c>
      <c r="AM629" s="25">
        <v>53</v>
      </c>
      <c r="AN629" s="25">
        <v>100</v>
      </c>
      <c r="AP629" s="25">
        <f t="shared" si="49"/>
        <v>2</v>
      </c>
      <c r="AQ629" s="25" t="str">
        <f>VLOOKUP(C629,'시스템이펙트 참고자료'!$A:$B,2,FALSE)</f>
        <v>ACTIVE_FOC_UP</v>
      </c>
      <c r="AS629" s="25">
        <v>1</v>
      </c>
      <c r="BD629" s="25">
        <v>1</v>
      </c>
    </row>
    <row r="630" spans="1:56" hidden="1">
      <c r="A630" s="25">
        <v>625</v>
      </c>
      <c r="B630" s="25" t="str">
        <f>VLOOKUP(C630,'시스템이펙트 참고자료'!$A:$C,2,FALSE)</f>
        <v>ACTIVE_ATTACK_RATE_UP</v>
      </c>
      <c r="C630" s="25">
        <v>618</v>
      </c>
      <c r="D630" s="25">
        <f>VLOOKUP(C630,'시스템이펙트 참고자료'!$A:$D,4,FALSE)</f>
        <v>0</v>
      </c>
      <c r="E630" s="25">
        <v>0</v>
      </c>
      <c r="F630" s="25">
        <v>0</v>
      </c>
      <c r="G630" s="25">
        <f t="shared" si="48"/>
        <v>1</v>
      </c>
      <c r="H630" s="25" t="s">
        <v>395</v>
      </c>
      <c r="I630" s="25">
        <v>1</v>
      </c>
      <c r="J630" s="25" t="str">
        <f>VLOOKUP(C630,'시스템이펙트 참고자료'!$A:$C,3,FALSE)</f>
        <v>절대값/상대값(%) 가능</v>
      </c>
      <c r="K630" s="25">
        <v>12</v>
      </c>
      <c r="M630" s="25">
        <v>7</v>
      </c>
      <c r="N630" s="25">
        <f t="shared" si="47"/>
        <v>528</v>
      </c>
      <c r="O630" s="25">
        <v>1</v>
      </c>
      <c r="P630" s="25">
        <v>1</v>
      </c>
      <c r="Q630" s="25">
        <v>1</v>
      </c>
      <c r="R630" s="25">
        <v>1</v>
      </c>
      <c r="T630" s="25">
        <v>1</v>
      </c>
      <c r="AA630" s="25">
        <f t="shared" si="50"/>
        <v>128</v>
      </c>
      <c r="AK630" s="25">
        <v>1</v>
      </c>
      <c r="AM630" s="25">
        <v>528</v>
      </c>
      <c r="AN630" s="25">
        <v>100</v>
      </c>
      <c r="AP630" s="25">
        <f t="shared" si="49"/>
        <v>1</v>
      </c>
      <c r="AQ630" s="25" t="str">
        <f>VLOOKUP(C630,'시스템이펙트 참고자료'!$A:$B,2,FALSE)</f>
        <v>ACTIVE_ATTACK_RATE_UP</v>
      </c>
      <c r="AS630" s="25">
        <v>1</v>
      </c>
      <c r="BD630" s="25">
        <v>1</v>
      </c>
    </row>
    <row r="631" spans="1:56" hidden="1">
      <c r="A631" s="25">
        <v>626</v>
      </c>
      <c r="B631" s="25" t="str">
        <f>VLOOKUP(C631,'시스템이펙트 참고자료'!$A:$C,2,FALSE)</f>
        <v>ACTIVE_ENG_UP</v>
      </c>
      <c r="C631" s="25">
        <v>615</v>
      </c>
      <c r="D631" s="25">
        <f>VLOOKUP(C631,'시스템이펙트 참고자료'!$A:$D,4,FALSE)</f>
        <v>0</v>
      </c>
      <c r="E631" s="25">
        <v>0</v>
      </c>
      <c r="F631" s="25">
        <v>0</v>
      </c>
      <c r="G631" s="25">
        <f t="shared" si="48"/>
        <v>2</v>
      </c>
      <c r="H631" s="25" t="s">
        <v>395</v>
      </c>
      <c r="I631" s="25">
        <v>1</v>
      </c>
      <c r="J631" s="25" t="str">
        <f>VLOOKUP(C631,'시스템이펙트 참고자료'!$A:$C,3,FALSE)</f>
        <v>절대값/상대값(%) 가능</v>
      </c>
      <c r="K631" s="25">
        <v>12</v>
      </c>
      <c r="M631" s="25">
        <v>7</v>
      </c>
      <c r="N631" s="25">
        <f t="shared" si="47"/>
        <v>62</v>
      </c>
      <c r="O631" s="25">
        <v>1</v>
      </c>
      <c r="P631" s="25">
        <v>1</v>
      </c>
      <c r="Q631" s="25">
        <v>1</v>
      </c>
      <c r="R631" s="25">
        <v>1</v>
      </c>
      <c r="T631" s="25">
        <v>1</v>
      </c>
      <c r="AA631" s="25">
        <f t="shared" si="50"/>
        <v>128</v>
      </c>
      <c r="AK631" s="25">
        <v>1</v>
      </c>
      <c r="AM631" s="25">
        <v>62</v>
      </c>
      <c r="AN631" s="25">
        <v>100</v>
      </c>
      <c r="AP631" s="25">
        <f t="shared" si="49"/>
        <v>2</v>
      </c>
      <c r="AQ631" s="25" t="str">
        <f>VLOOKUP(C631,'시스템이펙트 참고자료'!$A:$B,2,FALSE)</f>
        <v>ACTIVE_ENG_UP</v>
      </c>
      <c r="AS631" s="25">
        <v>1</v>
      </c>
      <c r="BD631" s="25">
        <v>1</v>
      </c>
    </row>
    <row r="632" spans="1:56" hidden="1">
      <c r="A632" s="25">
        <v>627</v>
      </c>
      <c r="B632" s="25" t="str">
        <f>VLOOKUP(C632,'시스템이펙트 참고자료'!$A:$C,2,FALSE)</f>
        <v>ACTIVE_PHYSICAL_CRITICAL</v>
      </c>
      <c r="C632" s="25">
        <v>632</v>
      </c>
      <c r="D632" s="25">
        <f>VLOOKUP(C632,'시스템이펙트 참고자료'!$A:$D,4,FALSE)</f>
        <v>0</v>
      </c>
      <c r="E632" s="25">
        <v>0</v>
      </c>
      <c r="F632" s="25">
        <v>0</v>
      </c>
      <c r="G632" s="25">
        <f t="shared" si="48"/>
        <v>5</v>
      </c>
      <c r="H632" s="25" t="s">
        <v>395</v>
      </c>
      <c r="I632" s="25">
        <v>1</v>
      </c>
      <c r="J632" s="25" t="str">
        <f>VLOOKUP(C632,'시스템이펙트 참고자료'!$A:$C,3,FALSE)</f>
        <v>절대값/상대값(%) 가능</v>
      </c>
      <c r="K632" s="25">
        <v>12</v>
      </c>
      <c r="M632" s="25">
        <v>7</v>
      </c>
      <c r="N632" s="25">
        <f t="shared" si="47"/>
        <v>21</v>
      </c>
      <c r="O632" s="25">
        <v>1</v>
      </c>
      <c r="P632" s="25">
        <v>1</v>
      </c>
      <c r="Q632" s="25">
        <v>1</v>
      </c>
      <c r="R632" s="25">
        <v>1</v>
      </c>
      <c r="T632" s="25">
        <v>1</v>
      </c>
      <c r="AA632" s="25">
        <f t="shared" si="50"/>
        <v>128</v>
      </c>
      <c r="AK632" s="25">
        <v>1</v>
      </c>
      <c r="AM632" s="25">
        <v>21</v>
      </c>
      <c r="AN632" s="25">
        <v>100</v>
      </c>
      <c r="AP632" s="25">
        <f t="shared" si="49"/>
        <v>5</v>
      </c>
      <c r="AQ632" s="25" t="str">
        <f>VLOOKUP(C632,'시스템이펙트 참고자료'!$A:$B,2,FALSE)</f>
        <v>ACTIVE_PHYSICAL_CRITICAL</v>
      </c>
      <c r="AS632" s="25">
        <v>1</v>
      </c>
      <c r="BD632" s="25">
        <v>1</v>
      </c>
    </row>
    <row r="633" spans="1:56" hidden="1">
      <c r="A633" s="25">
        <v>628</v>
      </c>
      <c r="B633" s="25" t="str">
        <f>VLOOKUP(C633,'시스템이펙트 참고자료'!$A:$C,2,FALSE)</f>
        <v>ACTIVE_ENERGY_CRITICAL</v>
      </c>
      <c r="C633" s="25">
        <v>633</v>
      </c>
      <c r="D633" s="25">
        <f>VLOOKUP(C633,'시스템이펙트 참고자료'!$A:$D,4,FALSE)</f>
        <v>0</v>
      </c>
      <c r="E633" s="25">
        <v>0</v>
      </c>
      <c r="F633" s="25">
        <v>0</v>
      </c>
      <c r="G633" s="25">
        <f t="shared" si="48"/>
        <v>5</v>
      </c>
      <c r="H633" s="25" t="s">
        <v>395</v>
      </c>
      <c r="I633" s="25">
        <v>1</v>
      </c>
      <c r="J633" s="25" t="str">
        <f>VLOOKUP(C633,'시스템이펙트 참고자료'!$A:$C,3,FALSE)</f>
        <v>절대값/상대값(%) 가능</v>
      </c>
      <c r="K633" s="25">
        <v>12</v>
      </c>
      <c r="M633" s="25">
        <v>7</v>
      </c>
      <c r="N633" s="25">
        <f t="shared" si="47"/>
        <v>24</v>
      </c>
      <c r="O633" s="25">
        <v>1</v>
      </c>
      <c r="P633" s="25">
        <v>1</v>
      </c>
      <c r="Q633" s="25">
        <v>1</v>
      </c>
      <c r="R633" s="25">
        <v>1</v>
      </c>
      <c r="T633" s="25">
        <v>1</v>
      </c>
      <c r="AA633" s="25">
        <f t="shared" si="50"/>
        <v>128</v>
      </c>
      <c r="AK633" s="25">
        <v>1</v>
      </c>
      <c r="AM633" s="25">
        <v>24</v>
      </c>
      <c r="AN633" s="25">
        <v>100</v>
      </c>
      <c r="AP633" s="25">
        <f t="shared" si="49"/>
        <v>5</v>
      </c>
      <c r="AQ633" s="25" t="str">
        <f>VLOOKUP(C633,'시스템이펙트 참고자료'!$A:$B,2,FALSE)</f>
        <v>ACTIVE_ENERGY_CRITICAL</v>
      </c>
      <c r="AS633" s="25">
        <v>1</v>
      </c>
      <c r="BD633" s="25">
        <v>1</v>
      </c>
    </row>
    <row r="634" spans="1:56" hidden="1">
      <c r="A634" s="25">
        <v>629</v>
      </c>
      <c r="B634" s="25" t="str">
        <f>VLOOKUP(C634,'시스템이펙트 참고자료'!$A:$C,2,FALSE)</f>
        <v>ACTIVE_FOC_UP</v>
      </c>
      <c r="C634" s="25">
        <v>612</v>
      </c>
      <c r="D634" s="25">
        <f>VLOOKUP(C634,'시스템이펙트 참고자료'!$A:$D,4,FALSE)</f>
        <v>0</v>
      </c>
      <c r="E634" s="25">
        <v>0</v>
      </c>
      <c r="F634" s="25">
        <v>0</v>
      </c>
      <c r="G634" s="25">
        <f t="shared" si="48"/>
        <v>2</v>
      </c>
      <c r="H634" s="25" t="s">
        <v>395</v>
      </c>
      <c r="I634" s="25">
        <v>1</v>
      </c>
      <c r="J634" s="25" t="str">
        <f>VLOOKUP(C634,'시스템이펙트 참고자료'!$A:$C,3,FALSE)</f>
        <v>절대값/상대값(%) 가능</v>
      </c>
      <c r="K634" s="25">
        <v>12</v>
      </c>
      <c r="M634" s="25">
        <v>8</v>
      </c>
      <c r="N634" s="25">
        <f t="shared" si="47"/>
        <v>53</v>
      </c>
      <c r="O634" s="25">
        <v>1</v>
      </c>
      <c r="P634" s="25">
        <v>1</v>
      </c>
      <c r="Q634" s="25">
        <v>1</v>
      </c>
      <c r="R634" s="25">
        <v>1</v>
      </c>
      <c r="T634" s="25">
        <v>1</v>
      </c>
      <c r="AA634" s="25">
        <f t="shared" si="50"/>
        <v>128</v>
      </c>
      <c r="AK634" s="25">
        <v>1</v>
      </c>
      <c r="AM634" s="25">
        <v>53</v>
      </c>
      <c r="AN634" s="25">
        <v>100</v>
      </c>
      <c r="AP634" s="25">
        <f t="shared" si="49"/>
        <v>2</v>
      </c>
      <c r="AQ634" s="25" t="str">
        <f>VLOOKUP(C634,'시스템이펙트 참고자료'!$A:$B,2,FALSE)</f>
        <v>ACTIVE_FOC_UP</v>
      </c>
      <c r="AS634" s="25">
        <v>1</v>
      </c>
      <c r="BD634" s="25">
        <v>1</v>
      </c>
    </row>
    <row r="635" spans="1:56" hidden="1">
      <c r="A635" s="25">
        <v>630</v>
      </c>
      <c r="B635" s="25" t="str">
        <f>VLOOKUP(C635,'시스템이펙트 참고자료'!$A:$C,2,FALSE)</f>
        <v>ACTIVE_CON_UP</v>
      </c>
      <c r="C635" s="25">
        <v>611</v>
      </c>
      <c r="D635" s="25">
        <f>VLOOKUP(C635,'시스템이펙트 참고자료'!$A:$D,4,FALSE)</f>
        <v>0</v>
      </c>
      <c r="E635" s="25">
        <v>0</v>
      </c>
      <c r="F635" s="25">
        <v>0</v>
      </c>
      <c r="G635" s="25">
        <f t="shared" si="48"/>
        <v>3</v>
      </c>
      <c r="H635" s="25" t="s">
        <v>395</v>
      </c>
      <c r="I635" s="25">
        <v>1</v>
      </c>
      <c r="J635" s="25" t="str">
        <f>VLOOKUP(C635,'시스템이펙트 참고자료'!$A:$C,3,FALSE)</f>
        <v>절대값/상대값(%) 가능</v>
      </c>
      <c r="K635" s="25">
        <v>12</v>
      </c>
      <c r="M635" s="25">
        <v>8</v>
      </c>
      <c r="N635" s="25">
        <f t="shared" si="47"/>
        <v>48</v>
      </c>
      <c r="O635" s="25">
        <v>1</v>
      </c>
      <c r="P635" s="25">
        <v>1</v>
      </c>
      <c r="Q635" s="25">
        <v>1</v>
      </c>
      <c r="R635" s="25">
        <v>1</v>
      </c>
      <c r="T635" s="25">
        <v>1</v>
      </c>
      <c r="AA635" s="25">
        <f t="shared" si="50"/>
        <v>128</v>
      </c>
      <c r="AK635" s="25">
        <v>1</v>
      </c>
      <c r="AM635" s="25">
        <v>48</v>
      </c>
      <c r="AN635" s="25">
        <v>100</v>
      </c>
      <c r="AP635" s="25">
        <f t="shared" si="49"/>
        <v>3</v>
      </c>
      <c r="AQ635" s="25" t="str">
        <f>VLOOKUP(C635,'시스템이펙트 참고자료'!$A:$B,2,FALSE)</f>
        <v>ACTIVE_CON_UP</v>
      </c>
      <c r="AS635" s="25">
        <v>1</v>
      </c>
      <c r="BD635" s="25">
        <v>1</v>
      </c>
    </row>
    <row r="636" spans="1:56" hidden="1">
      <c r="A636" s="25">
        <v>631</v>
      </c>
      <c r="B636" s="25" t="str">
        <f>VLOOKUP(C636,'시스템이펙트 참고자료'!$A:$C,2,FALSE)</f>
        <v>ACTIVE_BLOCK_RATE_UP</v>
      </c>
      <c r="C636" s="25">
        <v>620</v>
      </c>
      <c r="D636" s="25">
        <f>VLOOKUP(C636,'시스템이펙트 참고자료'!$A:$D,4,FALSE)</f>
        <v>0</v>
      </c>
      <c r="E636" s="25">
        <v>0</v>
      </c>
      <c r="F636" s="25">
        <v>0</v>
      </c>
      <c r="G636" s="25">
        <f t="shared" si="48"/>
        <v>1</v>
      </c>
      <c r="H636" s="25" t="s">
        <v>395</v>
      </c>
      <c r="I636" s="25">
        <v>1</v>
      </c>
      <c r="J636" s="25" t="str">
        <f>VLOOKUP(C636,'시스템이펙트 참고자료'!$A:$C,3,FALSE)</f>
        <v>절대값/상대값(%) 가능</v>
      </c>
      <c r="K636" s="25">
        <v>12</v>
      </c>
      <c r="M636" s="25">
        <v>8</v>
      </c>
      <c r="N636" s="25">
        <f t="shared" si="47"/>
        <v>352</v>
      </c>
      <c r="O636" s="25">
        <v>1</v>
      </c>
      <c r="P636" s="25">
        <v>1</v>
      </c>
      <c r="Q636" s="25">
        <v>1</v>
      </c>
      <c r="R636" s="25">
        <v>1</v>
      </c>
      <c r="T636" s="25">
        <v>1</v>
      </c>
      <c r="AA636" s="25">
        <f t="shared" si="50"/>
        <v>128</v>
      </c>
      <c r="AK636" s="25">
        <v>1</v>
      </c>
      <c r="AM636" s="25">
        <v>352</v>
      </c>
      <c r="AN636" s="25">
        <v>100</v>
      </c>
      <c r="AP636" s="25">
        <f t="shared" si="49"/>
        <v>1</v>
      </c>
      <c r="AQ636" s="25" t="str">
        <f>VLOOKUP(C636,'시스템이펙트 참고자료'!$A:$B,2,FALSE)</f>
        <v>ACTIVE_BLOCK_RATE_UP</v>
      </c>
      <c r="AS636" s="25">
        <v>1</v>
      </c>
      <c r="BD636" s="25">
        <v>1</v>
      </c>
    </row>
    <row r="637" spans="1:56" hidden="1">
      <c r="A637" s="25">
        <v>632</v>
      </c>
      <c r="B637" s="25" t="str">
        <f>VLOOKUP(C637,'시스템이펙트 참고자료'!$A:$C,2,FALSE)</f>
        <v>ACTIVE_ENG_UP</v>
      </c>
      <c r="C637" s="25">
        <v>615</v>
      </c>
      <c r="D637" s="25">
        <f>VLOOKUP(C637,'시스템이펙트 참고자료'!$A:$D,4,FALSE)</f>
        <v>0</v>
      </c>
      <c r="E637" s="25">
        <v>0</v>
      </c>
      <c r="F637" s="25">
        <v>0</v>
      </c>
      <c r="G637" s="25">
        <f t="shared" si="48"/>
        <v>2</v>
      </c>
      <c r="H637" s="25" t="s">
        <v>395</v>
      </c>
      <c r="I637" s="25">
        <v>1</v>
      </c>
      <c r="J637" s="25" t="str">
        <f>VLOOKUP(C637,'시스템이펙트 참고자료'!$A:$C,3,FALSE)</f>
        <v>절대값/상대값(%) 가능</v>
      </c>
      <c r="K637" s="25">
        <v>12</v>
      </c>
      <c r="M637" s="25">
        <v>8</v>
      </c>
      <c r="N637" s="25">
        <f t="shared" si="47"/>
        <v>62</v>
      </c>
      <c r="O637" s="25">
        <v>1</v>
      </c>
      <c r="P637" s="25">
        <v>1</v>
      </c>
      <c r="Q637" s="25">
        <v>1</v>
      </c>
      <c r="R637" s="25">
        <v>1</v>
      </c>
      <c r="T637" s="25">
        <v>1</v>
      </c>
      <c r="AA637" s="25">
        <f t="shared" si="50"/>
        <v>128</v>
      </c>
      <c r="AK637" s="25">
        <v>1</v>
      </c>
      <c r="AM637" s="25">
        <v>62</v>
      </c>
      <c r="AN637" s="25">
        <v>100</v>
      </c>
      <c r="AP637" s="25">
        <f t="shared" si="49"/>
        <v>2</v>
      </c>
      <c r="AQ637" s="25" t="str">
        <f>VLOOKUP(C637,'시스템이펙트 참고자료'!$A:$B,2,FALSE)</f>
        <v>ACTIVE_ENG_UP</v>
      </c>
      <c r="AS637" s="25">
        <v>1</v>
      </c>
      <c r="BD637" s="25">
        <v>1</v>
      </c>
    </row>
    <row r="638" spans="1:56" hidden="1">
      <c r="A638" s="25">
        <v>633</v>
      </c>
      <c r="B638" s="25" t="str">
        <f>VLOOKUP(C638,'시스템이펙트 참고자료'!$A:$C,2,FALSE)</f>
        <v>ACTIVE_PHYSICAL_CRITICAL</v>
      </c>
      <c r="C638" s="25">
        <v>632</v>
      </c>
      <c r="D638" s="25">
        <f>VLOOKUP(C638,'시스템이펙트 참고자료'!$A:$D,4,FALSE)</f>
        <v>0</v>
      </c>
      <c r="E638" s="25">
        <v>0</v>
      </c>
      <c r="F638" s="25">
        <v>0</v>
      </c>
      <c r="G638" s="25">
        <f t="shared" si="48"/>
        <v>5</v>
      </c>
      <c r="H638" s="25" t="s">
        <v>395</v>
      </c>
      <c r="I638" s="25">
        <v>1</v>
      </c>
      <c r="J638" s="25" t="str">
        <f>VLOOKUP(C638,'시스템이펙트 참고자료'!$A:$C,3,FALSE)</f>
        <v>절대값/상대값(%) 가능</v>
      </c>
      <c r="K638" s="25">
        <v>12</v>
      </c>
      <c r="M638" s="25">
        <v>9</v>
      </c>
      <c r="N638" s="25">
        <f t="shared" si="47"/>
        <v>21</v>
      </c>
      <c r="O638" s="25">
        <v>1</v>
      </c>
      <c r="P638" s="25">
        <v>1</v>
      </c>
      <c r="Q638" s="25">
        <v>1</v>
      </c>
      <c r="R638" s="25">
        <v>1</v>
      </c>
      <c r="T638" s="25">
        <v>1</v>
      </c>
      <c r="AA638" s="25">
        <f t="shared" si="50"/>
        <v>128</v>
      </c>
      <c r="AK638" s="25">
        <v>1</v>
      </c>
      <c r="AM638" s="25">
        <v>21</v>
      </c>
      <c r="AN638" s="25">
        <v>100</v>
      </c>
      <c r="AP638" s="25">
        <f t="shared" si="49"/>
        <v>5</v>
      </c>
      <c r="AQ638" s="25" t="str">
        <f>VLOOKUP(C638,'시스템이펙트 참고자료'!$A:$B,2,FALSE)</f>
        <v>ACTIVE_PHYSICAL_CRITICAL</v>
      </c>
      <c r="AS638" s="25">
        <v>1</v>
      </c>
      <c r="BD638" s="25">
        <v>1</v>
      </c>
    </row>
    <row r="639" spans="1:56" hidden="1">
      <c r="A639" s="25">
        <v>634</v>
      </c>
      <c r="B639" s="25" t="str">
        <f>VLOOKUP(C639,'시스템이펙트 참고자료'!$A:$C,2,FALSE)</f>
        <v>ACTIVE_ENERGY_CRITICAL</v>
      </c>
      <c r="C639" s="25">
        <v>633</v>
      </c>
      <c r="D639" s="25">
        <f>VLOOKUP(C639,'시스템이펙트 참고자료'!$A:$D,4,FALSE)</f>
        <v>0</v>
      </c>
      <c r="E639" s="25">
        <v>0</v>
      </c>
      <c r="F639" s="25">
        <v>0</v>
      </c>
      <c r="G639" s="25">
        <f t="shared" si="48"/>
        <v>5</v>
      </c>
      <c r="H639" s="25" t="s">
        <v>395</v>
      </c>
      <c r="I639" s="25">
        <v>1</v>
      </c>
      <c r="J639" s="25" t="str">
        <f>VLOOKUP(C639,'시스템이펙트 참고자료'!$A:$C,3,FALSE)</f>
        <v>절대값/상대값(%) 가능</v>
      </c>
      <c r="K639" s="25">
        <v>12</v>
      </c>
      <c r="M639" s="25">
        <v>9</v>
      </c>
      <c r="N639" s="25">
        <f t="shared" si="47"/>
        <v>24</v>
      </c>
      <c r="O639" s="25">
        <v>1</v>
      </c>
      <c r="P639" s="25">
        <v>1</v>
      </c>
      <c r="Q639" s="25">
        <v>1</v>
      </c>
      <c r="R639" s="25">
        <v>1</v>
      </c>
      <c r="T639" s="25">
        <v>1</v>
      </c>
      <c r="AA639" s="25">
        <f t="shared" si="50"/>
        <v>128</v>
      </c>
      <c r="AK639" s="25">
        <v>1</v>
      </c>
      <c r="AM639" s="25">
        <v>24</v>
      </c>
      <c r="AN639" s="25">
        <v>100</v>
      </c>
      <c r="AP639" s="25">
        <f t="shared" si="49"/>
        <v>5</v>
      </c>
      <c r="AQ639" s="25" t="str">
        <f>VLOOKUP(C639,'시스템이펙트 참고자료'!$A:$B,2,FALSE)</f>
        <v>ACTIVE_ENERGY_CRITICAL</v>
      </c>
      <c r="AS639" s="25">
        <v>1</v>
      </c>
      <c r="BD639" s="25">
        <v>1</v>
      </c>
    </row>
    <row r="640" spans="1:56" hidden="1">
      <c r="A640" s="25">
        <v>635</v>
      </c>
      <c r="B640" s="25" t="str">
        <f>VLOOKUP(C640,'시스템이펙트 참고자료'!$A:$C,2,FALSE)</f>
        <v>ACTIVE_DEX_UP</v>
      </c>
      <c r="C640" s="25">
        <v>613</v>
      </c>
      <c r="D640" s="25">
        <f>VLOOKUP(C640,'시스템이펙트 참고자료'!$A:$D,4,FALSE)</f>
        <v>0</v>
      </c>
      <c r="E640" s="25">
        <v>0</v>
      </c>
      <c r="F640" s="25">
        <v>0</v>
      </c>
      <c r="G640" s="25">
        <f t="shared" si="48"/>
        <v>3</v>
      </c>
      <c r="H640" s="25" t="s">
        <v>395</v>
      </c>
      <c r="I640" s="25">
        <v>1</v>
      </c>
      <c r="J640" s="25" t="str">
        <f>VLOOKUP(C640,'시스템이펙트 참고자료'!$A:$C,3,FALSE)</f>
        <v>절대값/상대값(%) 가능</v>
      </c>
      <c r="K640" s="25">
        <v>12</v>
      </c>
      <c r="M640" s="25">
        <v>9</v>
      </c>
      <c r="N640" s="25">
        <f t="shared" si="47"/>
        <v>44</v>
      </c>
      <c r="O640" s="25">
        <v>1</v>
      </c>
      <c r="P640" s="25">
        <v>1</v>
      </c>
      <c r="Q640" s="25">
        <v>1</v>
      </c>
      <c r="R640" s="25">
        <v>1</v>
      </c>
      <c r="T640" s="25">
        <v>1</v>
      </c>
      <c r="AA640" s="25">
        <f t="shared" si="50"/>
        <v>128</v>
      </c>
      <c r="AK640" s="25">
        <v>1</v>
      </c>
      <c r="AM640" s="25">
        <v>44</v>
      </c>
      <c r="AN640" s="25">
        <v>100</v>
      </c>
      <c r="AP640" s="25">
        <f t="shared" si="49"/>
        <v>3</v>
      </c>
      <c r="AQ640" s="25" t="str">
        <f>VLOOKUP(C640,'시스템이펙트 참고자료'!$A:$B,2,FALSE)</f>
        <v>ACTIVE_DEX_UP</v>
      </c>
      <c r="AS640" s="25">
        <v>1</v>
      </c>
      <c r="BD640" s="25">
        <v>1</v>
      </c>
    </row>
    <row r="641" spans="1:56" hidden="1">
      <c r="A641" s="25">
        <v>636</v>
      </c>
      <c r="B641" s="25" t="str">
        <f>VLOOKUP(C641,'시스템이펙트 참고자료'!$A:$C,2,FALSE)</f>
        <v>ACTIVE_FOC_UP</v>
      </c>
      <c r="C641" s="25">
        <v>612</v>
      </c>
      <c r="D641" s="25">
        <f>VLOOKUP(C641,'시스템이펙트 참고자료'!$A:$D,4,FALSE)</f>
        <v>0</v>
      </c>
      <c r="E641" s="25">
        <v>0</v>
      </c>
      <c r="F641" s="25">
        <v>0</v>
      </c>
      <c r="G641" s="25">
        <f t="shared" si="48"/>
        <v>2</v>
      </c>
      <c r="H641" s="25" t="s">
        <v>395</v>
      </c>
      <c r="I641" s="25">
        <v>1</v>
      </c>
      <c r="J641" s="25" t="str">
        <f>VLOOKUP(C641,'시스템이펙트 참고자료'!$A:$C,3,FALSE)</f>
        <v>절대값/상대값(%) 가능</v>
      </c>
      <c r="K641" s="25">
        <v>12</v>
      </c>
      <c r="M641" s="25">
        <v>9</v>
      </c>
      <c r="N641" s="25">
        <f t="shared" si="47"/>
        <v>53</v>
      </c>
      <c r="O641" s="25">
        <v>1</v>
      </c>
      <c r="P641" s="25">
        <v>1</v>
      </c>
      <c r="Q641" s="25">
        <v>1</v>
      </c>
      <c r="R641" s="25">
        <v>1</v>
      </c>
      <c r="T641" s="25">
        <v>1</v>
      </c>
      <c r="AA641" s="25">
        <f t="shared" si="50"/>
        <v>128</v>
      </c>
      <c r="AK641" s="25">
        <v>1</v>
      </c>
      <c r="AM641" s="25">
        <v>53</v>
      </c>
      <c r="AN641" s="25">
        <v>100</v>
      </c>
      <c r="AP641" s="25">
        <f t="shared" si="49"/>
        <v>2</v>
      </c>
      <c r="AQ641" s="25" t="str">
        <f>VLOOKUP(C641,'시스템이펙트 참고자료'!$A:$B,2,FALSE)</f>
        <v>ACTIVE_FOC_UP</v>
      </c>
      <c r="AS641" s="25">
        <v>1</v>
      </c>
      <c r="BD641" s="25">
        <v>1</v>
      </c>
    </row>
    <row r="642" spans="1:56" hidden="1">
      <c r="A642" s="25">
        <v>637</v>
      </c>
      <c r="B642" s="25" t="str">
        <f>VLOOKUP(C642,'시스템이펙트 참고자료'!$A:$C,2,FALSE)</f>
        <v>ACTIVE_PHYSICAL_CRITICAL_DAMAGE_UP</v>
      </c>
      <c r="C642" s="25">
        <v>658</v>
      </c>
      <c r="D642" s="25">
        <f>VLOOKUP(C642,'시스템이펙트 참고자료'!$A:$D,4,FALSE)</f>
        <v>0</v>
      </c>
      <c r="E642" s="25">
        <v>0</v>
      </c>
      <c r="F642" s="25">
        <v>0</v>
      </c>
      <c r="G642" s="25">
        <f t="shared" si="48"/>
        <v>4</v>
      </c>
      <c r="H642" s="25" t="s">
        <v>395</v>
      </c>
      <c r="I642" s="25">
        <v>1</v>
      </c>
      <c r="J642" s="25" t="str">
        <f>VLOOKUP(C642,'시스템이펙트 참고자료'!$A:$C,3,FALSE)</f>
        <v>절대값만 가능</v>
      </c>
      <c r="K642" s="25">
        <v>12</v>
      </c>
      <c r="M642" s="25">
        <v>10</v>
      </c>
      <c r="N642" s="25">
        <f t="shared" si="47"/>
        <v>28</v>
      </c>
      <c r="O642" s="25">
        <v>1</v>
      </c>
      <c r="P642" s="25">
        <v>1</v>
      </c>
      <c r="Q642" s="25">
        <v>1</v>
      </c>
      <c r="R642" s="25">
        <v>1</v>
      </c>
      <c r="T642" s="25">
        <v>1</v>
      </c>
      <c r="AA642" s="25">
        <f t="shared" si="50"/>
        <v>128</v>
      </c>
      <c r="AK642" s="25">
        <v>1</v>
      </c>
      <c r="AM642" s="25">
        <v>28</v>
      </c>
      <c r="AN642" s="25">
        <v>100</v>
      </c>
      <c r="AP642" s="25">
        <f t="shared" si="49"/>
        <v>4</v>
      </c>
      <c r="AQ642" s="25" t="str">
        <f>VLOOKUP(C642,'시스템이펙트 참고자료'!$A:$B,2,FALSE)</f>
        <v>ACTIVE_PHYSICAL_CRITICAL_DAMAGE_UP</v>
      </c>
      <c r="AS642" s="25">
        <v>1</v>
      </c>
      <c r="BD642" s="25">
        <v>1</v>
      </c>
    </row>
    <row r="643" spans="1:56" hidden="1">
      <c r="A643" s="25">
        <v>638</v>
      </c>
      <c r="B643" s="25" t="str">
        <f>VLOOKUP(C643,'시스템이펙트 참고자료'!$A:$C,2,FALSE)</f>
        <v>ACTIVE_ENERGY_CRITICAL_DAMAGE_UP</v>
      </c>
      <c r="C643" s="25">
        <v>659</v>
      </c>
      <c r="D643" s="25">
        <f>VLOOKUP(C643,'시스템이펙트 참고자료'!$A:$D,4,FALSE)</f>
        <v>0</v>
      </c>
      <c r="E643" s="25">
        <v>0</v>
      </c>
      <c r="F643" s="25">
        <v>0</v>
      </c>
      <c r="G643" s="25">
        <f t="shared" si="48"/>
        <v>4</v>
      </c>
      <c r="H643" s="25" t="s">
        <v>395</v>
      </c>
      <c r="I643" s="25">
        <v>1</v>
      </c>
      <c r="J643" s="25" t="str">
        <f>VLOOKUP(C643,'시스템이펙트 참고자료'!$A:$C,3,FALSE)</f>
        <v>절대값만 가능</v>
      </c>
      <c r="K643" s="25">
        <v>12</v>
      </c>
      <c r="M643" s="25">
        <v>10</v>
      </c>
      <c r="N643" s="25">
        <f t="shared" si="47"/>
        <v>32</v>
      </c>
      <c r="O643" s="25">
        <v>1</v>
      </c>
      <c r="P643" s="25">
        <v>1</v>
      </c>
      <c r="Q643" s="25">
        <v>1</v>
      </c>
      <c r="R643" s="25">
        <v>1</v>
      </c>
      <c r="T643" s="25">
        <v>1</v>
      </c>
      <c r="AA643" s="25">
        <f t="shared" si="50"/>
        <v>128</v>
      </c>
      <c r="AK643" s="25">
        <v>1</v>
      </c>
      <c r="AM643" s="25">
        <v>32</v>
      </c>
      <c r="AN643" s="25">
        <v>100</v>
      </c>
      <c r="AP643" s="25">
        <f t="shared" si="49"/>
        <v>4</v>
      </c>
      <c r="AQ643" s="25" t="str">
        <f>VLOOKUP(C643,'시스템이펙트 참고자료'!$A:$B,2,FALSE)</f>
        <v>ACTIVE_ENERGY_CRITICAL_DAMAGE_UP</v>
      </c>
      <c r="AS643" s="25">
        <v>1</v>
      </c>
      <c r="BD643" s="25">
        <v>1</v>
      </c>
    </row>
    <row r="644" spans="1:56" hidden="1">
      <c r="A644" s="25">
        <v>639</v>
      </c>
      <c r="B644" s="25" t="str">
        <f>VLOOKUP(C644,'시스템이펙트 참고자료'!$A:$C,2,FALSE)</f>
        <v>ACTIVE_DEX_UP</v>
      </c>
      <c r="C644" s="25">
        <v>613</v>
      </c>
      <c r="D644" s="25">
        <f>VLOOKUP(C644,'시스템이펙트 참고자료'!$A:$D,4,FALSE)</f>
        <v>0</v>
      </c>
      <c r="E644" s="25">
        <v>0</v>
      </c>
      <c r="F644" s="25">
        <v>0</v>
      </c>
      <c r="G644" s="25">
        <f t="shared" si="48"/>
        <v>3</v>
      </c>
      <c r="H644" s="25" t="s">
        <v>395</v>
      </c>
      <c r="I644" s="25">
        <v>1</v>
      </c>
      <c r="J644" s="25" t="str">
        <f>VLOOKUP(C644,'시스템이펙트 참고자료'!$A:$C,3,FALSE)</f>
        <v>절대값/상대값(%) 가능</v>
      </c>
      <c r="K644" s="25">
        <v>12</v>
      </c>
      <c r="M644" s="25">
        <v>10</v>
      </c>
      <c r="N644" s="25">
        <f t="shared" si="47"/>
        <v>44</v>
      </c>
      <c r="O644" s="25">
        <v>1</v>
      </c>
      <c r="P644" s="25">
        <v>1</v>
      </c>
      <c r="Q644" s="25">
        <v>1</v>
      </c>
      <c r="R644" s="25">
        <v>1</v>
      </c>
      <c r="T644" s="25">
        <v>1</v>
      </c>
      <c r="AA644" s="25">
        <f t="shared" si="50"/>
        <v>128</v>
      </c>
      <c r="AK644" s="25">
        <v>1</v>
      </c>
      <c r="AM644" s="25">
        <v>44</v>
      </c>
      <c r="AN644" s="25">
        <v>100</v>
      </c>
      <c r="AP644" s="25">
        <f t="shared" si="49"/>
        <v>3</v>
      </c>
      <c r="AQ644" s="25" t="str">
        <f>VLOOKUP(C644,'시스템이펙트 참고자료'!$A:$B,2,FALSE)</f>
        <v>ACTIVE_DEX_UP</v>
      </c>
      <c r="AS644" s="25">
        <v>1</v>
      </c>
      <c r="BD644" s="25">
        <v>1</v>
      </c>
    </row>
    <row r="645" spans="1:56" hidden="1">
      <c r="A645" s="25">
        <v>640</v>
      </c>
      <c r="B645" s="25" t="str">
        <f>VLOOKUP(C645,'시스템이펙트 참고자료'!$A:$C,2,FALSE)</f>
        <v>ACTIVE_ATTACK_SPEED_UP</v>
      </c>
      <c r="C645" s="25">
        <v>617</v>
      </c>
      <c r="D645" s="25">
        <f>VLOOKUP(C645,'시스템이펙트 참고자료'!$A:$D,4,FALSE)</f>
        <v>1</v>
      </c>
      <c r="E645" s="25">
        <v>0</v>
      </c>
      <c r="F645" s="25">
        <v>0</v>
      </c>
      <c r="G645" s="25">
        <f t="shared" si="48"/>
        <v>10</v>
      </c>
      <c r="H645" s="25" t="s">
        <v>395</v>
      </c>
      <c r="I645" s="25">
        <v>1</v>
      </c>
      <c r="J645" s="25" t="str">
        <f>VLOOKUP(C645,'시스템이펙트 참고자료'!$A:$C,3,FALSE)</f>
        <v>절대값/상대값(%) 가능</v>
      </c>
      <c r="K645" s="25">
        <v>12</v>
      </c>
      <c r="M645" s="25">
        <v>10</v>
      </c>
      <c r="N645" s="25">
        <f t="shared" si="47"/>
        <v>10</v>
      </c>
      <c r="O645" s="25">
        <v>1</v>
      </c>
      <c r="P645" s="25">
        <v>1</v>
      </c>
      <c r="Q645" s="25">
        <v>1</v>
      </c>
      <c r="R645" s="25">
        <v>1</v>
      </c>
      <c r="T645" s="25">
        <v>1</v>
      </c>
      <c r="AA645" s="25">
        <f t="shared" si="50"/>
        <v>128</v>
      </c>
      <c r="AK645" s="25">
        <v>1</v>
      </c>
      <c r="AM645" s="25">
        <v>10</v>
      </c>
      <c r="AN645" s="25">
        <v>100</v>
      </c>
      <c r="AP645" s="25">
        <f t="shared" si="49"/>
        <v>10</v>
      </c>
      <c r="AQ645" s="25" t="str">
        <f>VLOOKUP(C645,'시스템이펙트 참고자료'!$A:$B,2,FALSE)</f>
        <v>ACTIVE_ATTACK_SPEED_UP</v>
      </c>
      <c r="AS645" s="25">
        <v>1</v>
      </c>
      <c r="BD645" s="25">
        <v>1</v>
      </c>
    </row>
    <row r="646" spans="1:56" hidden="1">
      <c r="A646" s="25">
        <v>641</v>
      </c>
      <c r="B646" s="25" t="str">
        <f>VLOOKUP(C646,'시스템이펙트 참고자료'!$A:$C,2,FALSE)</f>
        <v>ACTIVE_STR_UP</v>
      </c>
      <c r="C646" s="25">
        <v>610</v>
      </c>
      <c r="D646" s="25">
        <f>VLOOKUP(C646,'시스템이펙트 참고자료'!$A:$D,4,FALSE)</f>
        <v>0</v>
      </c>
      <c r="E646" s="25">
        <v>0</v>
      </c>
      <c r="F646" s="25">
        <v>0</v>
      </c>
      <c r="G646" s="25">
        <f t="shared" si="48"/>
        <v>2</v>
      </c>
      <c r="H646" s="25" t="s">
        <v>395</v>
      </c>
      <c r="I646" s="25">
        <v>1</v>
      </c>
      <c r="J646" s="25" t="str">
        <f>VLOOKUP(C646,'시스템이펙트 참고자료'!$A:$C,3,FALSE)</f>
        <v>절대값/상대값(%) 가능</v>
      </c>
      <c r="K646" s="25">
        <v>12</v>
      </c>
      <c r="M646" s="25">
        <v>11</v>
      </c>
      <c r="N646" s="25">
        <f t="shared" si="47"/>
        <v>57</v>
      </c>
      <c r="O646" s="25">
        <v>1</v>
      </c>
      <c r="P646" s="25">
        <v>1</v>
      </c>
      <c r="Q646" s="25">
        <v>1</v>
      </c>
      <c r="R646" s="25">
        <v>1</v>
      </c>
      <c r="T646" s="25">
        <v>1</v>
      </c>
      <c r="AA646" s="25">
        <f t="shared" si="50"/>
        <v>128</v>
      </c>
      <c r="AK646" s="25">
        <v>1</v>
      </c>
      <c r="AM646" s="25">
        <v>57</v>
      </c>
      <c r="AN646" s="25">
        <v>100</v>
      </c>
      <c r="AP646" s="25">
        <f t="shared" si="49"/>
        <v>2</v>
      </c>
      <c r="AQ646" s="25" t="str">
        <f>VLOOKUP(C646,'시스템이펙트 참고자료'!$A:$B,2,FALSE)</f>
        <v>ACTIVE_STR_UP</v>
      </c>
      <c r="AS646" s="25">
        <v>1</v>
      </c>
      <c r="BD646" s="25">
        <v>1</v>
      </c>
    </row>
    <row r="647" spans="1:56" hidden="1">
      <c r="A647" s="25">
        <v>642</v>
      </c>
      <c r="B647" s="25" t="str">
        <f>VLOOKUP(C647,'시스템이펙트 참고자료'!$A:$C,2,FALSE)</f>
        <v>ACTIVE_CON_UP</v>
      </c>
      <c r="C647" s="25">
        <v>611</v>
      </c>
      <c r="D647" s="25">
        <f>VLOOKUP(C647,'시스템이펙트 참고자료'!$A:$D,4,FALSE)</f>
        <v>0</v>
      </c>
      <c r="E647" s="25">
        <v>0</v>
      </c>
      <c r="F647" s="25">
        <v>0</v>
      </c>
      <c r="G647" s="25">
        <f t="shared" si="48"/>
        <v>3</v>
      </c>
      <c r="H647" s="25" t="s">
        <v>395</v>
      </c>
      <c r="I647" s="25">
        <v>1</v>
      </c>
      <c r="J647" s="25" t="str">
        <f>VLOOKUP(C647,'시스템이펙트 참고자료'!$A:$C,3,FALSE)</f>
        <v>절대값/상대값(%) 가능</v>
      </c>
      <c r="K647" s="25">
        <v>12</v>
      </c>
      <c r="M647" s="25">
        <v>11</v>
      </c>
      <c r="N647" s="25">
        <f t="shared" ref="N647:N710" si="51">IF(BD647&gt;0,INT(AM647/AK647),0)</f>
        <v>48</v>
      </c>
      <c r="O647" s="25">
        <v>1</v>
      </c>
      <c r="P647" s="25">
        <v>1</v>
      </c>
      <c r="Q647" s="25">
        <v>1</v>
      </c>
      <c r="R647" s="25">
        <v>1</v>
      </c>
      <c r="T647" s="25">
        <v>1</v>
      </c>
      <c r="AA647" s="25">
        <f t="shared" si="50"/>
        <v>128</v>
      </c>
      <c r="AK647" s="25">
        <v>1</v>
      </c>
      <c r="AM647" s="25">
        <v>48</v>
      </c>
      <c r="AN647" s="25">
        <v>100</v>
      </c>
      <c r="AP647" s="25">
        <f t="shared" si="49"/>
        <v>3</v>
      </c>
      <c r="AQ647" s="25" t="str">
        <f>VLOOKUP(C647,'시스템이펙트 참고자료'!$A:$B,2,FALSE)</f>
        <v>ACTIVE_CON_UP</v>
      </c>
      <c r="AS647" s="25">
        <v>1</v>
      </c>
      <c r="BD647" s="25">
        <v>1</v>
      </c>
    </row>
    <row r="648" spans="1:56" hidden="1">
      <c r="A648" s="25">
        <v>643</v>
      </c>
      <c r="B648" s="25" t="str">
        <f>VLOOKUP(C648,'시스템이펙트 참고자료'!$A:$C,2,FALSE)</f>
        <v>ACTIVE_FOC_UP</v>
      </c>
      <c r="C648" s="25">
        <v>612</v>
      </c>
      <c r="D648" s="25">
        <f>VLOOKUP(C648,'시스템이펙트 참고자료'!$A:$D,4,FALSE)</f>
        <v>0</v>
      </c>
      <c r="E648" s="25">
        <v>0</v>
      </c>
      <c r="F648" s="25">
        <v>0</v>
      </c>
      <c r="G648" s="25">
        <f t="shared" si="48"/>
        <v>2</v>
      </c>
      <c r="H648" s="25" t="s">
        <v>395</v>
      </c>
      <c r="I648" s="25">
        <v>1</v>
      </c>
      <c r="J648" s="25" t="str">
        <f>VLOOKUP(C648,'시스템이펙트 참고자료'!$A:$C,3,FALSE)</f>
        <v>절대값/상대값(%) 가능</v>
      </c>
      <c r="K648" s="25">
        <v>12</v>
      </c>
      <c r="M648" s="25">
        <v>11</v>
      </c>
      <c r="N648" s="25">
        <f t="shared" si="51"/>
        <v>53</v>
      </c>
      <c r="O648" s="25">
        <v>1</v>
      </c>
      <c r="P648" s="25">
        <v>1</v>
      </c>
      <c r="Q648" s="25">
        <v>1</v>
      </c>
      <c r="R648" s="25">
        <v>1</v>
      </c>
      <c r="T648" s="25">
        <v>1</v>
      </c>
      <c r="AA648" s="25">
        <f t="shared" si="50"/>
        <v>128</v>
      </c>
      <c r="AK648" s="25">
        <v>1</v>
      </c>
      <c r="AM648" s="25">
        <v>53</v>
      </c>
      <c r="AN648" s="25">
        <v>100</v>
      </c>
      <c r="AP648" s="25">
        <f t="shared" si="49"/>
        <v>2</v>
      </c>
      <c r="AQ648" s="25" t="str">
        <f>VLOOKUP(C648,'시스템이펙트 참고자료'!$A:$B,2,FALSE)</f>
        <v>ACTIVE_FOC_UP</v>
      </c>
      <c r="AS648" s="25">
        <v>1</v>
      </c>
      <c r="BD648" s="25">
        <v>1</v>
      </c>
    </row>
    <row r="649" spans="1:56" hidden="1">
      <c r="A649" s="25">
        <v>644</v>
      </c>
      <c r="B649" s="25" t="str">
        <f>VLOOKUP(C649,'시스템이펙트 참고자료'!$A:$C,2,FALSE)</f>
        <v>ACTIVE_DEX_UP</v>
      </c>
      <c r="C649" s="25">
        <v>613</v>
      </c>
      <c r="D649" s="25">
        <f>VLOOKUP(C649,'시스템이펙트 참고자료'!$A:$D,4,FALSE)</f>
        <v>0</v>
      </c>
      <c r="E649" s="25">
        <v>0</v>
      </c>
      <c r="F649" s="25">
        <v>0</v>
      </c>
      <c r="G649" s="25">
        <f t="shared" si="48"/>
        <v>3</v>
      </c>
      <c r="H649" s="25" t="s">
        <v>395</v>
      </c>
      <c r="I649" s="25">
        <v>1</v>
      </c>
      <c r="J649" s="25" t="str">
        <f>VLOOKUP(C649,'시스템이펙트 참고자료'!$A:$C,3,FALSE)</f>
        <v>절대값/상대값(%) 가능</v>
      </c>
      <c r="K649" s="25">
        <v>12</v>
      </c>
      <c r="M649" s="25">
        <v>11</v>
      </c>
      <c r="N649" s="25">
        <f t="shared" si="51"/>
        <v>44</v>
      </c>
      <c r="O649" s="25">
        <v>1</v>
      </c>
      <c r="P649" s="25">
        <v>1</v>
      </c>
      <c r="Q649" s="25">
        <v>1</v>
      </c>
      <c r="R649" s="25">
        <v>1</v>
      </c>
      <c r="T649" s="25">
        <v>1</v>
      </c>
      <c r="AA649" s="25">
        <f t="shared" si="50"/>
        <v>128</v>
      </c>
      <c r="AK649" s="25">
        <v>1</v>
      </c>
      <c r="AM649" s="25">
        <v>44</v>
      </c>
      <c r="AN649" s="25">
        <v>100</v>
      </c>
      <c r="AP649" s="25">
        <f t="shared" si="49"/>
        <v>3</v>
      </c>
      <c r="AQ649" s="25" t="str">
        <f>VLOOKUP(C649,'시스템이펙트 참고자료'!$A:$B,2,FALSE)</f>
        <v>ACTIVE_DEX_UP</v>
      </c>
      <c r="AS649" s="25">
        <v>1</v>
      </c>
      <c r="BD649" s="25">
        <v>1</v>
      </c>
    </row>
    <row r="650" spans="1:56" hidden="1">
      <c r="A650" s="25">
        <v>645</v>
      </c>
      <c r="B650" s="25" t="str">
        <f>VLOOKUP(C650,'시스템이펙트 참고자료'!$A:$C,2,FALSE)</f>
        <v>ACTIVE_SOL_UP</v>
      </c>
      <c r="C650" s="25">
        <v>614</v>
      </c>
      <c r="D650" s="25">
        <f>VLOOKUP(C650,'시스템이펙트 참고자료'!$A:$D,4,FALSE)</f>
        <v>0</v>
      </c>
      <c r="E650" s="25">
        <v>0</v>
      </c>
      <c r="F650" s="25">
        <v>0</v>
      </c>
      <c r="G650" s="25">
        <f t="shared" si="48"/>
        <v>2</v>
      </c>
      <c r="H650" s="25" t="s">
        <v>395</v>
      </c>
      <c r="I650" s="25">
        <v>1</v>
      </c>
      <c r="J650" s="25" t="str">
        <f>VLOOKUP(C650,'시스템이펙트 참고자료'!$A:$C,3,FALSE)</f>
        <v>절대값/상대값(%) 가능</v>
      </c>
      <c r="K650" s="25">
        <v>12</v>
      </c>
      <c r="M650" s="25">
        <v>11</v>
      </c>
      <c r="N650" s="25">
        <f t="shared" si="51"/>
        <v>53</v>
      </c>
      <c r="O650" s="25">
        <v>1</v>
      </c>
      <c r="P650" s="25">
        <v>1</v>
      </c>
      <c r="Q650" s="25">
        <v>1</v>
      </c>
      <c r="R650" s="25">
        <v>1</v>
      </c>
      <c r="T650" s="25">
        <v>1</v>
      </c>
      <c r="AA650" s="25">
        <f t="shared" si="50"/>
        <v>128</v>
      </c>
      <c r="AK650" s="25">
        <v>1</v>
      </c>
      <c r="AM650" s="25">
        <v>53</v>
      </c>
      <c r="AN650" s="25">
        <v>100</v>
      </c>
      <c r="AP650" s="25">
        <f t="shared" si="49"/>
        <v>2</v>
      </c>
      <c r="AQ650" s="25" t="str">
        <f>VLOOKUP(C650,'시스템이펙트 참고자료'!$A:$B,2,FALSE)</f>
        <v>ACTIVE_SOL_UP</v>
      </c>
      <c r="AS650" s="25">
        <v>1</v>
      </c>
      <c r="BD650" s="25">
        <v>1</v>
      </c>
    </row>
    <row r="651" spans="1:56" hidden="1">
      <c r="A651" s="25">
        <v>646</v>
      </c>
      <c r="B651" s="25" t="str">
        <f>VLOOKUP(C651,'시스템이펙트 참고자료'!$A:$C,2,FALSE)</f>
        <v>ACTIVE_ENG_UP</v>
      </c>
      <c r="C651" s="25">
        <v>615</v>
      </c>
      <c r="D651" s="25">
        <f>VLOOKUP(C651,'시스템이펙트 참고자료'!$A:$D,4,FALSE)</f>
        <v>0</v>
      </c>
      <c r="E651" s="25">
        <v>0</v>
      </c>
      <c r="F651" s="25">
        <v>0</v>
      </c>
      <c r="G651" s="25">
        <f t="shared" si="48"/>
        <v>2</v>
      </c>
      <c r="H651" s="25" t="s">
        <v>395</v>
      </c>
      <c r="I651" s="25">
        <v>1</v>
      </c>
      <c r="J651" s="25" t="str">
        <f>VLOOKUP(C651,'시스템이펙트 참고자료'!$A:$C,3,FALSE)</f>
        <v>절대값/상대값(%) 가능</v>
      </c>
      <c r="K651" s="25">
        <v>12</v>
      </c>
      <c r="M651" s="25">
        <v>11</v>
      </c>
      <c r="N651" s="25">
        <f t="shared" si="51"/>
        <v>62</v>
      </c>
      <c r="O651" s="25">
        <v>1</v>
      </c>
      <c r="P651" s="25">
        <v>1</v>
      </c>
      <c r="Q651" s="25">
        <v>1</v>
      </c>
      <c r="R651" s="25">
        <v>1</v>
      </c>
      <c r="T651" s="25">
        <v>1</v>
      </c>
      <c r="AA651" s="25">
        <f t="shared" si="50"/>
        <v>128</v>
      </c>
      <c r="AK651" s="25">
        <v>1</v>
      </c>
      <c r="AM651" s="25">
        <v>62</v>
      </c>
      <c r="AN651" s="25">
        <v>100</v>
      </c>
      <c r="AP651" s="25">
        <f t="shared" si="49"/>
        <v>2</v>
      </c>
      <c r="AQ651" s="25" t="str">
        <f>VLOOKUP(C651,'시스템이펙트 참고자료'!$A:$B,2,FALSE)</f>
        <v>ACTIVE_ENG_UP</v>
      </c>
      <c r="AS651" s="25">
        <v>1</v>
      </c>
      <c r="BD651" s="25">
        <v>1</v>
      </c>
    </row>
    <row r="652" spans="1:56" hidden="1">
      <c r="A652" s="25">
        <v>647</v>
      </c>
      <c r="B652" s="25" t="str">
        <f>VLOOKUP(C652,'시스템이펙트 참고자료'!$A:$C,2,FALSE)</f>
        <v>ACTIVE_PHYSICAL_DEFENCE_UP</v>
      </c>
      <c r="C652" s="25">
        <v>608</v>
      </c>
      <c r="D652" s="25">
        <f>VLOOKUP(C652,'시스템이펙트 참고자료'!$A:$D,4,FALSE)</f>
        <v>0</v>
      </c>
      <c r="E652" s="25">
        <v>0</v>
      </c>
      <c r="F652" s="25">
        <v>0</v>
      </c>
      <c r="G652" s="25">
        <f t="shared" si="48"/>
        <v>1</v>
      </c>
      <c r="H652" s="25" t="s">
        <v>395</v>
      </c>
      <c r="I652" s="25">
        <v>1</v>
      </c>
      <c r="J652" s="25" t="str">
        <f>VLOOKUP(C652,'시스템이펙트 참고자료'!$A:$C,3,FALSE)</f>
        <v>절대값/상대값(%) 가능</v>
      </c>
      <c r="K652" s="25">
        <v>12</v>
      </c>
      <c r="M652" s="25">
        <v>12</v>
      </c>
      <c r="N652" s="25">
        <f t="shared" si="51"/>
        <v>1350</v>
      </c>
      <c r="O652" s="25">
        <v>1</v>
      </c>
      <c r="P652" s="25">
        <v>1</v>
      </c>
      <c r="Q652" s="25">
        <v>1</v>
      </c>
      <c r="R652" s="25">
        <v>1</v>
      </c>
      <c r="T652" s="25">
        <v>1</v>
      </c>
      <c r="AA652" s="25">
        <f t="shared" si="50"/>
        <v>128</v>
      </c>
      <c r="AK652" s="25">
        <v>1</v>
      </c>
      <c r="AM652" s="25">
        <v>1350</v>
      </c>
      <c r="AN652" s="25">
        <v>100</v>
      </c>
      <c r="AP652" s="25">
        <f t="shared" si="49"/>
        <v>1</v>
      </c>
      <c r="AQ652" s="25" t="str">
        <f>VLOOKUP(C652,'시스템이펙트 참고자료'!$A:$B,2,FALSE)</f>
        <v>ACTIVE_PHYSICAL_DEFENCE_UP</v>
      </c>
      <c r="AS652" s="25">
        <v>1</v>
      </c>
      <c r="BD652" s="25">
        <v>1</v>
      </c>
    </row>
    <row r="653" spans="1:56" hidden="1">
      <c r="A653" s="25">
        <v>648</v>
      </c>
      <c r="B653" s="25" t="str">
        <f>VLOOKUP(C653,'시스템이펙트 참고자료'!$A:$C,2,FALSE)</f>
        <v>ACTIVE_BLOCK_RATE_UP</v>
      </c>
      <c r="C653" s="25">
        <v>620</v>
      </c>
      <c r="D653" s="25">
        <f>VLOOKUP(C653,'시스템이펙트 참고자료'!$A:$D,4,FALSE)</f>
        <v>0</v>
      </c>
      <c r="E653" s="25">
        <v>0</v>
      </c>
      <c r="F653" s="25">
        <v>0</v>
      </c>
      <c r="G653" s="25">
        <f t="shared" si="48"/>
        <v>1</v>
      </c>
      <c r="H653" s="25" t="s">
        <v>395</v>
      </c>
      <c r="I653" s="25">
        <v>1</v>
      </c>
      <c r="J653" s="25" t="str">
        <f>VLOOKUP(C653,'시스템이펙트 참고자료'!$A:$C,3,FALSE)</f>
        <v>절대값/상대값(%) 가능</v>
      </c>
      <c r="K653" s="25">
        <v>12</v>
      </c>
      <c r="M653" s="25">
        <v>12</v>
      </c>
      <c r="N653" s="25">
        <f t="shared" si="51"/>
        <v>352</v>
      </c>
      <c r="O653" s="25">
        <v>1</v>
      </c>
      <c r="P653" s="25">
        <v>1</v>
      </c>
      <c r="Q653" s="25">
        <v>1</v>
      </c>
      <c r="R653" s="25">
        <v>1</v>
      </c>
      <c r="T653" s="25">
        <v>1</v>
      </c>
      <c r="AA653" s="25">
        <f t="shared" si="50"/>
        <v>128</v>
      </c>
      <c r="AK653" s="25">
        <v>1</v>
      </c>
      <c r="AM653" s="25">
        <v>352</v>
      </c>
      <c r="AN653" s="25">
        <v>100</v>
      </c>
      <c r="AP653" s="25">
        <f t="shared" si="49"/>
        <v>1</v>
      </c>
      <c r="AQ653" s="25" t="str">
        <f>VLOOKUP(C653,'시스템이펙트 참고자료'!$A:$B,2,FALSE)</f>
        <v>ACTIVE_BLOCK_RATE_UP</v>
      </c>
      <c r="AS653" s="25">
        <v>1</v>
      </c>
      <c r="BD653" s="25">
        <v>1</v>
      </c>
    </row>
    <row r="654" spans="1:56" hidden="1">
      <c r="A654" s="25">
        <v>649</v>
      </c>
      <c r="B654" s="25" t="str">
        <f>VLOOKUP(C654,'시스템이펙트 참고자료'!$A:$C,2,FALSE)</f>
        <v>ACTIVE_CON_UP</v>
      </c>
      <c r="C654" s="25">
        <v>611</v>
      </c>
      <c r="D654" s="25">
        <f>VLOOKUP(C654,'시스템이펙트 참고자료'!$A:$D,4,FALSE)</f>
        <v>0</v>
      </c>
      <c r="E654" s="25">
        <v>0</v>
      </c>
      <c r="F654" s="25">
        <v>0</v>
      </c>
      <c r="G654" s="25">
        <f t="shared" si="48"/>
        <v>3</v>
      </c>
      <c r="H654" s="25" t="s">
        <v>395</v>
      </c>
      <c r="I654" s="25">
        <v>1</v>
      </c>
      <c r="J654" s="25" t="str">
        <f>VLOOKUP(C654,'시스템이펙트 참고자료'!$A:$C,3,FALSE)</f>
        <v>절대값/상대값(%) 가능</v>
      </c>
      <c r="K654" s="25">
        <v>12</v>
      </c>
      <c r="M654" s="25">
        <v>12</v>
      </c>
      <c r="N654" s="25">
        <f t="shared" si="51"/>
        <v>48</v>
      </c>
      <c r="O654" s="25">
        <v>1</v>
      </c>
      <c r="P654" s="25">
        <v>1</v>
      </c>
      <c r="Q654" s="25">
        <v>1</v>
      </c>
      <c r="R654" s="25">
        <v>1</v>
      </c>
      <c r="T654" s="25">
        <v>1</v>
      </c>
      <c r="AA654" s="25">
        <f t="shared" si="50"/>
        <v>128</v>
      </c>
      <c r="AK654" s="25">
        <v>1</v>
      </c>
      <c r="AM654" s="25">
        <v>48</v>
      </c>
      <c r="AN654" s="25">
        <v>100</v>
      </c>
      <c r="AP654" s="25">
        <f t="shared" si="49"/>
        <v>3</v>
      </c>
      <c r="AQ654" s="25" t="str">
        <f>VLOOKUP(C654,'시스템이펙트 참고자료'!$A:$B,2,FALSE)</f>
        <v>ACTIVE_CON_UP</v>
      </c>
      <c r="AS654" s="25">
        <v>1</v>
      </c>
      <c r="BD654" s="25">
        <v>1</v>
      </c>
    </row>
    <row r="655" spans="1:56" hidden="1">
      <c r="A655" s="25">
        <v>650</v>
      </c>
      <c r="B655" s="25" t="str">
        <f>VLOOKUP(C655,'시스템이펙트 참고자료'!$A:$C,2,FALSE)</f>
        <v>ACTIVE_FOC_UP</v>
      </c>
      <c r="C655" s="25">
        <v>612</v>
      </c>
      <c r="D655" s="25">
        <f>VLOOKUP(C655,'시스템이펙트 참고자료'!$A:$D,4,FALSE)</f>
        <v>0</v>
      </c>
      <c r="E655" s="25">
        <v>0</v>
      </c>
      <c r="F655" s="25">
        <v>0</v>
      </c>
      <c r="G655" s="25">
        <f t="shared" si="48"/>
        <v>2</v>
      </c>
      <c r="H655" s="25" t="s">
        <v>395</v>
      </c>
      <c r="I655" s="25">
        <v>1</v>
      </c>
      <c r="J655" s="25" t="str">
        <f>VLOOKUP(C655,'시스템이펙트 참고자료'!$A:$C,3,FALSE)</f>
        <v>절대값/상대값(%) 가능</v>
      </c>
      <c r="K655" s="25">
        <v>12</v>
      </c>
      <c r="M655" s="25">
        <v>12</v>
      </c>
      <c r="N655" s="25">
        <f t="shared" si="51"/>
        <v>53</v>
      </c>
      <c r="O655" s="25">
        <v>1</v>
      </c>
      <c r="P655" s="25">
        <v>1</v>
      </c>
      <c r="Q655" s="25">
        <v>1</v>
      </c>
      <c r="R655" s="25">
        <v>1</v>
      </c>
      <c r="T655" s="25">
        <v>1</v>
      </c>
      <c r="AA655" s="25">
        <f t="shared" si="50"/>
        <v>128</v>
      </c>
      <c r="AK655" s="25">
        <v>1</v>
      </c>
      <c r="AM655" s="25">
        <v>53</v>
      </c>
      <c r="AN655" s="25">
        <v>100</v>
      </c>
      <c r="AP655" s="25">
        <f t="shared" si="49"/>
        <v>2</v>
      </c>
      <c r="AQ655" s="25" t="str">
        <f>VLOOKUP(C655,'시스템이펙트 참고자료'!$A:$B,2,FALSE)</f>
        <v>ACTIVE_FOC_UP</v>
      </c>
      <c r="AS655" s="25">
        <v>1</v>
      </c>
      <c r="BD655" s="25">
        <v>1</v>
      </c>
    </row>
    <row r="656" spans="1:56" hidden="1">
      <c r="A656" s="25">
        <v>651</v>
      </c>
      <c r="B656" s="25" t="str">
        <f>VLOOKUP(C656,'시스템이펙트 참고자료'!$A:$C,2,FALSE)</f>
        <v>ACTIVE_ENERGY_OFFENCE_UP</v>
      </c>
      <c r="C656" s="25">
        <v>607</v>
      </c>
      <c r="D656" s="25">
        <f>VLOOKUP(C656,'시스템이펙트 참고자료'!$A:$D,4,FALSE)</f>
        <v>0</v>
      </c>
      <c r="E656" s="25">
        <v>0</v>
      </c>
      <c r="F656" s="25">
        <v>0</v>
      </c>
      <c r="G656" s="25">
        <f t="shared" si="48"/>
        <v>1</v>
      </c>
      <c r="H656" s="25" t="s">
        <v>395</v>
      </c>
      <c r="I656" s="25">
        <v>1</v>
      </c>
      <c r="J656" s="25" t="str">
        <f>VLOOKUP(C656,'시스템이펙트 참고자료'!$A:$C,3,FALSE)</f>
        <v>절대값/상대값(%) 가능</v>
      </c>
      <c r="K656" s="25">
        <v>13</v>
      </c>
      <c r="M656" s="25">
        <v>3</v>
      </c>
      <c r="N656" s="25">
        <f t="shared" si="51"/>
        <v>104</v>
      </c>
      <c r="O656" s="25">
        <v>1</v>
      </c>
      <c r="P656" s="25">
        <v>1</v>
      </c>
      <c r="Q656" s="25">
        <v>1</v>
      </c>
      <c r="R656" s="25">
        <v>1</v>
      </c>
      <c r="T656" s="25">
        <v>1</v>
      </c>
      <c r="AA656" s="25">
        <f t="shared" si="50"/>
        <v>128</v>
      </c>
      <c r="AK656" s="25">
        <v>1</v>
      </c>
      <c r="AM656" s="25">
        <v>104</v>
      </c>
      <c r="AN656" s="25">
        <v>100</v>
      </c>
      <c r="AP656" s="25">
        <f t="shared" si="49"/>
        <v>1</v>
      </c>
      <c r="AQ656" s="25" t="str">
        <f>VLOOKUP(C656,'시스템이펙트 참고자료'!$A:$B,2,FALSE)</f>
        <v>ACTIVE_ENERGY_OFFENCE_UP</v>
      </c>
      <c r="AS656" s="25">
        <v>1</v>
      </c>
      <c r="BD656" s="25">
        <v>1</v>
      </c>
    </row>
    <row r="657" spans="1:56" hidden="1">
      <c r="A657" s="25">
        <v>652</v>
      </c>
      <c r="B657" s="25" t="str">
        <f>VLOOKUP(C657,'시스템이펙트 참고자료'!$A:$C,2,FALSE)</f>
        <v>ACTIVE_FOC_UP</v>
      </c>
      <c r="C657" s="25">
        <v>612</v>
      </c>
      <c r="D657" s="25">
        <f>VLOOKUP(C657,'시스템이펙트 참고자료'!$A:$D,4,FALSE)</f>
        <v>0</v>
      </c>
      <c r="E657" s="25">
        <v>0</v>
      </c>
      <c r="F657" s="25">
        <v>0</v>
      </c>
      <c r="G657" s="25">
        <f t="shared" si="48"/>
        <v>2</v>
      </c>
      <c r="H657" s="25" t="s">
        <v>395</v>
      </c>
      <c r="I657" s="25">
        <v>1</v>
      </c>
      <c r="J657" s="25" t="str">
        <f>VLOOKUP(C657,'시스템이펙트 참고자료'!$A:$C,3,FALSE)</f>
        <v>절대값/상대값(%) 가능</v>
      </c>
      <c r="K657" s="25">
        <v>13</v>
      </c>
      <c r="M657" s="25">
        <v>3</v>
      </c>
      <c r="N657" s="25">
        <f t="shared" si="51"/>
        <v>53</v>
      </c>
      <c r="O657" s="25">
        <v>1</v>
      </c>
      <c r="P657" s="25">
        <v>1</v>
      </c>
      <c r="Q657" s="25">
        <v>1</v>
      </c>
      <c r="R657" s="25">
        <v>1</v>
      </c>
      <c r="T657" s="25">
        <v>1</v>
      </c>
      <c r="AA657" s="25">
        <f t="shared" si="50"/>
        <v>128</v>
      </c>
      <c r="AK657" s="25">
        <v>1</v>
      </c>
      <c r="AM657" s="25">
        <v>53</v>
      </c>
      <c r="AN657" s="25">
        <v>100</v>
      </c>
      <c r="AP657" s="25">
        <f t="shared" si="49"/>
        <v>2</v>
      </c>
      <c r="AQ657" s="25" t="str">
        <f>VLOOKUP(C657,'시스템이펙트 참고자료'!$A:$B,2,FALSE)</f>
        <v>ACTIVE_FOC_UP</v>
      </c>
      <c r="AS657" s="25">
        <v>1</v>
      </c>
      <c r="BD657" s="25">
        <v>1</v>
      </c>
    </row>
    <row r="658" spans="1:56" hidden="1">
      <c r="A658" s="25">
        <v>653</v>
      </c>
      <c r="B658" s="25" t="str">
        <f>VLOOKUP(C658,'시스템이펙트 참고자료'!$A:$C,2,FALSE)</f>
        <v>ACTIVE_SOL_UP</v>
      </c>
      <c r="C658" s="25">
        <v>614</v>
      </c>
      <c r="D658" s="25">
        <f>VLOOKUP(C658,'시스템이펙트 참고자료'!$A:$D,4,FALSE)</f>
        <v>0</v>
      </c>
      <c r="E658" s="25">
        <v>0</v>
      </c>
      <c r="F658" s="25">
        <v>0</v>
      </c>
      <c r="G658" s="25">
        <f t="shared" ref="G658:G721" si="52">IF(N658&gt;0,INT(100/N658+0.99),0)</f>
        <v>2</v>
      </c>
      <c r="H658" s="25" t="s">
        <v>395</v>
      </c>
      <c r="I658" s="25">
        <v>1</v>
      </c>
      <c r="J658" s="25" t="str">
        <f>VLOOKUP(C658,'시스템이펙트 참고자료'!$A:$C,3,FALSE)</f>
        <v>절대값/상대값(%) 가능</v>
      </c>
      <c r="K658" s="25">
        <v>13</v>
      </c>
      <c r="M658" s="25">
        <v>3</v>
      </c>
      <c r="N658" s="25">
        <f t="shared" si="51"/>
        <v>53</v>
      </c>
      <c r="O658" s="25">
        <v>1</v>
      </c>
      <c r="P658" s="25">
        <v>1</v>
      </c>
      <c r="Q658" s="25">
        <v>1</v>
      </c>
      <c r="R658" s="25">
        <v>1</v>
      </c>
      <c r="T658" s="25">
        <v>1</v>
      </c>
      <c r="AA658" s="25">
        <f t="shared" si="50"/>
        <v>128</v>
      </c>
      <c r="AK658" s="25">
        <v>1</v>
      </c>
      <c r="AM658" s="25">
        <v>53</v>
      </c>
      <c r="AN658" s="25">
        <v>100</v>
      </c>
      <c r="AP658" s="25">
        <f t="shared" ref="AP658:AP721" si="53">INT(100/N658+0.99)</f>
        <v>2</v>
      </c>
      <c r="AQ658" s="25" t="str">
        <f>VLOOKUP(C658,'시스템이펙트 참고자료'!$A:$B,2,FALSE)</f>
        <v>ACTIVE_SOL_UP</v>
      </c>
      <c r="AS658" s="25">
        <v>1</v>
      </c>
      <c r="BD658" s="25">
        <v>1</v>
      </c>
    </row>
    <row r="659" spans="1:56" hidden="1">
      <c r="A659" s="25">
        <v>654</v>
      </c>
      <c r="B659" s="25" t="str">
        <f>VLOOKUP(C659,'시스템이펙트 참고자료'!$A:$C,2,FALSE)</f>
        <v>ACTIVE_ENERGY_CRITICAL_DAMAGE_UP</v>
      </c>
      <c r="C659" s="25">
        <v>659</v>
      </c>
      <c r="D659" s="25">
        <f>VLOOKUP(C659,'시스템이펙트 참고자료'!$A:$D,4,FALSE)</f>
        <v>0</v>
      </c>
      <c r="E659" s="25">
        <v>0</v>
      </c>
      <c r="F659" s="25">
        <v>0</v>
      </c>
      <c r="G659" s="25">
        <f t="shared" si="52"/>
        <v>4</v>
      </c>
      <c r="H659" s="25" t="s">
        <v>395</v>
      </c>
      <c r="I659" s="25">
        <v>1</v>
      </c>
      <c r="J659" s="25" t="str">
        <f>VLOOKUP(C659,'시스템이펙트 참고자료'!$A:$C,3,FALSE)</f>
        <v>절대값만 가능</v>
      </c>
      <c r="K659" s="25">
        <v>13</v>
      </c>
      <c r="M659" s="25">
        <v>3</v>
      </c>
      <c r="N659" s="25">
        <f t="shared" si="51"/>
        <v>32</v>
      </c>
      <c r="O659" s="25">
        <v>1</v>
      </c>
      <c r="P659" s="25">
        <v>1</v>
      </c>
      <c r="Q659" s="25">
        <v>1</v>
      </c>
      <c r="R659" s="25">
        <v>1</v>
      </c>
      <c r="T659" s="25">
        <v>1</v>
      </c>
      <c r="AA659" s="25">
        <f t="shared" ref="AA659:AA722" si="54">2^AA$1</f>
        <v>128</v>
      </c>
      <c r="AK659" s="25">
        <v>1</v>
      </c>
      <c r="AM659" s="25">
        <v>32</v>
      </c>
      <c r="AN659" s="25">
        <v>100</v>
      </c>
      <c r="AP659" s="25">
        <f t="shared" si="53"/>
        <v>4</v>
      </c>
      <c r="AQ659" s="25" t="str">
        <f>VLOOKUP(C659,'시스템이펙트 참고자료'!$A:$B,2,FALSE)</f>
        <v>ACTIVE_ENERGY_CRITICAL_DAMAGE_UP</v>
      </c>
      <c r="AS659" s="25">
        <v>1</v>
      </c>
      <c r="BD659" s="25">
        <v>1</v>
      </c>
    </row>
    <row r="660" spans="1:56" hidden="1">
      <c r="A660" s="25">
        <v>655</v>
      </c>
      <c r="B660" s="25" t="str">
        <f>VLOOKUP(C660,'시스템이펙트 참고자료'!$A:$C,2,FALSE)</f>
        <v>ACTIVE_ENERGY_CRITICAL</v>
      </c>
      <c r="C660" s="25">
        <v>633</v>
      </c>
      <c r="D660" s="25">
        <f>VLOOKUP(C660,'시스템이펙트 참고자료'!$A:$D,4,FALSE)</f>
        <v>0</v>
      </c>
      <c r="E660" s="25">
        <v>0</v>
      </c>
      <c r="F660" s="25">
        <v>0</v>
      </c>
      <c r="G660" s="25">
        <f t="shared" si="52"/>
        <v>5</v>
      </c>
      <c r="H660" s="25" t="s">
        <v>395</v>
      </c>
      <c r="I660" s="25">
        <v>1</v>
      </c>
      <c r="J660" s="25" t="str">
        <f>VLOOKUP(C660,'시스템이펙트 참고자료'!$A:$C,3,FALSE)</f>
        <v>절대값/상대값(%) 가능</v>
      </c>
      <c r="K660" s="25">
        <v>13</v>
      </c>
      <c r="M660" s="25">
        <v>4</v>
      </c>
      <c r="N660" s="25">
        <f t="shared" si="51"/>
        <v>24</v>
      </c>
      <c r="O660" s="25">
        <v>1</v>
      </c>
      <c r="P660" s="25">
        <v>1</v>
      </c>
      <c r="Q660" s="25">
        <v>1</v>
      </c>
      <c r="R660" s="25">
        <v>1</v>
      </c>
      <c r="T660" s="25">
        <v>1</v>
      </c>
      <c r="AA660" s="25">
        <f t="shared" si="54"/>
        <v>128</v>
      </c>
      <c r="AK660" s="25">
        <v>1</v>
      </c>
      <c r="AM660" s="25">
        <v>24</v>
      </c>
      <c r="AN660" s="25">
        <v>100</v>
      </c>
      <c r="AP660" s="25">
        <f t="shared" si="53"/>
        <v>5</v>
      </c>
      <c r="AQ660" s="25" t="str">
        <f>VLOOKUP(C660,'시스템이펙트 참고자료'!$A:$B,2,FALSE)</f>
        <v>ACTIVE_ENERGY_CRITICAL</v>
      </c>
      <c r="AS660" s="25">
        <v>1</v>
      </c>
      <c r="BD660" s="25">
        <v>1</v>
      </c>
    </row>
    <row r="661" spans="1:56" hidden="1">
      <c r="A661" s="25">
        <v>656</v>
      </c>
      <c r="B661" s="25" t="str">
        <f>VLOOKUP(C661,'시스템이펙트 참고자료'!$A:$C,2,FALSE)</f>
        <v>ACTIVE_ENERGY_CRITICAL_DAMAGE_UP</v>
      </c>
      <c r="C661" s="25">
        <v>659</v>
      </c>
      <c r="D661" s="25">
        <f>VLOOKUP(C661,'시스템이펙트 참고자료'!$A:$D,4,FALSE)</f>
        <v>0</v>
      </c>
      <c r="E661" s="25">
        <v>0</v>
      </c>
      <c r="F661" s="25">
        <v>0</v>
      </c>
      <c r="G661" s="25">
        <f t="shared" si="52"/>
        <v>4</v>
      </c>
      <c r="H661" s="25" t="s">
        <v>395</v>
      </c>
      <c r="I661" s="25">
        <v>1</v>
      </c>
      <c r="J661" s="25" t="str">
        <f>VLOOKUP(C661,'시스템이펙트 참고자료'!$A:$C,3,FALSE)</f>
        <v>절대값만 가능</v>
      </c>
      <c r="K661" s="25">
        <v>13</v>
      </c>
      <c r="M661" s="25">
        <v>4</v>
      </c>
      <c r="N661" s="25">
        <f t="shared" si="51"/>
        <v>32</v>
      </c>
      <c r="O661" s="25">
        <v>1</v>
      </c>
      <c r="P661" s="25">
        <v>1</v>
      </c>
      <c r="Q661" s="25">
        <v>1</v>
      </c>
      <c r="R661" s="25">
        <v>1</v>
      </c>
      <c r="T661" s="25">
        <v>1</v>
      </c>
      <c r="AA661" s="25">
        <f t="shared" si="54"/>
        <v>128</v>
      </c>
      <c r="AK661" s="25">
        <v>1</v>
      </c>
      <c r="AM661" s="25">
        <v>32</v>
      </c>
      <c r="AN661" s="25">
        <v>100</v>
      </c>
      <c r="AP661" s="25">
        <f t="shared" si="53"/>
        <v>4</v>
      </c>
      <c r="AQ661" s="25" t="str">
        <f>VLOOKUP(C661,'시스템이펙트 참고자료'!$A:$B,2,FALSE)</f>
        <v>ACTIVE_ENERGY_CRITICAL_DAMAGE_UP</v>
      </c>
      <c r="AS661" s="25">
        <v>1</v>
      </c>
      <c r="BD661" s="25">
        <v>1</v>
      </c>
    </row>
    <row r="662" spans="1:56" hidden="1">
      <c r="A662" s="25">
        <v>657</v>
      </c>
      <c r="B662" s="25" t="str">
        <f>VLOOKUP(C662,'시스템이펙트 참고자료'!$A:$C,2,FALSE)</f>
        <v>ACTIVE_FOC_UP</v>
      </c>
      <c r="C662" s="25">
        <v>612</v>
      </c>
      <c r="D662" s="25">
        <f>VLOOKUP(C662,'시스템이펙트 참고자료'!$A:$D,4,FALSE)</f>
        <v>0</v>
      </c>
      <c r="E662" s="25">
        <v>0</v>
      </c>
      <c r="F662" s="25">
        <v>0</v>
      </c>
      <c r="G662" s="25">
        <f t="shared" si="52"/>
        <v>2</v>
      </c>
      <c r="H662" s="25" t="s">
        <v>395</v>
      </c>
      <c r="I662" s="25">
        <v>1</v>
      </c>
      <c r="J662" s="25" t="str">
        <f>VLOOKUP(C662,'시스템이펙트 참고자료'!$A:$C,3,FALSE)</f>
        <v>절대값/상대값(%) 가능</v>
      </c>
      <c r="K662" s="25">
        <v>13</v>
      </c>
      <c r="M662" s="25">
        <v>4</v>
      </c>
      <c r="N662" s="25">
        <f t="shared" si="51"/>
        <v>53</v>
      </c>
      <c r="O662" s="25">
        <v>1</v>
      </c>
      <c r="P662" s="25">
        <v>1</v>
      </c>
      <c r="Q662" s="25">
        <v>1</v>
      </c>
      <c r="R662" s="25">
        <v>1</v>
      </c>
      <c r="T662" s="25">
        <v>1</v>
      </c>
      <c r="AA662" s="25">
        <f t="shared" si="54"/>
        <v>128</v>
      </c>
      <c r="AK662" s="25">
        <v>1</v>
      </c>
      <c r="AM662" s="25">
        <v>53</v>
      </c>
      <c r="AN662" s="25">
        <v>100</v>
      </c>
      <c r="AP662" s="25">
        <f t="shared" si="53"/>
        <v>2</v>
      </c>
      <c r="AQ662" s="25" t="str">
        <f>VLOOKUP(C662,'시스템이펙트 참고자료'!$A:$B,2,FALSE)</f>
        <v>ACTIVE_FOC_UP</v>
      </c>
      <c r="AS662" s="25">
        <v>1</v>
      </c>
      <c r="BD662" s="25">
        <v>1</v>
      </c>
    </row>
    <row r="663" spans="1:56" hidden="1">
      <c r="A663" s="25">
        <v>658</v>
      </c>
      <c r="B663" s="25" t="str">
        <f>VLOOKUP(C663,'시스템이펙트 참고자료'!$A:$C,2,FALSE)</f>
        <v>ACTIVE_DEX_UP</v>
      </c>
      <c r="C663" s="25">
        <v>613</v>
      </c>
      <c r="D663" s="25">
        <f>VLOOKUP(C663,'시스템이펙트 참고자료'!$A:$D,4,FALSE)</f>
        <v>0</v>
      </c>
      <c r="E663" s="25">
        <v>0</v>
      </c>
      <c r="F663" s="25">
        <v>0</v>
      </c>
      <c r="G663" s="25">
        <f t="shared" si="52"/>
        <v>3</v>
      </c>
      <c r="H663" s="25" t="s">
        <v>395</v>
      </c>
      <c r="I663" s="25">
        <v>1</v>
      </c>
      <c r="J663" s="25" t="str">
        <f>VLOOKUP(C663,'시스템이펙트 참고자료'!$A:$C,3,FALSE)</f>
        <v>절대값/상대값(%) 가능</v>
      </c>
      <c r="K663" s="25">
        <v>13</v>
      </c>
      <c r="M663" s="25">
        <v>4</v>
      </c>
      <c r="N663" s="25">
        <f t="shared" si="51"/>
        <v>44</v>
      </c>
      <c r="O663" s="25">
        <v>1</v>
      </c>
      <c r="P663" s="25">
        <v>1</v>
      </c>
      <c r="Q663" s="25">
        <v>1</v>
      </c>
      <c r="R663" s="25">
        <v>1</v>
      </c>
      <c r="T663" s="25">
        <v>1</v>
      </c>
      <c r="AA663" s="25">
        <f t="shared" si="54"/>
        <v>128</v>
      </c>
      <c r="AK663" s="25">
        <v>1</v>
      </c>
      <c r="AM663" s="25">
        <v>44</v>
      </c>
      <c r="AN663" s="25">
        <v>100</v>
      </c>
      <c r="AP663" s="25">
        <f t="shared" si="53"/>
        <v>3</v>
      </c>
      <c r="AQ663" s="25" t="str">
        <f>VLOOKUP(C663,'시스템이펙트 참고자료'!$A:$B,2,FALSE)</f>
        <v>ACTIVE_DEX_UP</v>
      </c>
      <c r="AS663" s="25">
        <v>1</v>
      </c>
      <c r="BD663" s="25">
        <v>1</v>
      </c>
    </row>
    <row r="664" spans="1:56" hidden="1">
      <c r="A664" s="25">
        <v>659</v>
      </c>
      <c r="B664" s="25" t="str">
        <f>VLOOKUP(C664,'시스템이펙트 참고자료'!$A:$C,2,FALSE)</f>
        <v>ACTIVE_ATTACK_SPEED_UP</v>
      </c>
      <c r="C664" s="25">
        <v>617</v>
      </c>
      <c r="D664" s="25">
        <f>VLOOKUP(C664,'시스템이펙트 참고자료'!$A:$D,4,FALSE)</f>
        <v>1</v>
      </c>
      <c r="E664" s="25">
        <v>0</v>
      </c>
      <c r="F664" s="25">
        <v>0</v>
      </c>
      <c r="G664" s="25">
        <f t="shared" si="52"/>
        <v>10</v>
      </c>
      <c r="H664" s="25" t="s">
        <v>395</v>
      </c>
      <c r="I664" s="25">
        <v>1</v>
      </c>
      <c r="J664" s="25" t="str">
        <f>VLOOKUP(C664,'시스템이펙트 참고자료'!$A:$C,3,FALSE)</f>
        <v>절대값/상대값(%) 가능</v>
      </c>
      <c r="K664" s="25">
        <v>13</v>
      </c>
      <c r="M664" s="25">
        <v>5</v>
      </c>
      <c r="N664" s="25">
        <f t="shared" si="51"/>
        <v>10</v>
      </c>
      <c r="O664" s="25">
        <v>1</v>
      </c>
      <c r="P664" s="25">
        <v>1</v>
      </c>
      <c r="Q664" s="25">
        <v>1</v>
      </c>
      <c r="R664" s="25">
        <v>1</v>
      </c>
      <c r="T664" s="25">
        <v>1</v>
      </c>
      <c r="AA664" s="25">
        <f t="shared" si="54"/>
        <v>128</v>
      </c>
      <c r="AK664" s="25">
        <v>1</v>
      </c>
      <c r="AM664" s="25">
        <v>10</v>
      </c>
      <c r="AN664" s="25">
        <v>100</v>
      </c>
      <c r="AP664" s="25">
        <f t="shared" si="53"/>
        <v>10</v>
      </c>
      <c r="AQ664" s="25" t="str">
        <f>VLOOKUP(C664,'시스템이펙트 참고자료'!$A:$B,2,FALSE)</f>
        <v>ACTIVE_ATTACK_SPEED_UP</v>
      </c>
      <c r="AS664" s="25">
        <v>1</v>
      </c>
      <c r="BD664" s="25">
        <v>1</v>
      </c>
    </row>
    <row r="665" spans="1:56" hidden="1">
      <c r="A665" s="25">
        <v>660</v>
      </c>
      <c r="B665" s="25" t="str">
        <f>VLOOKUP(C665,'시스템이펙트 참고자료'!$A:$C,2,FALSE)</f>
        <v>ACTIVE_DEX_UP</v>
      </c>
      <c r="C665" s="25">
        <v>613</v>
      </c>
      <c r="D665" s="25">
        <f>VLOOKUP(C665,'시스템이펙트 참고자료'!$A:$D,4,FALSE)</f>
        <v>0</v>
      </c>
      <c r="E665" s="25">
        <v>0</v>
      </c>
      <c r="F665" s="25">
        <v>0</v>
      </c>
      <c r="G665" s="25">
        <f t="shared" si="52"/>
        <v>3</v>
      </c>
      <c r="H665" s="25" t="s">
        <v>395</v>
      </c>
      <c r="I665" s="25">
        <v>1</v>
      </c>
      <c r="J665" s="25" t="str">
        <f>VLOOKUP(C665,'시스템이펙트 참고자료'!$A:$C,3,FALSE)</f>
        <v>절대값/상대값(%) 가능</v>
      </c>
      <c r="K665" s="25">
        <v>13</v>
      </c>
      <c r="M665" s="25">
        <v>5</v>
      </c>
      <c r="N665" s="25">
        <f t="shared" si="51"/>
        <v>44</v>
      </c>
      <c r="O665" s="25">
        <v>1</v>
      </c>
      <c r="P665" s="25">
        <v>1</v>
      </c>
      <c r="Q665" s="25">
        <v>1</v>
      </c>
      <c r="R665" s="25">
        <v>1</v>
      </c>
      <c r="T665" s="25">
        <v>1</v>
      </c>
      <c r="AA665" s="25">
        <f t="shared" si="54"/>
        <v>128</v>
      </c>
      <c r="AK665" s="25">
        <v>1</v>
      </c>
      <c r="AM665" s="25">
        <v>44</v>
      </c>
      <c r="AN665" s="25">
        <v>100</v>
      </c>
      <c r="AP665" s="25">
        <f t="shared" si="53"/>
        <v>3</v>
      </c>
      <c r="AQ665" s="25" t="str">
        <f>VLOOKUP(C665,'시스템이펙트 참고자료'!$A:$B,2,FALSE)</f>
        <v>ACTIVE_DEX_UP</v>
      </c>
      <c r="AS665" s="25">
        <v>1</v>
      </c>
      <c r="BD665" s="25">
        <v>1</v>
      </c>
    </row>
    <row r="666" spans="1:56" hidden="1">
      <c r="A666" s="25">
        <v>661</v>
      </c>
      <c r="B666" s="25" t="str">
        <f>VLOOKUP(C666,'시스템이펙트 참고자료'!$A:$C,2,FALSE)</f>
        <v>ACTIVE_FOC_UP</v>
      </c>
      <c r="C666" s="25">
        <v>612</v>
      </c>
      <c r="D666" s="25">
        <f>VLOOKUP(C666,'시스템이펙트 참고자료'!$A:$D,4,FALSE)</f>
        <v>0</v>
      </c>
      <c r="E666" s="25">
        <v>0</v>
      </c>
      <c r="F666" s="25">
        <v>0</v>
      </c>
      <c r="G666" s="25">
        <f t="shared" si="52"/>
        <v>2</v>
      </c>
      <c r="H666" s="25" t="s">
        <v>395</v>
      </c>
      <c r="I666" s="25">
        <v>1</v>
      </c>
      <c r="J666" s="25" t="str">
        <f>VLOOKUP(C666,'시스템이펙트 참고자료'!$A:$C,3,FALSE)</f>
        <v>절대값/상대값(%) 가능</v>
      </c>
      <c r="K666" s="25">
        <v>13</v>
      </c>
      <c r="M666" s="25">
        <v>5</v>
      </c>
      <c r="N666" s="25">
        <f t="shared" si="51"/>
        <v>53</v>
      </c>
      <c r="O666" s="25">
        <v>1</v>
      </c>
      <c r="P666" s="25">
        <v>1</v>
      </c>
      <c r="Q666" s="25">
        <v>1</v>
      </c>
      <c r="R666" s="25">
        <v>1</v>
      </c>
      <c r="T666" s="25">
        <v>1</v>
      </c>
      <c r="AA666" s="25">
        <f t="shared" si="54"/>
        <v>128</v>
      </c>
      <c r="AK666" s="25">
        <v>1</v>
      </c>
      <c r="AM666" s="25">
        <v>53</v>
      </c>
      <c r="AN666" s="25">
        <v>100</v>
      </c>
      <c r="AP666" s="25">
        <f t="shared" si="53"/>
        <v>2</v>
      </c>
      <c r="AQ666" s="25" t="str">
        <f>VLOOKUP(C666,'시스템이펙트 참고자료'!$A:$B,2,FALSE)</f>
        <v>ACTIVE_FOC_UP</v>
      </c>
      <c r="AS666" s="25">
        <v>1</v>
      </c>
      <c r="BD666" s="25">
        <v>1</v>
      </c>
    </row>
    <row r="667" spans="1:56" hidden="1">
      <c r="A667" s="25">
        <v>662</v>
      </c>
      <c r="B667" s="25" t="str">
        <f>VLOOKUP(C667,'시스템이펙트 참고자료'!$A:$C,2,FALSE)</f>
        <v>ACTIVE_PHYSICAL_OFFENCE_UP</v>
      </c>
      <c r="C667" s="25">
        <v>606</v>
      </c>
      <c r="D667" s="25">
        <f>VLOOKUP(C667,'시스템이펙트 참고자료'!$A:$D,4,FALSE)</f>
        <v>0</v>
      </c>
      <c r="E667" s="25">
        <v>0</v>
      </c>
      <c r="F667" s="25">
        <v>0</v>
      </c>
      <c r="G667" s="25">
        <f t="shared" si="52"/>
        <v>1</v>
      </c>
      <c r="H667" s="25" t="s">
        <v>395</v>
      </c>
      <c r="I667" s="25">
        <v>1</v>
      </c>
      <c r="J667" s="25" t="str">
        <f>VLOOKUP(C667,'시스템이펙트 참고자료'!$A:$C,3,FALSE)</f>
        <v>절대값/상대값(%) 가능</v>
      </c>
      <c r="K667" s="25">
        <v>13</v>
      </c>
      <c r="M667" s="25">
        <v>5</v>
      </c>
      <c r="N667" s="25">
        <f t="shared" si="51"/>
        <v>125</v>
      </c>
      <c r="O667" s="25">
        <v>1</v>
      </c>
      <c r="P667" s="25">
        <v>1</v>
      </c>
      <c r="Q667" s="25">
        <v>1</v>
      </c>
      <c r="R667" s="25">
        <v>1</v>
      </c>
      <c r="T667" s="25">
        <v>1</v>
      </c>
      <c r="AA667" s="25">
        <f t="shared" si="54"/>
        <v>128</v>
      </c>
      <c r="AK667" s="25">
        <v>1</v>
      </c>
      <c r="AM667" s="25">
        <v>125</v>
      </c>
      <c r="AN667" s="25">
        <v>100</v>
      </c>
      <c r="AP667" s="25">
        <f t="shared" si="53"/>
        <v>1</v>
      </c>
      <c r="AQ667" s="25" t="str">
        <f>VLOOKUP(C667,'시스템이펙트 참고자료'!$A:$B,2,FALSE)</f>
        <v>ACTIVE_PHYSICAL_OFFENCE_UP</v>
      </c>
      <c r="AS667" s="25">
        <v>1</v>
      </c>
      <c r="BD667" s="25">
        <v>1</v>
      </c>
    </row>
    <row r="668" spans="1:56" hidden="1">
      <c r="A668" s="25">
        <v>663</v>
      </c>
      <c r="B668" s="25" t="str">
        <f>VLOOKUP(C668,'시스템이펙트 참고자료'!$A:$C,2,FALSE)</f>
        <v>ACTIVE_ENERGY_OFFENCE_UP</v>
      </c>
      <c r="C668" s="25">
        <v>607</v>
      </c>
      <c r="D668" s="25">
        <f>VLOOKUP(C668,'시스템이펙트 참고자료'!$A:$D,4,FALSE)</f>
        <v>0</v>
      </c>
      <c r="E668" s="25">
        <v>0</v>
      </c>
      <c r="F668" s="25">
        <v>0</v>
      </c>
      <c r="G668" s="25">
        <f t="shared" si="52"/>
        <v>1</v>
      </c>
      <c r="H668" s="25" t="s">
        <v>395</v>
      </c>
      <c r="I668" s="25">
        <v>1</v>
      </c>
      <c r="J668" s="25" t="str">
        <f>VLOOKUP(C668,'시스템이펙트 참고자료'!$A:$C,3,FALSE)</f>
        <v>절대값/상대값(%) 가능</v>
      </c>
      <c r="K668" s="25">
        <v>13</v>
      </c>
      <c r="M668" s="25">
        <v>5</v>
      </c>
      <c r="N668" s="25">
        <f t="shared" si="51"/>
        <v>104</v>
      </c>
      <c r="O668" s="25">
        <v>1</v>
      </c>
      <c r="P668" s="25">
        <v>1</v>
      </c>
      <c r="Q668" s="25">
        <v>1</v>
      </c>
      <c r="R668" s="25">
        <v>1</v>
      </c>
      <c r="T668" s="25">
        <v>1</v>
      </c>
      <c r="AA668" s="25">
        <f t="shared" si="54"/>
        <v>128</v>
      </c>
      <c r="AK668" s="25">
        <v>1</v>
      </c>
      <c r="AM668" s="25">
        <v>104</v>
      </c>
      <c r="AN668" s="25">
        <v>100</v>
      </c>
      <c r="AP668" s="25">
        <f t="shared" si="53"/>
        <v>1</v>
      </c>
      <c r="AQ668" s="25" t="str">
        <f>VLOOKUP(C668,'시스템이펙트 참고자료'!$A:$B,2,FALSE)</f>
        <v>ACTIVE_ENERGY_OFFENCE_UP</v>
      </c>
      <c r="AS668" s="25">
        <v>1</v>
      </c>
      <c r="BD668" s="25">
        <v>1</v>
      </c>
    </row>
    <row r="669" spans="1:56" hidden="1">
      <c r="A669" s="25">
        <v>664</v>
      </c>
      <c r="B669" s="25" t="str">
        <f>VLOOKUP(C669,'시스템이펙트 참고자료'!$A:$C,2,FALSE)</f>
        <v>ACTIVE_PHYSICAL_OFFENCE_UP</v>
      </c>
      <c r="C669" s="25">
        <v>606</v>
      </c>
      <c r="D669" s="25">
        <f>VLOOKUP(C669,'시스템이펙트 참고자료'!$A:$D,4,FALSE)</f>
        <v>0</v>
      </c>
      <c r="E669" s="25">
        <v>0</v>
      </c>
      <c r="F669" s="25">
        <v>0</v>
      </c>
      <c r="G669" s="25">
        <f t="shared" si="52"/>
        <v>1</v>
      </c>
      <c r="H669" s="25" t="s">
        <v>395</v>
      </c>
      <c r="I669" s="25">
        <v>1</v>
      </c>
      <c r="J669" s="25" t="str">
        <f>VLOOKUP(C669,'시스템이펙트 참고자료'!$A:$C,3,FALSE)</f>
        <v>절대값/상대값(%) 가능</v>
      </c>
      <c r="K669" s="25">
        <v>13</v>
      </c>
      <c r="M669" s="25">
        <v>6</v>
      </c>
      <c r="N669" s="25">
        <f t="shared" si="51"/>
        <v>125</v>
      </c>
      <c r="O669" s="25">
        <v>1</v>
      </c>
      <c r="P669" s="25">
        <v>1</v>
      </c>
      <c r="Q669" s="25">
        <v>1</v>
      </c>
      <c r="R669" s="25">
        <v>1</v>
      </c>
      <c r="T669" s="25">
        <v>1</v>
      </c>
      <c r="AA669" s="25">
        <f t="shared" si="54"/>
        <v>128</v>
      </c>
      <c r="AK669" s="25">
        <v>1</v>
      </c>
      <c r="AM669" s="25">
        <v>125</v>
      </c>
      <c r="AN669" s="25">
        <v>100</v>
      </c>
      <c r="AP669" s="25">
        <f t="shared" si="53"/>
        <v>1</v>
      </c>
      <c r="AQ669" s="25" t="str">
        <f>VLOOKUP(C669,'시스템이펙트 참고자료'!$A:$B,2,FALSE)</f>
        <v>ACTIVE_PHYSICAL_OFFENCE_UP</v>
      </c>
      <c r="AS669" s="25">
        <v>1</v>
      </c>
      <c r="BD669" s="25">
        <v>1</v>
      </c>
    </row>
    <row r="670" spans="1:56" hidden="1">
      <c r="A670" s="25">
        <v>665</v>
      </c>
      <c r="B670" s="25" t="str">
        <f>VLOOKUP(C670,'시스템이펙트 참고자료'!$A:$C,2,FALSE)</f>
        <v>ACTIVE_ENERGY_OFFENCE_UP</v>
      </c>
      <c r="C670" s="25">
        <v>607</v>
      </c>
      <c r="D670" s="25">
        <f>VLOOKUP(C670,'시스템이펙트 참고자료'!$A:$D,4,FALSE)</f>
        <v>0</v>
      </c>
      <c r="E670" s="25">
        <v>0</v>
      </c>
      <c r="F670" s="25">
        <v>0</v>
      </c>
      <c r="G670" s="25">
        <f t="shared" si="52"/>
        <v>1</v>
      </c>
      <c r="H670" s="25" t="s">
        <v>395</v>
      </c>
      <c r="I670" s="25">
        <v>1</v>
      </c>
      <c r="J670" s="25" t="str">
        <f>VLOOKUP(C670,'시스템이펙트 참고자료'!$A:$C,3,FALSE)</f>
        <v>절대값/상대값(%) 가능</v>
      </c>
      <c r="K670" s="25">
        <v>13</v>
      </c>
      <c r="M670" s="25">
        <v>6</v>
      </c>
      <c r="N670" s="25">
        <f t="shared" si="51"/>
        <v>104</v>
      </c>
      <c r="O670" s="25">
        <v>1</v>
      </c>
      <c r="P670" s="25">
        <v>1</v>
      </c>
      <c r="Q670" s="25">
        <v>1</v>
      </c>
      <c r="R670" s="25">
        <v>1</v>
      </c>
      <c r="T670" s="25">
        <v>1</v>
      </c>
      <c r="AA670" s="25">
        <f t="shared" si="54"/>
        <v>128</v>
      </c>
      <c r="AK670" s="25">
        <v>1</v>
      </c>
      <c r="AM670" s="25">
        <v>104</v>
      </c>
      <c r="AN670" s="25">
        <v>100</v>
      </c>
      <c r="AP670" s="25">
        <f t="shared" si="53"/>
        <v>1</v>
      </c>
      <c r="AQ670" s="25" t="str">
        <f>VLOOKUP(C670,'시스템이펙트 참고자료'!$A:$B,2,FALSE)</f>
        <v>ACTIVE_ENERGY_OFFENCE_UP</v>
      </c>
      <c r="AS670" s="25">
        <v>1</v>
      </c>
      <c r="BD670" s="25">
        <v>1</v>
      </c>
    </row>
    <row r="671" spans="1:56" hidden="1">
      <c r="A671" s="25">
        <v>666</v>
      </c>
      <c r="B671" s="25" t="str">
        <f>VLOOKUP(C671,'시스템이펙트 참고자료'!$A:$C,2,FALSE)</f>
        <v>ACTIVE_STR_UP</v>
      </c>
      <c r="C671" s="25">
        <v>610</v>
      </c>
      <c r="D671" s="25">
        <f>VLOOKUP(C671,'시스템이펙트 참고자료'!$A:$D,4,FALSE)</f>
        <v>0</v>
      </c>
      <c r="E671" s="25">
        <v>0</v>
      </c>
      <c r="F671" s="25">
        <v>0</v>
      </c>
      <c r="G671" s="25">
        <f t="shared" si="52"/>
        <v>2</v>
      </c>
      <c r="H671" s="25" t="s">
        <v>395</v>
      </c>
      <c r="I671" s="25">
        <v>1</v>
      </c>
      <c r="J671" s="25" t="str">
        <f>VLOOKUP(C671,'시스템이펙트 참고자료'!$A:$C,3,FALSE)</f>
        <v>절대값/상대값(%) 가능</v>
      </c>
      <c r="K671" s="25">
        <v>13</v>
      </c>
      <c r="M671" s="25">
        <v>6</v>
      </c>
      <c r="N671" s="25">
        <f t="shared" si="51"/>
        <v>57</v>
      </c>
      <c r="O671" s="25">
        <v>1</v>
      </c>
      <c r="P671" s="25">
        <v>1</v>
      </c>
      <c r="Q671" s="25">
        <v>1</v>
      </c>
      <c r="R671" s="25">
        <v>1</v>
      </c>
      <c r="T671" s="25">
        <v>1</v>
      </c>
      <c r="AA671" s="25">
        <f t="shared" si="54"/>
        <v>128</v>
      </c>
      <c r="AK671" s="25">
        <v>1</v>
      </c>
      <c r="AM671" s="25">
        <v>57</v>
      </c>
      <c r="AN671" s="25">
        <v>100</v>
      </c>
      <c r="AP671" s="25">
        <f t="shared" si="53"/>
        <v>2</v>
      </c>
      <c r="AQ671" s="25" t="str">
        <f>VLOOKUP(C671,'시스템이펙트 참고자료'!$A:$B,2,FALSE)</f>
        <v>ACTIVE_STR_UP</v>
      </c>
      <c r="AS671" s="25">
        <v>1</v>
      </c>
      <c r="BD671" s="25">
        <v>1</v>
      </c>
    </row>
    <row r="672" spans="1:56" hidden="1">
      <c r="A672" s="25">
        <v>667</v>
      </c>
      <c r="B672" s="25" t="str">
        <f>VLOOKUP(C672,'시스템이펙트 참고자료'!$A:$C,2,FALSE)</f>
        <v>ACTIVE_SOL_UP</v>
      </c>
      <c r="C672" s="25">
        <v>614</v>
      </c>
      <c r="D672" s="25">
        <f>VLOOKUP(C672,'시스템이펙트 참고자료'!$A:$D,4,FALSE)</f>
        <v>0</v>
      </c>
      <c r="E672" s="25">
        <v>0</v>
      </c>
      <c r="F672" s="25">
        <v>0</v>
      </c>
      <c r="G672" s="25">
        <f t="shared" si="52"/>
        <v>2</v>
      </c>
      <c r="H672" s="25" t="s">
        <v>395</v>
      </c>
      <c r="I672" s="25">
        <v>1</v>
      </c>
      <c r="J672" s="25" t="str">
        <f>VLOOKUP(C672,'시스템이펙트 참고자료'!$A:$C,3,FALSE)</f>
        <v>절대값/상대값(%) 가능</v>
      </c>
      <c r="K672" s="25">
        <v>13</v>
      </c>
      <c r="M672" s="25">
        <v>6</v>
      </c>
      <c r="N672" s="25">
        <f t="shared" si="51"/>
        <v>53</v>
      </c>
      <c r="O672" s="25">
        <v>1</v>
      </c>
      <c r="P672" s="25">
        <v>1</v>
      </c>
      <c r="Q672" s="25">
        <v>1</v>
      </c>
      <c r="R672" s="25">
        <v>1</v>
      </c>
      <c r="T672" s="25">
        <v>1</v>
      </c>
      <c r="AA672" s="25">
        <f t="shared" si="54"/>
        <v>128</v>
      </c>
      <c r="AK672" s="25">
        <v>1</v>
      </c>
      <c r="AM672" s="25">
        <v>53</v>
      </c>
      <c r="AN672" s="25">
        <v>100</v>
      </c>
      <c r="AP672" s="25">
        <f t="shared" si="53"/>
        <v>2</v>
      </c>
      <c r="AQ672" s="25" t="str">
        <f>VLOOKUP(C672,'시스템이펙트 참고자료'!$A:$B,2,FALSE)</f>
        <v>ACTIVE_SOL_UP</v>
      </c>
      <c r="AS672" s="25">
        <v>1</v>
      </c>
      <c r="BD672" s="25">
        <v>1</v>
      </c>
    </row>
    <row r="673" spans="1:56" hidden="1">
      <c r="A673" s="25">
        <v>668</v>
      </c>
      <c r="B673" s="25" t="str">
        <f>VLOOKUP(C673,'시스템이펙트 참고자료'!$A:$C,2,FALSE)</f>
        <v>ACTIVE_PHYSICAL_CRITICAL_DAMAGE_UP</v>
      </c>
      <c r="C673" s="25">
        <v>658</v>
      </c>
      <c r="D673" s="25">
        <f>VLOOKUP(C673,'시스템이펙트 참고자료'!$A:$D,4,FALSE)</f>
        <v>0</v>
      </c>
      <c r="E673" s="25">
        <v>0</v>
      </c>
      <c r="F673" s="25">
        <v>0</v>
      </c>
      <c r="G673" s="25">
        <f t="shared" si="52"/>
        <v>4</v>
      </c>
      <c r="H673" s="25" t="s">
        <v>395</v>
      </c>
      <c r="I673" s="25">
        <v>1</v>
      </c>
      <c r="J673" s="25" t="str">
        <f>VLOOKUP(C673,'시스템이펙트 참고자료'!$A:$C,3,FALSE)</f>
        <v>절대값만 가능</v>
      </c>
      <c r="K673" s="25">
        <v>13</v>
      </c>
      <c r="M673" s="25">
        <v>6</v>
      </c>
      <c r="N673" s="25">
        <f t="shared" si="51"/>
        <v>28</v>
      </c>
      <c r="O673" s="25">
        <v>1</v>
      </c>
      <c r="P673" s="25">
        <v>1</v>
      </c>
      <c r="Q673" s="25">
        <v>1</v>
      </c>
      <c r="R673" s="25">
        <v>1</v>
      </c>
      <c r="T673" s="25">
        <v>1</v>
      </c>
      <c r="AA673" s="25">
        <f t="shared" si="54"/>
        <v>128</v>
      </c>
      <c r="AK673" s="25">
        <v>1</v>
      </c>
      <c r="AM673" s="25">
        <v>28</v>
      </c>
      <c r="AN673" s="25">
        <v>100</v>
      </c>
      <c r="AP673" s="25">
        <f t="shared" si="53"/>
        <v>4</v>
      </c>
      <c r="AQ673" s="25" t="str">
        <f>VLOOKUP(C673,'시스템이펙트 참고자료'!$A:$B,2,FALSE)</f>
        <v>ACTIVE_PHYSICAL_CRITICAL_DAMAGE_UP</v>
      </c>
      <c r="AS673" s="25">
        <v>1</v>
      </c>
      <c r="BD673" s="25">
        <v>1</v>
      </c>
    </row>
    <row r="674" spans="1:56" hidden="1">
      <c r="A674" s="25">
        <v>669</v>
      </c>
      <c r="B674" s="25" t="str">
        <f>VLOOKUP(C674,'시스템이펙트 참고자료'!$A:$C,2,FALSE)</f>
        <v>ACTIVE_ENERGY_CRITICAL_DAMAGE_UP</v>
      </c>
      <c r="C674" s="25">
        <v>659</v>
      </c>
      <c r="D674" s="25">
        <f>VLOOKUP(C674,'시스템이펙트 참고자료'!$A:$D,4,FALSE)</f>
        <v>0</v>
      </c>
      <c r="E674" s="25">
        <v>0</v>
      </c>
      <c r="F674" s="25">
        <v>0</v>
      </c>
      <c r="G674" s="25">
        <f t="shared" si="52"/>
        <v>4</v>
      </c>
      <c r="H674" s="25" t="s">
        <v>395</v>
      </c>
      <c r="I674" s="25">
        <v>1</v>
      </c>
      <c r="J674" s="25" t="str">
        <f>VLOOKUP(C674,'시스템이펙트 참고자료'!$A:$C,3,FALSE)</f>
        <v>절대값만 가능</v>
      </c>
      <c r="K674" s="25">
        <v>13</v>
      </c>
      <c r="M674" s="25">
        <v>6</v>
      </c>
      <c r="N674" s="25">
        <f t="shared" si="51"/>
        <v>32</v>
      </c>
      <c r="O674" s="25">
        <v>1</v>
      </c>
      <c r="P674" s="25">
        <v>1</v>
      </c>
      <c r="Q674" s="25">
        <v>1</v>
      </c>
      <c r="R674" s="25">
        <v>1</v>
      </c>
      <c r="T674" s="25">
        <v>1</v>
      </c>
      <c r="AA674" s="25">
        <f t="shared" si="54"/>
        <v>128</v>
      </c>
      <c r="AK674" s="25">
        <v>1</v>
      </c>
      <c r="AM674" s="25">
        <v>32</v>
      </c>
      <c r="AN674" s="25">
        <v>100</v>
      </c>
      <c r="AP674" s="25">
        <f t="shared" si="53"/>
        <v>4</v>
      </c>
      <c r="AQ674" s="25" t="str">
        <f>VLOOKUP(C674,'시스템이펙트 참고자료'!$A:$B,2,FALSE)</f>
        <v>ACTIVE_ENERGY_CRITICAL_DAMAGE_UP</v>
      </c>
      <c r="AS674" s="25">
        <v>1</v>
      </c>
      <c r="BD674" s="25">
        <v>1</v>
      </c>
    </row>
    <row r="675" spans="1:56" hidden="1">
      <c r="A675" s="25">
        <v>670</v>
      </c>
      <c r="B675" s="25" t="str">
        <f>VLOOKUP(C675,'시스템이펙트 참고자료'!$A:$C,2,FALSE)</f>
        <v>ACTIVE_FOC_UP</v>
      </c>
      <c r="C675" s="25">
        <v>612</v>
      </c>
      <c r="D675" s="25">
        <f>VLOOKUP(C675,'시스템이펙트 참고자료'!$A:$D,4,FALSE)</f>
        <v>0</v>
      </c>
      <c r="E675" s="25">
        <v>0</v>
      </c>
      <c r="F675" s="25">
        <v>0</v>
      </c>
      <c r="G675" s="25">
        <f t="shared" si="52"/>
        <v>2</v>
      </c>
      <c r="H675" s="25" t="s">
        <v>395</v>
      </c>
      <c r="I675" s="25">
        <v>1</v>
      </c>
      <c r="J675" s="25" t="str">
        <f>VLOOKUP(C675,'시스템이펙트 참고자료'!$A:$C,3,FALSE)</f>
        <v>절대값/상대값(%) 가능</v>
      </c>
      <c r="K675" s="25">
        <v>13</v>
      </c>
      <c r="M675" s="25">
        <v>7</v>
      </c>
      <c r="N675" s="25">
        <f t="shared" si="51"/>
        <v>53</v>
      </c>
      <c r="O675" s="25">
        <v>1</v>
      </c>
      <c r="P675" s="25">
        <v>1</v>
      </c>
      <c r="Q675" s="25">
        <v>1</v>
      </c>
      <c r="R675" s="25">
        <v>1</v>
      </c>
      <c r="T675" s="25">
        <v>1</v>
      </c>
      <c r="AA675" s="25">
        <f t="shared" si="54"/>
        <v>128</v>
      </c>
      <c r="AK675" s="25">
        <v>1</v>
      </c>
      <c r="AM675" s="25">
        <v>53</v>
      </c>
      <c r="AN675" s="25">
        <v>100</v>
      </c>
      <c r="AP675" s="25">
        <f t="shared" si="53"/>
        <v>2</v>
      </c>
      <c r="AQ675" s="25" t="str">
        <f>VLOOKUP(C675,'시스템이펙트 참고자료'!$A:$B,2,FALSE)</f>
        <v>ACTIVE_FOC_UP</v>
      </c>
      <c r="AS675" s="25">
        <v>1</v>
      </c>
      <c r="BD675" s="25">
        <v>1</v>
      </c>
    </row>
    <row r="676" spans="1:56" hidden="1">
      <c r="A676" s="25">
        <v>671</v>
      </c>
      <c r="B676" s="25" t="str">
        <f>VLOOKUP(C676,'시스템이펙트 참고자료'!$A:$C,2,FALSE)</f>
        <v>ACTIVE_ATTACK_RATE_UP</v>
      </c>
      <c r="C676" s="25">
        <v>618</v>
      </c>
      <c r="D676" s="25">
        <f>VLOOKUP(C676,'시스템이펙트 참고자료'!$A:$D,4,FALSE)</f>
        <v>0</v>
      </c>
      <c r="E676" s="25">
        <v>0</v>
      </c>
      <c r="F676" s="25">
        <v>0</v>
      </c>
      <c r="G676" s="25">
        <f t="shared" si="52"/>
        <v>1</v>
      </c>
      <c r="H676" s="25" t="s">
        <v>395</v>
      </c>
      <c r="I676" s="25">
        <v>1</v>
      </c>
      <c r="J676" s="25" t="str">
        <f>VLOOKUP(C676,'시스템이펙트 참고자료'!$A:$C,3,FALSE)</f>
        <v>절대값/상대값(%) 가능</v>
      </c>
      <c r="K676" s="25">
        <v>13</v>
      </c>
      <c r="M676" s="25">
        <v>7</v>
      </c>
      <c r="N676" s="25">
        <f t="shared" si="51"/>
        <v>528</v>
      </c>
      <c r="O676" s="25">
        <v>1</v>
      </c>
      <c r="P676" s="25">
        <v>1</v>
      </c>
      <c r="Q676" s="25">
        <v>1</v>
      </c>
      <c r="R676" s="25">
        <v>1</v>
      </c>
      <c r="T676" s="25">
        <v>1</v>
      </c>
      <c r="AA676" s="25">
        <f t="shared" si="54"/>
        <v>128</v>
      </c>
      <c r="AK676" s="25">
        <v>1</v>
      </c>
      <c r="AM676" s="25">
        <v>528</v>
      </c>
      <c r="AN676" s="25">
        <v>100</v>
      </c>
      <c r="AP676" s="25">
        <f t="shared" si="53"/>
        <v>1</v>
      </c>
      <c r="AQ676" s="25" t="str">
        <f>VLOOKUP(C676,'시스템이펙트 참고자료'!$A:$B,2,FALSE)</f>
        <v>ACTIVE_ATTACK_RATE_UP</v>
      </c>
      <c r="AS676" s="25">
        <v>1</v>
      </c>
      <c r="BD676" s="25">
        <v>1</v>
      </c>
    </row>
    <row r="677" spans="1:56" hidden="1">
      <c r="A677" s="25">
        <v>672</v>
      </c>
      <c r="B677" s="25" t="str">
        <f>VLOOKUP(C677,'시스템이펙트 참고자료'!$A:$C,2,FALSE)</f>
        <v>ACTIVE_ENG_UP</v>
      </c>
      <c r="C677" s="25">
        <v>615</v>
      </c>
      <c r="D677" s="25">
        <f>VLOOKUP(C677,'시스템이펙트 참고자료'!$A:$D,4,FALSE)</f>
        <v>0</v>
      </c>
      <c r="E677" s="25">
        <v>0</v>
      </c>
      <c r="F677" s="25">
        <v>0</v>
      </c>
      <c r="G677" s="25">
        <f t="shared" si="52"/>
        <v>2</v>
      </c>
      <c r="H677" s="25" t="s">
        <v>395</v>
      </c>
      <c r="I677" s="25">
        <v>1</v>
      </c>
      <c r="J677" s="25" t="str">
        <f>VLOOKUP(C677,'시스템이펙트 참고자료'!$A:$C,3,FALSE)</f>
        <v>절대값/상대값(%) 가능</v>
      </c>
      <c r="K677" s="25">
        <v>13</v>
      </c>
      <c r="M677" s="25">
        <v>7</v>
      </c>
      <c r="N677" s="25">
        <f t="shared" si="51"/>
        <v>62</v>
      </c>
      <c r="O677" s="25">
        <v>1</v>
      </c>
      <c r="P677" s="25">
        <v>1</v>
      </c>
      <c r="Q677" s="25">
        <v>1</v>
      </c>
      <c r="R677" s="25">
        <v>1</v>
      </c>
      <c r="T677" s="25">
        <v>1</v>
      </c>
      <c r="AA677" s="25">
        <f t="shared" si="54"/>
        <v>128</v>
      </c>
      <c r="AK677" s="25">
        <v>1</v>
      </c>
      <c r="AM677" s="25">
        <v>62</v>
      </c>
      <c r="AN677" s="25">
        <v>100</v>
      </c>
      <c r="AP677" s="25">
        <f t="shared" si="53"/>
        <v>2</v>
      </c>
      <c r="AQ677" s="25" t="str">
        <f>VLOOKUP(C677,'시스템이펙트 참고자료'!$A:$B,2,FALSE)</f>
        <v>ACTIVE_ENG_UP</v>
      </c>
      <c r="AS677" s="25">
        <v>1</v>
      </c>
      <c r="BD677" s="25">
        <v>1</v>
      </c>
    </row>
    <row r="678" spans="1:56" hidden="1">
      <c r="A678" s="25">
        <v>673</v>
      </c>
      <c r="B678" s="25" t="str">
        <f>VLOOKUP(C678,'시스템이펙트 참고자료'!$A:$C,2,FALSE)</f>
        <v>ACTIVE_PHYSICAL_CRITICAL</v>
      </c>
      <c r="C678" s="25">
        <v>632</v>
      </c>
      <c r="D678" s="25">
        <f>VLOOKUP(C678,'시스템이펙트 참고자료'!$A:$D,4,FALSE)</f>
        <v>0</v>
      </c>
      <c r="E678" s="25">
        <v>0</v>
      </c>
      <c r="F678" s="25">
        <v>0</v>
      </c>
      <c r="G678" s="25">
        <f t="shared" si="52"/>
        <v>5</v>
      </c>
      <c r="H678" s="25" t="s">
        <v>395</v>
      </c>
      <c r="I678" s="25">
        <v>1</v>
      </c>
      <c r="J678" s="25" t="str">
        <f>VLOOKUP(C678,'시스템이펙트 참고자료'!$A:$C,3,FALSE)</f>
        <v>절대값/상대값(%) 가능</v>
      </c>
      <c r="K678" s="25">
        <v>13</v>
      </c>
      <c r="M678" s="25">
        <v>7</v>
      </c>
      <c r="N678" s="25">
        <f t="shared" si="51"/>
        <v>21</v>
      </c>
      <c r="O678" s="25">
        <v>1</v>
      </c>
      <c r="P678" s="25">
        <v>1</v>
      </c>
      <c r="Q678" s="25">
        <v>1</v>
      </c>
      <c r="R678" s="25">
        <v>1</v>
      </c>
      <c r="T678" s="25">
        <v>1</v>
      </c>
      <c r="AA678" s="25">
        <f t="shared" si="54"/>
        <v>128</v>
      </c>
      <c r="AK678" s="25">
        <v>1</v>
      </c>
      <c r="AM678" s="25">
        <v>21</v>
      </c>
      <c r="AN678" s="25">
        <v>100</v>
      </c>
      <c r="AP678" s="25">
        <f t="shared" si="53"/>
        <v>5</v>
      </c>
      <c r="AQ678" s="25" t="str">
        <f>VLOOKUP(C678,'시스템이펙트 참고자료'!$A:$B,2,FALSE)</f>
        <v>ACTIVE_PHYSICAL_CRITICAL</v>
      </c>
      <c r="AS678" s="25">
        <v>1</v>
      </c>
      <c r="BD678" s="25">
        <v>1</v>
      </c>
    </row>
    <row r="679" spans="1:56" hidden="1">
      <c r="A679" s="25">
        <v>674</v>
      </c>
      <c r="B679" s="25" t="str">
        <f>VLOOKUP(C679,'시스템이펙트 참고자료'!$A:$C,2,FALSE)</f>
        <v>ACTIVE_ENERGY_CRITICAL</v>
      </c>
      <c r="C679" s="25">
        <v>633</v>
      </c>
      <c r="D679" s="25">
        <f>VLOOKUP(C679,'시스템이펙트 참고자료'!$A:$D,4,FALSE)</f>
        <v>0</v>
      </c>
      <c r="E679" s="25">
        <v>0</v>
      </c>
      <c r="F679" s="25">
        <v>0</v>
      </c>
      <c r="G679" s="25">
        <f t="shared" si="52"/>
        <v>5</v>
      </c>
      <c r="H679" s="25" t="s">
        <v>395</v>
      </c>
      <c r="I679" s="25">
        <v>1</v>
      </c>
      <c r="J679" s="25" t="str">
        <f>VLOOKUP(C679,'시스템이펙트 참고자료'!$A:$C,3,FALSE)</f>
        <v>절대값/상대값(%) 가능</v>
      </c>
      <c r="K679" s="25">
        <v>13</v>
      </c>
      <c r="M679" s="25">
        <v>7</v>
      </c>
      <c r="N679" s="25">
        <f t="shared" si="51"/>
        <v>24</v>
      </c>
      <c r="O679" s="25">
        <v>1</v>
      </c>
      <c r="P679" s="25">
        <v>1</v>
      </c>
      <c r="Q679" s="25">
        <v>1</v>
      </c>
      <c r="R679" s="25">
        <v>1</v>
      </c>
      <c r="T679" s="25">
        <v>1</v>
      </c>
      <c r="AA679" s="25">
        <f t="shared" si="54"/>
        <v>128</v>
      </c>
      <c r="AK679" s="25">
        <v>1</v>
      </c>
      <c r="AM679" s="25">
        <v>24</v>
      </c>
      <c r="AN679" s="25">
        <v>100</v>
      </c>
      <c r="AP679" s="25">
        <f t="shared" si="53"/>
        <v>5</v>
      </c>
      <c r="AQ679" s="25" t="str">
        <f>VLOOKUP(C679,'시스템이펙트 참고자료'!$A:$B,2,FALSE)</f>
        <v>ACTIVE_ENERGY_CRITICAL</v>
      </c>
      <c r="AS679" s="25">
        <v>1</v>
      </c>
      <c r="BD679" s="25">
        <v>1</v>
      </c>
    </row>
    <row r="680" spans="1:56" hidden="1">
      <c r="A680" s="25">
        <v>675</v>
      </c>
      <c r="B680" s="25" t="str">
        <f>VLOOKUP(C680,'시스템이펙트 참고자료'!$A:$C,2,FALSE)</f>
        <v>ACTIVE_FOC_UP</v>
      </c>
      <c r="C680" s="25">
        <v>612</v>
      </c>
      <c r="D680" s="25">
        <f>VLOOKUP(C680,'시스템이펙트 참고자료'!$A:$D,4,FALSE)</f>
        <v>0</v>
      </c>
      <c r="E680" s="25">
        <v>0</v>
      </c>
      <c r="F680" s="25">
        <v>0</v>
      </c>
      <c r="G680" s="25">
        <f t="shared" si="52"/>
        <v>2</v>
      </c>
      <c r="H680" s="25" t="s">
        <v>395</v>
      </c>
      <c r="I680" s="25">
        <v>1</v>
      </c>
      <c r="J680" s="25" t="str">
        <f>VLOOKUP(C680,'시스템이펙트 참고자료'!$A:$C,3,FALSE)</f>
        <v>절대값/상대값(%) 가능</v>
      </c>
      <c r="K680" s="25">
        <v>13</v>
      </c>
      <c r="M680" s="25">
        <v>8</v>
      </c>
      <c r="N680" s="25">
        <f t="shared" si="51"/>
        <v>53</v>
      </c>
      <c r="O680" s="25">
        <v>1</v>
      </c>
      <c r="P680" s="25">
        <v>1</v>
      </c>
      <c r="Q680" s="25">
        <v>1</v>
      </c>
      <c r="R680" s="25">
        <v>1</v>
      </c>
      <c r="T680" s="25">
        <v>1</v>
      </c>
      <c r="AA680" s="25">
        <f t="shared" si="54"/>
        <v>128</v>
      </c>
      <c r="AK680" s="25">
        <v>1</v>
      </c>
      <c r="AM680" s="25">
        <v>53</v>
      </c>
      <c r="AN680" s="25">
        <v>100</v>
      </c>
      <c r="AP680" s="25">
        <f t="shared" si="53"/>
        <v>2</v>
      </c>
      <c r="AQ680" s="25" t="str">
        <f>VLOOKUP(C680,'시스템이펙트 참고자료'!$A:$B,2,FALSE)</f>
        <v>ACTIVE_FOC_UP</v>
      </c>
      <c r="AS680" s="25">
        <v>1</v>
      </c>
      <c r="BD680" s="25">
        <v>1</v>
      </c>
    </row>
    <row r="681" spans="1:56" hidden="1">
      <c r="A681" s="25">
        <v>676</v>
      </c>
      <c r="B681" s="25" t="str">
        <f>VLOOKUP(C681,'시스템이펙트 참고자료'!$A:$C,2,FALSE)</f>
        <v>ACTIVE_CON_UP</v>
      </c>
      <c r="C681" s="25">
        <v>611</v>
      </c>
      <c r="D681" s="25">
        <f>VLOOKUP(C681,'시스템이펙트 참고자료'!$A:$D,4,FALSE)</f>
        <v>0</v>
      </c>
      <c r="E681" s="25">
        <v>0</v>
      </c>
      <c r="F681" s="25">
        <v>0</v>
      </c>
      <c r="G681" s="25">
        <f t="shared" si="52"/>
        <v>3</v>
      </c>
      <c r="H681" s="25" t="s">
        <v>395</v>
      </c>
      <c r="I681" s="25">
        <v>1</v>
      </c>
      <c r="J681" s="25" t="str">
        <f>VLOOKUP(C681,'시스템이펙트 참고자료'!$A:$C,3,FALSE)</f>
        <v>절대값/상대값(%) 가능</v>
      </c>
      <c r="K681" s="25">
        <v>13</v>
      </c>
      <c r="M681" s="25">
        <v>8</v>
      </c>
      <c r="N681" s="25">
        <f t="shared" si="51"/>
        <v>48</v>
      </c>
      <c r="O681" s="25">
        <v>1</v>
      </c>
      <c r="P681" s="25">
        <v>1</v>
      </c>
      <c r="Q681" s="25">
        <v>1</v>
      </c>
      <c r="R681" s="25">
        <v>1</v>
      </c>
      <c r="T681" s="25">
        <v>1</v>
      </c>
      <c r="AA681" s="25">
        <f t="shared" si="54"/>
        <v>128</v>
      </c>
      <c r="AK681" s="25">
        <v>1</v>
      </c>
      <c r="AM681" s="25">
        <v>48</v>
      </c>
      <c r="AN681" s="25">
        <v>100</v>
      </c>
      <c r="AP681" s="25">
        <f t="shared" si="53"/>
        <v>3</v>
      </c>
      <c r="AQ681" s="25" t="str">
        <f>VLOOKUP(C681,'시스템이펙트 참고자료'!$A:$B,2,FALSE)</f>
        <v>ACTIVE_CON_UP</v>
      </c>
      <c r="AS681" s="25">
        <v>1</v>
      </c>
      <c r="BD681" s="25">
        <v>1</v>
      </c>
    </row>
    <row r="682" spans="1:56" hidden="1">
      <c r="A682" s="25">
        <v>677</v>
      </c>
      <c r="B682" s="25" t="str">
        <f>VLOOKUP(C682,'시스템이펙트 참고자료'!$A:$C,2,FALSE)</f>
        <v>ACTIVE_BLOCK_RATE_UP</v>
      </c>
      <c r="C682" s="25">
        <v>620</v>
      </c>
      <c r="D682" s="25">
        <f>VLOOKUP(C682,'시스템이펙트 참고자료'!$A:$D,4,FALSE)</f>
        <v>0</v>
      </c>
      <c r="E682" s="25">
        <v>0</v>
      </c>
      <c r="F682" s="25">
        <v>0</v>
      </c>
      <c r="G682" s="25">
        <f t="shared" si="52"/>
        <v>1</v>
      </c>
      <c r="H682" s="25" t="s">
        <v>395</v>
      </c>
      <c r="I682" s="25">
        <v>1</v>
      </c>
      <c r="J682" s="25" t="str">
        <f>VLOOKUP(C682,'시스템이펙트 참고자료'!$A:$C,3,FALSE)</f>
        <v>절대값/상대값(%) 가능</v>
      </c>
      <c r="K682" s="25">
        <v>13</v>
      </c>
      <c r="M682" s="25">
        <v>8</v>
      </c>
      <c r="N682" s="25">
        <f t="shared" si="51"/>
        <v>352</v>
      </c>
      <c r="O682" s="25">
        <v>1</v>
      </c>
      <c r="P682" s="25">
        <v>1</v>
      </c>
      <c r="Q682" s="25">
        <v>1</v>
      </c>
      <c r="R682" s="25">
        <v>1</v>
      </c>
      <c r="T682" s="25">
        <v>1</v>
      </c>
      <c r="AA682" s="25">
        <f t="shared" si="54"/>
        <v>128</v>
      </c>
      <c r="AK682" s="25">
        <v>1</v>
      </c>
      <c r="AM682" s="25">
        <v>352</v>
      </c>
      <c r="AN682" s="25">
        <v>100</v>
      </c>
      <c r="AP682" s="25">
        <f t="shared" si="53"/>
        <v>1</v>
      </c>
      <c r="AQ682" s="25" t="str">
        <f>VLOOKUP(C682,'시스템이펙트 참고자료'!$A:$B,2,FALSE)</f>
        <v>ACTIVE_BLOCK_RATE_UP</v>
      </c>
      <c r="AS682" s="25">
        <v>1</v>
      </c>
      <c r="BD682" s="25">
        <v>1</v>
      </c>
    </row>
    <row r="683" spans="1:56" hidden="1">
      <c r="A683" s="25">
        <v>678</v>
      </c>
      <c r="B683" s="25" t="str">
        <f>VLOOKUP(C683,'시스템이펙트 참고자료'!$A:$C,2,FALSE)</f>
        <v>ACTIVE_ENG_UP</v>
      </c>
      <c r="C683" s="25">
        <v>615</v>
      </c>
      <c r="D683" s="25">
        <f>VLOOKUP(C683,'시스템이펙트 참고자료'!$A:$D,4,FALSE)</f>
        <v>0</v>
      </c>
      <c r="E683" s="25">
        <v>0</v>
      </c>
      <c r="F683" s="25">
        <v>0</v>
      </c>
      <c r="G683" s="25">
        <f t="shared" si="52"/>
        <v>2</v>
      </c>
      <c r="H683" s="25" t="s">
        <v>395</v>
      </c>
      <c r="I683" s="25">
        <v>1</v>
      </c>
      <c r="J683" s="25" t="str">
        <f>VLOOKUP(C683,'시스템이펙트 참고자료'!$A:$C,3,FALSE)</f>
        <v>절대값/상대값(%) 가능</v>
      </c>
      <c r="K683" s="25">
        <v>13</v>
      </c>
      <c r="M683" s="25">
        <v>8</v>
      </c>
      <c r="N683" s="25">
        <f t="shared" si="51"/>
        <v>62</v>
      </c>
      <c r="O683" s="25">
        <v>1</v>
      </c>
      <c r="P683" s="25">
        <v>1</v>
      </c>
      <c r="Q683" s="25">
        <v>1</v>
      </c>
      <c r="R683" s="25">
        <v>1</v>
      </c>
      <c r="T683" s="25">
        <v>1</v>
      </c>
      <c r="AA683" s="25">
        <f t="shared" si="54"/>
        <v>128</v>
      </c>
      <c r="AK683" s="25">
        <v>1</v>
      </c>
      <c r="AM683" s="25">
        <v>62</v>
      </c>
      <c r="AN683" s="25">
        <v>100</v>
      </c>
      <c r="AP683" s="25">
        <f t="shared" si="53"/>
        <v>2</v>
      </c>
      <c r="AQ683" s="25" t="str">
        <f>VLOOKUP(C683,'시스템이펙트 참고자료'!$A:$B,2,FALSE)</f>
        <v>ACTIVE_ENG_UP</v>
      </c>
      <c r="AS683" s="25">
        <v>1</v>
      </c>
      <c r="BD683" s="25">
        <v>1</v>
      </c>
    </row>
    <row r="684" spans="1:56" hidden="1">
      <c r="A684" s="25">
        <v>679</v>
      </c>
      <c r="B684" s="25" t="str">
        <f>VLOOKUP(C684,'시스템이펙트 참고자료'!$A:$C,2,FALSE)</f>
        <v>ACTIVE_PHYSICAL_CRITICAL</v>
      </c>
      <c r="C684" s="25">
        <v>632</v>
      </c>
      <c r="D684" s="25">
        <f>VLOOKUP(C684,'시스템이펙트 참고자료'!$A:$D,4,FALSE)</f>
        <v>0</v>
      </c>
      <c r="E684" s="25">
        <v>0</v>
      </c>
      <c r="F684" s="25">
        <v>0</v>
      </c>
      <c r="G684" s="25">
        <f t="shared" si="52"/>
        <v>5</v>
      </c>
      <c r="H684" s="25" t="s">
        <v>395</v>
      </c>
      <c r="I684" s="25">
        <v>1</v>
      </c>
      <c r="J684" s="25" t="str">
        <f>VLOOKUP(C684,'시스템이펙트 참고자료'!$A:$C,3,FALSE)</f>
        <v>절대값/상대값(%) 가능</v>
      </c>
      <c r="K684" s="25">
        <v>13</v>
      </c>
      <c r="M684" s="25">
        <v>9</v>
      </c>
      <c r="N684" s="25">
        <f t="shared" si="51"/>
        <v>21</v>
      </c>
      <c r="O684" s="25">
        <v>1</v>
      </c>
      <c r="P684" s="25">
        <v>1</v>
      </c>
      <c r="Q684" s="25">
        <v>1</v>
      </c>
      <c r="R684" s="25">
        <v>1</v>
      </c>
      <c r="T684" s="25">
        <v>1</v>
      </c>
      <c r="AA684" s="25">
        <f t="shared" si="54"/>
        <v>128</v>
      </c>
      <c r="AK684" s="25">
        <v>1</v>
      </c>
      <c r="AM684" s="25">
        <v>21</v>
      </c>
      <c r="AN684" s="25">
        <v>100</v>
      </c>
      <c r="AP684" s="25">
        <f t="shared" si="53"/>
        <v>5</v>
      </c>
      <c r="AQ684" s="25" t="str">
        <f>VLOOKUP(C684,'시스템이펙트 참고자료'!$A:$B,2,FALSE)</f>
        <v>ACTIVE_PHYSICAL_CRITICAL</v>
      </c>
      <c r="AS684" s="25">
        <v>1</v>
      </c>
      <c r="BD684" s="25">
        <v>1</v>
      </c>
    </row>
    <row r="685" spans="1:56" hidden="1">
      <c r="A685" s="25">
        <v>680</v>
      </c>
      <c r="B685" s="25" t="str">
        <f>VLOOKUP(C685,'시스템이펙트 참고자료'!$A:$C,2,FALSE)</f>
        <v>ACTIVE_ENERGY_CRITICAL</v>
      </c>
      <c r="C685" s="25">
        <v>633</v>
      </c>
      <c r="D685" s="25">
        <f>VLOOKUP(C685,'시스템이펙트 참고자료'!$A:$D,4,FALSE)</f>
        <v>0</v>
      </c>
      <c r="E685" s="25">
        <v>0</v>
      </c>
      <c r="F685" s="25">
        <v>0</v>
      </c>
      <c r="G685" s="25">
        <f t="shared" si="52"/>
        <v>5</v>
      </c>
      <c r="H685" s="25" t="s">
        <v>395</v>
      </c>
      <c r="I685" s="25">
        <v>1</v>
      </c>
      <c r="J685" s="25" t="str">
        <f>VLOOKUP(C685,'시스템이펙트 참고자료'!$A:$C,3,FALSE)</f>
        <v>절대값/상대값(%) 가능</v>
      </c>
      <c r="K685" s="25">
        <v>13</v>
      </c>
      <c r="M685" s="25">
        <v>9</v>
      </c>
      <c r="N685" s="25">
        <f t="shared" si="51"/>
        <v>24</v>
      </c>
      <c r="O685" s="25">
        <v>1</v>
      </c>
      <c r="P685" s="25">
        <v>1</v>
      </c>
      <c r="Q685" s="25">
        <v>1</v>
      </c>
      <c r="R685" s="25">
        <v>1</v>
      </c>
      <c r="T685" s="25">
        <v>1</v>
      </c>
      <c r="AA685" s="25">
        <f t="shared" si="54"/>
        <v>128</v>
      </c>
      <c r="AK685" s="25">
        <v>1</v>
      </c>
      <c r="AM685" s="25">
        <v>24</v>
      </c>
      <c r="AN685" s="25">
        <v>100</v>
      </c>
      <c r="AP685" s="25">
        <f t="shared" si="53"/>
        <v>5</v>
      </c>
      <c r="AQ685" s="25" t="str">
        <f>VLOOKUP(C685,'시스템이펙트 참고자료'!$A:$B,2,FALSE)</f>
        <v>ACTIVE_ENERGY_CRITICAL</v>
      </c>
      <c r="AS685" s="25">
        <v>1</v>
      </c>
      <c r="BD685" s="25">
        <v>1</v>
      </c>
    </row>
    <row r="686" spans="1:56" hidden="1">
      <c r="A686" s="25">
        <v>681</v>
      </c>
      <c r="B686" s="25" t="str">
        <f>VLOOKUP(C686,'시스템이펙트 참고자료'!$A:$C,2,FALSE)</f>
        <v>ACTIVE_DEX_UP</v>
      </c>
      <c r="C686" s="25">
        <v>613</v>
      </c>
      <c r="D686" s="25">
        <f>VLOOKUP(C686,'시스템이펙트 참고자료'!$A:$D,4,FALSE)</f>
        <v>0</v>
      </c>
      <c r="E686" s="25">
        <v>0</v>
      </c>
      <c r="F686" s="25">
        <v>0</v>
      </c>
      <c r="G686" s="25">
        <f t="shared" si="52"/>
        <v>3</v>
      </c>
      <c r="H686" s="25" t="s">
        <v>395</v>
      </c>
      <c r="I686" s="25">
        <v>1</v>
      </c>
      <c r="J686" s="25" t="str">
        <f>VLOOKUP(C686,'시스템이펙트 참고자료'!$A:$C,3,FALSE)</f>
        <v>절대값/상대값(%) 가능</v>
      </c>
      <c r="K686" s="25">
        <v>13</v>
      </c>
      <c r="M686" s="25">
        <v>9</v>
      </c>
      <c r="N686" s="25">
        <f t="shared" si="51"/>
        <v>44</v>
      </c>
      <c r="O686" s="25">
        <v>1</v>
      </c>
      <c r="P686" s="25">
        <v>1</v>
      </c>
      <c r="Q686" s="25">
        <v>1</v>
      </c>
      <c r="R686" s="25">
        <v>1</v>
      </c>
      <c r="T686" s="25">
        <v>1</v>
      </c>
      <c r="AA686" s="25">
        <f t="shared" si="54"/>
        <v>128</v>
      </c>
      <c r="AK686" s="25">
        <v>1</v>
      </c>
      <c r="AM686" s="25">
        <v>44</v>
      </c>
      <c r="AN686" s="25">
        <v>100</v>
      </c>
      <c r="AP686" s="25">
        <f t="shared" si="53"/>
        <v>3</v>
      </c>
      <c r="AQ686" s="25" t="str">
        <f>VLOOKUP(C686,'시스템이펙트 참고자료'!$A:$B,2,FALSE)</f>
        <v>ACTIVE_DEX_UP</v>
      </c>
      <c r="AS686" s="25">
        <v>1</v>
      </c>
      <c r="BD686" s="25">
        <v>1</v>
      </c>
    </row>
    <row r="687" spans="1:56" hidden="1">
      <c r="A687" s="25">
        <v>682</v>
      </c>
      <c r="B687" s="25" t="str">
        <f>VLOOKUP(C687,'시스템이펙트 참고자료'!$A:$C,2,FALSE)</f>
        <v>ACTIVE_FOC_UP</v>
      </c>
      <c r="C687" s="25">
        <v>612</v>
      </c>
      <c r="D687" s="25">
        <f>VLOOKUP(C687,'시스템이펙트 참고자료'!$A:$D,4,FALSE)</f>
        <v>0</v>
      </c>
      <c r="E687" s="25">
        <v>0</v>
      </c>
      <c r="F687" s="25">
        <v>0</v>
      </c>
      <c r="G687" s="25">
        <f t="shared" si="52"/>
        <v>2</v>
      </c>
      <c r="H687" s="25" t="s">
        <v>395</v>
      </c>
      <c r="I687" s="25">
        <v>1</v>
      </c>
      <c r="J687" s="25" t="str">
        <f>VLOOKUP(C687,'시스템이펙트 참고자료'!$A:$C,3,FALSE)</f>
        <v>절대값/상대값(%) 가능</v>
      </c>
      <c r="K687" s="25">
        <v>13</v>
      </c>
      <c r="M687" s="25">
        <v>9</v>
      </c>
      <c r="N687" s="25">
        <f t="shared" si="51"/>
        <v>53</v>
      </c>
      <c r="O687" s="25">
        <v>1</v>
      </c>
      <c r="P687" s="25">
        <v>1</v>
      </c>
      <c r="Q687" s="25">
        <v>1</v>
      </c>
      <c r="R687" s="25">
        <v>1</v>
      </c>
      <c r="T687" s="25">
        <v>1</v>
      </c>
      <c r="AA687" s="25">
        <f t="shared" si="54"/>
        <v>128</v>
      </c>
      <c r="AK687" s="25">
        <v>1</v>
      </c>
      <c r="AM687" s="25">
        <v>53</v>
      </c>
      <c r="AN687" s="25">
        <v>100</v>
      </c>
      <c r="AP687" s="25">
        <f t="shared" si="53"/>
        <v>2</v>
      </c>
      <c r="AQ687" s="25" t="str">
        <f>VLOOKUP(C687,'시스템이펙트 참고자료'!$A:$B,2,FALSE)</f>
        <v>ACTIVE_FOC_UP</v>
      </c>
      <c r="AS687" s="25">
        <v>1</v>
      </c>
      <c r="BD687" s="25">
        <v>1</v>
      </c>
    </row>
    <row r="688" spans="1:56" hidden="1">
      <c r="A688" s="25">
        <v>683</v>
      </c>
      <c r="B688" s="25" t="str">
        <f>VLOOKUP(C688,'시스템이펙트 참고자료'!$A:$C,2,FALSE)</f>
        <v>ACTIVE_PHYSICAL_CRITICAL_DAMAGE_UP</v>
      </c>
      <c r="C688" s="25">
        <v>658</v>
      </c>
      <c r="D688" s="25">
        <f>VLOOKUP(C688,'시스템이펙트 참고자료'!$A:$D,4,FALSE)</f>
        <v>0</v>
      </c>
      <c r="E688" s="25">
        <v>0</v>
      </c>
      <c r="F688" s="25">
        <v>0</v>
      </c>
      <c r="G688" s="25">
        <f t="shared" si="52"/>
        <v>4</v>
      </c>
      <c r="H688" s="25" t="s">
        <v>395</v>
      </c>
      <c r="I688" s="25">
        <v>1</v>
      </c>
      <c r="J688" s="25" t="str">
        <f>VLOOKUP(C688,'시스템이펙트 참고자료'!$A:$C,3,FALSE)</f>
        <v>절대값만 가능</v>
      </c>
      <c r="K688" s="25">
        <v>13</v>
      </c>
      <c r="M688" s="25">
        <v>10</v>
      </c>
      <c r="N688" s="25">
        <f t="shared" si="51"/>
        <v>28</v>
      </c>
      <c r="O688" s="25">
        <v>1</v>
      </c>
      <c r="P688" s="25">
        <v>1</v>
      </c>
      <c r="Q688" s="25">
        <v>1</v>
      </c>
      <c r="R688" s="25">
        <v>1</v>
      </c>
      <c r="T688" s="25">
        <v>1</v>
      </c>
      <c r="AA688" s="25">
        <f t="shared" si="54"/>
        <v>128</v>
      </c>
      <c r="AK688" s="25">
        <v>1</v>
      </c>
      <c r="AM688" s="25">
        <v>28</v>
      </c>
      <c r="AN688" s="25">
        <v>100</v>
      </c>
      <c r="AP688" s="25">
        <f t="shared" si="53"/>
        <v>4</v>
      </c>
      <c r="AQ688" s="25" t="str">
        <f>VLOOKUP(C688,'시스템이펙트 참고자료'!$A:$B,2,FALSE)</f>
        <v>ACTIVE_PHYSICAL_CRITICAL_DAMAGE_UP</v>
      </c>
      <c r="AS688" s="25">
        <v>1</v>
      </c>
      <c r="BD688" s="25">
        <v>1</v>
      </c>
    </row>
    <row r="689" spans="1:56" hidden="1">
      <c r="A689" s="25">
        <v>684</v>
      </c>
      <c r="B689" s="25" t="str">
        <f>VLOOKUP(C689,'시스템이펙트 참고자료'!$A:$C,2,FALSE)</f>
        <v>ACTIVE_ENERGY_CRITICAL_DAMAGE_UP</v>
      </c>
      <c r="C689" s="25">
        <v>659</v>
      </c>
      <c r="D689" s="25">
        <f>VLOOKUP(C689,'시스템이펙트 참고자료'!$A:$D,4,FALSE)</f>
        <v>0</v>
      </c>
      <c r="E689" s="25">
        <v>0</v>
      </c>
      <c r="F689" s="25">
        <v>0</v>
      </c>
      <c r="G689" s="25">
        <f t="shared" si="52"/>
        <v>4</v>
      </c>
      <c r="H689" s="25" t="s">
        <v>395</v>
      </c>
      <c r="I689" s="25">
        <v>1</v>
      </c>
      <c r="J689" s="25" t="str">
        <f>VLOOKUP(C689,'시스템이펙트 참고자료'!$A:$C,3,FALSE)</f>
        <v>절대값만 가능</v>
      </c>
      <c r="K689" s="25">
        <v>13</v>
      </c>
      <c r="M689" s="25">
        <v>10</v>
      </c>
      <c r="N689" s="25">
        <f t="shared" si="51"/>
        <v>32</v>
      </c>
      <c r="O689" s="25">
        <v>1</v>
      </c>
      <c r="P689" s="25">
        <v>1</v>
      </c>
      <c r="Q689" s="25">
        <v>1</v>
      </c>
      <c r="R689" s="25">
        <v>1</v>
      </c>
      <c r="T689" s="25">
        <v>1</v>
      </c>
      <c r="AA689" s="25">
        <f t="shared" si="54"/>
        <v>128</v>
      </c>
      <c r="AK689" s="25">
        <v>1</v>
      </c>
      <c r="AM689" s="25">
        <v>32</v>
      </c>
      <c r="AN689" s="25">
        <v>100</v>
      </c>
      <c r="AP689" s="25">
        <f t="shared" si="53"/>
        <v>4</v>
      </c>
      <c r="AQ689" s="25" t="str">
        <f>VLOOKUP(C689,'시스템이펙트 참고자료'!$A:$B,2,FALSE)</f>
        <v>ACTIVE_ENERGY_CRITICAL_DAMAGE_UP</v>
      </c>
      <c r="AS689" s="25">
        <v>1</v>
      </c>
      <c r="BD689" s="25">
        <v>1</v>
      </c>
    </row>
    <row r="690" spans="1:56" hidden="1">
      <c r="A690" s="25">
        <v>685</v>
      </c>
      <c r="B690" s="25" t="str">
        <f>VLOOKUP(C690,'시스템이펙트 참고자료'!$A:$C,2,FALSE)</f>
        <v>ACTIVE_DEX_UP</v>
      </c>
      <c r="C690" s="25">
        <v>613</v>
      </c>
      <c r="D690" s="25">
        <f>VLOOKUP(C690,'시스템이펙트 참고자료'!$A:$D,4,FALSE)</f>
        <v>0</v>
      </c>
      <c r="E690" s="25">
        <v>0</v>
      </c>
      <c r="F690" s="25">
        <v>0</v>
      </c>
      <c r="G690" s="25">
        <f t="shared" si="52"/>
        <v>3</v>
      </c>
      <c r="H690" s="25" t="s">
        <v>395</v>
      </c>
      <c r="I690" s="25">
        <v>1</v>
      </c>
      <c r="J690" s="25" t="str">
        <f>VLOOKUP(C690,'시스템이펙트 참고자료'!$A:$C,3,FALSE)</f>
        <v>절대값/상대값(%) 가능</v>
      </c>
      <c r="K690" s="25">
        <v>13</v>
      </c>
      <c r="M690" s="25">
        <v>10</v>
      </c>
      <c r="N690" s="25">
        <f t="shared" si="51"/>
        <v>44</v>
      </c>
      <c r="O690" s="25">
        <v>1</v>
      </c>
      <c r="P690" s="25">
        <v>1</v>
      </c>
      <c r="Q690" s="25">
        <v>1</v>
      </c>
      <c r="R690" s="25">
        <v>1</v>
      </c>
      <c r="T690" s="25">
        <v>1</v>
      </c>
      <c r="AA690" s="25">
        <f t="shared" si="54"/>
        <v>128</v>
      </c>
      <c r="AK690" s="25">
        <v>1</v>
      </c>
      <c r="AM690" s="25">
        <v>44</v>
      </c>
      <c r="AN690" s="25">
        <v>100</v>
      </c>
      <c r="AP690" s="25">
        <f t="shared" si="53"/>
        <v>3</v>
      </c>
      <c r="AQ690" s="25" t="str">
        <f>VLOOKUP(C690,'시스템이펙트 참고자료'!$A:$B,2,FALSE)</f>
        <v>ACTIVE_DEX_UP</v>
      </c>
      <c r="AS690" s="25">
        <v>1</v>
      </c>
      <c r="BD690" s="25">
        <v>1</v>
      </c>
    </row>
    <row r="691" spans="1:56" hidden="1">
      <c r="A691" s="25">
        <v>686</v>
      </c>
      <c r="B691" s="25" t="str">
        <f>VLOOKUP(C691,'시스템이펙트 참고자료'!$A:$C,2,FALSE)</f>
        <v>ACTIVE_ATTACK_SPEED_UP</v>
      </c>
      <c r="C691" s="25">
        <v>617</v>
      </c>
      <c r="D691" s="25">
        <f>VLOOKUP(C691,'시스템이펙트 참고자료'!$A:$D,4,FALSE)</f>
        <v>1</v>
      </c>
      <c r="E691" s="25">
        <v>0</v>
      </c>
      <c r="F691" s="25">
        <v>0</v>
      </c>
      <c r="G691" s="25">
        <f t="shared" si="52"/>
        <v>10</v>
      </c>
      <c r="H691" s="25" t="s">
        <v>395</v>
      </c>
      <c r="I691" s="25">
        <v>1</v>
      </c>
      <c r="J691" s="25" t="str">
        <f>VLOOKUP(C691,'시스템이펙트 참고자료'!$A:$C,3,FALSE)</f>
        <v>절대값/상대값(%) 가능</v>
      </c>
      <c r="K691" s="25">
        <v>13</v>
      </c>
      <c r="M691" s="25">
        <v>10</v>
      </c>
      <c r="N691" s="25">
        <f t="shared" si="51"/>
        <v>10</v>
      </c>
      <c r="O691" s="25">
        <v>1</v>
      </c>
      <c r="P691" s="25">
        <v>1</v>
      </c>
      <c r="Q691" s="25">
        <v>1</v>
      </c>
      <c r="R691" s="25">
        <v>1</v>
      </c>
      <c r="T691" s="25">
        <v>1</v>
      </c>
      <c r="AA691" s="25">
        <f t="shared" si="54"/>
        <v>128</v>
      </c>
      <c r="AK691" s="25">
        <v>1</v>
      </c>
      <c r="AM691" s="25">
        <v>10</v>
      </c>
      <c r="AN691" s="25">
        <v>100</v>
      </c>
      <c r="AP691" s="25">
        <f t="shared" si="53"/>
        <v>10</v>
      </c>
      <c r="AQ691" s="25" t="str">
        <f>VLOOKUP(C691,'시스템이펙트 참고자료'!$A:$B,2,FALSE)</f>
        <v>ACTIVE_ATTACK_SPEED_UP</v>
      </c>
      <c r="AS691" s="25">
        <v>1</v>
      </c>
      <c r="BD691" s="25">
        <v>1</v>
      </c>
    </row>
    <row r="692" spans="1:56" hidden="1">
      <c r="A692" s="25">
        <v>687</v>
      </c>
      <c r="B692" s="25" t="str">
        <f>VLOOKUP(C692,'시스템이펙트 참고자료'!$A:$C,2,FALSE)</f>
        <v>ACTIVE_STR_UP</v>
      </c>
      <c r="C692" s="25">
        <v>610</v>
      </c>
      <c r="D692" s="25">
        <f>VLOOKUP(C692,'시스템이펙트 참고자료'!$A:$D,4,FALSE)</f>
        <v>0</v>
      </c>
      <c r="E692" s="25">
        <v>0</v>
      </c>
      <c r="F692" s="25">
        <v>0</v>
      </c>
      <c r="G692" s="25">
        <f t="shared" si="52"/>
        <v>2</v>
      </c>
      <c r="H692" s="25" t="s">
        <v>395</v>
      </c>
      <c r="I692" s="25">
        <v>1</v>
      </c>
      <c r="J692" s="25" t="str">
        <f>VLOOKUP(C692,'시스템이펙트 참고자료'!$A:$C,3,FALSE)</f>
        <v>절대값/상대값(%) 가능</v>
      </c>
      <c r="K692" s="25">
        <v>13</v>
      </c>
      <c r="M692" s="25">
        <v>11</v>
      </c>
      <c r="N692" s="25">
        <f t="shared" si="51"/>
        <v>57</v>
      </c>
      <c r="O692" s="25">
        <v>1</v>
      </c>
      <c r="P692" s="25">
        <v>1</v>
      </c>
      <c r="Q692" s="25">
        <v>1</v>
      </c>
      <c r="R692" s="25">
        <v>1</v>
      </c>
      <c r="T692" s="25">
        <v>1</v>
      </c>
      <c r="AA692" s="25">
        <f t="shared" si="54"/>
        <v>128</v>
      </c>
      <c r="AK692" s="25">
        <v>1</v>
      </c>
      <c r="AM692" s="25">
        <v>57</v>
      </c>
      <c r="AN692" s="25">
        <v>100</v>
      </c>
      <c r="AP692" s="25">
        <f t="shared" si="53"/>
        <v>2</v>
      </c>
      <c r="AQ692" s="25" t="str">
        <f>VLOOKUP(C692,'시스템이펙트 참고자료'!$A:$B,2,FALSE)</f>
        <v>ACTIVE_STR_UP</v>
      </c>
      <c r="AS692" s="25">
        <v>1</v>
      </c>
      <c r="BD692" s="25">
        <v>1</v>
      </c>
    </row>
    <row r="693" spans="1:56" hidden="1">
      <c r="A693" s="25">
        <v>688</v>
      </c>
      <c r="B693" s="25" t="str">
        <f>VLOOKUP(C693,'시스템이펙트 참고자료'!$A:$C,2,FALSE)</f>
        <v>ACTIVE_CON_UP</v>
      </c>
      <c r="C693" s="25">
        <v>611</v>
      </c>
      <c r="D693" s="25">
        <f>VLOOKUP(C693,'시스템이펙트 참고자료'!$A:$D,4,FALSE)</f>
        <v>0</v>
      </c>
      <c r="E693" s="25">
        <v>0</v>
      </c>
      <c r="F693" s="25">
        <v>0</v>
      </c>
      <c r="G693" s="25">
        <f t="shared" si="52"/>
        <v>3</v>
      </c>
      <c r="H693" s="25" t="s">
        <v>395</v>
      </c>
      <c r="I693" s="25">
        <v>1</v>
      </c>
      <c r="J693" s="25" t="str">
        <f>VLOOKUP(C693,'시스템이펙트 참고자료'!$A:$C,3,FALSE)</f>
        <v>절대값/상대값(%) 가능</v>
      </c>
      <c r="K693" s="25">
        <v>13</v>
      </c>
      <c r="M693" s="25">
        <v>11</v>
      </c>
      <c r="N693" s="25">
        <f t="shared" si="51"/>
        <v>48</v>
      </c>
      <c r="O693" s="25">
        <v>1</v>
      </c>
      <c r="P693" s="25">
        <v>1</v>
      </c>
      <c r="Q693" s="25">
        <v>1</v>
      </c>
      <c r="R693" s="25">
        <v>1</v>
      </c>
      <c r="T693" s="25">
        <v>1</v>
      </c>
      <c r="AA693" s="25">
        <f t="shared" si="54"/>
        <v>128</v>
      </c>
      <c r="AK693" s="25">
        <v>1</v>
      </c>
      <c r="AM693" s="25">
        <v>48</v>
      </c>
      <c r="AN693" s="25">
        <v>100</v>
      </c>
      <c r="AP693" s="25">
        <f t="shared" si="53"/>
        <v>3</v>
      </c>
      <c r="AQ693" s="25" t="str">
        <f>VLOOKUP(C693,'시스템이펙트 참고자료'!$A:$B,2,FALSE)</f>
        <v>ACTIVE_CON_UP</v>
      </c>
      <c r="AS693" s="25">
        <v>1</v>
      </c>
      <c r="BD693" s="25">
        <v>1</v>
      </c>
    </row>
    <row r="694" spans="1:56" hidden="1">
      <c r="A694" s="25">
        <v>689</v>
      </c>
      <c r="B694" s="25" t="str">
        <f>VLOOKUP(C694,'시스템이펙트 참고자료'!$A:$C,2,FALSE)</f>
        <v>ACTIVE_FOC_UP</v>
      </c>
      <c r="C694" s="25">
        <v>612</v>
      </c>
      <c r="D694" s="25">
        <f>VLOOKUP(C694,'시스템이펙트 참고자료'!$A:$D,4,FALSE)</f>
        <v>0</v>
      </c>
      <c r="E694" s="25">
        <v>0</v>
      </c>
      <c r="F694" s="25">
        <v>0</v>
      </c>
      <c r="G694" s="25">
        <f t="shared" si="52"/>
        <v>2</v>
      </c>
      <c r="H694" s="25" t="s">
        <v>395</v>
      </c>
      <c r="I694" s="25">
        <v>1</v>
      </c>
      <c r="J694" s="25" t="str">
        <f>VLOOKUP(C694,'시스템이펙트 참고자료'!$A:$C,3,FALSE)</f>
        <v>절대값/상대값(%) 가능</v>
      </c>
      <c r="K694" s="25">
        <v>13</v>
      </c>
      <c r="M694" s="25">
        <v>11</v>
      </c>
      <c r="N694" s="25">
        <f t="shared" si="51"/>
        <v>53</v>
      </c>
      <c r="O694" s="25">
        <v>1</v>
      </c>
      <c r="P694" s="25">
        <v>1</v>
      </c>
      <c r="Q694" s="25">
        <v>1</v>
      </c>
      <c r="R694" s="25">
        <v>1</v>
      </c>
      <c r="T694" s="25">
        <v>1</v>
      </c>
      <c r="AA694" s="25">
        <f t="shared" si="54"/>
        <v>128</v>
      </c>
      <c r="AK694" s="25">
        <v>1</v>
      </c>
      <c r="AM694" s="25">
        <v>53</v>
      </c>
      <c r="AN694" s="25">
        <v>100</v>
      </c>
      <c r="AP694" s="25">
        <f t="shared" si="53"/>
        <v>2</v>
      </c>
      <c r="AQ694" s="25" t="str">
        <f>VLOOKUP(C694,'시스템이펙트 참고자료'!$A:$B,2,FALSE)</f>
        <v>ACTIVE_FOC_UP</v>
      </c>
      <c r="AS694" s="25">
        <v>1</v>
      </c>
      <c r="BD694" s="25">
        <v>1</v>
      </c>
    </row>
    <row r="695" spans="1:56" hidden="1">
      <c r="A695" s="25">
        <v>690</v>
      </c>
      <c r="B695" s="25" t="str">
        <f>VLOOKUP(C695,'시스템이펙트 참고자료'!$A:$C,2,FALSE)</f>
        <v>ACTIVE_DEX_UP</v>
      </c>
      <c r="C695" s="25">
        <v>613</v>
      </c>
      <c r="D695" s="25">
        <f>VLOOKUP(C695,'시스템이펙트 참고자료'!$A:$D,4,FALSE)</f>
        <v>0</v>
      </c>
      <c r="E695" s="25">
        <v>0</v>
      </c>
      <c r="F695" s="25">
        <v>0</v>
      </c>
      <c r="G695" s="25">
        <f t="shared" si="52"/>
        <v>3</v>
      </c>
      <c r="H695" s="25" t="s">
        <v>395</v>
      </c>
      <c r="I695" s="25">
        <v>1</v>
      </c>
      <c r="J695" s="25" t="str">
        <f>VLOOKUP(C695,'시스템이펙트 참고자료'!$A:$C,3,FALSE)</f>
        <v>절대값/상대값(%) 가능</v>
      </c>
      <c r="K695" s="25">
        <v>13</v>
      </c>
      <c r="M695" s="25">
        <v>11</v>
      </c>
      <c r="N695" s="25">
        <f t="shared" si="51"/>
        <v>44</v>
      </c>
      <c r="O695" s="25">
        <v>1</v>
      </c>
      <c r="P695" s="25">
        <v>1</v>
      </c>
      <c r="Q695" s="25">
        <v>1</v>
      </c>
      <c r="R695" s="25">
        <v>1</v>
      </c>
      <c r="T695" s="25">
        <v>1</v>
      </c>
      <c r="AA695" s="25">
        <f t="shared" si="54"/>
        <v>128</v>
      </c>
      <c r="AK695" s="25">
        <v>1</v>
      </c>
      <c r="AM695" s="25">
        <v>44</v>
      </c>
      <c r="AN695" s="25">
        <v>100</v>
      </c>
      <c r="AP695" s="25">
        <f t="shared" si="53"/>
        <v>3</v>
      </c>
      <c r="AQ695" s="25" t="str">
        <f>VLOOKUP(C695,'시스템이펙트 참고자료'!$A:$B,2,FALSE)</f>
        <v>ACTIVE_DEX_UP</v>
      </c>
      <c r="AS695" s="25">
        <v>1</v>
      </c>
      <c r="BD695" s="25">
        <v>1</v>
      </c>
    </row>
    <row r="696" spans="1:56" hidden="1">
      <c r="A696" s="25">
        <v>691</v>
      </c>
      <c r="B696" s="25" t="str">
        <f>VLOOKUP(C696,'시스템이펙트 참고자료'!$A:$C,2,FALSE)</f>
        <v>ACTIVE_SOL_UP</v>
      </c>
      <c r="C696" s="25">
        <v>614</v>
      </c>
      <c r="D696" s="25">
        <f>VLOOKUP(C696,'시스템이펙트 참고자료'!$A:$D,4,FALSE)</f>
        <v>0</v>
      </c>
      <c r="E696" s="25">
        <v>0</v>
      </c>
      <c r="F696" s="25">
        <v>0</v>
      </c>
      <c r="G696" s="25">
        <f t="shared" si="52"/>
        <v>2</v>
      </c>
      <c r="H696" s="25" t="s">
        <v>395</v>
      </c>
      <c r="I696" s="25">
        <v>1</v>
      </c>
      <c r="J696" s="25" t="str">
        <f>VLOOKUP(C696,'시스템이펙트 참고자료'!$A:$C,3,FALSE)</f>
        <v>절대값/상대값(%) 가능</v>
      </c>
      <c r="K696" s="25">
        <v>13</v>
      </c>
      <c r="M696" s="25">
        <v>11</v>
      </c>
      <c r="N696" s="25">
        <f t="shared" si="51"/>
        <v>53</v>
      </c>
      <c r="O696" s="25">
        <v>1</v>
      </c>
      <c r="P696" s="25">
        <v>1</v>
      </c>
      <c r="Q696" s="25">
        <v>1</v>
      </c>
      <c r="R696" s="25">
        <v>1</v>
      </c>
      <c r="T696" s="25">
        <v>1</v>
      </c>
      <c r="AA696" s="25">
        <f t="shared" si="54"/>
        <v>128</v>
      </c>
      <c r="AK696" s="25">
        <v>1</v>
      </c>
      <c r="AM696" s="25">
        <v>53</v>
      </c>
      <c r="AN696" s="25">
        <v>100</v>
      </c>
      <c r="AP696" s="25">
        <f t="shared" si="53"/>
        <v>2</v>
      </c>
      <c r="AQ696" s="25" t="str">
        <f>VLOOKUP(C696,'시스템이펙트 참고자료'!$A:$B,2,FALSE)</f>
        <v>ACTIVE_SOL_UP</v>
      </c>
      <c r="AS696" s="25">
        <v>1</v>
      </c>
      <c r="BD696" s="25">
        <v>1</v>
      </c>
    </row>
    <row r="697" spans="1:56" hidden="1">
      <c r="A697" s="25">
        <v>692</v>
      </c>
      <c r="B697" s="25" t="str">
        <f>VLOOKUP(C697,'시스템이펙트 참고자료'!$A:$C,2,FALSE)</f>
        <v>ACTIVE_ENG_UP</v>
      </c>
      <c r="C697" s="25">
        <v>615</v>
      </c>
      <c r="D697" s="25">
        <f>VLOOKUP(C697,'시스템이펙트 참고자료'!$A:$D,4,FALSE)</f>
        <v>0</v>
      </c>
      <c r="E697" s="25">
        <v>0</v>
      </c>
      <c r="F697" s="25">
        <v>0</v>
      </c>
      <c r="G697" s="25">
        <f t="shared" si="52"/>
        <v>2</v>
      </c>
      <c r="H697" s="25" t="s">
        <v>395</v>
      </c>
      <c r="I697" s="25">
        <v>1</v>
      </c>
      <c r="J697" s="25" t="str">
        <f>VLOOKUP(C697,'시스템이펙트 참고자료'!$A:$C,3,FALSE)</f>
        <v>절대값/상대값(%) 가능</v>
      </c>
      <c r="K697" s="25">
        <v>13</v>
      </c>
      <c r="M697" s="25">
        <v>11</v>
      </c>
      <c r="N697" s="25">
        <f t="shared" si="51"/>
        <v>62</v>
      </c>
      <c r="O697" s="25">
        <v>1</v>
      </c>
      <c r="P697" s="25">
        <v>1</v>
      </c>
      <c r="Q697" s="25">
        <v>1</v>
      </c>
      <c r="R697" s="25">
        <v>1</v>
      </c>
      <c r="T697" s="25">
        <v>1</v>
      </c>
      <c r="AA697" s="25">
        <f t="shared" si="54"/>
        <v>128</v>
      </c>
      <c r="AK697" s="25">
        <v>1</v>
      </c>
      <c r="AM697" s="25">
        <v>62</v>
      </c>
      <c r="AN697" s="25">
        <v>100</v>
      </c>
      <c r="AP697" s="25">
        <f t="shared" si="53"/>
        <v>2</v>
      </c>
      <c r="AQ697" s="25" t="str">
        <f>VLOOKUP(C697,'시스템이펙트 참고자료'!$A:$B,2,FALSE)</f>
        <v>ACTIVE_ENG_UP</v>
      </c>
      <c r="AS697" s="25">
        <v>1</v>
      </c>
      <c r="BD697" s="25">
        <v>1</v>
      </c>
    </row>
    <row r="698" spans="1:56" hidden="1">
      <c r="A698" s="25">
        <v>693</v>
      </c>
      <c r="B698" s="25" t="str">
        <f>VLOOKUP(C698,'시스템이펙트 참고자료'!$A:$C,2,FALSE)</f>
        <v>ACTIVE_PHYSICAL_DEFENCE_UP</v>
      </c>
      <c r="C698" s="25">
        <v>608</v>
      </c>
      <c r="D698" s="25">
        <f>VLOOKUP(C698,'시스템이펙트 참고자료'!$A:$D,4,FALSE)</f>
        <v>0</v>
      </c>
      <c r="E698" s="25">
        <v>0</v>
      </c>
      <c r="F698" s="25">
        <v>0</v>
      </c>
      <c r="G698" s="25">
        <f t="shared" si="52"/>
        <v>1</v>
      </c>
      <c r="H698" s="25" t="s">
        <v>395</v>
      </c>
      <c r="I698" s="25">
        <v>1</v>
      </c>
      <c r="J698" s="25" t="str">
        <f>VLOOKUP(C698,'시스템이펙트 참고자료'!$A:$C,3,FALSE)</f>
        <v>절대값/상대값(%) 가능</v>
      </c>
      <c r="K698" s="25">
        <v>13</v>
      </c>
      <c r="M698" s="25">
        <v>12</v>
      </c>
      <c r="N698" s="25">
        <f t="shared" si="51"/>
        <v>1350</v>
      </c>
      <c r="O698" s="25">
        <v>1</v>
      </c>
      <c r="P698" s="25">
        <v>1</v>
      </c>
      <c r="Q698" s="25">
        <v>1</v>
      </c>
      <c r="R698" s="25">
        <v>1</v>
      </c>
      <c r="T698" s="25">
        <v>1</v>
      </c>
      <c r="AA698" s="25">
        <f t="shared" si="54"/>
        <v>128</v>
      </c>
      <c r="AK698" s="25">
        <v>1</v>
      </c>
      <c r="AM698" s="25">
        <v>1350</v>
      </c>
      <c r="AN698" s="25">
        <v>100</v>
      </c>
      <c r="AP698" s="25">
        <f t="shared" si="53"/>
        <v>1</v>
      </c>
      <c r="AQ698" s="25" t="str">
        <f>VLOOKUP(C698,'시스템이펙트 참고자료'!$A:$B,2,FALSE)</f>
        <v>ACTIVE_PHYSICAL_DEFENCE_UP</v>
      </c>
      <c r="AS698" s="25">
        <v>1</v>
      </c>
      <c r="BD698" s="25">
        <v>1</v>
      </c>
    </row>
    <row r="699" spans="1:56" hidden="1">
      <c r="A699" s="25">
        <v>694</v>
      </c>
      <c r="B699" s="25" t="str">
        <f>VLOOKUP(C699,'시스템이펙트 참고자료'!$A:$C,2,FALSE)</f>
        <v>ACTIVE_BLOCK_RATE_UP</v>
      </c>
      <c r="C699" s="25">
        <v>620</v>
      </c>
      <c r="D699" s="25">
        <f>VLOOKUP(C699,'시스템이펙트 참고자료'!$A:$D,4,FALSE)</f>
        <v>0</v>
      </c>
      <c r="E699" s="25">
        <v>0</v>
      </c>
      <c r="F699" s="25">
        <v>0</v>
      </c>
      <c r="G699" s="25">
        <f t="shared" si="52"/>
        <v>1</v>
      </c>
      <c r="H699" s="25" t="s">
        <v>395</v>
      </c>
      <c r="I699" s="25">
        <v>1</v>
      </c>
      <c r="J699" s="25" t="str">
        <f>VLOOKUP(C699,'시스템이펙트 참고자료'!$A:$C,3,FALSE)</f>
        <v>절대값/상대값(%) 가능</v>
      </c>
      <c r="K699" s="25">
        <v>13</v>
      </c>
      <c r="M699" s="25">
        <v>12</v>
      </c>
      <c r="N699" s="25">
        <f t="shared" si="51"/>
        <v>352</v>
      </c>
      <c r="O699" s="25">
        <v>1</v>
      </c>
      <c r="P699" s="25">
        <v>1</v>
      </c>
      <c r="Q699" s="25">
        <v>1</v>
      </c>
      <c r="R699" s="25">
        <v>1</v>
      </c>
      <c r="T699" s="25">
        <v>1</v>
      </c>
      <c r="AA699" s="25">
        <f t="shared" si="54"/>
        <v>128</v>
      </c>
      <c r="AK699" s="25">
        <v>1</v>
      </c>
      <c r="AM699" s="25">
        <v>352</v>
      </c>
      <c r="AN699" s="25">
        <v>100</v>
      </c>
      <c r="AP699" s="25">
        <f t="shared" si="53"/>
        <v>1</v>
      </c>
      <c r="AQ699" s="25" t="str">
        <f>VLOOKUP(C699,'시스템이펙트 참고자료'!$A:$B,2,FALSE)</f>
        <v>ACTIVE_BLOCK_RATE_UP</v>
      </c>
      <c r="AS699" s="25">
        <v>1</v>
      </c>
      <c r="BD699" s="25">
        <v>1</v>
      </c>
    </row>
    <row r="700" spans="1:56" hidden="1">
      <c r="A700" s="25">
        <v>695</v>
      </c>
      <c r="B700" s="25" t="str">
        <f>VLOOKUP(C700,'시스템이펙트 참고자료'!$A:$C,2,FALSE)</f>
        <v>ACTIVE_CON_UP</v>
      </c>
      <c r="C700" s="25">
        <v>611</v>
      </c>
      <c r="D700" s="25">
        <f>VLOOKUP(C700,'시스템이펙트 참고자료'!$A:$D,4,FALSE)</f>
        <v>0</v>
      </c>
      <c r="E700" s="25">
        <v>0</v>
      </c>
      <c r="F700" s="25">
        <v>0</v>
      </c>
      <c r="G700" s="25">
        <f t="shared" si="52"/>
        <v>3</v>
      </c>
      <c r="H700" s="25" t="s">
        <v>395</v>
      </c>
      <c r="I700" s="25">
        <v>1</v>
      </c>
      <c r="J700" s="25" t="str">
        <f>VLOOKUP(C700,'시스템이펙트 참고자료'!$A:$C,3,FALSE)</f>
        <v>절대값/상대값(%) 가능</v>
      </c>
      <c r="K700" s="25">
        <v>13</v>
      </c>
      <c r="M700" s="25">
        <v>12</v>
      </c>
      <c r="N700" s="25">
        <f t="shared" si="51"/>
        <v>48</v>
      </c>
      <c r="O700" s="25">
        <v>1</v>
      </c>
      <c r="P700" s="25">
        <v>1</v>
      </c>
      <c r="Q700" s="25">
        <v>1</v>
      </c>
      <c r="R700" s="25">
        <v>1</v>
      </c>
      <c r="T700" s="25">
        <v>1</v>
      </c>
      <c r="AA700" s="25">
        <f t="shared" si="54"/>
        <v>128</v>
      </c>
      <c r="AK700" s="25">
        <v>1</v>
      </c>
      <c r="AM700" s="25">
        <v>48</v>
      </c>
      <c r="AN700" s="25">
        <v>100</v>
      </c>
      <c r="AP700" s="25">
        <f t="shared" si="53"/>
        <v>3</v>
      </c>
      <c r="AQ700" s="25" t="str">
        <f>VLOOKUP(C700,'시스템이펙트 참고자료'!$A:$B,2,FALSE)</f>
        <v>ACTIVE_CON_UP</v>
      </c>
      <c r="AS700" s="25">
        <v>1</v>
      </c>
      <c r="BD700" s="25">
        <v>1</v>
      </c>
    </row>
    <row r="701" spans="1:56" hidden="1">
      <c r="A701" s="25">
        <v>696</v>
      </c>
      <c r="B701" s="25" t="str">
        <f>VLOOKUP(C701,'시스템이펙트 참고자료'!$A:$C,2,FALSE)</f>
        <v>ACTIVE_FOC_UP</v>
      </c>
      <c r="C701" s="25">
        <v>612</v>
      </c>
      <c r="D701" s="25">
        <f>VLOOKUP(C701,'시스템이펙트 참고자료'!$A:$D,4,FALSE)</f>
        <v>0</v>
      </c>
      <c r="E701" s="25">
        <v>0</v>
      </c>
      <c r="F701" s="25">
        <v>0</v>
      </c>
      <c r="G701" s="25">
        <f t="shared" si="52"/>
        <v>2</v>
      </c>
      <c r="H701" s="25" t="s">
        <v>395</v>
      </c>
      <c r="I701" s="25">
        <v>1</v>
      </c>
      <c r="J701" s="25" t="str">
        <f>VLOOKUP(C701,'시스템이펙트 참고자료'!$A:$C,3,FALSE)</f>
        <v>절대값/상대값(%) 가능</v>
      </c>
      <c r="K701" s="25">
        <v>13</v>
      </c>
      <c r="M701" s="25">
        <v>12</v>
      </c>
      <c r="N701" s="25">
        <f t="shared" si="51"/>
        <v>53</v>
      </c>
      <c r="O701" s="25">
        <v>1</v>
      </c>
      <c r="P701" s="25">
        <v>1</v>
      </c>
      <c r="Q701" s="25">
        <v>1</v>
      </c>
      <c r="R701" s="25">
        <v>1</v>
      </c>
      <c r="T701" s="25">
        <v>1</v>
      </c>
      <c r="AA701" s="25">
        <f t="shared" si="54"/>
        <v>128</v>
      </c>
      <c r="AK701" s="25">
        <v>1</v>
      </c>
      <c r="AM701" s="25">
        <v>53</v>
      </c>
      <c r="AN701" s="25">
        <v>100</v>
      </c>
      <c r="AP701" s="25">
        <f t="shared" si="53"/>
        <v>2</v>
      </c>
      <c r="AQ701" s="25" t="str">
        <f>VLOOKUP(C701,'시스템이펙트 참고자료'!$A:$B,2,FALSE)</f>
        <v>ACTIVE_FOC_UP</v>
      </c>
      <c r="AS701" s="25">
        <v>1</v>
      </c>
      <c r="BD701" s="25">
        <v>1</v>
      </c>
    </row>
    <row r="702" spans="1:56" hidden="1">
      <c r="A702" s="25">
        <v>697</v>
      </c>
      <c r="B702" s="25" t="str">
        <f>VLOOKUP(C702,'시스템이펙트 참고자료'!$A:$C,2,FALSE)</f>
        <v>ACTIVE_PHYSICAL_OFFENCE_UP</v>
      </c>
      <c r="C702" s="25">
        <v>606</v>
      </c>
      <c r="D702" s="25">
        <f>VLOOKUP(C702,'시스템이펙트 참고자료'!$A:$D,4,FALSE)</f>
        <v>0</v>
      </c>
      <c r="E702" s="25">
        <v>0</v>
      </c>
      <c r="F702" s="25">
        <v>0</v>
      </c>
      <c r="G702" s="25">
        <f t="shared" si="52"/>
        <v>1</v>
      </c>
      <c r="H702" s="25" t="s">
        <v>395</v>
      </c>
      <c r="I702" s="25">
        <v>1</v>
      </c>
      <c r="J702" s="25" t="str">
        <f>VLOOKUP(C702,'시스템이펙트 참고자료'!$A:$C,3,FALSE)</f>
        <v>절대값/상대값(%) 가능</v>
      </c>
      <c r="K702" s="25">
        <v>14</v>
      </c>
      <c r="M702" s="25">
        <v>1</v>
      </c>
      <c r="N702" s="25">
        <f t="shared" si="51"/>
        <v>125</v>
      </c>
      <c r="O702" s="25">
        <v>1</v>
      </c>
      <c r="P702" s="25">
        <v>1</v>
      </c>
      <c r="Q702" s="25">
        <v>1</v>
      </c>
      <c r="R702" s="25">
        <v>1</v>
      </c>
      <c r="T702" s="25">
        <v>1</v>
      </c>
      <c r="AA702" s="25">
        <f t="shared" si="54"/>
        <v>128</v>
      </c>
      <c r="AK702" s="25">
        <v>1</v>
      </c>
      <c r="AM702" s="25">
        <v>125</v>
      </c>
      <c r="AN702" s="25">
        <v>100</v>
      </c>
      <c r="AP702" s="25">
        <f t="shared" si="53"/>
        <v>1</v>
      </c>
      <c r="AQ702" s="25" t="str">
        <f>VLOOKUP(C702,'시스템이펙트 참고자료'!$A:$B,2,FALSE)</f>
        <v>ACTIVE_PHYSICAL_OFFENCE_UP</v>
      </c>
      <c r="AS702" s="25">
        <v>1</v>
      </c>
      <c r="BD702" s="25">
        <v>1</v>
      </c>
    </row>
    <row r="703" spans="1:56" hidden="1">
      <c r="A703" s="25">
        <v>698</v>
      </c>
      <c r="B703" s="25" t="str">
        <f>VLOOKUP(C703,'시스템이펙트 참고자료'!$A:$C,2,FALSE)</f>
        <v>ACTIVE_STR_UP</v>
      </c>
      <c r="C703" s="25">
        <v>610</v>
      </c>
      <c r="D703" s="25">
        <f>VLOOKUP(C703,'시스템이펙트 참고자료'!$A:$D,4,FALSE)</f>
        <v>0</v>
      </c>
      <c r="E703" s="25">
        <v>0</v>
      </c>
      <c r="F703" s="25">
        <v>0</v>
      </c>
      <c r="G703" s="25">
        <f t="shared" si="52"/>
        <v>2</v>
      </c>
      <c r="H703" s="25" t="s">
        <v>395</v>
      </c>
      <c r="I703" s="25">
        <v>1</v>
      </c>
      <c r="J703" s="25" t="str">
        <f>VLOOKUP(C703,'시스템이펙트 참고자료'!$A:$C,3,FALSE)</f>
        <v>절대값/상대값(%) 가능</v>
      </c>
      <c r="K703" s="25">
        <v>14</v>
      </c>
      <c r="M703" s="25">
        <v>1</v>
      </c>
      <c r="N703" s="25">
        <f t="shared" si="51"/>
        <v>57</v>
      </c>
      <c r="O703" s="25">
        <v>1</v>
      </c>
      <c r="P703" s="25">
        <v>1</v>
      </c>
      <c r="Q703" s="25">
        <v>1</v>
      </c>
      <c r="R703" s="25">
        <v>1</v>
      </c>
      <c r="T703" s="25">
        <v>1</v>
      </c>
      <c r="AA703" s="25">
        <f t="shared" si="54"/>
        <v>128</v>
      </c>
      <c r="AK703" s="25">
        <v>1</v>
      </c>
      <c r="AM703" s="25">
        <v>57</v>
      </c>
      <c r="AN703" s="25">
        <v>100</v>
      </c>
      <c r="AP703" s="25">
        <f t="shared" si="53"/>
        <v>2</v>
      </c>
      <c r="AQ703" s="25" t="str">
        <f>VLOOKUP(C703,'시스템이펙트 참고자료'!$A:$B,2,FALSE)</f>
        <v>ACTIVE_STR_UP</v>
      </c>
      <c r="AS703" s="25">
        <v>1</v>
      </c>
      <c r="BD703" s="25">
        <v>1</v>
      </c>
    </row>
    <row r="704" spans="1:56" hidden="1">
      <c r="A704" s="25">
        <v>699</v>
      </c>
      <c r="B704" s="25" t="str">
        <f>VLOOKUP(C704,'시스템이펙트 참고자료'!$A:$C,2,FALSE)</f>
        <v>ACTIVE_DEX_UP</v>
      </c>
      <c r="C704" s="25">
        <v>613</v>
      </c>
      <c r="D704" s="25">
        <f>VLOOKUP(C704,'시스템이펙트 참고자료'!$A:$D,4,FALSE)</f>
        <v>0</v>
      </c>
      <c r="E704" s="25">
        <v>0</v>
      </c>
      <c r="F704" s="25">
        <v>0</v>
      </c>
      <c r="G704" s="25">
        <f t="shared" si="52"/>
        <v>3</v>
      </c>
      <c r="H704" s="25" t="s">
        <v>395</v>
      </c>
      <c r="I704" s="25">
        <v>1</v>
      </c>
      <c r="J704" s="25" t="str">
        <f>VLOOKUP(C704,'시스템이펙트 참고자료'!$A:$C,3,FALSE)</f>
        <v>절대값/상대값(%) 가능</v>
      </c>
      <c r="K704" s="25">
        <v>14</v>
      </c>
      <c r="M704" s="25">
        <v>1</v>
      </c>
      <c r="N704" s="25">
        <f t="shared" si="51"/>
        <v>44</v>
      </c>
      <c r="O704" s="25">
        <v>1</v>
      </c>
      <c r="P704" s="25">
        <v>1</v>
      </c>
      <c r="Q704" s="25">
        <v>1</v>
      </c>
      <c r="R704" s="25">
        <v>1</v>
      </c>
      <c r="T704" s="25">
        <v>1</v>
      </c>
      <c r="AA704" s="25">
        <f t="shared" si="54"/>
        <v>128</v>
      </c>
      <c r="AK704" s="25">
        <v>1</v>
      </c>
      <c r="AM704" s="25">
        <v>44</v>
      </c>
      <c r="AN704" s="25">
        <v>100</v>
      </c>
      <c r="AP704" s="25">
        <f t="shared" si="53"/>
        <v>3</v>
      </c>
      <c r="AQ704" s="25" t="str">
        <f>VLOOKUP(C704,'시스템이펙트 참고자료'!$A:$B,2,FALSE)</f>
        <v>ACTIVE_DEX_UP</v>
      </c>
      <c r="AS704" s="25">
        <v>1</v>
      </c>
      <c r="BD704" s="25">
        <v>1</v>
      </c>
    </row>
    <row r="705" spans="1:56" hidden="1">
      <c r="A705" s="25">
        <v>700</v>
      </c>
      <c r="B705" s="25" t="str">
        <f>VLOOKUP(C705,'시스템이펙트 참고자료'!$A:$C,2,FALSE)</f>
        <v>ACTIVE_PHYSICAL_CRITICAL_DAMAGE_UP</v>
      </c>
      <c r="C705" s="25">
        <v>658</v>
      </c>
      <c r="D705" s="25">
        <f>VLOOKUP(C705,'시스템이펙트 참고자료'!$A:$D,4,FALSE)</f>
        <v>0</v>
      </c>
      <c r="E705" s="25">
        <v>0</v>
      </c>
      <c r="F705" s="25">
        <v>0</v>
      </c>
      <c r="G705" s="25">
        <f t="shared" si="52"/>
        <v>4</v>
      </c>
      <c r="H705" s="25" t="s">
        <v>395</v>
      </c>
      <c r="I705" s="25">
        <v>1</v>
      </c>
      <c r="J705" s="25" t="str">
        <f>VLOOKUP(C705,'시스템이펙트 참고자료'!$A:$C,3,FALSE)</f>
        <v>절대값만 가능</v>
      </c>
      <c r="K705" s="25">
        <v>14</v>
      </c>
      <c r="M705" s="25">
        <v>1</v>
      </c>
      <c r="N705" s="25">
        <f t="shared" si="51"/>
        <v>28</v>
      </c>
      <c r="O705" s="25">
        <v>1</v>
      </c>
      <c r="P705" s="25">
        <v>1</v>
      </c>
      <c r="Q705" s="25">
        <v>1</v>
      </c>
      <c r="R705" s="25">
        <v>1</v>
      </c>
      <c r="T705" s="25">
        <v>1</v>
      </c>
      <c r="AA705" s="25">
        <f t="shared" si="54"/>
        <v>128</v>
      </c>
      <c r="AK705" s="25">
        <v>1</v>
      </c>
      <c r="AM705" s="25">
        <v>28</v>
      </c>
      <c r="AN705" s="25">
        <v>100</v>
      </c>
      <c r="AP705" s="25">
        <f t="shared" si="53"/>
        <v>4</v>
      </c>
      <c r="AQ705" s="25" t="str">
        <f>VLOOKUP(C705,'시스템이펙트 참고자료'!$A:$B,2,FALSE)</f>
        <v>ACTIVE_PHYSICAL_CRITICAL_DAMAGE_UP</v>
      </c>
      <c r="AS705" s="25">
        <v>1</v>
      </c>
      <c r="BD705" s="25">
        <v>1</v>
      </c>
    </row>
    <row r="706" spans="1:56" hidden="1">
      <c r="A706" s="25">
        <v>701</v>
      </c>
      <c r="B706" s="25" t="str">
        <f>VLOOKUP(C706,'시스템이펙트 참고자료'!$A:$C,2,FALSE)</f>
        <v>ACTIVE_PHYSICAL_CRITICAL_DAMAGE_UP</v>
      </c>
      <c r="C706" s="25">
        <v>658</v>
      </c>
      <c r="D706" s="25">
        <f>VLOOKUP(C706,'시스템이펙트 참고자료'!$A:$D,4,FALSE)</f>
        <v>0</v>
      </c>
      <c r="E706" s="25">
        <v>0</v>
      </c>
      <c r="F706" s="25">
        <v>0</v>
      </c>
      <c r="G706" s="25">
        <f t="shared" si="52"/>
        <v>4</v>
      </c>
      <c r="H706" s="25" t="s">
        <v>395</v>
      </c>
      <c r="I706" s="25">
        <v>1</v>
      </c>
      <c r="J706" s="25" t="str">
        <f>VLOOKUP(C706,'시스템이펙트 참고자료'!$A:$C,3,FALSE)</f>
        <v>절대값만 가능</v>
      </c>
      <c r="K706" s="25">
        <v>14</v>
      </c>
      <c r="M706" s="25">
        <v>2</v>
      </c>
      <c r="N706" s="25">
        <f t="shared" si="51"/>
        <v>28</v>
      </c>
      <c r="O706" s="25">
        <v>1</v>
      </c>
      <c r="P706" s="25">
        <v>1</v>
      </c>
      <c r="Q706" s="25">
        <v>1</v>
      </c>
      <c r="R706" s="25">
        <v>1</v>
      </c>
      <c r="T706" s="25">
        <v>1</v>
      </c>
      <c r="AA706" s="25">
        <f t="shared" si="54"/>
        <v>128</v>
      </c>
      <c r="AK706" s="25">
        <v>1</v>
      </c>
      <c r="AM706" s="25">
        <v>28</v>
      </c>
      <c r="AN706" s="25">
        <v>100</v>
      </c>
      <c r="AP706" s="25">
        <f t="shared" si="53"/>
        <v>4</v>
      </c>
      <c r="AQ706" s="25" t="str">
        <f>VLOOKUP(C706,'시스템이펙트 참고자료'!$A:$B,2,FALSE)</f>
        <v>ACTIVE_PHYSICAL_CRITICAL_DAMAGE_UP</v>
      </c>
      <c r="AS706" s="25">
        <v>1</v>
      </c>
      <c r="BD706" s="25">
        <v>1</v>
      </c>
    </row>
    <row r="707" spans="1:56" hidden="1">
      <c r="A707" s="25">
        <v>702</v>
      </c>
      <c r="B707" s="25" t="str">
        <f>VLOOKUP(C707,'시스템이펙트 참고자료'!$A:$C,2,FALSE)</f>
        <v>ACTIVE_PHYSICAL_CRITICAL</v>
      </c>
      <c r="C707" s="25">
        <v>632</v>
      </c>
      <c r="D707" s="25">
        <f>VLOOKUP(C707,'시스템이펙트 참고자료'!$A:$D,4,FALSE)</f>
        <v>0</v>
      </c>
      <c r="E707" s="25">
        <v>0</v>
      </c>
      <c r="F707" s="25">
        <v>0</v>
      </c>
      <c r="G707" s="25">
        <f t="shared" si="52"/>
        <v>5</v>
      </c>
      <c r="H707" s="25" t="s">
        <v>395</v>
      </c>
      <c r="I707" s="25">
        <v>1</v>
      </c>
      <c r="J707" s="25" t="str">
        <f>VLOOKUP(C707,'시스템이펙트 참고자료'!$A:$C,3,FALSE)</f>
        <v>절대값/상대값(%) 가능</v>
      </c>
      <c r="K707" s="25">
        <v>14</v>
      </c>
      <c r="M707" s="25">
        <v>2</v>
      </c>
      <c r="N707" s="25">
        <f t="shared" si="51"/>
        <v>21</v>
      </c>
      <c r="O707" s="25">
        <v>1</v>
      </c>
      <c r="P707" s="25">
        <v>1</v>
      </c>
      <c r="Q707" s="25">
        <v>1</v>
      </c>
      <c r="R707" s="25">
        <v>1</v>
      </c>
      <c r="T707" s="25">
        <v>1</v>
      </c>
      <c r="AA707" s="25">
        <f t="shared" si="54"/>
        <v>128</v>
      </c>
      <c r="AK707" s="25">
        <v>1</v>
      </c>
      <c r="AM707" s="25">
        <v>21</v>
      </c>
      <c r="AN707" s="25">
        <v>100</v>
      </c>
      <c r="AP707" s="25">
        <f t="shared" si="53"/>
        <v>5</v>
      </c>
      <c r="AQ707" s="25" t="str">
        <f>VLOOKUP(C707,'시스템이펙트 참고자료'!$A:$B,2,FALSE)</f>
        <v>ACTIVE_PHYSICAL_CRITICAL</v>
      </c>
      <c r="AS707" s="25">
        <v>1</v>
      </c>
      <c r="BD707" s="25">
        <v>1</v>
      </c>
    </row>
    <row r="708" spans="1:56" hidden="1">
      <c r="A708" s="25">
        <v>703</v>
      </c>
      <c r="B708" s="25" t="str">
        <f>VLOOKUP(C708,'시스템이펙트 참고자료'!$A:$C,2,FALSE)</f>
        <v>ACTIVE_DEX_UP</v>
      </c>
      <c r="C708" s="25">
        <v>613</v>
      </c>
      <c r="D708" s="25">
        <f>VLOOKUP(C708,'시스템이펙트 참고자료'!$A:$D,4,FALSE)</f>
        <v>0</v>
      </c>
      <c r="E708" s="25">
        <v>0</v>
      </c>
      <c r="F708" s="25">
        <v>0</v>
      </c>
      <c r="G708" s="25">
        <f t="shared" si="52"/>
        <v>3</v>
      </c>
      <c r="H708" s="25" t="s">
        <v>395</v>
      </c>
      <c r="I708" s="25">
        <v>1</v>
      </c>
      <c r="J708" s="25" t="str">
        <f>VLOOKUP(C708,'시스템이펙트 참고자료'!$A:$C,3,FALSE)</f>
        <v>절대값/상대값(%) 가능</v>
      </c>
      <c r="K708" s="25">
        <v>14</v>
      </c>
      <c r="M708" s="25">
        <v>2</v>
      </c>
      <c r="N708" s="25">
        <f t="shared" si="51"/>
        <v>44</v>
      </c>
      <c r="O708" s="25">
        <v>1</v>
      </c>
      <c r="P708" s="25">
        <v>1</v>
      </c>
      <c r="Q708" s="25">
        <v>1</v>
      </c>
      <c r="R708" s="25">
        <v>1</v>
      </c>
      <c r="T708" s="25">
        <v>1</v>
      </c>
      <c r="AA708" s="25">
        <f t="shared" si="54"/>
        <v>128</v>
      </c>
      <c r="AK708" s="25">
        <v>1</v>
      </c>
      <c r="AM708" s="25">
        <v>44</v>
      </c>
      <c r="AN708" s="25">
        <v>100</v>
      </c>
      <c r="AP708" s="25">
        <f t="shared" si="53"/>
        <v>3</v>
      </c>
      <c r="AQ708" s="25" t="str">
        <f>VLOOKUP(C708,'시스템이펙트 참고자료'!$A:$B,2,FALSE)</f>
        <v>ACTIVE_DEX_UP</v>
      </c>
      <c r="AS708" s="25">
        <v>1</v>
      </c>
      <c r="BD708" s="25">
        <v>1</v>
      </c>
    </row>
    <row r="709" spans="1:56" hidden="1">
      <c r="A709" s="25">
        <v>704</v>
      </c>
      <c r="B709" s="25" t="str">
        <f>VLOOKUP(C709,'시스템이펙트 참고자료'!$A:$C,2,FALSE)</f>
        <v>ACTIVE_FOC_UP</v>
      </c>
      <c r="C709" s="25">
        <v>612</v>
      </c>
      <c r="D709" s="25">
        <f>VLOOKUP(C709,'시스템이펙트 참고자료'!$A:$D,4,FALSE)</f>
        <v>0</v>
      </c>
      <c r="E709" s="25">
        <v>0</v>
      </c>
      <c r="F709" s="25">
        <v>0</v>
      </c>
      <c r="G709" s="25">
        <f t="shared" si="52"/>
        <v>2</v>
      </c>
      <c r="H709" s="25" t="s">
        <v>395</v>
      </c>
      <c r="I709" s="25">
        <v>1</v>
      </c>
      <c r="J709" s="25" t="str">
        <f>VLOOKUP(C709,'시스템이펙트 참고자료'!$A:$C,3,FALSE)</f>
        <v>절대값/상대값(%) 가능</v>
      </c>
      <c r="K709" s="25">
        <v>14</v>
      </c>
      <c r="M709" s="25">
        <v>2</v>
      </c>
      <c r="N709" s="25">
        <f t="shared" si="51"/>
        <v>53</v>
      </c>
      <c r="O709" s="25">
        <v>1</v>
      </c>
      <c r="P709" s="25">
        <v>1</v>
      </c>
      <c r="Q709" s="25">
        <v>1</v>
      </c>
      <c r="R709" s="25">
        <v>1</v>
      </c>
      <c r="T709" s="25">
        <v>1</v>
      </c>
      <c r="AA709" s="25">
        <f t="shared" si="54"/>
        <v>128</v>
      </c>
      <c r="AK709" s="25">
        <v>1</v>
      </c>
      <c r="AM709" s="25">
        <v>53</v>
      </c>
      <c r="AN709" s="25">
        <v>100</v>
      </c>
      <c r="AP709" s="25">
        <f t="shared" si="53"/>
        <v>2</v>
      </c>
      <c r="AQ709" s="25" t="str">
        <f>VLOOKUP(C709,'시스템이펙트 참고자료'!$A:$B,2,FALSE)</f>
        <v>ACTIVE_FOC_UP</v>
      </c>
      <c r="AS709" s="25">
        <v>1</v>
      </c>
      <c r="BD709" s="25">
        <v>1</v>
      </c>
    </row>
    <row r="710" spans="1:56" hidden="1">
      <c r="A710" s="25">
        <v>705</v>
      </c>
      <c r="B710" s="25" t="str">
        <f>VLOOKUP(C710,'시스템이펙트 참고자료'!$A:$C,2,FALSE)</f>
        <v>ACTIVE_ENERGY_OFFENCE_UP</v>
      </c>
      <c r="C710" s="25">
        <v>607</v>
      </c>
      <c r="D710" s="25">
        <f>VLOOKUP(C710,'시스템이펙트 참고자료'!$A:$D,4,FALSE)</f>
        <v>0</v>
      </c>
      <c r="E710" s="25">
        <v>0</v>
      </c>
      <c r="F710" s="25">
        <v>0</v>
      </c>
      <c r="G710" s="25">
        <f t="shared" si="52"/>
        <v>1</v>
      </c>
      <c r="H710" s="25" t="s">
        <v>395</v>
      </c>
      <c r="I710" s="25">
        <v>1</v>
      </c>
      <c r="J710" s="25" t="str">
        <f>VLOOKUP(C710,'시스템이펙트 참고자료'!$A:$C,3,FALSE)</f>
        <v>절대값/상대값(%) 가능</v>
      </c>
      <c r="K710" s="25">
        <v>14</v>
      </c>
      <c r="M710" s="25">
        <v>3</v>
      </c>
      <c r="N710" s="25">
        <f t="shared" si="51"/>
        <v>104</v>
      </c>
      <c r="O710" s="25">
        <v>1</v>
      </c>
      <c r="P710" s="25">
        <v>1</v>
      </c>
      <c r="Q710" s="25">
        <v>1</v>
      </c>
      <c r="R710" s="25">
        <v>1</v>
      </c>
      <c r="T710" s="25">
        <v>1</v>
      </c>
      <c r="AA710" s="25">
        <f t="shared" si="54"/>
        <v>128</v>
      </c>
      <c r="AK710" s="25">
        <v>1</v>
      </c>
      <c r="AM710" s="25">
        <v>104</v>
      </c>
      <c r="AN710" s="25">
        <v>100</v>
      </c>
      <c r="AP710" s="25">
        <f t="shared" si="53"/>
        <v>1</v>
      </c>
      <c r="AQ710" s="25" t="str">
        <f>VLOOKUP(C710,'시스템이펙트 참고자료'!$A:$B,2,FALSE)</f>
        <v>ACTIVE_ENERGY_OFFENCE_UP</v>
      </c>
      <c r="AS710" s="25">
        <v>1</v>
      </c>
      <c r="BD710" s="25">
        <v>1</v>
      </c>
    </row>
    <row r="711" spans="1:56" hidden="1">
      <c r="A711" s="25">
        <v>706</v>
      </c>
      <c r="B711" s="25" t="str">
        <f>VLOOKUP(C711,'시스템이펙트 참고자료'!$A:$C,2,FALSE)</f>
        <v>ACTIVE_FOC_UP</v>
      </c>
      <c r="C711" s="25">
        <v>612</v>
      </c>
      <c r="D711" s="25">
        <f>VLOOKUP(C711,'시스템이펙트 참고자료'!$A:$D,4,FALSE)</f>
        <v>0</v>
      </c>
      <c r="E711" s="25">
        <v>0</v>
      </c>
      <c r="F711" s="25">
        <v>0</v>
      </c>
      <c r="G711" s="25">
        <f t="shared" si="52"/>
        <v>2</v>
      </c>
      <c r="H711" s="25" t="s">
        <v>395</v>
      </c>
      <c r="I711" s="25">
        <v>1</v>
      </c>
      <c r="J711" s="25" t="str">
        <f>VLOOKUP(C711,'시스템이펙트 참고자료'!$A:$C,3,FALSE)</f>
        <v>절대값/상대값(%) 가능</v>
      </c>
      <c r="K711" s="25">
        <v>14</v>
      </c>
      <c r="M711" s="25">
        <v>3</v>
      </c>
      <c r="N711" s="25">
        <f t="shared" ref="N711:N774" si="55">IF(BD711&gt;0,INT(AM711/AK711),0)</f>
        <v>53</v>
      </c>
      <c r="O711" s="25">
        <v>1</v>
      </c>
      <c r="P711" s="25">
        <v>1</v>
      </c>
      <c r="Q711" s="25">
        <v>1</v>
      </c>
      <c r="R711" s="25">
        <v>1</v>
      </c>
      <c r="T711" s="25">
        <v>1</v>
      </c>
      <c r="AA711" s="25">
        <f t="shared" si="54"/>
        <v>128</v>
      </c>
      <c r="AK711" s="25">
        <v>1</v>
      </c>
      <c r="AM711" s="25">
        <v>53</v>
      </c>
      <c r="AN711" s="25">
        <v>100</v>
      </c>
      <c r="AP711" s="25">
        <f t="shared" si="53"/>
        <v>2</v>
      </c>
      <c r="AQ711" s="25" t="str">
        <f>VLOOKUP(C711,'시스템이펙트 참고자료'!$A:$B,2,FALSE)</f>
        <v>ACTIVE_FOC_UP</v>
      </c>
      <c r="AS711" s="25">
        <v>1</v>
      </c>
      <c r="BD711" s="25">
        <v>1</v>
      </c>
    </row>
    <row r="712" spans="1:56" hidden="1">
      <c r="A712" s="25">
        <v>707</v>
      </c>
      <c r="B712" s="25" t="str">
        <f>VLOOKUP(C712,'시스템이펙트 참고자료'!$A:$C,2,FALSE)</f>
        <v>ACTIVE_SOL_UP</v>
      </c>
      <c r="C712" s="25">
        <v>614</v>
      </c>
      <c r="D712" s="25">
        <f>VLOOKUP(C712,'시스템이펙트 참고자료'!$A:$D,4,FALSE)</f>
        <v>0</v>
      </c>
      <c r="E712" s="25">
        <v>0</v>
      </c>
      <c r="F712" s="25">
        <v>0</v>
      </c>
      <c r="G712" s="25">
        <f t="shared" si="52"/>
        <v>2</v>
      </c>
      <c r="H712" s="25" t="s">
        <v>395</v>
      </c>
      <c r="I712" s="25">
        <v>1</v>
      </c>
      <c r="J712" s="25" t="str">
        <f>VLOOKUP(C712,'시스템이펙트 참고자료'!$A:$C,3,FALSE)</f>
        <v>절대값/상대값(%) 가능</v>
      </c>
      <c r="K712" s="25">
        <v>14</v>
      </c>
      <c r="M712" s="25">
        <v>3</v>
      </c>
      <c r="N712" s="25">
        <f t="shared" si="55"/>
        <v>53</v>
      </c>
      <c r="O712" s="25">
        <v>1</v>
      </c>
      <c r="P712" s="25">
        <v>1</v>
      </c>
      <c r="Q712" s="25">
        <v>1</v>
      </c>
      <c r="R712" s="25">
        <v>1</v>
      </c>
      <c r="T712" s="25">
        <v>1</v>
      </c>
      <c r="AA712" s="25">
        <f t="shared" si="54"/>
        <v>128</v>
      </c>
      <c r="AK712" s="25">
        <v>1</v>
      </c>
      <c r="AM712" s="25">
        <v>53</v>
      </c>
      <c r="AN712" s="25">
        <v>100</v>
      </c>
      <c r="AP712" s="25">
        <f t="shared" si="53"/>
        <v>2</v>
      </c>
      <c r="AQ712" s="25" t="str">
        <f>VLOOKUP(C712,'시스템이펙트 참고자료'!$A:$B,2,FALSE)</f>
        <v>ACTIVE_SOL_UP</v>
      </c>
      <c r="AS712" s="25">
        <v>1</v>
      </c>
      <c r="BD712" s="25">
        <v>1</v>
      </c>
    </row>
    <row r="713" spans="1:56" hidden="1">
      <c r="A713" s="25">
        <v>708</v>
      </c>
      <c r="B713" s="25" t="str">
        <f>VLOOKUP(C713,'시스템이펙트 참고자료'!$A:$C,2,FALSE)</f>
        <v>ACTIVE_ENERGY_CRITICAL_DAMAGE_UP</v>
      </c>
      <c r="C713" s="25">
        <v>659</v>
      </c>
      <c r="D713" s="25">
        <f>VLOOKUP(C713,'시스템이펙트 참고자료'!$A:$D,4,FALSE)</f>
        <v>0</v>
      </c>
      <c r="E713" s="25">
        <v>0</v>
      </c>
      <c r="F713" s="25">
        <v>0</v>
      </c>
      <c r="G713" s="25">
        <f t="shared" si="52"/>
        <v>4</v>
      </c>
      <c r="H713" s="25" t="s">
        <v>395</v>
      </c>
      <c r="I713" s="25">
        <v>1</v>
      </c>
      <c r="J713" s="25" t="str">
        <f>VLOOKUP(C713,'시스템이펙트 참고자료'!$A:$C,3,FALSE)</f>
        <v>절대값만 가능</v>
      </c>
      <c r="K713" s="25">
        <v>14</v>
      </c>
      <c r="M713" s="25">
        <v>3</v>
      </c>
      <c r="N713" s="25">
        <f t="shared" si="55"/>
        <v>32</v>
      </c>
      <c r="O713" s="25">
        <v>1</v>
      </c>
      <c r="P713" s="25">
        <v>1</v>
      </c>
      <c r="Q713" s="25">
        <v>1</v>
      </c>
      <c r="R713" s="25">
        <v>1</v>
      </c>
      <c r="T713" s="25">
        <v>1</v>
      </c>
      <c r="AA713" s="25">
        <f t="shared" si="54"/>
        <v>128</v>
      </c>
      <c r="AK713" s="25">
        <v>1</v>
      </c>
      <c r="AM713" s="25">
        <v>32</v>
      </c>
      <c r="AN713" s="25">
        <v>100</v>
      </c>
      <c r="AP713" s="25">
        <f t="shared" si="53"/>
        <v>4</v>
      </c>
      <c r="AQ713" s="25" t="str">
        <f>VLOOKUP(C713,'시스템이펙트 참고자료'!$A:$B,2,FALSE)</f>
        <v>ACTIVE_ENERGY_CRITICAL_DAMAGE_UP</v>
      </c>
      <c r="AS713" s="25">
        <v>1</v>
      </c>
      <c r="BD713" s="25">
        <v>1</v>
      </c>
    </row>
    <row r="714" spans="1:56" hidden="1">
      <c r="A714" s="25">
        <v>709</v>
      </c>
      <c r="B714" s="25" t="str">
        <f>VLOOKUP(C714,'시스템이펙트 참고자료'!$A:$C,2,FALSE)</f>
        <v>ACTIVE_ENERGY_CRITICAL</v>
      </c>
      <c r="C714" s="25">
        <v>633</v>
      </c>
      <c r="D714" s="25">
        <f>VLOOKUP(C714,'시스템이펙트 참고자료'!$A:$D,4,FALSE)</f>
        <v>0</v>
      </c>
      <c r="E714" s="25">
        <v>0</v>
      </c>
      <c r="F714" s="25">
        <v>0</v>
      </c>
      <c r="G714" s="25">
        <f t="shared" si="52"/>
        <v>5</v>
      </c>
      <c r="H714" s="25" t="s">
        <v>395</v>
      </c>
      <c r="I714" s="25">
        <v>1</v>
      </c>
      <c r="J714" s="25" t="str">
        <f>VLOOKUP(C714,'시스템이펙트 참고자료'!$A:$C,3,FALSE)</f>
        <v>절대값/상대값(%) 가능</v>
      </c>
      <c r="K714" s="25">
        <v>14</v>
      </c>
      <c r="M714" s="25">
        <v>4</v>
      </c>
      <c r="N714" s="25">
        <f t="shared" si="55"/>
        <v>24</v>
      </c>
      <c r="O714" s="25">
        <v>1</v>
      </c>
      <c r="P714" s="25">
        <v>1</v>
      </c>
      <c r="Q714" s="25">
        <v>1</v>
      </c>
      <c r="R714" s="25">
        <v>1</v>
      </c>
      <c r="T714" s="25">
        <v>1</v>
      </c>
      <c r="AA714" s="25">
        <f t="shared" si="54"/>
        <v>128</v>
      </c>
      <c r="AK714" s="25">
        <v>1</v>
      </c>
      <c r="AM714" s="25">
        <v>24</v>
      </c>
      <c r="AN714" s="25">
        <v>100</v>
      </c>
      <c r="AP714" s="25">
        <f t="shared" si="53"/>
        <v>5</v>
      </c>
      <c r="AQ714" s="25" t="str">
        <f>VLOOKUP(C714,'시스템이펙트 참고자료'!$A:$B,2,FALSE)</f>
        <v>ACTIVE_ENERGY_CRITICAL</v>
      </c>
      <c r="AS714" s="25">
        <v>1</v>
      </c>
      <c r="BD714" s="25">
        <v>1</v>
      </c>
    </row>
    <row r="715" spans="1:56" hidden="1">
      <c r="A715" s="25">
        <v>710</v>
      </c>
      <c r="B715" s="25" t="str">
        <f>VLOOKUP(C715,'시스템이펙트 참고자료'!$A:$C,2,FALSE)</f>
        <v>ACTIVE_ENERGY_CRITICAL_DAMAGE_UP</v>
      </c>
      <c r="C715" s="25">
        <v>659</v>
      </c>
      <c r="D715" s="25">
        <f>VLOOKUP(C715,'시스템이펙트 참고자료'!$A:$D,4,FALSE)</f>
        <v>0</v>
      </c>
      <c r="E715" s="25">
        <v>0</v>
      </c>
      <c r="F715" s="25">
        <v>0</v>
      </c>
      <c r="G715" s="25">
        <f t="shared" si="52"/>
        <v>4</v>
      </c>
      <c r="H715" s="25" t="s">
        <v>395</v>
      </c>
      <c r="I715" s="25">
        <v>1</v>
      </c>
      <c r="J715" s="25" t="str">
        <f>VLOOKUP(C715,'시스템이펙트 참고자료'!$A:$C,3,FALSE)</f>
        <v>절대값만 가능</v>
      </c>
      <c r="K715" s="25">
        <v>14</v>
      </c>
      <c r="M715" s="25">
        <v>4</v>
      </c>
      <c r="N715" s="25">
        <f t="shared" si="55"/>
        <v>32</v>
      </c>
      <c r="O715" s="25">
        <v>1</v>
      </c>
      <c r="P715" s="25">
        <v>1</v>
      </c>
      <c r="Q715" s="25">
        <v>1</v>
      </c>
      <c r="R715" s="25">
        <v>1</v>
      </c>
      <c r="T715" s="25">
        <v>1</v>
      </c>
      <c r="AA715" s="25">
        <f t="shared" si="54"/>
        <v>128</v>
      </c>
      <c r="AK715" s="25">
        <v>1</v>
      </c>
      <c r="AM715" s="25">
        <v>32</v>
      </c>
      <c r="AN715" s="25">
        <v>100</v>
      </c>
      <c r="AP715" s="25">
        <f t="shared" si="53"/>
        <v>4</v>
      </c>
      <c r="AQ715" s="25" t="str">
        <f>VLOOKUP(C715,'시스템이펙트 참고자료'!$A:$B,2,FALSE)</f>
        <v>ACTIVE_ENERGY_CRITICAL_DAMAGE_UP</v>
      </c>
      <c r="AS715" s="25">
        <v>1</v>
      </c>
      <c r="BD715" s="25">
        <v>1</v>
      </c>
    </row>
    <row r="716" spans="1:56" hidden="1">
      <c r="A716" s="25">
        <v>711</v>
      </c>
      <c r="B716" s="25" t="str">
        <f>VLOOKUP(C716,'시스템이펙트 참고자료'!$A:$C,2,FALSE)</f>
        <v>ACTIVE_FOC_UP</v>
      </c>
      <c r="C716" s="25">
        <v>612</v>
      </c>
      <c r="D716" s="25">
        <f>VLOOKUP(C716,'시스템이펙트 참고자료'!$A:$D,4,FALSE)</f>
        <v>0</v>
      </c>
      <c r="E716" s="25">
        <v>0</v>
      </c>
      <c r="F716" s="25">
        <v>0</v>
      </c>
      <c r="G716" s="25">
        <f t="shared" si="52"/>
        <v>2</v>
      </c>
      <c r="H716" s="25" t="s">
        <v>395</v>
      </c>
      <c r="I716" s="25">
        <v>1</v>
      </c>
      <c r="J716" s="25" t="str">
        <f>VLOOKUP(C716,'시스템이펙트 참고자료'!$A:$C,3,FALSE)</f>
        <v>절대값/상대값(%) 가능</v>
      </c>
      <c r="K716" s="25">
        <v>14</v>
      </c>
      <c r="M716" s="25">
        <v>4</v>
      </c>
      <c r="N716" s="25">
        <f t="shared" si="55"/>
        <v>53</v>
      </c>
      <c r="O716" s="25">
        <v>1</v>
      </c>
      <c r="P716" s="25">
        <v>1</v>
      </c>
      <c r="Q716" s="25">
        <v>1</v>
      </c>
      <c r="R716" s="25">
        <v>1</v>
      </c>
      <c r="T716" s="25">
        <v>1</v>
      </c>
      <c r="AA716" s="25">
        <f t="shared" si="54"/>
        <v>128</v>
      </c>
      <c r="AK716" s="25">
        <v>1</v>
      </c>
      <c r="AM716" s="25">
        <v>53</v>
      </c>
      <c r="AN716" s="25">
        <v>100</v>
      </c>
      <c r="AP716" s="25">
        <f t="shared" si="53"/>
        <v>2</v>
      </c>
      <c r="AQ716" s="25" t="str">
        <f>VLOOKUP(C716,'시스템이펙트 참고자료'!$A:$B,2,FALSE)</f>
        <v>ACTIVE_FOC_UP</v>
      </c>
      <c r="AS716" s="25">
        <v>1</v>
      </c>
      <c r="BD716" s="25">
        <v>1</v>
      </c>
    </row>
    <row r="717" spans="1:56" hidden="1">
      <c r="A717" s="25">
        <v>712</v>
      </c>
      <c r="B717" s="25" t="str">
        <f>VLOOKUP(C717,'시스템이펙트 참고자료'!$A:$C,2,FALSE)</f>
        <v>ACTIVE_DEX_UP</v>
      </c>
      <c r="C717" s="25">
        <v>613</v>
      </c>
      <c r="D717" s="25">
        <f>VLOOKUP(C717,'시스템이펙트 참고자료'!$A:$D,4,FALSE)</f>
        <v>0</v>
      </c>
      <c r="E717" s="25">
        <v>0</v>
      </c>
      <c r="F717" s="25">
        <v>0</v>
      </c>
      <c r="G717" s="25">
        <f t="shared" si="52"/>
        <v>3</v>
      </c>
      <c r="H717" s="25" t="s">
        <v>395</v>
      </c>
      <c r="I717" s="25">
        <v>1</v>
      </c>
      <c r="J717" s="25" t="str">
        <f>VLOOKUP(C717,'시스템이펙트 참고자료'!$A:$C,3,FALSE)</f>
        <v>절대값/상대값(%) 가능</v>
      </c>
      <c r="K717" s="25">
        <v>14</v>
      </c>
      <c r="M717" s="25">
        <v>4</v>
      </c>
      <c r="N717" s="25">
        <f t="shared" si="55"/>
        <v>44</v>
      </c>
      <c r="O717" s="25">
        <v>1</v>
      </c>
      <c r="P717" s="25">
        <v>1</v>
      </c>
      <c r="Q717" s="25">
        <v>1</v>
      </c>
      <c r="R717" s="25">
        <v>1</v>
      </c>
      <c r="T717" s="25">
        <v>1</v>
      </c>
      <c r="AA717" s="25">
        <f t="shared" si="54"/>
        <v>128</v>
      </c>
      <c r="AK717" s="25">
        <v>1</v>
      </c>
      <c r="AM717" s="25">
        <v>44</v>
      </c>
      <c r="AN717" s="25">
        <v>100</v>
      </c>
      <c r="AP717" s="25">
        <f t="shared" si="53"/>
        <v>3</v>
      </c>
      <c r="AQ717" s="25" t="str">
        <f>VLOOKUP(C717,'시스템이펙트 참고자료'!$A:$B,2,FALSE)</f>
        <v>ACTIVE_DEX_UP</v>
      </c>
      <c r="AS717" s="25">
        <v>1</v>
      </c>
      <c r="BD717" s="25">
        <v>1</v>
      </c>
    </row>
    <row r="718" spans="1:56" hidden="1">
      <c r="A718" s="25">
        <v>713</v>
      </c>
      <c r="B718" s="25" t="str">
        <f>VLOOKUP(C718,'시스템이펙트 참고자료'!$A:$C,2,FALSE)</f>
        <v>ACTIVE_ATTACK_SPEED_UP</v>
      </c>
      <c r="C718" s="25">
        <v>617</v>
      </c>
      <c r="D718" s="25">
        <f>VLOOKUP(C718,'시스템이펙트 참고자료'!$A:$D,4,FALSE)</f>
        <v>1</v>
      </c>
      <c r="E718" s="25">
        <v>0</v>
      </c>
      <c r="F718" s="25">
        <v>0</v>
      </c>
      <c r="G718" s="25">
        <f t="shared" si="52"/>
        <v>10</v>
      </c>
      <c r="H718" s="25" t="s">
        <v>395</v>
      </c>
      <c r="I718" s="25">
        <v>1</v>
      </c>
      <c r="J718" s="25" t="str">
        <f>VLOOKUP(C718,'시스템이펙트 참고자료'!$A:$C,3,FALSE)</f>
        <v>절대값/상대값(%) 가능</v>
      </c>
      <c r="K718" s="25">
        <v>14</v>
      </c>
      <c r="M718" s="25">
        <v>5</v>
      </c>
      <c r="N718" s="25">
        <f t="shared" si="55"/>
        <v>10</v>
      </c>
      <c r="O718" s="25">
        <v>1</v>
      </c>
      <c r="P718" s="25">
        <v>1</v>
      </c>
      <c r="Q718" s="25">
        <v>1</v>
      </c>
      <c r="R718" s="25">
        <v>1</v>
      </c>
      <c r="T718" s="25">
        <v>1</v>
      </c>
      <c r="AA718" s="25">
        <f t="shared" si="54"/>
        <v>128</v>
      </c>
      <c r="AK718" s="25">
        <v>1</v>
      </c>
      <c r="AM718" s="25">
        <v>10</v>
      </c>
      <c r="AN718" s="25">
        <v>100</v>
      </c>
      <c r="AP718" s="25">
        <f t="shared" si="53"/>
        <v>10</v>
      </c>
      <c r="AQ718" s="25" t="str">
        <f>VLOOKUP(C718,'시스템이펙트 참고자료'!$A:$B,2,FALSE)</f>
        <v>ACTIVE_ATTACK_SPEED_UP</v>
      </c>
      <c r="AS718" s="25">
        <v>1</v>
      </c>
      <c r="BD718" s="25">
        <v>1</v>
      </c>
    </row>
    <row r="719" spans="1:56" hidden="1">
      <c r="A719" s="25">
        <v>714</v>
      </c>
      <c r="B719" s="25" t="str">
        <f>VLOOKUP(C719,'시스템이펙트 참고자료'!$A:$C,2,FALSE)</f>
        <v>ACTIVE_DEX_UP</v>
      </c>
      <c r="C719" s="25">
        <v>613</v>
      </c>
      <c r="D719" s="25">
        <f>VLOOKUP(C719,'시스템이펙트 참고자료'!$A:$D,4,FALSE)</f>
        <v>0</v>
      </c>
      <c r="E719" s="25">
        <v>0</v>
      </c>
      <c r="F719" s="25">
        <v>0</v>
      </c>
      <c r="G719" s="25">
        <f t="shared" si="52"/>
        <v>3</v>
      </c>
      <c r="H719" s="25" t="s">
        <v>395</v>
      </c>
      <c r="I719" s="25">
        <v>1</v>
      </c>
      <c r="J719" s="25" t="str">
        <f>VLOOKUP(C719,'시스템이펙트 참고자료'!$A:$C,3,FALSE)</f>
        <v>절대값/상대값(%) 가능</v>
      </c>
      <c r="K719" s="25">
        <v>14</v>
      </c>
      <c r="M719" s="25">
        <v>5</v>
      </c>
      <c r="N719" s="25">
        <f t="shared" si="55"/>
        <v>44</v>
      </c>
      <c r="O719" s="25">
        <v>1</v>
      </c>
      <c r="P719" s="25">
        <v>1</v>
      </c>
      <c r="Q719" s="25">
        <v>1</v>
      </c>
      <c r="R719" s="25">
        <v>1</v>
      </c>
      <c r="T719" s="25">
        <v>1</v>
      </c>
      <c r="AA719" s="25">
        <f t="shared" si="54"/>
        <v>128</v>
      </c>
      <c r="AK719" s="25">
        <v>1</v>
      </c>
      <c r="AM719" s="25">
        <v>44</v>
      </c>
      <c r="AN719" s="25">
        <v>100</v>
      </c>
      <c r="AP719" s="25">
        <f t="shared" si="53"/>
        <v>3</v>
      </c>
      <c r="AQ719" s="25" t="str">
        <f>VLOOKUP(C719,'시스템이펙트 참고자료'!$A:$B,2,FALSE)</f>
        <v>ACTIVE_DEX_UP</v>
      </c>
      <c r="AS719" s="25">
        <v>1</v>
      </c>
      <c r="BD719" s="25">
        <v>1</v>
      </c>
    </row>
    <row r="720" spans="1:56" hidden="1">
      <c r="A720" s="25">
        <v>715</v>
      </c>
      <c r="B720" s="25" t="str">
        <f>VLOOKUP(C720,'시스템이펙트 참고자료'!$A:$C,2,FALSE)</f>
        <v>ACTIVE_FOC_UP</v>
      </c>
      <c r="C720" s="25">
        <v>612</v>
      </c>
      <c r="D720" s="25">
        <f>VLOOKUP(C720,'시스템이펙트 참고자료'!$A:$D,4,FALSE)</f>
        <v>0</v>
      </c>
      <c r="E720" s="25">
        <v>0</v>
      </c>
      <c r="F720" s="25">
        <v>0</v>
      </c>
      <c r="G720" s="25">
        <f t="shared" si="52"/>
        <v>2</v>
      </c>
      <c r="H720" s="25" t="s">
        <v>395</v>
      </c>
      <c r="I720" s="25">
        <v>1</v>
      </c>
      <c r="J720" s="25" t="str">
        <f>VLOOKUP(C720,'시스템이펙트 참고자료'!$A:$C,3,FALSE)</f>
        <v>절대값/상대값(%) 가능</v>
      </c>
      <c r="K720" s="25">
        <v>14</v>
      </c>
      <c r="M720" s="25">
        <v>5</v>
      </c>
      <c r="N720" s="25">
        <f t="shared" si="55"/>
        <v>53</v>
      </c>
      <c r="O720" s="25">
        <v>1</v>
      </c>
      <c r="P720" s="25">
        <v>1</v>
      </c>
      <c r="Q720" s="25">
        <v>1</v>
      </c>
      <c r="R720" s="25">
        <v>1</v>
      </c>
      <c r="T720" s="25">
        <v>1</v>
      </c>
      <c r="AA720" s="25">
        <f t="shared" si="54"/>
        <v>128</v>
      </c>
      <c r="AK720" s="25">
        <v>1</v>
      </c>
      <c r="AM720" s="25">
        <v>53</v>
      </c>
      <c r="AN720" s="25">
        <v>100</v>
      </c>
      <c r="AP720" s="25">
        <f t="shared" si="53"/>
        <v>2</v>
      </c>
      <c r="AQ720" s="25" t="str">
        <f>VLOOKUP(C720,'시스템이펙트 참고자료'!$A:$B,2,FALSE)</f>
        <v>ACTIVE_FOC_UP</v>
      </c>
      <c r="AS720" s="25">
        <v>1</v>
      </c>
      <c r="BD720" s="25">
        <v>1</v>
      </c>
    </row>
    <row r="721" spans="1:56" hidden="1">
      <c r="A721" s="25">
        <v>716</v>
      </c>
      <c r="B721" s="25" t="str">
        <f>VLOOKUP(C721,'시스템이펙트 참고자료'!$A:$C,2,FALSE)</f>
        <v>ACTIVE_PHYSICAL_OFFENCE_UP</v>
      </c>
      <c r="C721" s="25">
        <v>606</v>
      </c>
      <c r="D721" s="25">
        <f>VLOOKUP(C721,'시스템이펙트 참고자료'!$A:$D,4,FALSE)</f>
        <v>0</v>
      </c>
      <c r="E721" s="25">
        <v>0</v>
      </c>
      <c r="F721" s="25">
        <v>0</v>
      </c>
      <c r="G721" s="25">
        <f t="shared" si="52"/>
        <v>1</v>
      </c>
      <c r="H721" s="25" t="s">
        <v>395</v>
      </c>
      <c r="I721" s="25">
        <v>1</v>
      </c>
      <c r="J721" s="25" t="str">
        <f>VLOOKUP(C721,'시스템이펙트 참고자료'!$A:$C,3,FALSE)</f>
        <v>절대값/상대값(%) 가능</v>
      </c>
      <c r="K721" s="25">
        <v>14</v>
      </c>
      <c r="M721" s="25">
        <v>5</v>
      </c>
      <c r="N721" s="25">
        <f t="shared" si="55"/>
        <v>125</v>
      </c>
      <c r="O721" s="25">
        <v>1</v>
      </c>
      <c r="P721" s="25">
        <v>1</v>
      </c>
      <c r="Q721" s="25">
        <v>1</v>
      </c>
      <c r="R721" s="25">
        <v>1</v>
      </c>
      <c r="T721" s="25">
        <v>1</v>
      </c>
      <c r="AA721" s="25">
        <f t="shared" si="54"/>
        <v>128</v>
      </c>
      <c r="AK721" s="25">
        <v>1</v>
      </c>
      <c r="AM721" s="25">
        <v>125</v>
      </c>
      <c r="AN721" s="25">
        <v>100</v>
      </c>
      <c r="AP721" s="25">
        <f t="shared" si="53"/>
        <v>1</v>
      </c>
      <c r="AQ721" s="25" t="str">
        <f>VLOOKUP(C721,'시스템이펙트 참고자료'!$A:$B,2,FALSE)</f>
        <v>ACTIVE_PHYSICAL_OFFENCE_UP</v>
      </c>
      <c r="AS721" s="25">
        <v>1</v>
      </c>
      <c r="BD721" s="25">
        <v>1</v>
      </c>
    </row>
    <row r="722" spans="1:56" hidden="1">
      <c r="A722" s="25">
        <v>717</v>
      </c>
      <c r="B722" s="25" t="str">
        <f>VLOOKUP(C722,'시스템이펙트 참고자료'!$A:$C,2,FALSE)</f>
        <v>ACTIVE_ENERGY_OFFENCE_UP</v>
      </c>
      <c r="C722" s="25">
        <v>607</v>
      </c>
      <c r="D722" s="25">
        <f>VLOOKUP(C722,'시스템이펙트 참고자료'!$A:$D,4,FALSE)</f>
        <v>0</v>
      </c>
      <c r="E722" s="25">
        <v>0</v>
      </c>
      <c r="F722" s="25">
        <v>0</v>
      </c>
      <c r="G722" s="25">
        <f t="shared" ref="G722:G785" si="56">IF(N722&gt;0,INT(100/N722+0.99),0)</f>
        <v>1</v>
      </c>
      <c r="H722" s="25" t="s">
        <v>395</v>
      </c>
      <c r="I722" s="25">
        <v>1</v>
      </c>
      <c r="J722" s="25" t="str">
        <f>VLOOKUP(C722,'시스템이펙트 참고자료'!$A:$C,3,FALSE)</f>
        <v>절대값/상대값(%) 가능</v>
      </c>
      <c r="K722" s="25">
        <v>14</v>
      </c>
      <c r="M722" s="25">
        <v>5</v>
      </c>
      <c r="N722" s="25">
        <f t="shared" si="55"/>
        <v>104</v>
      </c>
      <c r="O722" s="25">
        <v>1</v>
      </c>
      <c r="P722" s="25">
        <v>1</v>
      </c>
      <c r="Q722" s="25">
        <v>1</v>
      </c>
      <c r="R722" s="25">
        <v>1</v>
      </c>
      <c r="T722" s="25">
        <v>1</v>
      </c>
      <c r="AA722" s="25">
        <f t="shared" si="54"/>
        <v>128</v>
      </c>
      <c r="AK722" s="25">
        <v>1</v>
      </c>
      <c r="AM722" s="25">
        <v>104</v>
      </c>
      <c r="AN722" s="25">
        <v>100</v>
      </c>
      <c r="AP722" s="25">
        <f t="shared" ref="AP722:AP785" si="57">INT(100/N722+0.99)</f>
        <v>1</v>
      </c>
      <c r="AQ722" s="25" t="str">
        <f>VLOOKUP(C722,'시스템이펙트 참고자료'!$A:$B,2,FALSE)</f>
        <v>ACTIVE_ENERGY_OFFENCE_UP</v>
      </c>
      <c r="AS722" s="25">
        <v>1</v>
      </c>
      <c r="BD722" s="25">
        <v>1</v>
      </c>
    </row>
    <row r="723" spans="1:56" hidden="1">
      <c r="A723" s="25">
        <v>718</v>
      </c>
      <c r="B723" s="25" t="str">
        <f>VLOOKUP(C723,'시스템이펙트 참고자료'!$A:$C,2,FALSE)</f>
        <v>ACTIVE_PHYSICAL_OFFENCE_UP</v>
      </c>
      <c r="C723" s="25">
        <v>606</v>
      </c>
      <c r="D723" s="25">
        <f>VLOOKUP(C723,'시스템이펙트 참고자료'!$A:$D,4,FALSE)</f>
        <v>0</v>
      </c>
      <c r="E723" s="25">
        <v>0</v>
      </c>
      <c r="F723" s="25">
        <v>0</v>
      </c>
      <c r="G723" s="25">
        <f t="shared" si="56"/>
        <v>1</v>
      </c>
      <c r="H723" s="25" t="s">
        <v>395</v>
      </c>
      <c r="I723" s="25">
        <v>1</v>
      </c>
      <c r="J723" s="25" t="str">
        <f>VLOOKUP(C723,'시스템이펙트 참고자료'!$A:$C,3,FALSE)</f>
        <v>절대값/상대값(%) 가능</v>
      </c>
      <c r="K723" s="25">
        <v>14</v>
      </c>
      <c r="M723" s="25">
        <v>6</v>
      </c>
      <c r="N723" s="25">
        <f t="shared" si="55"/>
        <v>125</v>
      </c>
      <c r="O723" s="25">
        <v>1</v>
      </c>
      <c r="P723" s="25">
        <v>1</v>
      </c>
      <c r="Q723" s="25">
        <v>1</v>
      </c>
      <c r="R723" s="25">
        <v>1</v>
      </c>
      <c r="T723" s="25">
        <v>1</v>
      </c>
      <c r="AA723" s="25">
        <f t="shared" ref="AA723:AA786" si="58">2^AA$1</f>
        <v>128</v>
      </c>
      <c r="AK723" s="25">
        <v>1</v>
      </c>
      <c r="AM723" s="25">
        <v>125</v>
      </c>
      <c r="AN723" s="25">
        <v>100</v>
      </c>
      <c r="AP723" s="25">
        <f t="shared" si="57"/>
        <v>1</v>
      </c>
      <c r="AQ723" s="25" t="str">
        <f>VLOOKUP(C723,'시스템이펙트 참고자료'!$A:$B,2,FALSE)</f>
        <v>ACTIVE_PHYSICAL_OFFENCE_UP</v>
      </c>
      <c r="AS723" s="25">
        <v>1</v>
      </c>
      <c r="BD723" s="25">
        <v>1</v>
      </c>
    </row>
    <row r="724" spans="1:56" hidden="1">
      <c r="A724" s="25">
        <v>719</v>
      </c>
      <c r="B724" s="25" t="str">
        <f>VLOOKUP(C724,'시스템이펙트 참고자료'!$A:$C,2,FALSE)</f>
        <v>ACTIVE_ENERGY_OFFENCE_UP</v>
      </c>
      <c r="C724" s="25">
        <v>607</v>
      </c>
      <c r="D724" s="25">
        <f>VLOOKUP(C724,'시스템이펙트 참고자료'!$A:$D,4,FALSE)</f>
        <v>0</v>
      </c>
      <c r="E724" s="25">
        <v>0</v>
      </c>
      <c r="F724" s="25">
        <v>0</v>
      </c>
      <c r="G724" s="25">
        <f t="shared" si="56"/>
        <v>1</v>
      </c>
      <c r="H724" s="25" t="s">
        <v>395</v>
      </c>
      <c r="I724" s="25">
        <v>1</v>
      </c>
      <c r="J724" s="25" t="str">
        <f>VLOOKUP(C724,'시스템이펙트 참고자료'!$A:$C,3,FALSE)</f>
        <v>절대값/상대값(%) 가능</v>
      </c>
      <c r="K724" s="25">
        <v>14</v>
      </c>
      <c r="M724" s="25">
        <v>6</v>
      </c>
      <c r="N724" s="25">
        <f t="shared" si="55"/>
        <v>104</v>
      </c>
      <c r="O724" s="25">
        <v>1</v>
      </c>
      <c r="P724" s="25">
        <v>1</v>
      </c>
      <c r="Q724" s="25">
        <v>1</v>
      </c>
      <c r="R724" s="25">
        <v>1</v>
      </c>
      <c r="T724" s="25">
        <v>1</v>
      </c>
      <c r="AA724" s="25">
        <f t="shared" si="58"/>
        <v>128</v>
      </c>
      <c r="AK724" s="25">
        <v>1</v>
      </c>
      <c r="AM724" s="25">
        <v>104</v>
      </c>
      <c r="AN724" s="25">
        <v>100</v>
      </c>
      <c r="AP724" s="25">
        <f t="shared" si="57"/>
        <v>1</v>
      </c>
      <c r="AQ724" s="25" t="str">
        <f>VLOOKUP(C724,'시스템이펙트 참고자료'!$A:$B,2,FALSE)</f>
        <v>ACTIVE_ENERGY_OFFENCE_UP</v>
      </c>
      <c r="AS724" s="25">
        <v>1</v>
      </c>
      <c r="BD724" s="25">
        <v>1</v>
      </c>
    </row>
    <row r="725" spans="1:56" hidden="1">
      <c r="A725" s="25">
        <v>720</v>
      </c>
      <c r="B725" s="25" t="str">
        <f>VLOOKUP(C725,'시스템이펙트 참고자료'!$A:$C,2,FALSE)</f>
        <v>ACTIVE_STR_UP</v>
      </c>
      <c r="C725" s="25">
        <v>610</v>
      </c>
      <c r="D725" s="25">
        <f>VLOOKUP(C725,'시스템이펙트 참고자료'!$A:$D,4,FALSE)</f>
        <v>0</v>
      </c>
      <c r="E725" s="25">
        <v>0</v>
      </c>
      <c r="F725" s="25">
        <v>0</v>
      </c>
      <c r="G725" s="25">
        <f t="shared" si="56"/>
        <v>2</v>
      </c>
      <c r="H725" s="25" t="s">
        <v>395</v>
      </c>
      <c r="I725" s="25">
        <v>1</v>
      </c>
      <c r="J725" s="25" t="str">
        <f>VLOOKUP(C725,'시스템이펙트 참고자료'!$A:$C,3,FALSE)</f>
        <v>절대값/상대값(%) 가능</v>
      </c>
      <c r="K725" s="25">
        <v>14</v>
      </c>
      <c r="M725" s="25">
        <v>6</v>
      </c>
      <c r="N725" s="25">
        <f t="shared" si="55"/>
        <v>57</v>
      </c>
      <c r="O725" s="25">
        <v>1</v>
      </c>
      <c r="P725" s="25">
        <v>1</v>
      </c>
      <c r="Q725" s="25">
        <v>1</v>
      </c>
      <c r="R725" s="25">
        <v>1</v>
      </c>
      <c r="T725" s="25">
        <v>1</v>
      </c>
      <c r="AA725" s="25">
        <f t="shared" si="58"/>
        <v>128</v>
      </c>
      <c r="AK725" s="25">
        <v>1</v>
      </c>
      <c r="AM725" s="25">
        <v>57</v>
      </c>
      <c r="AN725" s="25">
        <v>100</v>
      </c>
      <c r="AP725" s="25">
        <f t="shared" si="57"/>
        <v>2</v>
      </c>
      <c r="AQ725" s="25" t="str">
        <f>VLOOKUP(C725,'시스템이펙트 참고자료'!$A:$B,2,FALSE)</f>
        <v>ACTIVE_STR_UP</v>
      </c>
      <c r="AS725" s="25">
        <v>1</v>
      </c>
      <c r="BD725" s="25">
        <v>1</v>
      </c>
    </row>
    <row r="726" spans="1:56" hidden="1">
      <c r="A726" s="25">
        <v>721</v>
      </c>
      <c r="B726" s="25" t="str">
        <f>VLOOKUP(C726,'시스템이펙트 참고자료'!$A:$C,2,FALSE)</f>
        <v>ACTIVE_SOL_UP</v>
      </c>
      <c r="C726" s="25">
        <v>614</v>
      </c>
      <c r="D726" s="25">
        <f>VLOOKUP(C726,'시스템이펙트 참고자료'!$A:$D,4,FALSE)</f>
        <v>0</v>
      </c>
      <c r="E726" s="25">
        <v>0</v>
      </c>
      <c r="F726" s="25">
        <v>0</v>
      </c>
      <c r="G726" s="25">
        <f t="shared" si="56"/>
        <v>2</v>
      </c>
      <c r="H726" s="25" t="s">
        <v>395</v>
      </c>
      <c r="I726" s="25">
        <v>1</v>
      </c>
      <c r="J726" s="25" t="str">
        <f>VLOOKUP(C726,'시스템이펙트 참고자료'!$A:$C,3,FALSE)</f>
        <v>절대값/상대값(%) 가능</v>
      </c>
      <c r="K726" s="25">
        <v>14</v>
      </c>
      <c r="M726" s="25">
        <v>6</v>
      </c>
      <c r="N726" s="25">
        <f t="shared" si="55"/>
        <v>53</v>
      </c>
      <c r="O726" s="25">
        <v>1</v>
      </c>
      <c r="P726" s="25">
        <v>1</v>
      </c>
      <c r="Q726" s="25">
        <v>1</v>
      </c>
      <c r="R726" s="25">
        <v>1</v>
      </c>
      <c r="T726" s="25">
        <v>1</v>
      </c>
      <c r="AA726" s="25">
        <f t="shared" si="58"/>
        <v>128</v>
      </c>
      <c r="AK726" s="25">
        <v>1</v>
      </c>
      <c r="AM726" s="25">
        <v>53</v>
      </c>
      <c r="AN726" s="25">
        <v>100</v>
      </c>
      <c r="AP726" s="25">
        <f t="shared" si="57"/>
        <v>2</v>
      </c>
      <c r="AQ726" s="25" t="str">
        <f>VLOOKUP(C726,'시스템이펙트 참고자료'!$A:$B,2,FALSE)</f>
        <v>ACTIVE_SOL_UP</v>
      </c>
      <c r="AS726" s="25">
        <v>1</v>
      </c>
      <c r="BD726" s="25">
        <v>1</v>
      </c>
    </row>
    <row r="727" spans="1:56" hidden="1">
      <c r="A727" s="25">
        <v>722</v>
      </c>
      <c r="B727" s="25" t="str">
        <f>VLOOKUP(C727,'시스템이펙트 참고자료'!$A:$C,2,FALSE)</f>
        <v>ACTIVE_PHYSICAL_CRITICAL_DAMAGE_UP</v>
      </c>
      <c r="C727" s="25">
        <v>658</v>
      </c>
      <c r="D727" s="25">
        <f>VLOOKUP(C727,'시스템이펙트 참고자료'!$A:$D,4,FALSE)</f>
        <v>0</v>
      </c>
      <c r="E727" s="25">
        <v>0</v>
      </c>
      <c r="F727" s="25">
        <v>0</v>
      </c>
      <c r="G727" s="25">
        <f t="shared" si="56"/>
        <v>4</v>
      </c>
      <c r="H727" s="25" t="s">
        <v>395</v>
      </c>
      <c r="I727" s="25">
        <v>1</v>
      </c>
      <c r="J727" s="25" t="str">
        <f>VLOOKUP(C727,'시스템이펙트 참고자료'!$A:$C,3,FALSE)</f>
        <v>절대값만 가능</v>
      </c>
      <c r="K727" s="25">
        <v>14</v>
      </c>
      <c r="M727" s="25">
        <v>6</v>
      </c>
      <c r="N727" s="25">
        <f t="shared" si="55"/>
        <v>28</v>
      </c>
      <c r="O727" s="25">
        <v>1</v>
      </c>
      <c r="P727" s="25">
        <v>1</v>
      </c>
      <c r="Q727" s="25">
        <v>1</v>
      </c>
      <c r="R727" s="25">
        <v>1</v>
      </c>
      <c r="T727" s="25">
        <v>1</v>
      </c>
      <c r="AA727" s="25">
        <f t="shared" si="58"/>
        <v>128</v>
      </c>
      <c r="AK727" s="25">
        <v>1</v>
      </c>
      <c r="AM727" s="25">
        <v>28</v>
      </c>
      <c r="AN727" s="25">
        <v>100</v>
      </c>
      <c r="AP727" s="25">
        <f t="shared" si="57"/>
        <v>4</v>
      </c>
      <c r="AQ727" s="25" t="str">
        <f>VLOOKUP(C727,'시스템이펙트 참고자료'!$A:$B,2,FALSE)</f>
        <v>ACTIVE_PHYSICAL_CRITICAL_DAMAGE_UP</v>
      </c>
      <c r="AS727" s="25">
        <v>1</v>
      </c>
      <c r="BD727" s="25">
        <v>1</v>
      </c>
    </row>
    <row r="728" spans="1:56" hidden="1">
      <c r="A728" s="25">
        <v>723</v>
      </c>
      <c r="B728" s="25" t="str">
        <f>VLOOKUP(C728,'시스템이펙트 참고자료'!$A:$C,2,FALSE)</f>
        <v>ACTIVE_ENERGY_CRITICAL_DAMAGE_UP</v>
      </c>
      <c r="C728" s="25">
        <v>659</v>
      </c>
      <c r="D728" s="25">
        <f>VLOOKUP(C728,'시스템이펙트 참고자료'!$A:$D,4,FALSE)</f>
        <v>0</v>
      </c>
      <c r="E728" s="25">
        <v>0</v>
      </c>
      <c r="F728" s="25">
        <v>0</v>
      </c>
      <c r="G728" s="25">
        <f t="shared" si="56"/>
        <v>4</v>
      </c>
      <c r="H728" s="25" t="s">
        <v>395</v>
      </c>
      <c r="I728" s="25">
        <v>1</v>
      </c>
      <c r="J728" s="25" t="str">
        <f>VLOOKUP(C728,'시스템이펙트 참고자료'!$A:$C,3,FALSE)</f>
        <v>절대값만 가능</v>
      </c>
      <c r="K728" s="25">
        <v>14</v>
      </c>
      <c r="M728" s="25">
        <v>6</v>
      </c>
      <c r="N728" s="25">
        <f t="shared" si="55"/>
        <v>32</v>
      </c>
      <c r="O728" s="25">
        <v>1</v>
      </c>
      <c r="P728" s="25">
        <v>1</v>
      </c>
      <c r="Q728" s="25">
        <v>1</v>
      </c>
      <c r="R728" s="25">
        <v>1</v>
      </c>
      <c r="T728" s="25">
        <v>1</v>
      </c>
      <c r="AA728" s="25">
        <f t="shared" si="58"/>
        <v>128</v>
      </c>
      <c r="AK728" s="25">
        <v>1</v>
      </c>
      <c r="AM728" s="25">
        <v>32</v>
      </c>
      <c r="AN728" s="25">
        <v>100</v>
      </c>
      <c r="AP728" s="25">
        <f t="shared" si="57"/>
        <v>4</v>
      </c>
      <c r="AQ728" s="25" t="str">
        <f>VLOOKUP(C728,'시스템이펙트 참고자료'!$A:$B,2,FALSE)</f>
        <v>ACTIVE_ENERGY_CRITICAL_DAMAGE_UP</v>
      </c>
      <c r="AS728" s="25">
        <v>1</v>
      </c>
      <c r="BD728" s="25">
        <v>1</v>
      </c>
    </row>
    <row r="729" spans="1:56" hidden="1">
      <c r="A729" s="25">
        <v>724</v>
      </c>
      <c r="B729" s="25" t="str">
        <f>VLOOKUP(C729,'시스템이펙트 참고자료'!$A:$C,2,FALSE)</f>
        <v>ACTIVE_FOC_UP</v>
      </c>
      <c r="C729" s="25">
        <v>612</v>
      </c>
      <c r="D729" s="25">
        <f>VLOOKUP(C729,'시스템이펙트 참고자료'!$A:$D,4,FALSE)</f>
        <v>0</v>
      </c>
      <c r="E729" s="25">
        <v>0</v>
      </c>
      <c r="F729" s="25">
        <v>0</v>
      </c>
      <c r="G729" s="25">
        <f t="shared" si="56"/>
        <v>2</v>
      </c>
      <c r="H729" s="25" t="s">
        <v>395</v>
      </c>
      <c r="I729" s="25">
        <v>1</v>
      </c>
      <c r="J729" s="25" t="str">
        <f>VLOOKUP(C729,'시스템이펙트 참고자료'!$A:$C,3,FALSE)</f>
        <v>절대값/상대값(%) 가능</v>
      </c>
      <c r="K729" s="25">
        <v>14</v>
      </c>
      <c r="M729" s="25">
        <v>7</v>
      </c>
      <c r="N729" s="25">
        <f t="shared" si="55"/>
        <v>53</v>
      </c>
      <c r="O729" s="25">
        <v>1</v>
      </c>
      <c r="P729" s="25">
        <v>1</v>
      </c>
      <c r="Q729" s="25">
        <v>1</v>
      </c>
      <c r="R729" s="25">
        <v>1</v>
      </c>
      <c r="T729" s="25">
        <v>1</v>
      </c>
      <c r="AA729" s="25">
        <f t="shared" si="58"/>
        <v>128</v>
      </c>
      <c r="AK729" s="25">
        <v>1</v>
      </c>
      <c r="AM729" s="25">
        <v>53</v>
      </c>
      <c r="AN729" s="25">
        <v>100</v>
      </c>
      <c r="AP729" s="25">
        <f t="shared" si="57"/>
        <v>2</v>
      </c>
      <c r="AQ729" s="25" t="str">
        <f>VLOOKUP(C729,'시스템이펙트 참고자료'!$A:$B,2,FALSE)</f>
        <v>ACTIVE_FOC_UP</v>
      </c>
      <c r="AS729" s="25">
        <v>1</v>
      </c>
      <c r="BD729" s="25">
        <v>1</v>
      </c>
    </row>
    <row r="730" spans="1:56" hidden="1">
      <c r="A730" s="25">
        <v>725</v>
      </c>
      <c r="B730" s="25" t="str">
        <f>VLOOKUP(C730,'시스템이펙트 참고자료'!$A:$C,2,FALSE)</f>
        <v>ACTIVE_ATTACK_RATE_UP</v>
      </c>
      <c r="C730" s="25">
        <v>618</v>
      </c>
      <c r="D730" s="25">
        <f>VLOOKUP(C730,'시스템이펙트 참고자료'!$A:$D,4,FALSE)</f>
        <v>0</v>
      </c>
      <c r="E730" s="25">
        <v>0</v>
      </c>
      <c r="F730" s="25">
        <v>0</v>
      </c>
      <c r="G730" s="25">
        <f t="shared" si="56"/>
        <v>1</v>
      </c>
      <c r="H730" s="25" t="s">
        <v>395</v>
      </c>
      <c r="I730" s="25">
        <v>1</v>
      </c>
      <c r="J730" s="25" t="str">
        <f>VLOOKUP(C730,'시스템이펙트 참고자료'!$A:$C,3,FALSE)</f>
        <v>절대값/상대값(%) 가능</v>
      </c>
      <c r="K730" s="25">
        <v>14</v>
      </c>
      <c r="M730" s="25">
        <v>7</v>
      </c>
      <c r="N730" s="25">
        <f t="shared" si="55"/>
        <v>528</v>
      </c>
      <c r="O730" s="25">
        <v>1</v>
      </c>
      <c r="P730" s="25">
        <v>1</v>
      </c>
      <c r="Q730" s="25">
        <v>1</v>
      </c>
      <c r="R730" s="25">
        <v>1</v>
      </c>
      <c r="T730" s="25">
        <v>1</v>
      </c>
      <c r="AA730" s="25">
        <f t="shared" si="58"/>
        <v>128</v>
      </c>
      <c r="AK730" s="25">
        <v>1</v>
      </c>
      <c r="AM730" s="25">
        <v>528</v>
      </c>
      <c r="AN730" s="25">
        <v>100</v>
      </c>
      <c r="AP730" s="25">
        <f t="shared" si="57"/>
        <v>1</v>
      </c>
      <c r="AQ730" s="25" t="str">
        <f>VLOOKUP(C730,'시스템이펙트 참고자료'!$A:$B,2,FALSE)</f>
        <v>ACTIVE_ATTACK_RATE_UP</v>
      </c>
      <c r="AS730" s="25">
        <v>1</v>
      </c>
      <c r="BD730" s="25">
        <v>1</v>
      </c>
    </row>
    <row r="731" spans="1:56" hidden="1">
      <c r="A731" s="25">
        <v>726</v>
      </c>
      <c r="B731" s="25" t="str">
        <f>VLOOKUP(C731,'시스템이펙트 참고자료'!$A:$C,2,FALSE)</f>
        <v>ACTIVE_ENG_UP</v>
      </c>
      <c r="C731" s="25">
        <v>615</v>
      </c>
      <c r="D731" s="25">
        <f>VLOOKUP(C731,'시스템이펙트 참고자료'!$A:$D,4,FALSE)</f>
        <v>0</v>
      </c>
      <c r="E731" s="25">
        <v>0</v>
      </c>
      <c r="F731" s="25">
        <v>0</v>
      </c>
      <c r="G731" s="25">
        <f t="shared" si="56"/>
        <v>2</v>
      </c>
      <c r="H731" s="25" t="s">
        <v>395</v>
      </c>
      <c r="I731" s="25">
        <v>1</v>
      </c>
      <c r="J731" s="25" t="str">
        <f>VLOOKUP(C731,'시스템이펙트 참고자료'!$A:$C,3,FALSE)</f>
        <v>절대값/상대값(%) 가능</v>
      </c>
      <c r="K731" s="25">
        <v>14</v>
      </c>
      <c r="M731" s="25">
        <v>7</v>
      </c>
      <c r="N731" s="25">
        <f t="shared" si="55"/>
        <v>62</v>
      </c>
      <c r="O731" s="25">
        <v>1</v>
      </c>
      <c r="P731" s="25">
        <v>1</v>
      </c>
      <c r="Q731" s="25">
        <v>1</v>
      </c>
      <c r="R731" s="25">
        <v>1</v>
      </c>
      <c r="T731" s="25">
        <v>1</v>
      </c>
      <c r="AA731" s="25">
        <f t="shared" si="58"/>
        <v>128</v>
      </c>
      <c r="AK731" s="25">
        <v>1</v>
      </c>
      <c r="AM731" s="25">
        <v>62</v>
      </c>
      <c r="AN731" s="25">
        <v>100</v>
      </c>
      <c r="AP731" s="25">
        <f t="shared" si="57"/>
        <v>2</v>
      </c>
      <c r="AQ731" s="25" t="str">
        <f>VLOOKUP(C731,'시스템이펙트 참고자료'!$A:$B,2,FALSE)</f>
        <v>ACTIVE_ENG_UP</v>
      </c>
      <c r="AS731" s="25">
        <v>1</v>
      </c>
      <c r="BD731" s="25">
        <v>1</v>
      </c>
    </row>
    <row r="732" spans="1:56" hidden="1">
      <c r="A732" s="25">
        <v>727</v>
      </c>
      <c r="B732" s="25" t="str">
        <f>VLOOKUP(C732,'시스템이펙트 참고자료'!$A:$C,2,FALSE)</f>
        <v>ACTIVE_PHYSICAL_CRITICAL</v>
      </c>
      <c r="C732" s="25">
        <v>632</v>
      </c>
      <c r="D732" s="25">
        <f>VLOOKUP(C732,'시스템이펙트 참고자료'!$A:$D,4,FALSE)</f>
        <v>0</v>
      </c>
      <c r="E732" s="25">
        <v>0</v>
      </c>
      <c r="F732" s="25">
        <v>0</v>
      </c>
      <c r="G732" s="25">
        <f t="shared" si="56"/>
        <v>5</v>
      </c>
      <c r="H732" s="25" t="s">
        <v>395</v>
      </c>
      <c r="I732" s="25">
        <v>1</v>
      </c>
      <c r="J732" s="25" t="str">
        <f>VLOOKUP(C732,'시스템이펙트 참고자료'!$A:$C,3,FALSE)</f>
        <v>절대값/상대값(%) 가능</v>
      </c>
      <c r="K732" s="25">
        <v>14</v>
      </c>
      <c r="M732" s="25">
        <v>7</v>
      </c>
      <c r="N732" s="25">
        <f t="shared" si="55"/>
        <v>21</v>
      </c>
      <c r="O732" s="25">
        <v>1</v>
      </c>
      <c r="P732" s="25">
        <v>1</v>
      </c>
      <c r="Q732" s="25">
        <v>1</v>
      </c>
      <c r="R732" s="25">
        <v>1</v>
      </c>
      <c r="T732" s="25">
        <v>1</v>
      </c>
      <c r="AA732" s="25">
        <f t="shared" si="58"/>
        <v>128</v>
      </c>
      <c r="AK732" s="25">
        <v>1</v>
      </c>
      <c r="AM732" s="25">
        <v>21</v>
      </c>
      <c r="AN732" s="25">
        <v>100</v>
      </c>
      <c r="AP732" s="25">
        <f t="shared" si="57"/>
        <v>5</v>
      </c>
      <c r="AQ732" s="25" t="str">
        <f>VLOOKUP(C732,'시스템이펙트 참고자료'!$A:$B,2,FALSE)</f>
        <v>ACTIVE_PHYSICAL_CRITICAL</v>
      </c>
      <c r="AS732" s="25">
        <v>1</v>
      </c>
      <c r="BD732" s="25">
        <v>1</v>
      </c>
    </row>
    <row r="733" spans="1:56" hidden="1">
      <c r="A733" s="25">
        <v>728</v>
      </c>
      <c r="B733" s="25" t="str">
        <f>VLOOKUP(C733,'시스템이펙트 참고자료'!$A:$C,2,FALSE)</f>
        <v>ACTIVE_ENERGY_CRITICAL</v>
      </c>
      <c r="C733" s="25">
        <v>633</v>
      </c>
      <c r="D733" s="25">
        <f>VLOOKUP(C733,'시스템이펙트 참고자료'!$A:$D,4,FALSE)</f>
        <v>0</v>
      </c>
      <c r="E733" s="25">
        <v>0</v>
      </c>
      <c r="F733" s="25">
        <v>0</v>
      </c>
      <c r="G733" s="25">
        <f t="shared" si="56"/>
        <v>5</v>
      </c>
      <c r="H733" s="25" t="s">
        <v>395</v>
      </c>
      <c r="I733" s="25">
        <v>1</v>
      </c>
      <c r="J733" s="25" t="str">
        <f>VLOOKUP(C733,'시스템이펙트 참고자료'!$A:$C,3,FALSE)</f>
        <v>절대값/상대값(%) 가능</v>
      </c>
      <c r="K733" s="25">
        <v>14</v>
      </c>
      <c r="M733" s="25">
        <v>7</v>
      </c>
      <c r="N733" s="25">
        <f t="shared" si="55"/>
        <v>24</v>
      </c>
      <c r="O733" s="25">
        <v>1</v>
      </c>
      <c r="P733" s="25">
        <v>1</v>
      </c>
      <c r="Q733" s="25">
        <v>1</v>
      </c>
      <c r="R733" s="25">
        <v>1</v>
      </c>
      <c r="T733" s="25">
        <v>1</v>
      </c>
      <c r="AA733" s="25">
        <f t="shared" si="58"/>
        <v>128</v>
      </c>
      <c r="AK733" s="25">
        <v>1</v>
      </c>
      <c r="AM733" s="25">
        <v>24</v>
      </c>
      <c r="AN733" s="25">
        <v>100</v>
      </c>
      <c r="AP733" s="25">
        <f t="shared" si="57"/>
        <v>5</v>
      </c>
      <c r="AQ733" s="25" t="str">
        <f>VLOOKUP(C733,'시스템이펙트 참고자료'!$A:$B,2,FALSE)</f>
        <v>ACTIVE_ENERGY_CRITICAL</v>
      </c>
      <c r="AS733" s="25">
        <v>1</v>
      </c>
      <c r="BD733" s="25">
        <v>1</v>
      </c>
    </row>
    <row r="734" spans="1:56" hidden="1">
      <c r="A734" s="25">
        <v>729</v>
      </c>
      <c r="B734" s="25" t="str">
        <f>VLOOKUP(C734,'시스템이펙트 참고자료'!$A:$C,2,FALSE)</f>
        <v>ACTIVE_FOC_UP</v>
      </c>
      <c r="C734" s="25">
        <v>612</v>
      </c>
      <c r="D734" s="25">
        <f>VLOOKUP(C734,'시스템이펙트 참고자료'!$A:$D,4,FALSE)</f>
        <v>0</v>
      </c>
      <c r="E734" s="25">
        <v>0</v>
      </c>
      <c r="F734" s="25">
        <v>0</v>
      </c>
      <c r="G734" s="25">
        <f t="shared" si="56"/>
        <v>2</v>
      </c>
      <c r="H734" s="25" t="s">
        <v>395</v>
      </c>
      <c r="I734" s="25">
        <v>1</v>
      </c>
      <c r="J734" s="25" t="str">
        <f>VLOOKUP(C734,'시스템이펙트 참고자료'!$A:$C,3,FALSE)</f>
        <v>절대값/상대값(%) 가능</v>
      </c>
      <c r="K734" s="25">
        <v>14</v>
      </c>
      <c r="M734" s="25">
        <v>8</v>
      </c>
      <c r="N734" s="25">
        <f t="shared" si="55"/>
        <v>53</v>
      </c>
      <c r="O734" s="25">
        <v>1</v>
      </c>
      <c r="P734" s="25">
        <v>1</v>
      </c>
      <c r="Q734" s="25">
        <v>1</v>
      </c>
      <c r="R734" s="25">
        <v>1</v>
      </c>
      <c r="T734" s="25">
        <v>1</v>
      </c>
      <c r="AA734" s="25">
        <f t="shared" si="58"/>
        <v>128</v>
      </c>
      <c r="AK734" s="25">
        <v>1</v>
      </c>
      <c r="AM734" s="25">
        <v>53</v>
      </c>
      <c r="AN734" s="25">
        <v>100</v>
      </c>
      <c r="AP734" s="25">
        <f t="shared" si="57"/>
        <v>2</v>
      </c>
      <c r="AQ734" s="25" t="str">
        <f>VLOOKUP(C734,'시스템이펙트 참고자료'!$A:$B,2,FALSE)</f>
        <v>ACTIVE_FOC_UP</v>
      </c>
      <c r="AS734" s="25">
        <v>1</v>
      </c>
      <c r="BD734" s="25">
        <v>1</v>
      </c>
    </row>
    <row r="735" spans="1:56" hidden="1">
      <c r="A735" s="25">
        <v>730</v>
      </c>
      <c r="B735" s="25" t="str">
        <f>VLOOKUP(C735,'시스템이펙트 참고자료'!$A:$C,2,FALSE)</f>
        <v>ACTIVE_CON_UP</v>
      </c>
      <c r="C735" s="25">
        <v>611</v>
      </c>
      <c r="D735" s="25">
        <f>VLOOKUP(C735,'시스템이펙트 참고자료'!$A:$D,4,FALSE)</f>
        <v>0</v>
      </c>
      <c r="E735" s="25">
        <v>0</v>
      </c>
      <c r="F735" s="25">
        <v>0</v>
      </c>
      <c r="G735" s="25">
        <f t="shared" si="56"/>
        <v>3</v>
      </c>
      <c r="H735" s="25" t="s">
        <v>395</v>
      </c>
      <c r="I735" s="25">
        <v>1</v>
      </c>
      <c r="J735" s="25" t="str">
        <f>VLOOKUP(C735,'시스템이펙트 참고자료'!$A:$C,3,FALSE)</f>
        <v>절대값/상대값(%) 가능</v>
      </c>
      <c r="K735" s="25">
        <v>14</v>
      </c>
      <c r="M735" s="25">
        <v>8</v>
      </c>
      <c r="N735" s="25">
        <f t="shared" si="55"/>
        <v>48</v>
      </c>
      <c r="O735" s="25">
        <v>1</v>
      </c>
      <c r="P735" s="25">
        <v>1</v>
      </c>
      <c r="Q735" s="25">
        <v>1</v>
      </c>
      <c r="R735" s="25">
        <v>1</v>
      </c>
      <c r="T735" s="25">
        <v>1</v>
      </c>
      <c r="AA735" s="25">
        <f t="shared" si="58"/>
        <v>128</v>
      </c>
      <c r="AK735" s="25">
        <v>1</v>
      </c>
      <c r="AM735" s="25">
        <v>48</v>
      </c>
      <c r="AN735" s="25">
        <v>100</v>
      </c>
      <c r="AP735" s="25">
        <f t="shared" si="57"/>
        <v>3</v>
      </c>
      <c r="AQ735" s="25" t="str">
        <f>VLOOKUP(C735,'시스템이펙트 참고자료'!$A:$B,2,FALSE)</f>
        <v>ACTIVE_CON_UP</v>
      </c>
      <c r="AS735" s="25">
        <v>1</v>
      </c>
      <c r="BD735" s="25">
        <v>1</v>
      </c>
    </row>
    <row r="736" spans="1:56" hidden="1">
      <c r="A736" s="25">
        <v>731</v>
      </c>
      <c r="B736" s="25" t="str">
        <f>VLOOKUP(C736,'시스템이펙트 참고자료'!$A:$C,2,FALSE)</f>
        <v>ACTIVE_BLOCK_RATE_UP</v>
      </c>
      <c r="C736" s="25">
        <v>620</v>
      </c>
      <c r="D736" s="25">
        <f>VLOOKUP(C736,'시스템이펙트 참고자료'!$A:$D,4,FALSE)</f>
        <v>0</v>
      </c>
      <c r="E736" s="25">
        <v>0</v>
      </c>
      <c r="F736" s="25">
        <v>0</v>
      </c>
      <c r="G736" s="25">
        <f t="shared" si="56"/>
        <v>1</v>
      </c>
      <c r="H736" s="25" t="s">
        <v>395</v>
      </c>
      <c r="I736" s="25">
        <v>1</v>
      </c>
      <c r="J736" s="25" t="str">
        <f>VLOOKUP(C736,'시스템이펙트 참고자료'!$A:$C,3,FALSE)</f>
        <v>절대값/상대값(%) 가능</v>
      </c>
      <c r="K736" s="25">
        <v>14</v>
      </c>
      <c r="M736" s="25">
        <v>8</v>
      </c>
      <c r="N736" s="25">
        <f t="shared" si="55"/>
        <v>352</v>
      </c>
      <c r="O736" s="25">
        <v>1</v>
      </c>
      <c r="P736" s="25">
        <v>1</v>
      </c>
      <c r="Q736" s="25">
        <v>1</v>
      </c>
      <c r="R736" s="25">
        <v>1</v>
      </c>
      <c r="T736" s="25">
        <v>1</v>
      </c>
      <c r="AA736" s="25">
        <f t="shared" si="58"/>
        <v>128</v>
      </c>
      <c r="AK736" s="25">
        <v>1</v>
      </c>
      <c r="AM736" s="25">
        <v>352</v>
      </c>
      <c r="AN736" s="25">
        <v>100</v>
      </c>
      <c r="AP736" s="25">
        <f t="shared" si="57"/>
        <v>1</v>
      </c>
      <c r="AQ736" s="25" t="str">
        <f>VLOOKUP(C736,'시스템이펙트 참고자료'!$A:$B,2,FALSE)</f>
        <v>ACTIVE_BLOCK_RATE_UP</v>
      </c>
      <c r="AS736" s="25">
        <v>1</v>
      </c>
      <c r="BD736" s="25">
        <v>1</v>
      </c>
    </row>
    <row r="737" spans="1:56" hidden="1">
      <c r="A737" s="25">
        <v>732</v>
      </c>
      <c r="B737" s="25" t="str">
        <f>VLOOKUP(C737,'시스템이펙트 참고자료'!$A:$C,2,FALSE)</f>
        <v>ACTIVE_ENG_UP</v>
      </c>
      <c r="C737" s="25">
        <v>615</v>
      </c>
      <c r="D737" s="25">
        <f>VLOOKUP(C737,'시스템이펙트 참고자료'!$A:$D,4,FALSE)</f>
        <v>0</v>
      </c>
      <c r="E737" s="25">
        <v>0</v>
      </c>
      <c r="F737" s="25">
        <v>0</v>
      </c>
      <c r="G737" s="25">
        <f t="shared" si="56"/>
        <v>2</v>
      </c>
      <c r="H737" s="25" t="s">
        <v>395</v>
      </c>
      <c r="I737" s="25">
        <v>1</v>
      </c>
      <c r="J737" s="25" t="str">
        <f>VLOOKUP(C737,'시스템이펙트 참고자료'!$A:$C,3,FALSE)</f>
        <v>절대값/상대값(%) 가능</v>
      </c>
      <c r="K737" s="25">
        <v>14</v>
      </c>
      <c r="M737" s="25">
        <v>8</v>
      </c>
      <c r="N737" s="25">
        <f t="shared" si="55"/>
        <v>62</v>
      </c>
      <c r="O737" s="25">
        <v>1</v>
      </c>
      <c r="P737" s="25">
        <v>1</v>
      </c>
      <c r="Q737" s="25">
        <v>1</v>
      </c>
      <c r="R737" s="25">
        <v>1</v>
      </c>
      <c r="T737" s="25">
        <v>1</v>
      </c>
      <c r="AA737" s="25">
        <f t="shared" si="58"/>
        <v>128</v>
      </c>
      <c r="AK737" s="25">
        <v>1</v>
      </c>
      <c r="AM737" s="25">
        <v>62</v>
      </c>
      <c r="AN737" s="25">
        <v>100</v>
      </c>
      <c r="AP737" s="25">
        <f t="shared" si="57"/>
        <v>2</v>
      </c>
      <c r="AQ737" s="25" t="str">
        <f>VLOOKUP(C737,'시스템이펙트 참고자료'!$A:$B,2,FALSE)</f>
        <v>ACTIVE_ENG_UP</v>
      </c>
      <c r="AS737" s="25">
        <v>1</v>
      </c>
      <c r="BD737" s="25">
        <v>1</v>
      </c>
    </row>
    <row r="738" spans="1:56" hidden="1">
      <c r="A738" s="25">
        <v>733</v>
      </c>
      <c r="B738" s="25" t="str">
        <f>VLOOKUP(C738,'시스템이펙트 참고자료'!$A:$C,2,FALSE)</f>
        <v>ACTIVE_PHYSICAL_CRITICAL</v>
      </c>
      <c r="C738" s="25">
        <v>632</v>
      </c>
      <c r="D738" s="25">
        <f>VLOOKUP(C738,'시스템이펙트 참고자료'!$A:$D,4,FALSE)</f>
        <v>0</v>
      </c>
      <c r="E738" s="25">
        <v>0</v>
      </c>
      <c r="F738" s="25">
        <v>0</v>
      </c>
      <c r="G738" s="25">
        <f t="shared" si="56"/>
        <v>5</v>
      </c>
      <c r="H738" s="25" t="s">
        <v>395</v>
      </c>
      <c r="I738" s="25">
        <v>1</v>
      </c>
      <c r="J738" s="25" t="str">
        <f>VLOOKUP(C738,'시스템이펙트 참고자료'!$A:$C,3,FALSE)</f>
        <v>절대값/상대값(%) 가능</v>
      </c>
      <c r="K738" s="25">
        <v>14</v>
      </c>
      <c r="M738" s="25">
        <v>9</v>
      </c>
      <c r="N738" s="25">
        <f t="shared" si="55"/>
        <v>21</v>
      </c>
      <c r="O738" s="25">
        <v>1</v>
      </c>
      <c r="P738" s="25">
        <v>1</v>
      </c>
      <c r="Q738" s="25">
        <v>1</v>
      </c>
      <c r="R738" s="25">
        <v>1</v>
      </c>
      <c r="T738" s="25">
        <v>1</v>
      </c>
      <c r="AA738" s="25">
        <f t="shared" si="58"/>
        <v>128</v>
      </c>
      <c r="AK738" s="25">
        <v>1</v>
      </c>
      <c r="AM738" s="25">
        <v>21</v>
      </c>
      <c r="AN738" s="25">
        <v>100</v>
      </c>
      <c r="AP738" s="25">
        <f t="shared" si="57"/>
        <v>5</v>
      </c>
      <c r="AQ738" s="25" t="str">
        <f>VLOOKUP(C738,'시스템이펙트 참고자료'!$A:$B,2,FALSE)</f>
        <v>ACTIVE_PHYSICAL_CRITICAL</v>
      </c>
      <c r="AS738" s="25">
        <v>1</v>
      </c>
      <c r="BD738" s="25">
        <v>1</v>
      </c>
    </row>
    <row r="739" spans="1:56" hidden="1">
      <c r="A739" s="25">
        <v>734</v>
      </c>
      <c r="B739" s="25" t="str">
        <f>VLOOKUP(C739,'시스템이펙트 참고자료'!$A:$C,2,FALSE)</f>
        <v>ACTIVE_ENERGY_CRITICAL</v>
      </c>
      <c r="C739" s="25">
        <v>633</v>
      </c>
      <c r="D739" s="25">
        <f>VLOOKUP(C739,'시스템이펙트 참고자료'!$A:$D,4,FALSE)</f>
        <v>0</v>
      </c>
      <c r="E739" s="25">
        <v>0</v>
      </c>
      <c r="F739" s="25">
        <v>0</v>
      </c>
      <c r="G739" s="25">
        <f t="shared" si="56"/>
        <v>5</v>
      </c>
      <c r="H739" s="25" t="s">
        <v>395</v>
      </c>
      <c r="I739" s="25">
        <v>1</v>
      </c>
      <c r="J739" s="25" t="str">
        <f>VLOOKUP(C739,'시스템이펙트 참고자료'!$A:$C,3,FALSE)</f>
        <v>절대값/상대값(%) 가능</v>
      </c>
      <c r="K739" s="25">
        <v>14</v>
      </c>
      <c r="M739" s="25">
        <v>9</v>
      </c>
      <c r="N739" s="25">
        <f t="shared" si="55"/>
        <v>24</v>
      </c>
      <c r="O739" s="25">
        <v>1</v>
      </c>
      <c r="P739" s="25">
        <v>1</v>
      </c>
      <c r="Q739" s="25">
        <v>1</v>
      </c>
      <c r="R739" s="25">
        <v>1</v>
      </c>
      <c r="T739" s="25">
        <v>1</v>
      </c>
      <c r="AA739" s="25">
        <f t="shared" si="58"/>
        <v>128</v>
      </c>
      <c r="AK739" s="25">
        <v>1</v>
      </c>
      <c r="AM739" s="25">
        <v>24</v>
      </c>
      <c r="AN739" s="25">
        <v>100</v>
      </c>
      <c r="AP739" s="25">
        <f t="shared" si="57"/>
        <v>5</v>
      </c>
      <c r="AQ739" s="25" t="str">
        <f>VLOOKUP(C739,'시스템이펙트 참고자료'!$A:$B,2,FALSE)</f>
        <v>ACTIVE_ENERGY_CRITICAL</v>
      </c>
      <c r="AS739" s="25">
        <v>1</v>
      </c>
      <c r="BD739" s="25">
        <v>1</v>
      </c>
    </row>
    <row r="740" spans="1:56" hidden="1">
      <c r="A740" s="25">
        <v>735</v>
      </c>
      <c r="B740" s="25" t="str">
        <f>VLOOKUP(C740,'시스템이펙트 참고자료'!$A:$C,2,FALSE)</f>
        <v>ACTIVE_DEX_UP</v>
      </c>
      <c r="C740" s="25">
        <v>613</v>
      </c>
      <c r="D740" s="25">
        <f>VLOOKUP(C740,'시스템이펙트 참고자료'!$A:$D,4,FALSE)</f>
        <v>0</v>
      </c>
      <c r="E740" s="25">
        <v>0</v>
      </c>
      <c r="F740" s="25">
        <v>0</v>
      </c>
      <c r="G740" s="25">
        <f t="shared" si="56"/>
        <v>3</v>
      </c>
      <c r="H740" s="25" t="s">
        <v>395</v>
      </c>
      <c r="I740" s="25">
        <v>1</v>
      </c>
      <c r="J740" s="25" t="str">
        <f>VLOOKUP(C740,'시스템이펙트 참고자료'!$A:$C,3,FALSE)</f>
        <v>절대값/상대값(%) 가능</v>
      </c>
      <c r="K740" s="25">
        <v>14</v>
      </c>
      <c r="M740" s="25">
        <v>9</v>
      </c>
      <c r="N740" s="25">
        <f t="shared" si="55"/>
        <v>44</v>
      </c>
      <c r="O740" s="25">
        <v>1</v>
      </c>
      <c r="P740" s="25">
        <v>1</v>
      </c>
      <c r="Q740" s="25">
        <v>1</v>
      </c>
      <c r="R740" s="25">
        <v>1</v>
      </c>
      <c r="T740" s="25">
        <v>1</v>
      </c>
      <c r="AA740" s="25">
        <f t="shared" si="58"/>
        <v>128</v>
      </c>
      <c r="AK740" s="25">
        <v>1</v>
      </c>
      <c r="AM740" s="25">
        <v>44</v>
      </c>
      <c r="AN740" s="25">
        <v>100</v>
      </c>
      <c r="AP740" s="25">
        <f t="shared" si="57"/>
        <v>3</v>
      </c>
      <c r="AQ740" s="25" t="str">
        <f>VLOOKUP(C740,'시스템이펙트 참고자료'!$A:$B,2,FALSE)</f>
        <v>ACTIVE_DEX_UP</v>
      </c>
      <c r="AS740" s="25">
        <v>1</v>
      </c>
      <c r="BD740" s="25">
        <v>1</v>
      </c>
    </row>
    <row r="741" spans="1:56" hidden="1">
      <c r="A741" s="25">
        <v>736</v>
      </c>
      <c r="B741" s="25" t="str">
        <f>VLOOKUP(C741,'시스템이펙트 참고자료'!$A:$C,2,FALSE)</f>
        <v>ACTIVE_FOC_UP</v>
      </c>
      <c r="C741" s="25">
        <v>612</v>
      </c>
      <c r="D741" s="25">
        <f>VLOOKUP(C741,'시스템이펙트 참고자료'!$A:$D,4,FALSE)</f>
        <v>0</v>
      </c>
      <c r="E741" s="25">
        <v>0</v>
      </c>
      <c r="F741" s="25">
        <v>0</v>
      </c>
      <c r="G741" s="25">
        <f t="shared" si="56"/>
        <v>2</v>
      </c>
      <c r="H741" s="25" t="s">
        <v>395</v>
      </c>
      <c r="I741" s="25">
        <v>1</v>
      </c>
      <c r="J741" s="25" t="str">
        <f>VLOOKUP(C741,'시스템이펙트 참고자료'!$A:$C,3,FALSE)</f>
        <v>절대값/상대값(%) 가능</v>
      </c>
      <c r="K741" s="25">
        <v>14</v>
      </c>
      <c r="M741" s="25">
        <v>9</v>
      </c>
      <c r="N741" s="25">
        <f t="shared" si="55"/>
        <v>53</v>
      </c>
      <c r="O741" s="25">
        <v>1</v>
      </c>
      <c r="P741" s="25">
        <v>1</v>
      </c>
      <c r="Q741" s="25">
        <v>1</v>
      </c>
      <c r="R741" s="25">
        <v>1</v>
      </c>
      <c r="T741" s="25">
        <v>1</v>
      </c>
      <c r="AA741" s="25">
        <f t="shared" si="58"/>
        <v>128</v>
      </c>
      <c r="AK741" s="25">
        <v>1</v>
      </c>
      <c r="AM741" s="25">
        <v>53</v>
      </c>
      <c r="AN741" s="25">
        <v>100</v>
      </c>
      <c r="AP741" s="25">
        <f t="shared" si="57"/>
        <v>2</v>
      </c>
      <c r="AQ741" s="25" t="str">
        <f>VLOOKUP(C741,'시스템이펙트 참고자료'!$A:$B,2,FALSE)</f>
        <v>ACTIVE_FOC_UP</v>
      </c>
      <c r="AS741" s="25">
        <v>1</v>
      </c>
      <c r="BD741" s="25">
        <v>1</v>
      </c>
    </row>
    <row r="742" spans="1:56" hidden="1">
      <c r="A742" s="25">
        <v>737</v>
      </c>
      <c r="B742" s="25" t="str">
        <f>VLOOKUP(C742,'시스템이펙트 참고자료'!$A:$C,2,FALSE)</f>
        <v>ACTIVE_PHYSICAL_CRITICAL_DAMAGE_UP</v>
      </c>
      <c r="C742" s="25">
        <v>658</v>
      </c>
      <c r="D742" s="25">
        <f>VLOOKUP(C742,'시스템이펙트 참고자료'!$A:$D,4,FALSE)</f>
        <v>0</v>
      </c>
      <c r="E742" s="25">
        <v>0</v>
      </c>
      <c r="F742" s="25">
        <v>0</v>
      </c>
      <c r="G742" s="25">
        <f t="shared" si="56"/>
        <v>4</v>
      </c>
      <c r="H742" s="25" t="s">
        <v>395</v>
      </c>
      <c r="I742" s="25">
        <v>1</v>
      </c>
      <c r="J742" s="25" t="str">
        <f>VLOOKUP(C742,'시스템이펙트 참고자료'!$A:$C,3,FALSE)</f>
        <v>절대값만 가능</v>
      </c>
      <c r="K742" s="25">
        <v>14</v>
      </c>
      <c r="M742" s="25">
        <v>10</v>
      </c>
      <c r="N742" s="25">
        <f t="shared" si="55"/>
        <v>28</v>
      </c>
      <c r="O742" s="25">
        <v>1</v>
      </c>
      <c r="P742" s="25">
        <v>1</v>
      </c>
      <c r="Q742" s="25">
        <v>1</v>
      </c>
      <c r="R742" s="25">
        <v>1</v>
      </c>
      <c r="T742" s="25">
        <v>1</v>
      </c>
      <c r="AA742" s="25">
        <f t="shared" si="58"/>
        <v>128</v>
      </c>
      <c r="AK742" s="25">
        <v>1</v>
      </c>
      <c r="AM742" s="25">
        <v>28</v>
      </c>
      <c r="AN742" s="25">
        <v>100</v>
      </c>
      <c r="AP742" s="25">
        <f t="shared" si="57"/>
        <v>4</v>
      </c>
      <c r="AQ742" s="25" t="str">
        <f>VLOOKUP(C742,'시스템이펙트 참고자료'!$A:$B,2,FALSE)</f>
        <v>ACTIVE_PHYSICAL_CRITICAL_DAMAGE_UP</v>
      </c>
      <c r="AS742" s="25">
        <v>1</v>
      </c>
      <c r="BD742" s="25">
        <v>1</v>
      </c>
    </row>
    <row r="743" spans="1:56" hidden="1">
      <c r="A743" s="25">
        <v>738</v>
      </c>
      <c r="B743" s="25" t="str">
        <f>VLOOKUP(C743,'시스템이펙트 참고자료'!$A:$C,2,FALSE)</f>
        <v>ACTIVE_ENERGY_CRITICAL_DAMAGE_UP</v>
      </c>
      <c r="C743" s="25">
        <v>659</v>
      </c>
      <c r="D743" s="25">
        <f>VLOOKUP(C743,'시스템이펙트 참고자료'!$A:$D,4,FALSE)</f>
        <v>0</v>
      </c>
      <c r="E743" s="25">
        <v>0</v>
      </c>
      <c r="F743" s="25">
        <v>0</v>
      </c>
      <c r="G743" s="25">
        <f t="shared" si="56"/>
        <v>4</v>
      </c>
      <c r="H743" s="25" t="s">
        <v>395</v>
      </c>
      <c r="I743" s="25">
        <v>1</v>
      </c>
      <c r="J743" s="25" t="str">
        <f>VLOOKUP(C743,'시스템이펙트 참고자료'!$A:$C,3,FALSE)</f>
        <v>절대값만 가능</v>
      </c>
      <c r="K743" s="25">
        <v>14</v>
      </c>
      <c r="M743" s="25">
        <v>10</v>
      </c>
      <c r="N743" s="25">
        <f t="shared" si="55"/>
        <v>32</v>
      </c>
      <c r="O743" s="25">
        <v>1</v>
      </c>
      <c r="P743" s="25">
        <v>1</v>
      </c>
      <c r="Q743" s="25">
        <v>1</v>
      </c>
      <c r="R743" s="25">
        <v>1</v>
      </c>
      <c r="T743" s="25">
        <v>1</v>
      </c>
      <c r="AA743" s="25">
        <f t="shared" si="58"/>
        <v>128</v>
      </c>
      <c r="AK743" s="25">
        <v>1</v>
      </c>
      <c r="AM743" s="25">
        <v>32</v>
      </c>
      <c r="AN743" s="25">
        <v>100</v>
      </c>
      <c r="AP743" s="25">
        <f t="shared" si="57"/>
        <v>4</v>
      </c>
      <c r="AQ743" s="25" t="str">
        <f>VLOOKUP(C743,'시스템이펙트 참고자료'!$A:$B,2,FALSE)</f>
        <v>ACTIVE_ENERGY_CRITICAL_DAMAGE_UP</v>
      </c>
      <c r="AS743" s="25">
        <v>1</v>
      </c>
      <c r="BD743" s="25">
        <v>1</v>
      </c>
    </row>
    <row r="744" spans="1:56" hidden="1">
      <c r="A744" s="25">
        <v>739</v>
      </c>
      <c r="B744" s="25" t="str">
        <f>VLOOKUP(C744,'시스템이펙트 참고자료'!$A:$C,2,FALSE)</f>
        <v>ACTIVE_DEX_UP</v>
      </c>
      <c r="C744" s="25">
        <v>613</v>
      </c>
      <c r="D744" s="25">
        <f>VLOOKUP(C744,'시스템이펙트 참고자료'!$A:$D,4,FALSE)</f>
        <v>0</v>
      </c>
      <c r="E744" s="25">
        <v>0</v>
      </c>
      <c r="F744" s="25">
        <v>0</v>
      </c>
      <c r="G744" s="25">
        <f t="shared" si="56"/>
        <v>3</v>
      </c>
      <c r="H744" s="25" t="s">
        <v>395</v>
      </c>
      <c r="I744" s="25">
        <v>1</v>
      </c>
      <c r="J744" s="25" t="str">
        <f>VLOOKUP(C744,'시스템이펙트 참고자료'!$A:$C,3,FALSE)</f>
        <v>절대값/상대값(%) 가능</v>
      </c>
      <c r="K744" s="25">
        <v>14</v>
      </c>
      <c r="M744" s="25">
        <v>10</v>
      </c>
      <c r="N744" s="25">
        <f t="shared" si="55"/>
        <v>44</v>
      </c>
      <c r="O744" s="25">
        <v>1</v>
      </c>
      <c r="P744" s="25">
        <v>1</v>
      </c>
      <c r="Q744" s="25">
        <v>1</v>
      </c>
      <c r="R744" s="25">
        <v>1</v>
      </c>
      <c r="T744" s="25">
        <v>1</v>
      </c>
      <c r="AA744" s="25">
        <f t="shared" si="58"/>
        <v>128</v>
      </c>
      <c r="AK744" s="25">
        <v>1</v>
      </c>
      <c r="AM744" s="25">
        <v>44</v>
      </c>
      <c r="AN744" s="25">
        <v>100</v>
      </c>
      <c r="AP744" s="25">
        <f t="shared" si="57"/>
        <v>3</v>
      </c>
      <c r="AQ744" s="25" t="str">
        <f>VLOOKUP(C744,'시스템이펙트 참고자료'!$A:$B,2,FALSE)</f>
        <v>ACTIVE_DEX_UP</v>
      </c>
      <c r="AS744" s="25">
        <v>1</v>
      </c>
      <c r="BD744" s="25">
        <v>1</v>
      </c>
    </row>
    <row r="745" spans="1:56" hidden="1">
      <c r="A745" s="25">
        <v>740</v>
      </c>
      <c r="B745" s="25" t="str">
        <f>VLOOKUP(C745,'시스템이펙트 참고자료'!$A:$C,2,FALSE)</f>
        <v>ACTIVE_ATTACK_SPEED_UP</v>
      </c>
      <c r="C745" s="25">
        <v>617</v>
      </c>
      <c r="D745" s="25">
        <f>VLOOKUP(C745,'시스템이펙트 참고자료'!$A:$D,4,FALSE)</f>
        <v>1</v>
      </c>
      <c r="E745" s="25">
        <v>0</v>
      </c>
      <c r="F745" s="25">
        <v>0</v>
      </c>
      <c r="G745" s="25">
        <f t="shared" si="56"/>
        <v>10</v>
      </c>
      <c r="H745" s="25" t="s">
        <v>395</v>
      </c>
      <c r="I745" s="25">
        <v>1</v>
      </c>
      <c r="J745" s="25" t="str">
        <f>VLOOKUP(C745,'시스템이펙트 참고자료'!$A:$C,3,FALSE)</f>
        <v>절대값/상대값(%) 가능</v>
      </c>
      <c r="K745" s="25">
        <v>14</v>
      </c>
      <c r="M745" s="25">
        <v>10</v>
      </c>
      <c r="N745" s="25">
        <f t="shared" si="55"/>
        <v>10</v>
      </c>
      <c r="O745" s="25">
        <v>1</v>
      </c>
      <c r="P745" s="25">
        <v>1</v>
      </c>
      <c r="Q745" s="25">
        <v>1</v>
      </c>
      <c r="R745" s="25">
        <v>1</v>
      </c>
      <c r="T745" s="25">
        <v>1</v>
      </c>
      <c r="AA745" s="25">
        <f t="shared" si="58"/>
        <v>128</v>
      </c>
      <c r="AK745" s="25">
        <v>1</v>
      </c>
      <c r="AM745" s="25">
        <v>10</v>
      </c>
      <c r="AN745" s="25">
        <v>100</v>
      </c>
      <c r="AP745" s="25">
        <f t="shared" si="57"/>
        <v>10</v>
      </c>
      <c r="AQ745" s="25" t="str">
        <f>VLOOKUP(C745,'시스템이펙트 참고자료'!$A:$B,2,FALSE)</f>
        <v>ACTIVE_ATTACK_SPEED_UP</v>
      </c>
      <c r="AS745" s="25">
        <v>1</v>
      </c>
      <c r="BD745" s="25">
        <v>1</v>
      </c>
    </row>
    <row r="746" spans="1:56" hidden="1">
      <c r="A746" s="25">
        <v>741</v>
      </c>
      <c r="B746" s="25" t="str">
        <f>VLOOKUP(C746,'시스템이펙트 참고자료'!$A:$C,2,FALSE)</f>
        <v>ACTIVE_STR_UP</v>
      </c>
      <c r="C746" s="25">
        <v>610</v>
      </c>
      <c r="D746" s="25">
        <f>VLOOKUP(C746,'시스템이펙트 참고자료'!$A:$D,4,FALSE)</f>
        <v>0</v>
      </c>
      <c r="E746" s="25">
        <v>0</v>
      </c>
      <c r="F746" s="25">
        <v>0</v>
      </c>
      <c r="G746" s="25">
        <f t="shared" si="56"/>
        <v>2</v>
      </c>
      <c r="H746" s="25" t="s">
        <v>395</v>
      </c>
      <c r="I746" s="25">
        <v>1</v>
      </c>
      <c r="J746" s="25" t="str">
        <f>VLOOKUP(C746,'시스템이펙트 참고자료'!$A:$C,3,FALSE)</f>
        <v>절대값/상대값(%) 가능</v>
      </c>
      <c r="K746" s="25">
        <v>14</v>
      </c>
      <c r="M746" s="25">
        <v>11</v>
      </c>
      <c r="N746" s="25">
        <f t="shared" si="55"/>
        <v>57</v>
      </c>
      <c r="O746" s="25">
        <v>1</v>
      </c>
      <c r="P746" s="25">
        <v>1</v>
      </c>
      <c r="Q746" s="25">
        <v>1</v>
      </c>
      <c r="R746" s="25">
        <v>1</v>
      </c>
      <c r="T746" s="25">
        <v>1</v>
      </c>
      <c r="AA746" s="25">
        <f t="shared" si="58"/>
        <v>128</v>
      </c>
      <c r="AK746" s="25">
        <v>1</v>
      </c>
      <c r="AM746" s="25">
        <v>57</v>
      </c>
      <c r="AN746" s="25">
        <v>100</v>
      </c>
      <c r="AP746" s="25">
        <f t="shared" si="57"/>
        <v>2</v>
      </c>
      <c r="AQ746" s="25" t="str">
        <f>VLOOKUP(C746,'시스템이펙트 참고자료'!$A:$B,2,FALSE)</f>
        <v>ACTIVE_STR_UP</v>
      </c>
      <c r="AS746" s="25">
        <v>1</v>
      </c>
      <c r="BD746" s="25">
        <v>1</v>
      </c>
    </row>
    <row r="747" spans="1:56" hidden="1">
      <c r="A747" s="25">
        <v>742</v>
      </c>
      <c r="B747" s="25" t="str">
        <f>VLOOKUP(C747,'시스템이펙트 참고자료'!$A:$C,2,FALSE)</f>
        <v>ACTIVE_CON_UP</v>
      </c>
      <c r="C747" s="25">
        <v>611</v>
      </c>
      <c r="D747" s="25">
        <f>VLOOKUP(C747,'시스템이펙트 참고자료'!$A:$D,4,FALSE)</f>
        <v>0</v>
      </c>
      <c r="E747" s="25">
        <v>0</v>
      </c>
      <c r="F747" s="25">
        <v>0</v>
      </c>
      <c r="G747" s="25">
        <f t="shared" si="56"/>
        <v>3</v>
      </c>
      <c r="H747" s="25" t="s">
        <v>395</v>
      </c>
      <c r="I747" s="25">
        <v>1</v>
      </c>
      <c r="J747" s="25" t="str">
        <f>VLOOKUP(C747,'시스템이펙트 참고자료'!$A:$C,3,FALSE)</f>
        <v>절대값/상대값(%) 가능</v>
      </c>
      <c r="K747" s="25">
        <v>14</v>
      </c>
      <c r="M747" s="25">
        <v>11</v>
      </c>
      <c r="N747" s="25">
        <f t="shared" si="55"/>
        <v>48</v>
      </c>
      <c r="O747" s="25">
        <v>1</v>
      </c>
      <c r="P747" s="25">
        <v>1</v>
      </c>
      <c r="Q747" s="25">
        <v>1</v>
      </c>
      <c r="R747" s="25">
        <v>1</v>
      </c>
      <c r="T747" s="25">
        <v>1</v>
      </c>
      <c r="AA747" s="25">
        <f t="shared" si="58"/>
        <v>128</v>
      </c>
      <c r="AK747" s="25">
        <v>1</v>
      </c>
      <c r="AM747" s="25">
        <v>48</v>
      </c>
      <c r="AN747" s="25">
        <v>100</v>
      </c>
      <c r="AP747" s="25">
        <f t="shared" si="57"/>
        <v>3</v>
      </c>
      <c r="AQ747" s="25" t="str">
        <f>VLOOKUP(C747,'시스템이펙트 참고자료'!$A:$B,2,FALSE)</f>
        <v>ACTIVE_CON_UP</v>
      </c>
      <c r="AS747" s="25">
        <v>1</v>
      </c>
      <c r="BD747" s="25">
        <v>1</v>
      </c>
    </row>
    <row r="748" spans="1:56" hidden="1">
      <c r="A748" s="25">
        <v>743</v>
      </c>
      <c r="B748" s="25" t="str">
        <f>VLOOKUP(C748,'시스템이펙트 참고자료'!$A:$C,2,FALSE)</f>
        <v>ACTIVE_FOC_UP</v>
      </c>
      <c r="C748" s="25">
        <v>612</v>
      </c>
      <c r="D748" s="25">
        <f>VLOOKUP(C748,'시스템이펙트 참고자료'!$A:$D,4,FALSE)</f>
        <v>0</v>
      </c>
      <c r="E748" s="25">
        <v>0</v>
      </c>
      <c r="F748" s="25">
        <v>0</v>
      </c>
      <c r="G748" s="25">
        <f t="shared" si="56"/>
        <v>2</v>
      </c>
      <c r="H748" s="25" t="s">
        <v>395</v>
      </c>
      <c r="I748" s="25">
        <v>1</v>
      </c>
      <c r="J748" s="25" t="str">
        <f>VLOOKUP(C748,'시스템이펙트 참고자료'!$A:$C,3,FALSE)</f>
        <v>절대값/상대값(%) 가능</v>
      </c>
      <c r="K748" s="25">
        <v>14</v>
      </c>
      <c r="M748" s="25">
        <v>11</v>
      </c>
      <c r="N748" s="25">
        <f t="shared" si="55"/>
        <v>53</v>
      </c>
      <c r="O748" s="25">
        <v>1</v>
      </c>
      <c r="P748" s="25">
        <v>1</v>
      </c>
      <c r="Q748" s="25">
        <v>1</v>
      </c>
      <c r="R748" s="25">
        <v>1</v>
      </c>
      <c r="T748" s="25">
        <v>1</v>
      </c>
      <c r="AA748" s="25">
        <f t="shared" si="58"/>
        <v>128</v>
      </c>
      <c r="AK748" s="25">
        <v>1</v>
      </c>
      <c r="AM748" s="25">
        <v>53</v>
      </c>
      <c r="AN748" s="25">
        <v>100</v>
      </c>
      <c r="AP748" s="25">
        <f t="shared" si="57"/>
        <v>2</v>
      </c>
      <c r="AQ748" s="25" t="str">
        <f>VLOOKUP(C748,'시스템이펙트 참고자료'!$A:$B,2,FALSE)</f>
        <v>ACTIVE_FOC_UP</v>
      </c>
      <c r="AS748" s="25">
        <v>1</v>
      </c>
      <c r="BD748" s="25">
        <v>1</v>
      </c>
    </row>
    <row r="749" spans="1:56" hidden="1">
      <c r="A749" s="25">
        <v>744</v>
      </c>
      <c r="B749" s="25" t="str">
        <f>VLOOKUP(C749,'시스템이펙트 참고자료'!$A:$C,2,FALSE)</f>
        <v>ACTIVE_DEX_UP</v>
      </c>
      <c r="C749" s="25">
        <v>613</v>
      </c>
      <c r="D749" s="25">
        <f>VLOOKUP(C749,'시스템이펙트 참고자료'!$A:$D,4,FALSE)</f>
        <v>0</v>
      </c>
      <c r="E749" s="25">
        <v>0</v>
      </c>
      <c r="F749" s="25">
        <v>0</v>
      </c>
      <c r="G749" s="25">
        <f t="shared" si="56"/>
        <v>3</v>
      </c>
      <c r="H749" s="25" t="s">
        <v>395</v>
      </c>
      <c r="I749" s="25">
        <v>1</v>
      </c>
      <c r="J749" s="25" t="str">
        <f>VLOOKUP(C749,'시스템이펙트 참고자료'!$A:$C,3,FALSE)</f>
        <v>절대값/상대값(%) 가능</v>
      </c>
      <c r="K749" s="25">
        <v>14</v>
      </c>
      <c r="M749" s="25">
        <v>11</v>
      </c>
      <c r="N749" s="25">
        <f t="shared" si="55"/>
        <v>44</v>
      </c>
      <c r="O749" s="25">
        <v>1</v>
      </c>
      <c r="P749" s="25">
        <v>1</v>
      </c>
      <c r="Q749" s="25">
        <v>1</v>
      </c>
      <c r="R749" s="25">
        <v>1</v>
      </c>
      <c r="T749" s="25">
        <v>1</v>
      </c>
      <c r="AA749" s="25">
        <f t="shared" si="58"/>
        <v>128</v>
      </c>
      <c r="AK749" s="25">
        <v>1</v>
      </c>
      <c r="AM749" s="25">
        <v>44</v>
      </c>
      <c r="AN749" s="25">
        <v>100</v>
      </c>
      <c r="AP749" s="25">
        <f t="shared" si="57"/>
        <v>3</v>
      </c>
      <c r="AQ749" s="25" t="str">
        <f>VLOOKUP(C749,'시스템이펙트 참고자료'!$A:$B,2,FALSE)</f>
        <v>ACTIVE_DEX_UP</v>
      </c>
      <c r="AS749" s="25">
        <v>1</v>
      </c>
      <c r="BD749" s="25">
        <v>1</v>
      </c>
    </row>
    <row r="750" spans="1:56" hidden="1">
      <c r="A750" s="25">
        <v>745</v>
      </c>
      <c r="B750" s="25" t="str">
        <f>VLOOKUP(C750,'시스템이펙트 참고자료'!$A:$C,2,FALSE)</f>
        <v>ACTIVE_SOL_UP</v>
      </c>
      <c r="C750" s="25">
        <v>614</v>
      </c>
      <c r="D750" s="25">
        <f>VLOOKUP(C750,'시스템이펙트 참고자료'!$A:$D,4,FALSE)</f>
        <v>0</v>
      </c>
      <c r="E750" s="25">
        <v>0</v>
      </c>
      <c r="F750" s="25">
        <v>0</v>
      </c>
      <c r="G750" s="25">
        <f t="shared" si="56"/>
        <v>2</v>
      </c>
      <c r="H750" s="25" t="s">
        <v>395</v>
      </c>
      <c r="I750" s="25">
        <v>1</v>
      </c>
      <c r="J750" s="25" t="str">
        <f>VLOOKUP(C750,'시스템이펙트 참고자료'!$A:$C,3,FALSE)</f>
        <v>절대값/상대값(%) 가능</v>
      </c>
      <c r="K750" s="25">
        <v>14</v>
      </c>
      <c r="M750" s="25">
        <v>11</v>
      </c>
      <c r="N750" s="25">
        <f t="shared" si="55"/>
        <v>53</v>
      </c>
      <c r="O750" s="25">
        <v>1</v>
      </c>
      <c r="P750" s="25">
        <v>1</v>
      </c>
      <c r="Q750" s="25">
        <v>1</v>
      </c>
      <c r="R750" s="25">
        <v>1</v>
      </c>
      <c r="T750" s="25">
        <v>1</v>
      </c>
      <c r="AA750" s="25">
        <f t="shared" si="58"/>
        <v>128</v>
      </c>
      <c r="AK750" s="25">
        <v>1</v>
      </c>
      <c r="AM750" s="25">
        <v>53</v>
      </c>
      <c r="AN750" s="25">
        <v>100</v>
      </c>
      <c r="AP750" s="25">
        <f t="shared" si="57"/>
        <v>2</v>
      </c>
      <c r="AQ750" s="25" t="str">
        <f>VLOOKUP(C750,'시스템이펙트 참고자료'!$A:$B,2,FALSE)</f>
        <v>ACTIVE_SOL_UP</v>
      </c>
      <c r="AS750" s="25">
        <v>1</v>
      </c>
      <c r="BD750" s="25">
        <v>1</v>
      </c>
    </row>
    <row r="751" spans="1:56" hidden="1">
      <c r="A751" s="25">
        <v>746</v>
      </c>
      <c r="B751" s="25" t="str">
        <f>VLOOKUP(C751,'시스템이펙트 참고자료'!$A:$C,2,FALSE)</f>
        <v>ACTIVE_ENG_UP</v>
      </c>
      <c r="C751" s="25">
        <v>615</v>
      </c>
      <c r="D751" s="25">
        <f>VLOOKUP(C751,'시스템이펙트 참고자료'!$A:$D,4,FALSE)</f>
        <v>0</v>
      </c>
      <c r="E751" s="25">
        <v>0</v>
      </c>
      <c r="F751" s="25">
        <v>0</v>
      </c>
      <c r="G751" s="25">
        <f t="shared" si="56"/>
        <v>2</v>
      </c>
      <c r="H751" s="25" t="s">
        <v>395</v>
      </c>
      <c r="I751" s="25">
        <v>1</v>
      </c>
      <c r="J751" s="25" t="str">
        <f>VLOOKUP(C751,'시스템이펙트 참고자료'!$A:$C,3,FALSE)</f>
        <v>절대값/상대값(%) 가능</v>
      </c>
      <c r="K751" s="25">
        <v>14</v>
      </c>
      <c r="M751" s="25">
        <v>11</v>
      </c>
      <c r="N751" s="25">
        <f t="shared" si="55"/>
        <v>62</v>
      </c>
      <c r="O751" s="25">
        <v>1</v>
      </c>
      <c r="P751" s="25">
        <v>1</v>
      </c>
      <c r="Q751" s="25">
        <v>1</v>
      </c>
      <c r="R751" s="25">
        <v>1</v>
      </c>
      <c r="T751" s="25">
        <v>1</v>
      </c>
      <c r="AA751" s="25">
        <f t="shared" si="58"/>
        <v>128</v>
      </c>
      <c r="AK751" s="25">
        <v>1</v>
      </c>
      <c r="AM751" s="25">
        <v>62</v>
      </c>
      <c r="AN751" s="25">
        <v>100</v>
      </c>
      <c r="AP751" s="25">
        <f t="shared" si="57"/>
        <v>2</v>
      </c>
      <c r="AQ751" s="25" t="str">
        <f>VLOOKUP(C751,'시스템이펙트 참고자료'!$A:$B,2,FALSE)</f>
        <v>ACTIVE_ENG_UP</v>
      </c>
      <c r="AS751" s="25">
        <v>1</v>
      </c>
      <c r="BD751" s="25">
        <v>1</v>
      </c>
    </row>
    <row r="752" spans="1:56" hidden="1">
      <c r="A752" s="25">
        <v>747</v>
      </c>
      <c r="B752" s="25" t="str">
        <f>VLOOKUP(C752,'시스템이펙트 참고자료'!$A:$C,2,FALSE)</f>
        <v>ACTIVE_PHYSICAL_DEFENCE_UP</v>
      </c>
      <c r="C752" s="25">
        <v>608</v>
      </c>
      <c r="D752" s="25">
        <f>VLOOKUP(C752,'시스템이펙트 참고자료'!$A:$D,4,FALSE)</f>
        <v>0</v>
      </c>
      <c r="E752" s="25">
        <v>0</v>
      </c>
      <c r="F752" s="25">
        <v>0</v>
      </c>
      <c r="G752" s="25">
        <f t="shared" si="56"/>
        <v>1</v>
      </c>
      <c r="H752" s="25" t="s">
        <v>395</v>
      </c>
      <c r="I752" s="25">
        <v>1</v>
      </c>
      <c r="J752" s="25" t="str">
        <f>VLOOKUP(C752,'시스템이펙트 참고자료'!$A:$C,3,FALSE)</f>
        <v>절대값/상대값(%) 가능</v>
      </c>
      <c r="K752" s="25">
        <v>14</v>
      </c>
      <c r="M752" s="25">
        <v>12</v>
      </c>
      <c r="N752" s="25">
        <f t="shared" si="55"/>
        <v>1350</v>
      </c>
      <c r="O752" s="25">
        <v>1</v>
      </c>
      <c r="P752" s="25">
        <v>1</v>
      </c>
      <c r="Q752" s="25">
        <v>1</v>
      </c>
      <c r="R752" s="25">
        <v>1</v>
      </c>
      <c r="T752" s="25">
        <v>1</v>
      </c>
      <c r="AA752" s="25">
        <f t="shared" si="58"/>
        <v>128</v>
      </c>
      <c r="AK752" s="25">
        <v>1</v>
      </c>
      <c r="AM752" s="25">
        <v>1350</v>
      </c>
      <c r="AN752" s="25">
        <v>100</v>
      </c>
      <c r="AP752" s="25">
        <f t="shared" si="57"/>
        <v>1</v>
      </c>
      <c r="AQ752" s="25" t="str">
        <f>VLOOKUP(C752,'시스템이펙트 참고자료'!$A:$B,2,FALSE)</f>
        <v>ACTIVE_PHYSICAL_DEFENCE_UP</v>
      </c>
      <c r="AS752" s="25">
        <v>1</v>
      </c>
      <c r="BD752" s="25">
        <v>1</v>
      </c>
    </row>
    <row r="753" spans="1:56" hidden="1">
      <c r="A753" s="25">
        <v>748</v>
      </c>
      <c r="B753" s="25" t="str">
        <f>VLOOKUP(C753,'시스템이펙트 참고자료'!$A:$C,2,FALSE)</f>
        <v>ACTIVE_BLOCK_RATE_UP</v>
      </c>
      <c r="C753" s="25">
        <v>620</v>
      </c>
      <c r="D753" s="25">
        <f>VLOOKUP(C753,'시스템이펙트 참고자료'!$A:$D,4,FALSE)</f>
        <v>0</v>
      </c>
      <c r="E753" s="25">
        <v>0</v>
      </c>
      <c r="F753" s="25">
        <v>0</v>
      </c>
      <c r="G753" s="25">
        <f t="shared" si="56"/>
        <v>1</v>
      </c>
      <c r="H753" s="25" t="s">
        <v>395</v>
      </c>
      <c r="I753" s="25">
        <v>1</v>
      </c>
      <c r="J753" s="25" t="str">
        <f>VLOOKUP(C753,'시스템이펙트 참고자료'!$A:$C,3,FALSE)</f>
        <v>절대값/상대값(%) 가능</v>
      </c>
      <c r="K753" s="25">
        <v>14</v>
      </c>
      <c r="M753" s="25">
        <v>12</v>
      </c>
      <c r="N753" s="25">
        <f t="shared" si="55"/>
        <v>352</v>
      </c>
      <c r="O753" s="25">
        <v>1</v>
      </c>
      <c r="P753" s="25">
        <v>1</v>
      </c>
      <c r="Q753" s="25">
        <v>1</v>
      </c>
      <c r="R753" s="25">
        <v>1</v>
      </c>
      <c r="T753" s="25">
        <v>1</v>
      </c>
      <c r="AA753" s="25">
        <f t="shared" si="58"/>
        <v>128</v>
      </c>
      <c r="AK753" s="25">
        <v>1</v>
      </c>
      <c r="AM753" s="25">
        <v>352</v>
      </c>
      <c r="AN753" s="25">
        <v>100</v>
      </c>
      <c r="AP753" s="25">
        <f t="shared" si="57"/>
        <v>1</v>
      </c>
      <c r="AQ753" s="25" t="str">
        <f>VLOOKUP(C753,'시스템이펙트 참고자료'!$A:$B,2,FALSE)</f>
        <v>ACTIVE_BLOCK_RATE_UP</v>
      </c>
      <c r="AS753" s="25">
        <v>1</v>
      </c>
      <c r="BD753" s="25">
        <v>1</v>
      </c>
    </row>
    <row r="754" spans="1:56" hidden="1">
      <c r="A754" s="25">
        <v>749</v>
      </c>
      <c r="B754" s="25" t="str">
        <f>VLOOKUP(C754,'시스템이펙트 참고자료'!$A:$C,2,FALSE)</f>
        <v>ACTIVE_CON_UP</v>
      </c>
      <c r="C754" s="25">
        <v>611</v>
      </c>
      <c r="D754" s="25">
        <f>VLOOKUP(C754,'시스템이펙트 참고자료'!$A:$D,4,FALSE)</f>
        <v>0</v>
      </c>
      <c r="E754" s="25">
        <v>0</v>
      </c>
      <c r="F754" s="25">
        <v>0</v>
      </c>
      <c r="G754" s="25">
        <f t="shared" si="56"/>
        <v>3</v>
      </c>
      <c r="H754" s="25" t="s">
        <v>395</v>
      </c>
      <c r="I754" s="25">
        <v>1</v>
      </c>
      <c r="J754" s="25" t="str">
        <f>VLOOKUP(C754,'시스템이펙트 참고자료'!$A:$C,3,FALSE)</f>
        <v>절대값/상대값(%) 가능</v>
      </c>
      <c r="K754" s="25">
        <v>14</v>
      </c>
      <c r="M754" s="25">
        <v>12</v>
      </c>
      <c r="N754" s="25">
        <f t="shared" si="55"/>
        <v>48</v>
      </c>
      <c r="O754" s="25">
        <v>1</v>
      </c>
      <c r="P754" s="25">
        <v>1</v>
      </c>
      <c r="Q754" s="25">
        <v>1</v>
      </c>
      <c r="R754" s="25">
        <v>1</v>
      </c>
      <c r="T754" s="25">
        <v>1</v>
      </c>
      <c r="AA754" s="25">
        <f t="shared" si="58"/>
        <v>128</v>
      </c>
      <c r="AK754" s="25">
        <v>1</v>
      </c>
      <c r="AM754" s="25">
        <v>48</v>
      </c>
      <c r="AN754" s="25">
        <v>100</v>
      </c>
      <c r="AP754" s="25">
        <f t="shared" si="57"/>
        <v>3</v>
      </c>
      <c r="AQ754" s="25" t="str">
        <f>VLOOKUP(C754,'시스템이펙트 참고자료'!$A:$B,2,FALSE)</f>
        <v>ACTIVE_CON_UP</v>
      </c>
      <c r="AS754" s="25">
        <v>1</v>
      </c>
      <c r="BD754" s="25">
        <v>1</v>
      </c>
    </row>
    <row r="755" spans="1:56" hidden="1">
      <c r="A755" s="25">
        <v>750</v>
      </c>
      <c r="B755" s="25" t="str">
        <f>VLOOKUP(C755,'시스템이펙트 참고자료'!$A:$C,2,FALSE)</f>
        <v>ACTIVE_FOC_UP</v>
      </c>
      <c r="C755" s="25">
        <v>612</v>
      </c>
      <c r="D755" s="25">
        <f>VLOOKUP(C755,'시스템이펙트 참고자료'!$A:$D,4,FALSE)</f>
        <v>0</v>
      </c>
      <c r="E755" s="25">
        <v>0</v>
      </c>
      <c r="F755" s="25">
        <v>0</v>
      </c>
      <c r="G755" s="25">
        <f t="shared" si="56"/>
        <v>2</v>
      </c>
      <c r="H755" s="25" t="s">
        <v>395</v>
      </c>
      <c r="I755" s="25">
        <v>1</v>
      </c>
      <c r="J755" s="25" t="str">
        <f>VLOOKUP(C755,'시스템이펙트 참고자료'!$A:$C,3,FALSE)</f>
        <v>절대값/상대값(%) 가능</v>
      </c>
      <c r="K755" s="25">
        <v>14</v>
      </c>
      <c r="M755" s="25">
        <v>12</v>
      </c>
      <c r="N755" s="25">
        <f t="shared" si="55"/>
        <v>53</v>
      </c>
      <c r="O755" s="25">
        <v>1</v>
      </c>
      <c r="P755" s="25">
        <v>1</v>
      </c>
      <c r="Q755" s="25">
        <v>1</v>
      </c>
      <c r="R755" s="25">
        <v>1</v>
      </c>
      <c r="T755" s="25">
        <v>1</v>
      </c>
      <c r="AA755" s="25">
        <f t="shared" si="58"/>
        <v>128</v>
      </c>
      <c r="AK755" s="25">
        <v>1</v>
      </c>
      <c r="AM755" s="25">
        <v>53</v>
      </c>
      <c r="AN755" s="25">
        <v>100</v>
      </c>
      <c r="AP755" s="25">
        <f t="shared" si="57"/>
        <v>2</v>
      </c>
      <c r="AQ755" s="25" t="str">
        <f>VLOOKUP(C755,'시스템이펙트 참고자료'!$A:$B,2,FALSE)</f>
        <v>ACTIVE_FOC_UP</v>
      </c>
      <c r="AS755" s="25">
        <v>1</v>
      </c>
      <c r="BD755" s="25">
        <v>1</v>
      </c>
    </row>
    <row r="756" spans="1:56" hidden="1">
      <c r="A756" s="25">
        <v>751</v>
      </c>
      <c r="B756" s="25" t="str">
        <f>VLOOKUP(C756,'시스템이펙트 참고자료'!$A:$C,2,FALSE)</f>
        <v>ACTIVE_PHYSICAL_OFFENCE_UP</v>
      </c>
      <c r="C756" s="25">
        <v>606</v>
      </c>
      <c r="D756" s="25">
        <f>VLOOKUP(C756,'시스템이펙트 참고자료'!$A:$D,4,FALSE)</f>
        <v>0</v>
      </c>
      <c r="E756" s="25">
        <v>0</v>
      </c>
      <c r="F756" s="25">
        <v>0</v>
      </c>
      <c r="G756" s="25">
        <f t="shared" si="56"/>
        <v>1</v>
      </c>
      <c r="H756" s="25" t="s">
        <v>395</v>
      </c>
      <c r="I756" s="25">
        <v>1</v>
      </c>
      <c r="J756" s="25" t="str">
        <f>VLOOKUP(C756,'시스템이펙트 참고자료'!$A:$C,3,FALSE)</f>
        <v>절대값/상대값(%) 가능</v>
      </c>
      <c r="K756" s="25">
        <v>15</v>
      </c>
      <c r="M756" s="25">
        <v>1</v>
      </c>
      <c r="N756" s="25">
        <f t="shared" si="55"/>
        <v>125</v>
      </c>
      <c r="O756" s="25">
        <v>1</v>
      </c>
      <c r="P756" s="25">
        <v>1</v>
      </c>
      <c r="Q756" s="25">
        <v>1</v>
      </c>
      <c r="R756" s="25">
        <v>1</v>
      </c>
      <c r="T756" s="25">
        <v>1</v>
      </c>
      <c r="AA756" s="25">
        <f t="shared" si="58"/>
        <v>128</v>
      </c>
      <c r="AK756" s="25">
        <v>1</v>
      </c>
      <c r="AM756" s="25">
        <v>125</v>
      </c>
      <c r="AN756" s="25">
        <v>100</v>
      </c>
      <c r="AP756" s="25">
        <f t="shared" si="57"/>
        <v>1</v>
      </c>
      <c r="AQ756" s="25" t="str">
        <f>VLOOKUP(C756,'시스템이펙트 참고자료'!$A:$B,2,FALSE)</f>
        <v>ACTIVE_PHYSICAL_OFFENCE_UP</v>
      </c>
      <c r="AS756" s="25">
        <v>1</v>
      </c>
      <c r="BD756" s="25">
        <v>1</v>
      </c>
    </row>
    <row r="757" spans="1:56" hidden="1">
      <c r="A757" s="25">
        <v>752</v>
      </c>
      <c r="B757" s="25" t="str">
        <f>VLOOKUP(C757,'시스템이펙트 참고자료'!$A:$C,2,FALSE)</f>
        <v>ACTIVE_STR_UP</v>
      </c>
      <c r="C757" s="25">
        <v>610</v>
      </c>
      <c r="D757" s="25">
        <f>VLOOKUP(C757,'시스템이펙트 참고자료'!$A:$D,4,FALSE)</f>
        <v>0</v>
      </c>
      <c r="E757" s="25">
        <v>0</v>
      </c>
      <c r="F757" s="25">
        <v>0</v>
      </c>
      <c r="G757" s="25">
        <f t="shared" si="56"/>
        <v>2</v>
      </c>
      <c r="H757" s="25" t="s">
        <v>395</v>
      </c>
      <c r="I757" s="25">
        <v>1</v>
      </c>
      <c r="J757" s="25" t="str">
        <f>VLOOKUP(C757,'시스템이펙트 참고자료'!$A:$C,3,FALSE)</f>
        <v>절대값/상대값(%) 가능</v>
      </c>
      <c r="K757" s="25">
        <v>15</v>
      </c>
      <c r="M757" s="25">
        <v>1</v>
      </c>
      <c r="N757" s="25">
        <f t="shared" si="55"/>
        <v>57</v>
      </c>
      <c r="O757" s="25">
        <v>1</v>
      </c>
      <c r="P757" s="25">
        <v>1</v>
      </c>
      <c r="Q757" s="25">
        <v>1</v>
      </c>
      <c r="R757" s="25">
        <v>1</v>
      </c>
      <c r="T757" s="25">
        <v>1</v>
      </c>
      <c r="AA757" s="25">
        <f t="shared" si="58"/>
        <v>128</v>
      </c>
      <c r="AK757" s="25">
        <v>1</v>
      </c>
      <c r="AM757" s="25">
        <v>57</v>
      </c>
      <c r="AN757" s="25">
        <v>100</v>
      </c>
      <c r="AP757" s="25">
        <f t="shared" si="57"/>
        <v>2</v>
      </c>
      <c r="AQ757" s="25" t="str">
        <f>VLOOKUP(C757,'시스템이펙트 참고자료'!$A:$B,2,FALSE)</f>
        <v>ACTIVE_STR_UP</v>
      </c>
      <c r="AS757" s="25">
        <v>1</v>
      </c>
      <c r="BD757" s="25">
        <v>1</v>
      </c>
    </row>
    <row r="758" spans="1:56" hidden="1">
      <c r="A758" s="25">
        <v>753</v>
      </c>
      <c r="B758" s="25" t="str">
        <f>VLOOKUP(C758,'시스템이펙트 참고자료'!$A:$C,2,FALSE)</f>
        <v>ACTIVE_DEX_UP</v>
      </c>
      <c r="C758" s="25">
        <v>613</v>
      </c>
      <c r="D758" s="25">
        <f>VLOOKUP(C758,'시스템이펙트 참고자료'!$A:$D,4,FALSE)</f>
        <v>0</v>
      </c>
      <c r="E758" s="25">
        <v>0</v>
      </c>
      <c r="F758" s="25">
        <v>0</v>
      </c>
      <c r="G758" s="25">
        <f t="shared" si="56"/>
        <v>3</v>
      </c>
      <c r="H758" s="25" t="s">
        <v>395</v>
      </c>
      <c r="I758" s="25">
        <v>1</v>
      </c>
      <c r="J758" s="25" t="str">
        <f>VLOOKUP(C758,'시스템이펙트 참고자료'!$A:$C,3,FALSE)</f>
        <v>절대값/상대값(%) 가능</v>
      </c>
      <c r="K758" s="25">
        <v>15</v>
      </c>
      <c r="M758" s="25">
        <v>1</v>
      </c>
      <c r="N758" s="25">
        <f t="shared" si="55"/>
        <v>44</v>
      </c>
      <c r="O758" s="25">
        <v>1</v>
      </c>
      <c r="P758" s="25">
        <v>1</v>
      </c>
      <c r="Q758" s="25">
        <v>1</v>
      </c>
      <c r="R758" s="25">
        <v>1</v>
      </c>
      <c r="T758" s="25">
        <v>1</v>
      </c>
      <c r="AA758" s="25">
        <f t="shared" si="58"/>
        <v>128</v>
      </c>
      <c r="AK758" s="25">
        <v>1</v>
      </c>
      <c r="AM758" s="25">
        <v>44</v>
      </c>
      <c r="AN758" s="25">
        <v>100</v>
      </c>
      <c r="AP758" s="25">
        <f t="shared" si="57"/>
        <v>3</v>
      </c>
      <c r="AQ758" s="25" t="str">
        <f>VLOOKUP(C758,'시스템이펙트 참고자료'!$A:$B,2,FALSE)</f>
        <v>ACTIVE_DEX_UP</v>
      </c>
      <c r="AS758" s="25">
        <v>1</v>
      </c>
      <c r="BD758" s="25">
        <v>1</v>
      </c>
    </row>
    <row r="759" spans="1:56" hidden="1">
      <c r="A759" s="25">
        <v>754</v>
      </c>
      <c r="B759" s="25" t="str">
        <f>VLOOKUP(C759,'시스템이펙트 참고자료'!$A:$C,2,FALSE)</f>
        <v>ACTIVE_PHYSICAL_CRITICAL_DAMAGE_UP</v>
      </c>
      <c r="C759" s="25">
        <v>658</v>
      </c>
      <c r="D759" s="25">
        <f>VLOOKUP(C759,'시스템이펙트 참고자료'!$A:$D,4,FALSE)</f>
        <v>0</v>
      </c>
      <c r="E759" s="25">
        <v>0</v>
      </c>
      <c r="F759" s="25">
        <v>0</v>
      </c>
      <c r="G759" s="25">
        <f t="shared" si="56"/>
        <v>4</v>
      </c>
      <c r="H759" s="25" t="s">
        <v>395</v>
      </c>
      <c r="I759" s="25">
        <v>1</v>
      </c>
      <c r="J759" s="25" t="str">
        <f>VLOOKUP(C759,'시스템이펙트 참고자료'!$A:$C,3,FALSE)</f>
        <v>절대값만 가능</v>
      </c>
      <c r="K759" s="25">
        <v>15</v>
      </c>
      <c r="M759" s="25">
        <v>1</v>
      </c>
      <c r="N759" s="25">
        <f t="shared" si="55"/>
        <v>28</v>
      </c>
      <c r="O759" s="25">
        <v>1</v>
      </c>
      <c r="P759" s="25">
        <v>1</v>
      </c>
      <c r="Q759" s="25">
        <v>1</v>
      </c>
      <c r="R759" s="25">
        <v>1</v>
      </c>
      <c r="T759" s="25">
        <v>1</v>
      </c>
      <c r="AA759" s="25">
        <f t="shared" si="58"/>
        <v>128</v>
      </c>
      <c r="AK759" s="25">
        <v>1</v>
      </c>
      <c r="AM759" s="25">
        <v>28</v>
      </c>
      <c r="AN759" s="25">
        <v>100</v>
      </c>
      <c r="AP759" s="25">
        <f t="shared" si="57"/>
        <v>4</v>
      </c>
      <c r="AQ759" s="25" t="str">
        <f>VLOOKUP(C759,'시스템이펙트 참고자료'!$A:$B,2,FALSE)</f>
        <v>ACTIVE_PHYSICAL_CRITICAL_DAMAGE_UP</v>
      </c>
      <c r="AS759" s="25">
        <v>1</v>
      </c>
      <c r="BD759" s="25">
        <v>1</v>
      </c>
    </row>
    <row r="760" spans="1:56" hidden="1">
      <c r="A760" s="25">
        <v>755</v>
      </c>
      <c r="B760" s="25" t="str">
        <f>VLOOKUP(C760,'시스템이펙트 참고자료'!$A:$C,2,FALSE)</f>
        <v>ACTIVE_PHYSICAL_CRITICAL_DAMAGE_UP</v>
      </c>
      <c r="C760" s="25">
        <v>658</v>
      </c>
      <c r="D760" s="25">
        <f>VLOOKUP(C760,'시스템이펙트 참고자료'!$A:$D,4,FALSE)</f>
        <v>0</v>
      </c>
      <c r="E760" s="25">
        <v>0</v>
      </c>
      <c r="F760" s="25">
        <v>0</v>
      </c>
      <c r="G760" s="25">
        <f t="shared" si="56"/>
        <v>4</v>
      </c>
      <c r="H760" s="25" t="s">
        <v>395</v>
      </c>
      <c r="I760" s="25">
        <v>1</v>
      </c>
      <c r="J760" s="25" t="str">
        <f>VLOOKUP(C760,'시스템이펙트 참고자료'!$A:$C,3,FALSE)</f>
        <v>절대값만 가능</v>
      </c>
      <c r="K760" s="25">
        <v>15</v>
      </c>
      <c r="M760" s="25">
        <v>2</v>
      </c>
      <c r="N760" s="25">
        <f t="shared" si="55"/>
        <v>28</v>
      </c>
      <c r="O760" s="25">
        <v>1</v>
      </c>
      <c r="P760" s="25">
        <v>1</v>
      </c>
      <c r="Q760" s="25">
        <v>1</v>
      </c>
      <c r="R760" s="25">
        <v>1</v>
      </c>
      <c r="T760" s="25">
        <v>1</v>
      </c>
      <c r="AA760" s="25">
        <f t="shared" si="58"/>
        <v>128</v>
      </c>
      <c r="AK760" s="25">
        <v>1</v>
      </c>
      <c r="AM760" s="25">
        <v>28</v>
      </c>
      <c r="AN760" s="25">
        <v>100</v>
      </c>
      <c r="AP760" s="25">
        <f t="shared" si="57"/>
        <v>4</v>
      </c>
      <c r="AQ760" s="25" t="str">
        <f>VLOOKUP(C760,'시스템이펙트 참고자료'!$A:$B,2,FALSE)</f>
        <v>ACTIVE_PHYSICAL_CRITICAL_DAMAGE_UP</v>
      </c>
      <c r="AS760" s="25">
        <v>1</v>
      </c>
      <c r="BD760" s="25">
        <v>1</v>
      </c>
    </row>
    <row r="761" spans="1:56" hidden="1">
      <c r="A761" s="25">
        <v>756</v>
      </c>
      <c r="B761" s="25" t="str">
        <f>VLOOKUP(C761,'시스템이펙트 참고자료'!$A:$C,2,FALSE)</f>
        <v>ACTIVE_PHYSICAL_CRITICAL</v>
      </c>
      <c r="C761" s="25">
        <v>632</v>
      </c>
      <c r="D761" s="25">
        <f>VLOOKUP(C761,'시스템이펙트 참고자료'!$A:$D,4,FALSE)</f>
        <v>0</v>
      </c>
      <c r="E761" s="25">
        <v>0</v>
      </c>
      <c r="F761" s="25">
        <v>0</v>
      </c>
      <c r="G761" s="25">
        <f t="shared" si="56"/>
        <v>5</v>
      </c>
      <c r="H761" s="25" t="s">
        <v>395</v>
      </c>
      <c r="I761" s="25">
        <v>1</v>
      </c>
      <c r="J761" s="25" t="str">
        <f>VLOOKUP(C761,'시스템이펙트 참고자료'!$A:$C,3,FALSE)</f>
        <v>절대값/상대값(%) 가능</v>
      </c>
      <c r="K761" s="25">
        <v>15</v>
      </c>
      <c r="M761" s="25">
        <v>2</v>
      </c>
      <c r="N761" s="25">
        <f t="shared" si="55"/>
        <v>21</v>
      </c>
      <c r="O761" s="25">
        <v>1</v>
      </c>
      <c r="P761" s="25">
        <v>1</v>
      </c>
      <c r="Q761" s="25">
        <v>1</v>
      </c>
      <c r="R761" s="25">
        <v>1</v>
      </c>
      <c r="T761" s="25">
        <v>1</v>
      </c>
      <c r="AA761" s="25">
        <f t="shared" si="58"/>
        <v>128</v>
      </c>
      <c r="AK761" s="25">
        <v>1</v>
      </c>
      <c r="AM761" s="25">
        <v>21</v>
      </c>
      <c r="AN761" s="25">
        <v>100</v>
      </c>
      <c r="AP761" s="25">
        <f t="shared" si="57"/>
        <v>5</v>
      </c>
      <c r="AQ761" s="25" t="str">
        <f>VLOOKUP(C761,'시스템이펙트 참고자료'!$A:$B,2,FALSE)</f>
        <v>ACTIVE_PHYSICAL_CRITICAL</v>
      </c>
      <c r="AS761" s="25">
        <v>1</v>
      </c>
      <c r="BD761" s="25">
        <v>1</v>
      </c>
    </row>
    <row r="762" spans="1:56" hidden="1">
      <c r="A762" s="25">
        <v>757</v>
      </c>
      <c r="B762" s="25" t="str">
        <f>VLOOKUP(C762,'시스템이펙트 참고자료'!$A:$C,2,FALSE)</f>
        <v>ACTIVE_DEX_UP</v>
      </c>
      <c r="C762" s="25">
        <v>613</v>
      </c>
      <c r="D762" s="25">
        <f>VLOOKUP(C762,'시스템이펙트 참고자료'!$A:$D,4,FALSE)</f>
        <v>0</v>
      </c>
      <c r="E762" s="25">
        <v>0</v>
      </c>
      <c r="F762" s="25">
        <v>0</v>
      </c>
      <c r="G762" s="25">
        <f t="shared" si="56"/>
        <v>3</v>
      </c>
      <c r="H762" s="25" t="s">
        <v>395</v>
      </c>
      <c r="I762" s="25">
        <v>1</v>
      </c>
      <c r="J762" s="25" t="str">
        <f>VLOOKUP(C762,'시스템이펙트 참고자료'!$A:$C,3,FALSE)</f>
        <v>절대값/상대값(%) 가능</v>
      </c>
      <c r="K762" s="25">
        <v>15</v>
      </c>
      <c r="M762" s="25">
        <v>2</v>
      </c>
      <c r="N762" s="25">
        <f t="shared" si="55"/>
        <v>44</v>
      </c>
      <c r="O762" s="25">
        <v>1</v>
      </c>
      <c r="P762" s="25">
        <v>1</v>
      </c>
      <c r="Q762" s="25">
        <v>1</v>
      </c>
      <c r="R762" s="25">
        <v>1</v>
      </c>
      <c r="T762" s="25">
        <v>1</v>
      </c>
      <c r="AA762" s="25">
        <f t="shared" si="58"/>
        <v>128</v>
      </c>
      <c r="AK762" s="25">
        <v>1</v>
      </c>
      <c r="AM762" s="25">
        <v>44</v>
      </c>
      <c r="AN762" s="25">
        <v>100</v>
      </c>
      <c r="AP762" s="25">
        <f t="shared" si="57"/>
        <v>3</v>
      </c>
      <c r="AQ762" s="25" t="str">
        <f>VLOOKUP(C762,'시스템이펙트 참고자료'!$A:$B,2,FALSE)</f>
        <v>ACTIVE_DEX_UP</v>
      </c>
      <c r="AS762" s="25">
        <v>1</v>
      </c>
      <c r="BD762" s="25">
        <v>1</v>
      </c>
    </row>
    <row r="763" spans="1:56" hidden="1">
      <c r="A763" s="25">
        <v>758</v>
      </c>
      <c r="B763" s="25" t="str">
        <f>VLOOKUP(C763,'시스템이펙트 참고자료'!$A:$C,2,FALSE)</f>
        <v>ACTIVE_FOC_UP</v>
      </c>
      <c r="C763" s="25">
        <v>612</v>
      </c>
      <c r="D763" s="25">
        <f>VLOOKUP(C763,'시스템이펙트 참고자료'!$A:$D,4,FALSE)</f>
        <v>0</v>
      </c>
      <c r="E763" s="25">
        <v>0</v>
      </c>
      <c r="F763" s="25">
        <v>0</v>
      </c>
      <c r="G763" s="25">
        <f t="shared" si="56"/>
        <v>2</v>
      </c>
      <c r="H763" s="25" t="s">
        <v>395</v>
      </c>
      <c r="I763" s="25">
        <v>1</v>
      </c>
      <c r="J763" s="25" t="str">
        <f>VLOOKUP(C763,'시스템이펙트 참고자료'!$A:$C,3,FALSE)</f>
        <v>절대값/상대값(%) 가능</v>
      </c>
      <c r="K763" s="25">
        <v>15</v>
      </c>
      <c r="M763" s="25">
        <v>2</v>
      </c>
      <c r="N763" s="25">
        <f t="shared" si="55"/>
        <v>53</v>
      </c>
      <c r="O763" s="25">
        <v>1</v>
      </c>
      <c r="P763" s="25">
        <v>1</v>
      </c>
      <c r="Q763" s="25">
        <v>1</v>
      </c>
      <c r="R763" s="25">
        <v>1</v>
      </c>
      <c r="T763" s="25">
        <v>1</v>
      </c>
      <c r="AA763" s="25">
        <f t="shared" si="58"/>
        <v>128</v>
      </c>
      <c r="AK763" s="25">
        <v>1</v>
      </c>
      <c r="AM763" s="25">
        <v>53</v>
      </c>
      <c r="AN763" s="25">
        <v>100</v>
      </c>
      <c r="AP763" s="25">
        <f t="shared" si="57"/>
        <v>2</v>
      </c>
      <c r="AQ763" s="25" t="str">
        <f>VLOOKUP(C763,'시스템이펙트 참고자료'!$A:$B,2,FALSE)</f>
        <v>ACTIVE_FOC_UP</v>
      </c>
      <c r="AS763" s="25">
        <v>1</v>
      </c>
      <c r="BD763" s="25">
        <v>1</v>
      </c>
    </row>
    <row r="764" spans="1:56" hidden="1">
      <c r="A764" s="25">
        <v>759</v>
      </c>
      <c r="B764" s="25" t="str">
        <f>VLOOKUP(C764,'시스템이펙트 참고자료'!$A:$C,2,FALSE)</f>
        <v>ACTIVE_ENERGY_OFFENCE_UP</v>
      </c>
      <c r="C764" s="25">
        <v>607</v>
      </c>
      <c r="D764" s="25">
        <f>VLOOKUP(C764,'시스템이펙트 참고자료'!$A:$D,4,FALSE)</f>
        <v>0</v>
      </c>
      <c r="E764" s="25">
        <v>0</v>
      </c>
      <c r="F764" s="25">
        <v>0</v>
      </c>
      <c r="G764" s="25">
        <f t="shared" si="56"/>
        <v>1</v>
      </c>
      <c r="H764" s="25" t="s">
        <v>395</v>
      </c>
      <c r="I764" s="25">
        <v>1</v>
      </c>
      <c r="J764" s="25" t="str">
        <f>VLOOKUP(C764,'시스템이펙트 참고자료'!$A:$C,3,FALSE)</f>
        <v>절대값/상대값(%) 가능</v>
      </c>
      <c r="K764" s="25">
        <v>15</v>
      </c>
      <c r="M764" s="25">
        <v>3</v>
      </c>
      <c r="N764" s="25">
        <f t="shared" si="55"/>
        <v>104</v>
      </c>
      <c r="O764" s="25">
        <v>1</v>
      </c>
      <c r="P764" s="25">
        <v>1</v>
      </c>
      <c r="Q764" s="25">
        <v>1</v>
      </c>
      <c r="R764" s="25">
        <v>1</v>
      </c>
      <c r="T764" s="25">
        <v>1</v>
      </c>
      <c r="AA764" s="25">
        <f t="shared" si="58"/>
        <v>128</v>
      </c>
      <c r="AK764" s="25">
        <v>1</v>
      </c>
      <c r="AM764" s="25">
        <v>104</v>
      </c>
      <c r="AN764" s="25">
        <v>100</v>
      </c>
      <c r="AP764" s="25">
        <f t="shared" si="57"/>
        <v>1</v>
      </c>
      <c r="AQ764" s="25" t="str">
        <f>VLOOKUP(C764,'시스템이펙트 참고자료'!$A:$B,2,FALSE)</f>
        <v>ACTIVE_ENERGY_OFFENCE_UP</v>
      </c>
      <c r="AS764" s="25">
        <v>1</v>
      </c>
      <c r="BD764" s="25">
        <v>1</v>
      </c>
    </row>
    <row r="765" spans="1:56" hidden="1">
      <c r="A765" s="25">
        <v>760</v>
      </c>
      <c r="B765" s="25" t="str">
        <f>VLOOKUP(C765,'시스템이펙트 참고자료'!$A:$C,2,FALSE)</f>
        <v>ACTIVE_FOC_UP</v>
      </c>
      <c r="C765" s="25">
        <v>612</v>
      </c>
      <c r="D765" s="25">
        <f>VLOOKUP(C765,'시스템이펙트 참고자료'!$A:$D,4,FALSE)</f>
        <v>0</v>
      </c>
      <c r="E765" s="25">
        <v>0</v>
      </c>
      <c r="F765" s="25">
        <v>0</v>
      </c>
      <c r="G765" s="25">
        <f t="shared" si="56"/>
        <v>2</v>
      </c>
      <c r="H765" s="25" t="s">
        <v>395</v>
      </c>
      <c r="I765" s="25">
        <v>1</v>
      </c>
      <c r="J765" s="25" t="str">
        <f>VLOOKUP(C765,'시스템이펙트 참고자료'!$A:$C,3,FALSE)</f>
        <v>절대값/상대값(%) 가능</v>
      </c>
      <c r="K765" s="25">
        <v>15</v>
      </c>
      <c r="M765" s="25">
        <v>3</v>
      </c>
      <c r="N765" s="25">
        <f t="shared" si="55"/>
        <v>53</v>
      </c>
      <c r="O765" s="25">
        <v>1</v>
      </c>
      <c r="P765" s="25">
        <v>1</v>
      </c>
      <c r="Q765" s="25">
        <v>1</v>
      </c>
      <c r="R765" s="25">
        <v>1</v>
      </c>
      <c r="T765" s="25">
        <v>1</v>
      </c>
      <c r="AA765" s="25">
        <f t="shared" si="58"/>
        <v>128</v>
      </c>
      <c r="AK765" s="25">
        <v>1</v>
      </c>
      <c r="AM765" s="25">
        <v>53</v>
      </c>
      <c r="AN765" s="25">
        <v>100</v>
      </c>
      <c r="AP765" s="25">
        <f t="shared" si="57"/>
        <v>2</v>
      </c>
      <c r="AQ765" s="25" t="str">
        <f>VLOOKUP(C765,'시스템이펙트 참고자료'!$A:$B,2,FALSE)</f>
        <v>ACTIVE_FOC_UP</v>
      </c>
      <c r="AS765" s="25">
        <v>1</v>
      </c>
      <c r="BD765" s="25">
        <v>1</v>
      </c>
    </row>
    <row r="766" spans="1:56" hidden="1">
      <c r="A766" s="25">
        <v>761</v>
      </c>
      <c r="B766" s="25" t="str">
        <f>VLOOKUP(C766,'시스템이펙트 참고자료'!$A:$C,2,FALSE)</f>
        <v>ACTIVE_SOL_UP</v>
      </c>
      <c r="C766" s="25">
        <v>614</v>
      </c>
      <c r="D766" s="25">
        <f>VLOOKUP(C766,'시스템이펙트 참고자료'!$A:$D,4,FALSE)</f>
        <v>0</v>
      </c>
      <c r="E766" s="25">
        <v>0</v>
      </c>
      <c r="F766" s="25">
        <v>0</v>
      </c>
      <c r="G766" s="25">
        <f t="shared" si="56"/>
        <v>2</v>
      </c>
      <c r="H766" s="25" t="s">
        <v>395</v>
      </c>
      <c r="I766" s="25">
        <v>1</v>
      </c>
      <c r="J766" s="25" t="str">
        <f>VLOOKUP(C766,'시스템이펙트 참고자료'!$A:$C,3,FALSE)</f>
        <v>절대값/상대값(%) 가능</v>
      </c>
      <c r="K766" s="25">
        <v>15</v>
      </c>
      <c r="M766" s="25">
        <v>3</v>
      </c>
      <c r="N766" s="25">
        <f t="shared" si="55"/>
        <v>53</v>
      </c>
      <c r="O766" s="25">
        <v>1</v>
      </c>
      <c r="P766" s="25">
        <v>1</v>
      </c>
      <c r="Q766" s="25">
        <v>1</v>
      </c>
      <c r="R766" s="25">
        <v>1</v>
      </c>
      <c r="T766" s="25">
        <v>1</v>
      </c>
      <c r="AA766" s="25">
        <f t="shared" si="58"/>
        <v>128</v>
      </c>
      <c r="AK766" s="25">
        <v>1</v>
      </c>
      <c r="AM766" s="25">
        <v>53</v>
      </c>
      <c r="AN766" s="25">
        <v>100</v>
      </c>
      <c r="AP766" s="25">
        <f t="shared" si="57"/>
        <v>2</v>
      </c>
      <c r="AQ766" s="25" t="str">
        <f>VLOOKUP(C766,'시스템이펙트 참고자료'!$A:$B,2,FALSE)</f>
        <v>ACTIVE_SOL_UP</v>
      </c>
      <c r="AS766" s="25">
        <v>1</v>
      </c>
      <c r="BD766" s="25">
        <v>1</v>
      </c>
    </row>
    <row r="767" spans="1:56" hidden="1">
      <c r="A767" s="25">
        <v>762</v>
      </c>
      <c r="B767" s="25" t="str">
        <f>VLOOKUP(C767,'시스템이펙트 참고자료'!$A:$C,2,FALSE)</f>
        <v>ACTIVE_ENERGY_CRITICAL_DAMAGE_UP</v>
      </c>
      <c r="C767" s="25">
        <v>659</v>
      </c>
      <c r="D767" s="25">
        <f>VLOOKUP(C767,'시스템이펙트 참고자료'!$A:$D,4,FALSE)</f>
        <v>0</v>
      </c>
      <c r="E767" s="25">
        <v>0</v>
      </c>
      <c r="F767" s="25">
        <v>0</v>
      </c>
      <c r="G767" s="25">
        <f t="shared" si="56"/>
        <v>4</v>
      </c>
      <c r="H767" s="25" t="s">
        <v>395</v>
      </c>
      <c r="I767" s="25">
        <v>1</v>
      </c>
      <c r="J767" s="25" t="str">
        <f>VLOOKUP(C767,'시스템이펙트 참고자료'!$A:$C,3,FALSE)</f>
        <v>절대값만 가능</v>
      </c>
      <c r="K767" s="25">
        <v>15</v>
      </c>
      <c r="M767" s="25">
        <v>3</v>
      </c>
      <c r="N767" s="25">
        <f t="shared" si="55"/>
        <v>32</v>
      </c>
      <c r="O767" s="25">
        <v>1</v>
      </c>
      <c r="P767" s="25">
        <v>1</v>
      </c>
      <c r="Q767" s="25">
        <v>1</v>
      </c>
      <c r="R767" s="25">
        <v>1</v>
      </c>
      <c r="T767" s="25">
        <v>1</v>
      </c>
      <c r="AA767" s="25">
        <f t="shared" si="58"/>
        <v>128</v>
      </c>
      <c r="AK767" s="25">
        <v>1</v>
      </c>
      <c r="AM767" s="25">
        <v>32</v>
      </c>
      <c r="AN767" s="25">
        <v>100</v>
      </c>
      <c r="AP767" s="25">
        <f t="shared" si="57"/>
        <v>4</v>
      </c>
      <c r="AQ767" s="25" t="str">
        <f>VLOOKUP(C767,'시스템이펙트 참고자료'!$A:$B,2,FALSE)</f>
        <v>ACTIVE_ENERGY_CRITICAL_DAMAGE_UP</v>
      </c>
      <c r="AS767" s="25">
        <v>1</v>
      </c>
      <c r="BD767" s="25">
        <v>1</v>
      </c>
    </row>
    <row r="768" spans="1:56" hidden="1">
      <c r="A768" s="25">
        <v>763</v>
      </c>
      <c r="B768" s="25" t="str">
        <f>VLOOKUP(C768,'시스템이펙트 참고자료'!$A:$C,2,FALSE)</f>
        <v>ACTIVE_ENERGY_CRITICAL</v>
      </c>
      <c r="C768" s="25">
        <v>633</v>
      </c>
      <c r="D768" s="25">
        <f>VLOOKUP(C768,'시스템이펙트 참고자료'!$A:$D,4,FALSE)</f>
        <v>0</v>
      </c>
      <c r="E768" s="25">
        <v>0</v>
      </c>
      <c r="F768" s="25">
        <v>0</v>
      </c>
      <c r="G768" s="25">
        <f t="shared" si="56"/>
        <v>5</v>
      </c>
      <c r="H768" s="25" t="s">
        <v>395</v>
      </c>
      <c r="I768" s="25">
        <v>1</v>
      </c>
      <c r="J768" s="25" t="str">
        <f>VLOOKUP(C768,'시스템이펙트 참고자료'!$A:$C,3,FALSE)</f>
        <v>절대값/상대값(%) 가능</v>
      </c>
      <c r="K768" s="25">
        <v>15</v>
      </c>
      <c r="M768" s="25">
        <v>4</v>
      </c>
      <c r="N768" s="25">
        <f t="shared" si="55"/>
        <v>24</v>
      </c>
      <c r="O768" s="25">
        <v>1</v>
      </c>
      <c r="P768" s="25">
        <v>1</v>
      </c>
      <c r="Q768" s="25">
        <v>1</v>
      </c>
      <c r="R768" s="25">
        <v>1</v>
      </c>
      <c r="T768" s="25">
        <v>1</v>
      </c>
      <c r="AA768" s="25">
        <f t="shared" si="58"/>
        <v>128</v>
      </c>
      <c r="AK768" s="25">
        <v>1</v>
      </c>
      <c r="AM768" s="25">
        <v>24</v>
      </c>
      <c r="AN768" s="25">
        <v>100</v>
      </c>
      <c r="AP768" s="25">
        <f t="shared" si="57"/>
        <v>5</v>
      </c>
      <c r="AQ768" s="25" t="str">
        <f>VLOOKUP(C768,'시스템이펙트 참고자료'!$A:$B,2,FALSE)</f>
        <v>ACTIVE_ENERGY_CRITICAL</v>
      </c>
      <c r="AS768" s="25">
        <v>1</v>
      </c>
      <c r="BD768" s="25">
        <v>1</v>
      </c>
    </row>
    <row r="769" spans="1:56" hidden="1">
      <c r="A769" s="25">
        <v>764</v>
      </c>
      <c r="B769" s="25" t="str">
        <f>VLOOKUP(C769,'시스템이펙트 참고자료'!$A:$C,2,FALSE)</f>
        <v>ACTIVE_ENERGY_CRITICAL_DAMAGE_UP</v>
      </c>
      <c r="C769" s="25">
        <v>659</v>
      </c>
      <c r="D769" s="25">
        <f>VLOOKUP(C769,'시스템이펙트 참고자료'!$A:$D,4,FALSE)</f>
        <v>0</v>
      </c>
      <c r="E769" s="25">
        <v>0</v>
      </c>
      <c r="F769" s="25">
        <v>0</v>
      </c>
      <c r="G769" s="25">
        <f t="shared" si="56"/>
        <v>4</v>
      </c>
      <c r="H769" s="25" t="s">
        <v>395</v>
      </c>
      <c r="I769" s="25">
        <v>1</v>
      </c>
      <c r="J769" s="25" t="str">
        <f>VLOOKUP(C769,'시스템이펙트 참고자료'!$A:$C,3,FALSE)</f>
        <v>절대값만 가능</v>
      </c>
      <c r="K769" s="25">
        <v>15</v>
      </c>
      <c r="M769" s="25">
        <v>4</v>
      </c>
      <c r="N769" s="25">
        <f t="shared" si="55"/>
        <v>32</v>
      </c>
      <c r="O769" s="25">
        <v>1</v>
      </c>
      <c r="P769" s="25">
        <v>1</v>
      </c>
      <c r="Q769" s="25">
        <v>1</v>
      </c>
      <c r="R769" s="25">
        <v>1</v>
      </c>
      <c r="T769" s="25">
        <v>1</v>
      </c>
      <c r="AA769" s="25">
        <f t="shared" si="58"/>
        <v>128</v>
      </c>
      <c r="AK769" s="25">
        <v>1</v>
      </c>
      <c r="AM769" s="25">
        <v>32</v>
      </c>
      <c r="AN769" s="25">
        <v>100</v>
      </c>
      <c r="AP769" s="25">
        <f t="shared" si="57"/>
        <v>4</v>
      </c>
      <c r="AQ769" s="25" t="str">
        <f>VLOOKUP(C769,'시스템이펙트 참고자료'!$A:$B,2,FALSE)</f>
        <v>ACTIVE_ENERGY_CRITICAL_DAMAGE_UP</v>
      </c>
      <c r="AS769" s="25">
        <v>1</v>
      </c>
      <c r="BD769" s="25">
        <v>1</v>
      </c>
    </row>
    <row r="770" spans="1:56" hidden="1">
      <c r="A770" s="25">
        <v>765</v>
      </c>
      <c r="B770" s="25" t="str">
        <f>VLOOKUP(C770,'시스템이펙트 참고자료'!$A:$C,2,FALSE)</f>
        <v>ACTIVE_FOC_UP</v>
      </c>
      <c r="C770" s="25">
        <v>612</v>
      </c>
      <c r="D770" s="25">
        <f>VLOOKUP(C770,'시스템이펙트 참고자료'!$A:$D,4,FALSE)</f>
        <v>0</v>
      </c>
      <c r="E770" s="25">
        <v>0</v>
      </c>
      <c r="F770" s="25">
        <v>0</v>
      </c>
      <c r="G770" s="25">
        <f t="shared" si="56"/>
        <v>2</v>
      </c>
      <c r="H770" s="25" t="s">
        <v>395</v>
      </c>
      <c r="I770" s="25">
        <v>1</v>
      </c>
      <c r="J770" s="25" t="str">
        <f>VLOOKUP(C770,'시스템이펙트 참고자료'!$A:$C,3,FALSE)</f>
        <v>절대값/상대값(%) 가능</v>
      </c>
      <c r="K770" s="25">
        <v>15</v>
      </c>
      <c r="M770" s="25">
        <v>4</v>
      </c>
      <c r="N770" s="25">
        <f t="shared" si="55"/>
        <v>53</v>
      </c>
      <c r="O770" s="25">
        <v>1</v>
      </c>
      <c r="P770" s="25">
        <v>1</v>
      </c>
      <c r="Q770" s="25">
        <v>1</v>
      </c>
      <c r="R770" s="25">
        <v>1</v>
      </c>
      <c r="T770" s="25">
        <v>1</v>
      </c>
      <c r="AA770" s="25">
        <f t="shared" si="58"/>
        <v>128</v>
      </c>
      <c r="AK770" s="25">
        <v>1</v>
      </c>
      <c r="AM770" s="25">
        <v>53</v>
      </c>
      <c r="AN770" s="25">
        <v>100</v>
      </c>
      <c r="AP770" s="25">
        <f t="shared" si="57"/>
        <v>2</v>
      </c>
      <c r="AQ770" s="25" t="str">
        <f>VLOOKUP(C770,'시스템이펙트 참고자료'!$A:$B,2,FALSE)</f>
        <v>ACTIVE_FOC_UP</v>
      </c>
      <c r="AS770" s="25">
        <v>1</v>
      </c>
      <c r="BD770" s="25">
        <v>1</v>
      </c>
    </row>
    <row r="771" spans="1:56" hidden="1">
      <c r="A771" s="25">
        <v>766</v>
      </c>
      <c r="B771" s="25" t="str">
        <f>VLOOKUP(C771,'시스템이펙트 참고자료'!$A:$C,2,FALSE)</f>
        <v>ACTIVE_DEX_UP</v>
      </c>
      <c r="C771" s="25">
        <v>613</v>
      </c>
      <c r="D771" s="25">
        <f>VLOOKUP(C771,'시스템이펙트 참고자료'!$A:$D,4,FALSE)</f>
        <v>0</v>
      </c>
      <c r="E771" s="25">
        <v>0</v>
      </c>
      <c r="F771" s="25">
        <v>0</v>
      </c>
      <c r="G771" s="25">
        <f t="shared" si="56"/>
        <v>3</v>
      </c>
      <c r="H771" s="25" t="s">
        <v>395</v>
      </c>
      <c r="I771" s="25">
        <v>1</v>
      </c>
      <c r="J771" s="25" t="str">
        <f>VLOOKUP(C771,'시스템이펙트 참고자료'!$A:$C,3,FALSE)</f>
        <v>절대값/상대값(%) 가능</v>
      </c>
      <c r="K771" s="25">
        <v>15</v>
      </c>
      <c r="M771" s="25">
        <v>4</v>
      </c>
      <c r="N771" s="25">
        <f t="shared" si="55"/>
        <v>44</v>
      </c>
      <c r="O771" s="25">
        <v>1</v>
      </c>
      <c r="P771" s="25">
        <v>1</v>
      </c>
      <c r="Q771" s="25">
        <v>1</v>
      </c>
      <c r="R771" s="25">
        <v>1</v>
      </c>
      <c r="T771" s="25">
        <v>1</v>
      </c>
      <c r="AA771" s="25">
        <f t="shared" si="58"/>
        <v>128</v>
      </c>
      <c r="AK771" s="25">
        <v>1</v>
      </c>
      <c r="AM771" s="25">
        <v>44</v>
      </c>
      <c r="AN771" s="25">
        <v>100</v>
      </c>
      <c r="AP771" s="25">
        <f t="shared" si="57"/>
        <v>3</v>
      </c>
      <c r="AQ771" s="25" t="str">
        <f>VLOOKUP(C771,'시스템이펙트 참고자료'!$A:$B,2,FALSE)</f>
        <v>ACTIVE_DEX_UP</v>
      </c>
      <c r="AS771" s="25">
        <v>1</v>
      </c>
      <c r="BD771" s="25">
        <v>1</v>
      </c>
    </row>
    <row r="772" spans="1:56" hidden="1">
      <c r="A772" s="25">
        <v>767</v>
      </c>
      <c r="B772" s="25" t="str">
        <f>VLOOKUP(C772,'시스템이펙트 참고자료'!$A:$C,2,FALSE)</f>
        <v>ACTIVE_ATTACK_SPEED_UP</v>
      </c>
      <c r="C772" s="25">
        <v>617</v>
      </c>
      <c r="D772" s="25">
        <f>VLOOKUP(C772,'시스템이펙트 참고자료'!$A:$D,4,FALSE)</f>
        <v>1</v>
      </c>
      <c r="E772" s="25">
        <v>0</v>
      </c>
      <c r="F772" s="25">
        <v>0</v>
      </c>
      <c r="G772" s="25">
        <f t="shared" si="56"/>
        <v>10</v>
      </c>
      <c r="H772" s="25" t="s">
        <v>395</v>
      </c>
      <c r="I772" s="25">
        <v>1</v>
      </c>
      <c r="J772" s="25" t="str">
        <f>VLOOKUP(C772,'시스템이펙트 참고자료'!$A:$C,3,FALSE)</f>
        <v>절대값/상대값(%) 가능</v>
      </c>
      <c r="K772" s="25">
        <v>15</v>
      </c>
      <c r="M772" s="25">
        <v>5</v>
      </c>
      <c r="N772" s="25">
        <f t="shared" si="55"/>
        <v>10</v>
      </c>
      <c r="O772" s="25">
        <v>1</v>
      </c>
      <c r="P772" s="25">
        <v>1</v>
      </c>
      <c r="Q772" s="25">
        <v>1</v>
      </c>
      <c r="R772" s="25">
        <v>1</v>
      </c>
      <c r="T772" s="25">
        <v>1</v>
      </c>
      <c r="AA772" s="25">
        <f t="shared" si="58"/>
        <v>128</v>
      </c>
      <c r="AK772" s="25">
        <v>1</v>
      </c>
      <c r="AM772" s="25">
        <v>10</v>
      </c>
      <c r="AN772" s="25">
        <v>100</v>
      </c>
      <c r="AP772" s="25">
        <f t="shared" si="57"/>
        <v>10</v>
      </c>
      <c r="AQ772" s="25" t="str">
        <f>VLOOKUP(C772,'시스템이펙트 참고자료'!$A:$B,2,FALSE)</f>
        <v>ACTIVE_ATTACK_SPEED_UP</v>
      </c>
      <c r="AS772" s="25">
        <v>1</v>
      </c>
      <c r="BD772" s="25">
        <v>1</v>
      </c>
    </row>
    <row r="773" spans="1:56" hidden="1">
      <c r="A773" s="25">
        <v>768</v>
      </c>
      <c r="B773" s="25" t="str">
        <f>VLOOKUP(C773,'시스템이펙트 참고자료'!$A:$C,2,FALSE)</f>
        <v>ACTIVE_DEX_UP</v>
      </c>
      <c r="C773" s="25">
        <v>613</v>
      </c>
      <c r="D773" s="25">
        <f>VLOOKUP(C773,'시스템이펙트 참고자료'!$A:$D,4,FALSE)</f>
        <v>0</v>
      </c>
      <c r="E773" s="25">
        <v>0</v>
      </c>
      <c r="F773" s="25">
        <v>0</v>
      </c>
      <c r="G773" s="25">
        <f t="shared" si="56"/>
        <v>3</v>
      </c>
      <c r="H773" s="25" t="s">
        <v>395</v>
      </c>
      <c r="I773" s="25">
        <v>1</v>
      </c>
      <c r="J773" s="25" t="str">
        <f>VLOOKUP(C773,'시스템이펙트 참고자료'!$A:$C,3,FALSE)</f>
        <v>절대값/상대값(%) 가능</v>
      </c>
      <c r="K773" s="25">
        <v>15</v>
      </c>
      <c r="M773" s="25">
        <v>5</v>
      </c>
      <c r="N773" s="25">
        <f t="shared" si="55"/>
        <v>44</v>
      </c>
      <c r="O773" s="25">
        <v>1</v>
      </c>
      <c r="P773" s="25">
        <v>1</v>
      </c>
      <c r="Q773" s="25">
        <v>1</v>
      </c>
      <c r="R773" s="25">
        <v>1</v>
      </c>
      <c r="T773" s="25">
        <v>1</v>
      </c>
      <c r="AA773" s="25">
        <f t="shared" si="58"/>
        <v>128</v>
      </c>
      <c r="AK773" s="25">
        <v>1</v>
      </c>
      <c r="AM773" s="25">
        <v>44</v>
      </c>
      <c r="AN773" s="25">
        <v>100</v>
      </c>
      <c r="AP773" s="25">
        <f t="shared" si="57"/>
        <v>3</v>
      </c>
      <c r="AQ773" s="25" t="str">
        <f>VLOOKUP(C773,'시스템이펙트 참고자료'!$A:$B,2,FALSE)</f>
        <v>ACTIVE_DEX_UP</v>
      </c>
      <c r="AS773" s="25">
        <v>1</v>
      </c>
      <c r="BD773" s="25">
        <v>1</v>
      </c>
    </row>
    <row r="774" spans="1:56" hidden="1">
      <c r="A774" s="25">
        <v>769</v>
      </c>
      <c r="B774" s="25" t="str">
        <f>VLOOKUP(C774,'시스템이펙트 참고자료'!$A:$C,2,FALSE)</f>
        <v>ACTIVE_FOC_UP</v>
      </c>
      <c r="C774" s="25">
        <v>612</v>
      </c>
      <c r="D774" s="25">
        <f>VLOOKUP(C774,'시스템이펙트 참고자료'!$A:$D,4,FALSE)</f>
        <v>0</v>
      </c>
      <c r="E774" s="25">
        <v>0</v>
      </c>
      <c r="F774" s="25">
        <v>0</v>
      </c>
      <c r="G774" s="25">
        <f t="shared" si="56"/>
        <v>2</v>
      </c>
      <c r="H774" s="25" t="s">
        <v>395</v>
      </c>
      <c r="I774" s="25">
        <v>1</v>
      </c>
      <c r="J774" s="25" t="str">
        <f>VLOOKUP(C774,'시스템이펙트 참고자료'!$A:$C,3,FALSE)</f>
        <v>절대값/상대값(%) 가능</v>
      </c>
      <c r="K774" s="25">
        <v>15</v>
      </c>
      <c r="M774" s="25">
        <v>5</v>
      </c>
      <c r="N774" s="25">
        <f t="shared" si="55"/>
        <v>53</v>
      </c>
      <c r="O774" s="25">
        <v>1</v>
      </c>
      <c r="P774" s="25">
        <v>1</v>
      </c>
      <c r="Q774" s="25">
        <v>1</v>
      </c>
      <c r="R774" s="25">
        <v>1</v>
      </c>
      <c r="T774" s="25">
        <v>1</v>
      </c>
      <c r="AA774" s="25">
        <f t="shared" si="58"/>
        <v>128</v>
      </c>
      <c r="AK774" s="25">
        <v>1</v>
      </c>
      <c r="AM774" s="25">
        <v>53</v>
      </c>
      <c r="AN774" s="25">
        <v>100</v>
      </c>
      <c r="AP774" s="25">
        <f t="shared" si="57"/>
        <v>2</v>
      </c>
      <c r="AQ774" s="25" t="str">
        <f>VLOOKUP(C774,'시스템이펙트 참고자료'!$A:$B,2,FALSE)</f>
        <v>ACTIVE_FOC_UP</v>
      </c>
      <c r="AS774" s="25">
        <v>1</v>
      </c>
      <c r="BD774" s="25">
        <v>1</v>
      </c>
    </row>
    <row r="775" spans="1:56" hidden="1">
      <c r="A775" s="25">
        <v>770</v>
      </c>
      <c r="B775" s="25" t="str">
        <f>VLOOKUP(C775,'시스템이펙트 참고자료'!$A:$C,2,FALSE)</f>
        <v>ACTIVE_PHYSICAL_OFFENCE_UP</v>
      </c>
      <c r="C775" s="25">
        <v>606</v>
      </c>
      <c r="D775" s="25">
        <f>VLOOKUP(C775,'시스템이펙트 참고자료'!$A:$D,4,FALSE)</f>
        <v>0</v>
      </c>
      <c r="E775" s="25">
        <v>0</v>
      </c>
      <c r="F775" s="25">
        <v>0</v>
      </c>
      <c r="G775" s="25">
        <f t="shared" si="56"/>
        <v>1</v>
      </c>
      <c r="H775" s="25" t="s">
        <v>395</v>
      </c>
      <c r="I775" s="25">
        <v>1</v>
      </c>
      <c r="J775" s="25" t="str">
        <f>VLOOKUP(C775,'시스템이펙트 참고자료'!$A:$C,3,FALSE)</f>
        <v>절대값/상대값(%) 가능</v>
      </c>
      <c r="K775" s="25">
        <v>15</v>
      </c>
      <c r="M775" s="25">
        <v>5</v>
      </c>
      <c r="N775" s="25">
        <f t="shared" ref="N775:N838" si="59">IF(BD775&gt;0,INT(AM775/AK775),0)</f>
        <v>125</v>
      </c>
      <c r="O775" s="25">
        <v>1</v>
      </c>
      <c r="P775" s="25">
        <v>1</v>
      </c>
      <c r="Q775" s="25">
        <v>1</v>
      </c>
      <c r="R775" s="25">
        <v>1</v>
      </c>
      <c r="T775" s="25">
        <v>1</v>
      </c>
      <c r="AA775" s="25">
        <f t="shared" si="58"/>
        <v>128</v>
      </c>
      <c r="AK775" s="25">
        <v>1</v>
      </c>
      <c r="AM775" s="25">
        <v>125</v>
      </c>
      <c r="AN775" s="25">
        <v>100</v>
      </c>
      <c r="AP775" s="25">
        <f t="shared" si="57"/>
        <v>1</v>
      </c>
      <c r="AQ775" s="25" t="str">
        <f>VLOOKUP(C775,'시스템이펙트 참고자료'!$A:$B,2,FALSE)</f>
        <v>ACTIVE_PHYSICAL_OFFENCE_UP</v>
      </c>
      <c r="AS775" s="25">
        <v>1</v>
      </c>
      <c r="BD775" s="25">
        <v>1</v>
      </c>
    </row>
    <row r="776" spans="1:56" hidden="1">
      <c r="A776" s="25">
        <v>771</v>
      </c>
      <c r="B776" s="25" t="str">
        <f>VLOOKUP(C776,'시스템이펙트 참고자료'!$A:$C,2,FALSE)</f>
        <v>ACTIVE_ENERGY_OFFENCE_UP</v>
      </c>
      <c r="C776" s="25">
        <v>607</v>
      </c>
      <c r="D776" s="25">
        <f>VLOOKUP(C776,'시스템이펙트 참고자료'!$A:$D,4,FALSE)</f>
        <v>0</v>
      </c>
      <c r="E776" s="25">
        <v>0</v>
      </c>
      <c r="F776" s="25">
        <v>0</v>
      </c>
      <c r="G776" s="25">
        <f t="shared" si="56"/>
        <v>1</v>
      </c>
      <c r="H776" s="25" t="s">
        <v>395</v>
      </c>
      <c r="I776" s="25">
        <v>1</v>
      </c>
      <c r="J776" s="25" t="str">
        <f>VLOOKUP(C776,'시스템이펙트 참고자료'!$A:$C,3,FALSE)</f>
        <v>절대값/상대값(%) 가능</v>
      </c>
      <c r="K776" s="25">
        <v>15</v>
      </c>
      <c r="M776" s="25">
        <v>5</v>
      </c>
      <c r="N776" s="25">
        <f t="shared" si="59"/>
        <v>104</v>
      </c>
      <c r="O776" s="25">
        <v>1</v>
      </c>
      <c r="P776" s="25">
        <v>1</v>
      </c>
      <c r="Q776" s="25">
        <v>1</v>
      </c>
      <c r="R776" s="25">
        <v>1</v>
      </c>
      <c r="T776" s="25">
        <v>1</v>
      </c>
      <c r="AA776" s="25">
        <f t="shared" si="58"/>
        <v>128</v>
      </c>
      <c r="AK776" s="25">
        <v>1</v>
      </c>
      <c r="AM776" s="25">
        <v>104</v>
      </c>
      <c r="AN776" s="25">
        <v>100</v>
      </c>
      <c r="AP776" s="25">
        <f t="shared" si="57"/>
        <v>1</v>
      </c>
      <c r="AQ776" s="25" t="str">
        <f>VLOOKUP(C776,'시스템이펙트 참고자료'!$A:$B,2,FALSE)</f>
        <v>ACTIVE_ENERGY_OFFENCE_UP</v>
      </c>
      <c r="AS776" s="25">
        <v>1</v>
      </c>
      <c r="BD776" s="25">
        <v>1</v>
      </c>
    </row>
    <row r="777" spans="1:56" hidden="1">
      <c r="A777" s="25">
        <v>772</v>
      </c>
      <c r="B777" s="25" t="str">
        <f>VLOOKUP(C777,'시스템이펙트 참고자료'!$A:$C,2,FALSE)</f>
        <v>ACTIVE_PHYSICAL_OFFENCE_UP</v>
      </c>
      <c r="C777" s="25">
        <v>606</v>
      </c>
      <c r="D777" s="25">
        <f>VLOOKUP(C777,'시스템이펙트 참고자료'!$A:$D,4,FALSE)</f>
        <v>0</v>
      </c>
      <c r="E777" s="25">
        <v>0</v>
      </c>
      <c r="F777" s="25">
        <v>0</v>
      </c>
      <c r="G777" s="25">
        <f t="shared" si="56"/>
        <v>1</v>
      </c>
      <c r="H777" s="25" t="s">
        <v>395</v>
      </c>
      <c r="I777" s="25">
        <v>1</v>
      </c>
      <c r="J777" s="25" t="str">
        <f>VLOOKUP(C777,'시스템이펙트 참고자료'!$A:$C,3,FALSE)</f>
        <v>절대값/상대값(%) 가능</v>
      </c>
      <c r="K777" s="25">
        <v>15</v>
      </c>
      <c r="M777" s="25">
        <v>6</v>
      </c>
      <c r="N777" s="25">
        <f t="shared" si="59"/>
        <v>125</v>
      </c>
      <c r="O777" s="25">
        <v>1</v>
      </c>
      <c r="P777" s="25">
        <v>1</v>
      </c>
      <c r="Q777" s="25">
        <v>1</v>
      </c>
      <c r="R777" s="25">
        <v>1</v>
      </c>
      <c r="T777" s="25">
        <v>1</v>
      </c>
      <c r="AA777" s="25">
        <f t="shared" si="58"/>
        <v>128</v>
      </c>
      <c r="AK777" s="25">
        <v>1</v>
      </c>
      <c r="AM777" s="25">
        <v>125</v>
      </c>
      <c r="AN777" s="25">
        <v>100</v>
      </c>
      <c r="AP777" s="25">
        <f t="shared" si="57"/>
        <v>1</v>
      </c>
      <c r="AQ777" s="25" t="str">
        <f>VLOOKUP(C777,'시스템이펙트 참고자료'!$A:$B,2,FALSE)</f>
        <v>ACTIVE_PHYSICAL_OFFENCE_UP</v>
      </c>
      <c r="AS777" s="25">
        <v>1</v>
      </c>
      <c r="BD777" s="25">
        <v>1</v>
      </c>
    </row>
    <row r="778" spans="1:56" hidden="1">
      <c r="A778" s="25">
        <v>773</v>
      </c>
      <c r="B778" s="25" t="str">
        <f>VLOOKUP(C778,'시스템이펙트 참고자료'!$A:$C,2,FALSE)</f>
        <v>ACTIVE_ENERGY_OFFENCE_UP</v>
      </c>
      <c r="C778" s="25">
        <v>607</v>
      </c>
      <c r="D778" s="25">
        <f>VLOOKUP(C778,'시스템이펙트 참고자료'!$A:$D,4,FALSE)</f>
        <v>0</v>
      </c>
      <c r="E778" s="25">
        <v>0</v>
      </c>
      <c r="F778" s="25">
        <v>0</v>
      </c>
      <c r="G778" s="25">
        <f t="shared" si="56"/>
        <v>1</v>
      </c>
      <c r="H778" s="25" t="s">
        <v>395</v>
      </c>
      <c r="I778" s="25">
        <v>1</v>
      </c>
      <c r="J778" s="25" t="str">
        <f>VLOOKUP(C778,'시스템이펙트 참고자료'!$A:$C,3,FALSE)</f>
        <v>절대값/상대값(%) 가능</v>
      </c>
      <c r="K778" s="25">
        <v>15</v>
      </c>
      <c r="M778" s="25">
        <v>6</v>
      </c>
      <c r="N778" s="25">
        <f t="shared" si="59"/>
        <v>104</v>
      </c>
      <c r="O778" s="25">
        <v>1</v>
      </c>
      <c r="P778" s="25">
        <v>1</v>
      </c>
      <c r="Q778" s="25">
        <v>1</v>
      </c>
      <c r="R778" s="25">
        <v>1</v>
      </c>
      <c r="T778" s="25">
        <v>1</v>
      </c>
      <c r="AA778" s="25">
        <f t="shared" si="58"/>
        <v>128</v>
      </c>
      <c r="AK778" s="25">
        <v>1</v>
      </c>
      <c r="AM778" s="25">
        <v>104</v>
      </c>
      <c r="AN778" s="25">
        <v>100</v>
      </c>
      <c r="AP778" s="25">
        <f t="shared" si="57"/>
        <v>1</v>
      </c>
      <c r="AQ778" s="25" t="str">
        <f>VLOOKUP(C778,'시스템이펙트 참고자료'!$A:$B,2,FALSE)</f>
        <v>ACTIVE_ENERGY_OFFENCE_UP</v>
      </c>
      <c r="AS778" s="25">
        <v>1</v>
      </c>
      <c r="BD778" s="25">
        <v>1</v>
      </c>
    </row>
    <row r="779" spans="1:56" hidden="1">
      <c r="A779" s="25">
        <v>774</v>
      </c>
      <c r="B779" s="25" t="str">
        <f>VLOOKUP(C779,'시스템이펙트 참고자료'!$A:$C,2,FALSE)</f>
        <v>ACTIVE_STR_UP</v>
      </c>
      <c r="C779" s="25">
        <v>610</v>
      </c>
      <c r="D779" s="25">
        <f>VLOOKUP(C779,'시스템이펙트 참고자료'!$A:$D,4,FALSE)</f>
        <v>0</v>
      </c>
      <c r="E779" s="25">
        <v>0</v>
      </c>
      <c r="F779" s="25">
        <v>0</v>
      </c>
      <c r="G779" s="25">
        <f t="shared" si="56"/>
        <v>2</v>
      </c>
      <c r="H779" s="25" t="s">
        <v>395</v>
      </c>
      <c r="I779" s="25">
        <v>1</v>
      </c>
      <c r="J779" s="25" t="str">
        <f>VLOOKUP(C779,'시스템이펙트 참고자료'!$A:$C,3,FALSE)</f>
        <v>절대값/상대값(%) 가능</v>
      </c>
      <c r="K779" s="25">
        <v>15</v>
      </c>
      <c r="M779" s="25">
        <v>6</v>
      </c>
      <c r="N779" s="25">
        <f t="shared" si="59"/>
        <v>57</v>
      </c>
      <c r="O779" s="25">
        <v>1</v>
      </c>
      <c r="P779" s="25">
        <v>1</v>
      </c>
      <c r="Q779" s="25">
        <v>1</v>
      </c>
      <c r="R779" s="25">
        <v>1</v>
      </c>
      <c r="T779" s="25">
        <v>1</v>
      </c>
      <c r="AA779" s="25">
        <f t="shared" si="58"/>
        <v>128</v>
      </c>
      <c r="AK779" s="25">
        <v>1</v>
      </c>
      <c r="AM779" s="25">
        <v>57</v>
      </c>
      <c r="AN779" s="25">
        <v>100</v>
      </c>
      <c r="AP779" s="25">
        <f t="shared" si="57"/>
        <v>2</v>
      </c>
      <c r="AQ779" s="25" t="str">
        <f>VLOOKUP(C779,'시스템이펙트 참고자료'!$A:$B,2,FALSE)</f>
        <v>ACTIVE_STR_UP</v>
      </c>
      <c r="AS779" s="25">
        <v>1</v>
      </c>
      <c r="BD779" s="25">
        <v>1</v>
      </c>
    </row>
    <row r="780" spans="1:56" hidden="1">
      <c r="A780" s="25">
        <v>775</v>
      </c>
      <c r="B780" s="25" t="str">
        <f>VLOOKUP(C780,'시스템이펙트 참고자료'!$A:$C,2,FALSE)</f>
        <v>ACTIVE_SOL_UP</v>
      </c>
      <c r="C780" s="25">
        <v>614</v>
      </c>
      <c r="D780" s="25">
        <f>VLOOKUP(C780,'시스템이펙트 참고자료'!$A:$D,4,FALSE)</f>
        <v>0</v>
      </c>
      <c r="E780" s="25">
        <v>0</v>
      </c>
      <c r="F780" s="25">
        <v>0</v>
      </c>
      <c r="G780" s="25">
        <f t="shared" si="56"/>
        <v>2</v>
      </c>
      <c r="H780" s="25" t="s">
        <v>395</v>
      </c>
      <c r="I780" s="25">
        <v>1</v>
      </c>
      <c r="J780" s="25" t="str">
        <f>VLOOKUP(C780,'시스템이펙트 참고자료'!$A:$C,3,FALSE)</f>
        <v>절대값/상대값(%) 가능</v>
      </c>
      <c r="K780" s="25">
        <v>15</v>
      </c>
      <c r="M780" s="25">
        <v>6</v>
      </c>
      <c r="N780" s="25">
        <f t="shared" si="59"/>
        <v>53</v>
      </c>
      <c r="O780" s="25">
        <v>1</v>
      </c>
      <c r="P780" s="25">
        <v>1</v>
      </c>
      <c r="Q780" s="25">
        <v>1</v>
      </c>
      <c r="R780" s="25">
        <v>1</v>
      </c>
      <c r="T780" s="25">
        <v>1</v>
      </c>
      <c r="AA780" s="25">
        <f t="shared" si="58"/>
        <v>128</v>
      </c>
      <c r="AK780" s="25">
        <v>1</v>
      </c>
      <c r="AM780" s="25">
        <v>53</v>
      </c>
      <c r="AN780" s="25">
        <v>100</v>
      </c>
      <c r="AP780" s="25">
        <f t="shared" si="57"/>
        <v>2</v>
      </c>
      <c r="AQ780" s="25" t="str">
        <f>VLOOKUP(C780,'시스템이펙트 참고자료'!$A:$B,2,FALSE)</f>
        <v>ACTIVE_SOL_UP</v>
      </c>
      <c r="AS780" s="25">
        <v>1</v>
      </c>
      <c r="BD780" s="25">
        <v>1</v>
      </c>
    </row>
    <row r="781" spans="1:56" hidden="1">
      <c r="A781" s="25">
        <v>776</v>
      </c>
      <c r="B781" s="25" t="str">
        <f>VLOOKUP(C781,'시스템이펙트 참고자료'!$A:$C,2,FALSE)</f>
        <v>ACTIVE_PHYSICAL_CRITICAL_DAMAGE_UP</v>
      </c>
      <c r="C781" s="25">
        <v>658</v>
      </c>
      <c r="D781" s="25">
        <f>VLOOKUP(C781,'시스템이펙트 참고자료'!$A:$D,4,FALSE)</f>
        <v>0</v>
      </c>
      <c r="E781" s="25">
        <v>0</v>
      </c>
      <c r="F781" s="25">
        <v>0</v>
      </c>
      <c r="G781" s="25">
        <f t="shared" si="56"/>
        <v>4</v>
      </c>
      <c r="H781" s="25" t="s">
        <v>395</v>
      </c>
      <c r="I781" s="25">
        <v>1</v>
      </c>
      <c r="J781" s="25" t="str">
        <f>VLOOKUP(C781,'시스템이펙트 참고자료'!$A:$C,3,FALSE)</f>
        <v>절대값만 가능</v>
      </c>
      <c r="K781" s="25">
        <v>15</v>
      </c>
      <c r="M781" s="25">
        <v>6</v>
      </c>
      <c r="N781" s="25">
        <f t="shared" si="59"/>
        <v>28</v>
      </c>
      <c r="O781" s="25">
        <v>1</v>
      </c>
      <c r="P781" s="25">
        <v>1</v>
      </c>
      <c r="Q781" s="25">
        <v>1</v>
      </c>
      <c r="R781" s="25">
        <v>1</v>
      </c>
      <c r="T781" s="25">
        <v>1</v>
      </c>
      <c r="AA781" s="25">
        <f t="shared" si="58"/>
        <v>128</v>
      </c>
      <c r="AK781" s="25">
        <v>1</v>
      </c>
      <c r="AM781" s="25">
        <v>28</v>
      </c>
      <c r="AN781" s="25">
        <v>100</v>
      </c>
      <c r="AP781" s="25">
        <f t="shared" si="57"/>
        <v>4</v>
      </c>
      <c r="AQ781" s="25" t="str">
        <f>VLOOKUP(C781,'시스템이펙트 참고자료'!$A:$B,2,FALSE)</f>
        <v>ACTIVE_PHYSICAL_CRITICAL_DAMAGE_UP</v>
      </c>
      <c r="AS781" s="25">
        <v>1</v>
      </c>
      <c r="BD781" s="25">
        <v>1</v>
      </c>
    </row>
    <row r="782" spans="1:56" hidden="1">
      <c r="A782" s="25">
        <v>777</v>
      </c>
      <c r="B782" s="25" t="str">
        <f>VLOOKUP(C782,'시스템이펙트 참고자료'!$A:$C,2,FALSE)</f>
        <v>ACTIVE_ENERGY_CRITICAL_DAMAGE_UP</v>
      </c>
      <c r="C782" s="25">
        <v>659</v>
      </c>
      <c r="D782" s="25">
        <f>VLOOKUP(C782,'시스템이펙트 참고자료'!$A:$D,4,FALSE)</f>
        <v>0</v>
      </c>
      <c r="E782" s="25">
        <v>0</v>
      </c>
      <c r="F782" s="25">
        <v>0</v>
      </c>
      <c r="G782" s="25">
        <f t="shared" si="56"/>
        <v>4</v>
      </c>
      <c r="H782" s="25" t="s">
        <v>395</v>
      </c>
      <c r="I782" s="25">
        <v>1</v>
      </c>
      <c r="J782" s="25" t="str">
        <f>VLOOKUP(C782,'시스템이펙트 참고자료'!$A:$C,3,FALSE)</f>
        <v>절대값만 가능</v>
      </c>
      <c r="K782" s="25">
        <v>15</v>
      </c>
      <c r="M782" s="25">
        <v>6</v>
      </c>
      <c r="N782" s="25">
        <f t="shared" si="59"/>
        <v>32</v>
      </c>
      <c r="O782" s="25">
        <v>1</v>
      </c>
      <c r="P782" s="25">
        <v>1</v>
      </c>
      <c r="Q782" s="25">
        <v>1</v>
      </c>
      <c r="R782" s="25">
        <v>1</v>
      </c>
      <c r="T782" s="25">
        <v>1</v>
      </c>
      <c r="AA782" s="25">
        <f t="shared" si="58"/>
        <v>128</v>
      </c>
      <c r="AK782" s="25">
        <v>1</v>
      </c>
      <c r="AM782" s="25">
        <v>32</v>
      </c>
      <c r="AN782" s="25">
        <v>100</v>
      </c>
      <c r="AP782" s="25">
        <f t="shared" si="57"/>
        <v>4</v>
      </c>
      <c r="AQ782" s="25" t="str">
        <f>VLOOKUP(C782,'시스템이펙트 참고자료'!$A:$B,2,FALSE)</f>
        <v>ACTIVE_ENERGY_CRITICAL_DAMAGE_UP</v>
      </c>
      <c r="AS782" s="25">
        <v>1</v>
      </c>
      <c r="BD782" s="25">
        <v>1</v>
      </c>
    </row>
    <row r="783" spans="1:56" hidden="1">
      <c r="A783" s="25">
        <v>778</v>
      </c>
      <c r="B783" s="25" t="str">
        <f>VLOOKUP(C783,'시스템이펙트 참고자료'!$A:$C,2,FALSE)</f>
        <v>ACTIVE_FOC_UP</v>
      </c>
      <c r="C783" s="25">
        <v>612</v>
      </c>
      <c r="D783" s="25">
        <f>VLOOKUP(C783,'시스템이펙트 참고자료'!$A:$D,4,FALSE)</f>
        <v>0</v>
      </c>
      <c r="E783" s="25">
        <v>0</v>
      </c>
      <c r="F783" s="25">
        <v>0</v>
      </c>
      <c r="G783" s="25">
        <f t="shared" si="56"/>
        <v>2</v>
      </c>
      <c r="H783" s="25" t="s">
        <v>395</v>
      </c>
      <c r="I783" s="25">
        <v>1</v>
      </c>
      <c r="J783" s="25" t="str">
        <f>VLOOKUP(C783,'시스템이펙트 참고자료'!$A:$C,3,FALSE)</f>
        <v>절대값/상대값(%) 가능</v>
      </c>
      <c r="K783" s="25">
        <v>15</v>
      </c>
      <c r="M783" s="25">
        <v>7</v>
      </c>
      <c r="N783" s="25">
        <f t="shared" si="59"/>
        <v>53</v>
      </c>
      <c r="O783" s="25">
        <v>1</v>
      </c>
      <c r="P783" s="25">
        <v>1</v>
      </c>
      <c r="Q783" s="25">
        <v>1</v>
      </c>
      <c r="R783" s="25">
        <v>1</v>
      </c>
      <c r="T783" s="25">
        <v>1</v>
      </c>
      <c r="AA783" s="25">
        <f t="shared" si="58"/>
        <v>128</v>
      </c>
      <c r="AK783" s="25">
        <v>1</v>
      </c>
      <c r="AM783" s="25">
        <v>53</v>
      </c>
      <c r="AN783" s="25">
        <v>100</v>
      </c>
      <c r="AP783" s="25">
        <f t="shared" si="57"/>
        <v>2</v>
      </c>
      <c r="AQ783" s="25" t="str">
        <f>VLOOKUP(C783,'시스템이펙트 참고자료'!$A:$B,2,FALSE)</f>
        <v>ACTIVE_FOC_UP</v>
      </c>
      <c r="AS783" s="25">
        <v>1</v>
      </c>
      <c r="BD783" s="25">
        <v>1</v>
      </c>
    </row>
    <row r="784" spans="1:56" hidden="1">
      <c r="A784" s="25">
        <v>779</v>
      </c>
      <c r="B784" s="25" t="str">
        <f>VLOOKUP(C784,'시스템이펙트 참고자료'!$A:$C,2,FALSE)</f>
        <v>ACTIVE_ATTACK_RATE_UP</v>
      </c>
      <c r="C784" s="25">
        <v>618</v>
      </c>
      <c r="D784" s="25">
        <f>VLOOKUP(C784,'시스템이펙트 참고자료'!$A:$D,4,FALSE)</f>
        <v>0</v>
      </c>
      <c r="E784" s="25">
        <v>0</v>
      </c>
      <c r="F784" s="25">
        <v>0</v>
      </c>
      <c r="G784" s="25">
        <f t="shared" si="56"/>
        <v>1</v>
      </c>
      <c r="H784" s="25" t="s">
        <v>395</v>
      </c>
      <c r="I784" s="25">
        <v>1</v>
      </c>
      <c r="J784" s="25" t="str">
        <f>VLOOKUP(C784,'시스템이펙트 참고자료'!$A:$C,3,FALSE)</f>
        <v>절대값/상대값(%) 가능</v>
      </c>
      <c r="K784" s="25">
        <v>15</v>
      </c>
      <c r="M784" s="25">
        <v>7</v>
      </c>
      <c r="N784" s="25">
        <f t="shared" si="59"/>
        <v>528</v>
      </c>
      <c r="O784" s="25">
        <v>1</v>
      </c>
      <c r="P784" s="25">
        <v>1</v>
      </c>
      <c r="Q784" s="25">
        <v>1</v>
      </c>
      <c r="R784" s="25">
        <v>1</v>
      </c>
      <c r="T784" s="25">
        <v>1</v>
      </c>
      <c r="AA784" s="25">
        <f t="shared" si="58"/>
        <v>128</v>
      </c>
      <c r="AK784" s="25">
        <v>1</v>
      </c>
      <c r="AM784" s="25">
        <v>528</v>
      </c>
      <c r="AN784" s="25">
        <v>100</v>
      </c>
      <c r="AP784" s="25">
        <f t="shared" si="57"/>
        <v>1</v>
      </c>
      <c r="AQ784" s="25" t="str">
        <f>VLOOKUP(C784,'시스템이펙트 참고자료'!$A:$B,2,FALSE)</f>
        <v>ACTIVE_ATTACK_RATE_UP</v>
      </c>
      <c r="AS784" s="25">
        <v>1</v>
      </c>
      <c r="BD784" s="25">
        <v>1</v>
      </c>
    </row>
    <row r="785" spans="1:56" hidden="1">
      <c r="A785" s="25">
        <v>780</v>
      </c>
      <c r="B785" s="25" t="str">
        <f>VLOOKUP(C785,'시스템이펙트 참고자료'!$A:$C,2,FALSE)</f>
        <v>ACTIVE_ENG_UP</v>
      </c>
      <c r="C785" s="25">
        <v>615</v>
      </c>
      <c r="D785" s="25">
        <f>VLOOKUP(C785,'시스템이펙트 참고자료'!$A:$D,4,FALSE)</f>
        <v>0</v>
      </c>
      <c r="E785" s="25">
        <v>0</v>
      </c>
      <c r="F785" s="25">
        <v>0</v>
      </c>
      <c r="G785" s="25">
        <f t="shared" si="56"/>
        <v>2</v>
      </c>
      <c r="H785" s="25" t="s">
        <v>395</v>
      </c>
      <c r="I785" s="25">
        <v>1</v>
      </c>
      <c r="J785" s="25" t="str">
        <f>VLOOKUP(C785,'시스템이펙트 참고자료'!$A:$C,3,FALSE)</f>
        <v>절대값/상대값(%) 가능</v>
      </c>
      <c r="K785" s="25">
        <v>15</v>
      </c>
      <c r="M785" s="25">
        <v>7</v>
      </c>
      <c r="N785" s="25">
        <f t="shared" si="59"/>
        <v>62</v>
      </c>
      <c r="O785" s="25">
        <v>1</v>
      </c>
      <c r="P785" s="25">
        <v>1</v>
      </c>
      <c r="Q785" s="25">
        <v>1</v>
      </c>
      <c r="R785" s="25">
        <v>1</v>
      </c>
      <c r="T785" s="25">
        <v>1</v>
      </c>
      <c r="AA785" s="25">
        <f t="shared" si="58"/>
        <v>128</v>
      </c>
      <c r="AK785" s="25">
        <v>1</v>
      </c>
      <c r="AM785" s="25">
        <v>62</v>
      </c>
      <c r="AN785" s="25">
        <v>100</v>
      </c>
      <c r="AP785" s="25">
        <f t="shared" si="57"/>
        <v>2</v>
      </c>
      <c r="AQ785" s="25" t="str">
        <f>VLOOKUP(C785,'시스템이펙트 참고자료'!$A:$B,2,FALSE)</f>
        <v>ACTIVE_ENG_UP</v>
      </c>
      <c r="AS785" s="25">
        <v>1</v>
      </c>
      <c r="BD785" s="25">
        <v>1</v>
      </c>
    </row>
    <row r="786" spans="1:56" hidden="1">
      <c r="A786" s="25">
        <v>781</v>
      </c>
      <c r="B786" s="25" t="str">
        <f>VLOOKUP(C786,'시스템이펙트 참고자료'!$A:$C,2,FALSE)</f>
        <v>ACTIVE_PHYSICAL_CRITICAL</v>
      </c>
      <c r="C786" s="25">
        <v>632</v>
      </c>
      <c r="D786" s="25">
        <f>VLOOKUP(C786,'시스템이펙트 참고자료'!$A:$D,4,FALSE)</f>
        <v>0</v>
      </c>
      <c r="E786" s="25">
        <v>0</v>
      </c>
      <c r="F786" s="25">
        <v>0</v>
      </c>
      <c r="G786" s="25">
        <f t="shared" ref="G786:G849" si="60">IF(N786&gt;0,INT(100/N786+0.99),0)</f>
        <v>5</v>
      </c>
      <c r="H786" s="25" t="s">
        <v>395</v>
      </c>
      <c r="I786" s="25">
        <v>1</v>
      </c>
      <c r="J786" s="25" t="str">
        <f>VLOOKUP(C786,'시스템이펙트 참고자료'!$A:$C,3,FALSE)</f>
        <v>절대값/상대값(%) 가능</v>
      </c>
      <c r="K786" s="25">
        <v>15</v>
      </c>
      <c r="M786" s="25">
        <v>7</v>
      </c>
      <c r="N786" s="25">
        <f t="shared" si="59"/>
        <v>21</v>
      </c>
      <c r="O786" s="25">
        <v>1</v>
      </c>
      <c r="P786" s="25">
        <v>1</v>
      </c>
      <c r="Q786" s="25">
        <v>1</v>
      </c>
      <c r="R786" s="25">
        <v>1</v>
      </c>
      <c r="T786" s="25">
        <v>1</v>
      </c>
      <c r="AA786" s="25">
        <f t="shared" si="58"/>
        <v>128</v>
      </c>
      <c r="AK786" s="25">
        <v>1</v>
      </c>
      <c r="AM786" s="25">
        <v>21</v>
      </c>
      <c r="AN786" s="25">
        <v>100</v>
      </c>
      <c r="AP786" s="25">
        <f t="shared" ref="AP786:AP849" si="61">INT(100/N786+0.99)</f>
        <v>5</v>
      </c>
      <c r="AQ786" s="25" t="str">
        <f>VLOOKUP(C786,'시스템이펙트 참고자료'!$A:$B,2,FALSE)</f>
        <v>ACTIVE_PHYSICAL_CRITICAL</v>
      </c>
      <c r="AS786" s="25">
        <v>1</v>
      </c>
      <c r="BD786" s="25">
        <v>1</v>
      </c>
    </row>
    <row r="787" spans="1:56" hidden="1">
      <c r="A787" s="25">
        <v>782</v>
      </c>
      <c r="B787" s="25" t="str">
        <f>VLOOKUP(C787,'시스템이펙트 참고자료'!$A:$C,2,FALSE)</f>
        <v>ACTIVE_ENERGY_CRITICAL</v>
      </c>
      <c r="C787" s="25">
        <v>633</v>
      </c>
      <c r="D787" s="25">
        <f>VLOOKUP(C787,'시스템이펙트 참고자료'!$A:$D,4,FALSE)</f>
        <v>0</v>
      </c>
      <c r="E787" s="25">
        <v>0</v>
      </c>
      <c r="F787" s="25">
        <v>0</v>
      </c>
      <c r="G787" s="25">
        <f t="shared" si="60"/>
        <v>5</v>
      </c>
      <c r="H787" s="25" t="s">
        <v>395</v>
      </c>
      <c r="I787" s="25">
        <v>1</v>
      </c>
      <c r="J787" s="25" t="str">
        <f>VLOOKUP(C787,'시스템이펙트 참고자료'!$A:$C,3,FALSE)</f>
        <v>절대값/상대값(%) 가능</v>
      </c>
      <c r="K787" s="25">
        <v>15</v>
      </c>
      <c r="M787" s="25">
        <v>7</v>
      </c>
      <c r="N787" s="25">
        <f t="shared" si="59"/>
        <v>24</v>
      </c>
      <c r="O787" s="25">
        <v>1</v>
      </c>
      <c r="P787" s="25">
        <v>1</v>
      </c>
      <c r="Q787" s="25">
        <v>1</v>
      </c>
      <c r="R787" s="25">
        <v>1</v>
      </c>
      <c r="T787" s="25">
        <v>1</v>
      </c>
      <c r="AA787" s="25">
        <f t="shared" ref="AA787:AA850" si="62">2^AA$1</f>
        <v>128</v>
      </c>
      <c r="AK787" s="25">
        <v>1</v>
      </c>
      <c r="AM787" s="25">
        <v>24</v>
      </c>
      <c r="AN787" s="25">
        <v>100</v>
      </c>
      <c r="AP787" s="25">
        <f t="shared" si="61"/>
        <v>5</v>
      </c>
      <c r="AQ787" s="25" t="str">
        <f>VLOOKUP(C787,'시스템이펙트 참고자료'!$A:$B,2,FALSE)</f>
        <v>ACTIVE_ENERGY_CRITICAL</v>
      </c>
      <c r="AS787" s="25">
        <v>1</v>
      </c>
      <c r="BD787" s="25">
        <v>1</v>
      </c>
    </row>
    <row r="788" spans="1:56" hidden="1">
      <c r="A788" s="25">
        <v>783</v>
      </c>
      <c r="B788" s="25" t="str">
        <f>VLOOKUP(C788,'시스템이펙트 참고자료'!$A:$C,2,FALSE)</f>
        <v>ACTIVE_FOC_UP</v>
      </c>
      <c r="C788" s="25">
        <v>612</v>
      </c>
      <c r="D788" s="25">
        <f>VLOOKUP(C788,'시스템이펙트 참고자료'!$A:$D,4,FALSE)</f>
        <v>0</v>
      </c>
      <c r="E788" s="25">
        <v>0</v>
      </c>
      <c r="F788" s="25">
        <v>0</v>
      </c>
      <c r="G788" s="25">
        <f t="shared" si="60"/>
        <v>2</v>
      </c>
      <c r="H788" s="25" t="s">
        <v>395</v>
      </c>
      <c r="I788" s="25">
        <v>1</v>
      </c>
      <c r="J788" s="25" t="str">
        <f>VLOOKUP(C788,'시스템이펙트 참고자료'!$A:$C,3,FALSE)</f>
        <v>절대값/상대값(%) 가능</v>
      </c>
      <c r="K788" s="25">
        <v>15</v>
      </c>
      <c r="M788" s="25">
        <v>8</v>
      </c>
      <c r="N788" s="25">
        <f t="shared" si="59"/>
        <v>53</v>
      </c>
      <c r="O788" s="25">
        <v>1</v>
      </c>
      <c r="P788" s="25">
        <v>1</v>
      </c>
      <c r="Q788" s="25">
        <v>1</v>
      </c>
      <c r="R788" s="25">
        <v>1</v>
      </c>
      <c r="T788" s="25">
        <v>1</v>
      </c>
      <c r="AA788" s="25">
        <f t="shared" si="62"/>
        <v>128</v>
      </c>
      <c r="AK788" s="25">
        <v>1</v>
      </c>
      <c r="AM788" s="25">
        <v>53</v>
      </c>
      <c r="AN788" s="25">
        <v>100</v>
      </c>
      <c r="AP788" s="25">
        <f t="shared" si="61"/>
        <v>2</v>
      </c>
      <c r="AQ788" s="25" t="str">
        <f>VLOOKUP(C788,'시스템이펙트 참고자료'!$A:$B,2,FALSE)</f>
        <v>ACTIVE_FOC_UP</v>
      </c>
      <c r="AS788" s="25">
        <v>1</v>
      </c>
      <c r="BD788" s="25">
        <v>1</v>
      </c>
    </row>
    <row r="789" spans="1:56" hidden="1">
      <c r="A789" s="25">
        <v>784</v>
      </c>
      <c r="B789" s="25" t="str">
        <f>VLOOKUP(C789,'시스템이펙트 참고자료'!$A:$C,2,FALSE)</f>
        <v>ACTIVE_CON_UP</v>
      </c>
      <c r="C789" s="25">
        <v>611</v>
      </c>
      <c r="D789" s="25">
        <f>VLOOKUP(C789,'시스템이펙트 참고자료'!$A:$D,4,FALSE)</f>
        <v>0</v>
      </c>
      <c r="E789" s="25">
        <v>0</v>
      </c>
      <c r="F789" s="25">
        <v>0</v>
      </c>
      <c r="G789" s="25">
        <f t="shared" si="60"/>
        <v>3</v>
      </c>
      <c r="H789" s="25" t="s">
        <v>395</v>
      </c>
      <c r="I789" s="25">
        <v>1</v>
      </c>
      <c r="J789" s="25" t="str">
        <f>VLOOKUP(C789,'시스템이펙트 참고자료'!$A:$C,3,FALSE)</f>
        <v>절대값/상대값(%) 가능</v>
      </c>
      <c r="K789" s="25">
        <v>15</v>
      </c>
      <c r="M789" s="25">
        <v>8</v>
      </c>
      <c r="N789" s="25">
        <f t="shared" si="59"/>
        <v>48</v>
      </c>
      <c r="O789" s="25">
        <v>1</v>
      </c>
      <c r="P789" s="25">
        <v>1</v>
      </c>
      <c r="Q789" s="25">
        <v>1</v>
      </c>
      <c r="R789" s="25">
        <v>1</v>
      </c>
      <c r="T789" s="25">
        <v>1</v>
      </c>
      <c r="AA789" s="25">
        <f t="shared" si="62"/>
        <v>128</v>
      </c>
      <c r="AK789" s="25">
        <v>1</v>
      </c>
      <c r="AM789" s="25">
        <v>48</v>
      </c>
      <c r="AN789" s="25">
        <v>100</v>
      </c>
      <c r="AP789" s="25">
        <f t="shared" si="61"/>
        <v>3</v>
      </c>
      <c r="AQ789" s="25" t="str">
        <f>VLOOKUP(C789,'시스템이펙트 참고자료'!$A:$B,2,FALSE)</f>
        <v>ACTIVE_CON_UP</v>
      </c>
      <c r="AS789" s="25">
        <v>1</v>
      </c>
      <c r="BD789" s="25">
        <v>1</v>
      </c>
    </row>
    <row r="790" spans="1:56" hidden="1">
      <c r="A790" s="25">
        <v>785</v>
      </c>
      <c r="B790" s="25" t="str">
        <f>VLOOKUP(C790,'시스템이펙트 참고자료'!$A:$C,2,FALSE)</f>
        <v>ACTIVE_BLOCK_RATE_UP</v>
      </c>
      <c r="C790" s="25">
        <v>620</v>
      </c>
      <c r="D790" s="25">
        <f>VLOOKUP(C790,'시스템이펙트 참고자료'!$A:$D,4,FALSE)</f>
        <v>0</v>
      </c>
      <c r="E790" s="25">
        <v>0</v>
      </c>
      <c r="F790" s="25">
        <v>0</v>
      </c>
      <c r="G790" s="25">
        <f t="shared" si="60"/>
        <v>1</v>
      </c>
      <c r="H790" s="25" t="s">
        <v>395</v>
      </c>
      <c r="I790" s="25">
        <v>1</v>
      </c>
      <c r="J790" s="25" t="str">
        <f>VLOOKUP(C790,'시스템이펙트 참고자료'!$A:$C,3,FALSE)</f>
        <v>절대값/상대값(%) 가능</v>
      </c>
      <c r="K790" s="25">
        <v>15</v>
      </c>
      <c r="M790" s="25">
        <v>8</v>
      </c>
      <c r="N790" s="25">
        <f t="shared" si="59"/>
        <v>352</v>
      </c>
      <c r="O790" s="25">
        <v>1</v>
      </c>
      <c r="P790" s="25">
        <v>1</v>
      </c>
      <c r="Q790" s="25">
        <v>1</v>
      </c>
      <c r="R790" s="25">
        <v>1</v>
      </c>
      <c r="T790" s="25">
        <v>1</v>
      </c>
      <c r="AA790" s="25">
        <f t="shared" si="62"/>
        <v>128</v>
      </c>
      <c r="AK790" s="25">
        <v>1</v>
      </c>
      <c r="AM790" s="25">
        <v>352</v>
      </c>
      <c r="AN790" s="25">
        <v>100</v>
      </c>
      <c r="AP790" s="25">
        <f t="shared" si="61"/>
        <v>1</v>
      </c>
      <c r="AQ790" s="25" t="str">
        <f>VLOOKUP(C790,'시스템이펙트 참고자료'!$A:$B,2,FALSE)</f>
        <v>ACTIVE_BLOCK_RATE_UP</v>
      </c>
      <c r="AS790" s="25">
        <v>1</v>
      </c>
      <c r="BD790" s="25">
        <v>1</v>
      </c>
    </row>
    <row r="791" spans="1:56" hidden="1">
      <c r="A791" s="25">
        <v>786</v>
      </c>
      <c r="B791" s="25" t="str">
        <f>VLOOKUP(C791,'시스템이펙트 참고자료'!$A:$C,2,FALSE)</f>
        <v>ACTIVE_ENG_UP</v>
      </c>
      <c r="C791" s="25">
        <v>615</v>
      </c>
      <c r="D791" s="25">
        <f>VLOOKUP(C791,'시스템이펙트 참고자료'!$A:$D,4,FALSE)</f>
        <v>0</v>
      </c>
      <c r="E791" s="25">
        <v>0</v>
      </c>
      <c r="F791" s="25">
        <v>0</v>
      </c>
      <c r="G791" s="25">
        <f t="shared" si="60"/>
        <v>2</v>
      </c>
      <c r="H791" s="25" t="s">
        <v>395</v>
      </c>
      <c r="I791" s="25">
        <v>1</v>
      </c>
      <c r="J791" s="25" t="str">
        <f>VLOOKUP(C791,'시스템이펙트 참고자료'!$A:$C,3,FALSE)</f>
        <v>절대값/상대값(%) 가능</v>
      </c>
      <c r="K791" s="25">
        <v>15</v>
      </c>
      <c r="M791" s="25">
        <v>8</v>
      </c>
      <c r="N791" s="25">
        <f t="shared" si="59"/>
        <v>62</v>
      </c>
      <c r="O791" s="25">
        <v>1</v>
      </c>
      <c r="P791" s="25">
        <v>1</v>
      </c>
      <c r="Q791" s="25">
        <v>1</v>
      </c>
      <c r="R791" s="25">
        <v>1</v>
      </c>
      <c r="T791" s="25">
        <v>1</v>
      </c>
      <c r="AA791" s="25">
        <f t="shared" si="62"/>
        <v>128</v>
      </c>
      <c r="AK791" s="25">
        <v>1</v>
      </c>
      <c r="AM791" s="25">
        <v>62</v>
      </c>
      <c r="AN791" s="25">
        <v>100</v>
      </c>
      <c r="AP791" s="25">
        <f t="shared" si="61"/>
        <v>2</v>
      </c>
      <c r="AQ791" s="25" t="str">
        <f>VLOOKUP(C791,'시스템이펙트 참고자료'!$A:$B,2,FALSE)</f>
        <v>ACTIVE_ENG_UP</v>
      </c>
      <c r="AS791" s="25">
        <v>1</v>
      </c>
      <c r="BD791" s="25">
        <v>1</v>
      </c>
    </row>
    <row r="792" spans="1:56" hidden="1">
      <c r="A792" s="25">
        <v>787</v>
      </c>
      <c r="B792" s="25" t="str">
        <f>VLOOKUP(C792,'시스템이펙트 참고자료'!$A:$C,2,FALSE)</f>
        <v>ACTIVE_PHYSICAL_CRITICAL</v>
      </c>
      <c r="C792" s="25">
        <v>632</v>
      </c>
      <c r="D792" s="25">
        <f>VLOOKUP(C792,'시스템이펙트 참고자료'!$A:$D,4,FALSE)</f>
        <v>0</v>
      </c>
      <c r="E792" s="25">
        <v>0</v>
      </c>
      <c r="F792" s="25">
        <v>0</v>
      </c>
      <c r="G792" s="25">
        <f t="shared" si="60"/>
        <v>5</v>
      </c>
      <c r="H792" s="25" t="s">
        <v>395</v>
      </c>
      <c r="I792" s="25">
        <v>1</v>
      </c>
      <c r="J792" s="25" t="str">
        <f>VLOOKUP(C792,'시스템이펙트 참고자료'!$A:$C,3,FALSE)</f>
        <v>절대값/상대값(%) 가능</v>
      </c>
      <c r="K792" s="25">
        <v>15</v>
      </c>
      <c r="M792" s="25">
        <v>9</v>
      </c>
      <c r="N792" s="25">
        <f t="shared" si="59"/>
        <v>21</v>
      </c>
      <c r="O792" s="25">
        <v>1</v>
      </c>
      <c r="P792" s="25">
        <v>1</v>
      </c>
      <c r="Q792" s="25">
        <v>1</v>
      </c>
      <c r="R792" s="25">
        <v>1</v>
      </c>
      <c r="T792" s="25">
        <v>1</v>
      </c>
      <c r="AA792" s="25">
        <f t="shared" si="62"/>
        <v>128</v>
      </c>
      <c r="AK792" s="25">
        <v>1</v>
      </c>
      <c r="AM792" s="25">
        <v>21</v>
      </c>
      <c r="AN792" s="25">
        <v>100</v>
      </c>
      <c r="AP792" s="25">
        <f t="shared" si="61"/>
        <v>5</v>
      </c>
      <c r="AQ792" s="25" t="str">
        <f>VLOOKUP(C792,'시스템이펙트 참고자료'!$A:$B,2,FALSE)</f>
        <v>ACTIVE_PHYSICAL_CRITICAL</v>
      </c>
      <c r="AS792" s="25">
        <v>1</v>
      </c>
      <c r="BD792" s="25">
        <v>1</v>
      </c>
    </row>
    <row r="793" spans="1:56" hidden="1">
      <c r="A793" s="25">
        <v>788</v>
      </c>
      <c r="B793" s="25" t="str">
        <f>VLOOKUP(C793,'시스템이펙트 참고자료'!$A:$C,2,FALSE)</f>
        <v>ACTIVE_ENERGY_CRITICAL</v>
      </c>
      <c r="C793" s="25">
        <v>633</v>
      </c>
      <c r="D793" s="25">
        <f>VLOOKUP(C793,'시스템이펙트 참고자료'!$A:$D,4,FALSE)</f>
        <v>0</v>
      </c>
      <c r="E793" s="25">
        <v>0</v>
      </c>
      <c r="F793" s="25">
        <v>0</v>
      </c>
      <c r="G793" s="25">
        <f t="shared" si="60"/>
        <v>5</v>
      </c>
      <c r="H793" s="25" t="s">
        <v>395</v>
      </c>
      <c r="I793" s="25">
        <v>1</v>
      </c>
      <c r="J793" s="25" t="str">
        <f>VLOOKUP(C793,'시스템이펙트 참고자료'!$A:$C,3,FALSE)</f>
        <v>절대값/상대값(%) 가능</v>
      </c>
      <c r="K793" s="25">
        <v>15</v>
      </c>
      <c r="M793" s="25">
        <v>9</v>
      </c>
      <c r="N793" s="25">
        <f t="shared" si="59"/>
        <v>24</v>
      </c>
      <c r="O793" s="25">
        <v>1</v>
      </c>
      <c r="P793" s="25">
        <v>1</v>
      </c>
      <c r="Q793" s="25">
        <v>1</v>
      </c>
      <c r="R793" s="25">
        <v>1</v>
      </c>
      <c r="T793" s="25">
        <v>1</v>
      </c>
      <c r="AA793" s="25">
        <f t="shared" si="62"/>
        <v>128</v>
      </c>
      <c r="AK793" s="25">
        <v>1</v>
      </c>
      <c r="AM793" s="25">
        <v>24</v>
      </c>
      <c r="AN793" s="25">
        <v>100</v>
      </c>
      <c r="AP793" s="25">
        <f t="shared" si="61"/>
        <v>5</v>
      </c>
      <c r="AQ793" s="25" t="str">
        <f>VLOOKUP(C793,'시스템이펙트 참고자료'!$A:$B,2,FALSE)</f>
        <v>ACTIVE_ENERGY_CRITICAL</v>
      </c>
      <c r="AS793" s="25">
        <v>1</v>
      </c>
      <c r="BD793" s="25">
        <v>1</v>
      </c>
    </row>
    <row r="794" spans="1:56" hidden="1">
      <c r="A794" s="25">
        <v>789</v>
      </c>
      <c r="B794" s="25" t="str">
        <f>VLOOKUP(C794,'시스템이펙트 참고자료'!$A:$C,2,FALSE)</f>
        <v>ACTIVE_DEX_UP</v>
      </c>
      <c r="C794" s="25">
        <v>613</v>
      </c>
      <c r="D794" s="25">
        <f>VLOOKUP(C794,'시스템이펙트 참고자료'!$A:$D,4,FALSE)</f>
        <v>0</v>
      </c>
      <c r="E794" s="25">
        <v>0</v>
      </c>
      <c r="F794" s="25">
        <v>0</v>
      </c>
      <c r="G794" s="25">
        <f t="shared" si="60"/>
        <v>3</v>
      </c>
      <c r="H794" s="25" t="s">
        <v>395</v>
      </c>
      <c r="I794" s="25">
        <v>1</v>
      </c>
      <c r="J794" s="25" t="str">
        <f>VLOOKUP(C794,'시스템이펙트 참고자료'!$A:$C,3,FALSE)</f>
        <v>절대값/상대값(%) 가능</v>
      </c>
      <c r="K794" s="25">
        <v>15</v>
      </c>
      <c r="M794" s="25">
        <v>9</v>
      </c>
      <c r="N794" s="25">
        <f t="shared" si="59"/>
        <v>44</v>
      </c>
      <c r="O794" s="25">
        <v>1</v>
      </c>
      <c r="P794" s="25">
        <v>1</v>
      </c>
      <c r="Q794" s="25">
        <v>1</v>
      </c>
      <c r="R794" s="25">
        <v>1</v>
      </c>
      <c r="T794" s="25">
        <v>1</v>
      </c>
      <c r="AA794" s="25">
        <f t="shared" si="62"/>
        <v>128</v>
      </c>
      <c r="AK794" s="25">
        <v>1</v>
      </c>
      <c r="AM794" s="25">
        <v>44</v>
      </c>
      <c r="AN794" s="25">
        <v>100</v>
      </c>
      <c r="AP794" s="25">
        <f t="shared" si="61"/>
        <v>3</v>
      </c>
      <c r="AQ794" s="25" t="str">
        <f>VLOOKUP(C794,'시스템이펙트 참고자료'!$A:$B,2,FALSE)</f>
        <v>ACTIVE_DEX_UP</v>
      </c>
      <c r="AS794" s="25">
        <v>1</v>
      </c>
      <c r="BD794" s="25">
        <v>1</v>
      </c>
    </row>
    <row r="795" spans="1:56" hidden="1">
      <c r="A795" s="25">
        <v>790</v>
      </c>
      <c r="B795" s="25" t="str">
        <f>VLOOKUP(C795,'시스템이펙트 참고자료'!$A:$C,2,FALSE)</f>
        <v>ACTIVE_FOC_UP</v>
      </c>
      <c r="C795" s="25">
        <v>612</v>
      </c>
      <c r="D795" s="25">
        <f>VLOOKUP(C795,'시스템이펙트 참고자료'!$A:$D,4,FALSE)</f>
        <v>0</v>
      </c>
      <c r="E795" s="25">
        <v>0</v>
      </c>
      <c r="F795" s="25">
        <v>0</v>
      </c>
      <c r="G795" s="25">
        <f t="shared" si="60"/>
        <v>2</v>
      </c>
      <c r="H795" s="25" t="s">
        <v>395</v>
      </c>
      <c r="I795" s="25">
        <v>1</v>
      </c>
      <c r="J795" s="25" t="str">
        <f>VLOOKUP(C795,'시스템이펙트 참고자료'!$A:$C,3,FALSE)</f>
        <v>절대값/상대값(%) 가능</v>
      </c>
      <c r="K795" s="25">
        <v>15</v>
      </c>
      <c r="M795" s="25">
        <v>9</v>
      </c>
      <c r="N795" s="25">
        <f t="shared" si="59"/>
        <v>53</v>
      </c>
      <c r="O795" s="25">
        <v>1</v>
      </c>
      <c r="P795" s="25">
        <v>1</v>
      </c>
      <c r="Q795" s="25">
        <v>1</v>
      </c>
      <c r="R795" s="25">
        <v>1</v>
      </c>
      <c r="T795" s="25">
        <v>1</v>
      </c>
      <c r="AA795" s="25">
        <f t="shared" si="62"/>
        <v>128</v>
      </c>
      <c r="AK795" s="25">
        <v>1</v>
      </c>
      <c r="AM795" s="25">
        <v>53</v>
      </c>
      <c r="AN795" s="25">
        <v>100</v>
      </c>
      <c r="AP795" s="25">
        <f t="shared" si="61"/>
        <v>2</v>
      </c>
      <c r="AQ795" s="25" t="str">
        <f>VLOOKUP(C795,'시스템이펙트 참고자료'!$A:$B,2,FALSE)</f>
        <v>ACTIVE_FOC_UP</v>
      </c>
      <c r="AS795" s="25">
        <v>1</v>
      </c>
      <c r="BD795" s="25">
        <v>1</v>
      </c>
    </row>
    <row r="796" spans="1:56" hidden="1">
      <c r="A796" s="25">
        <v>791</v>
      </c>
      <c r="B796" s="25" t="str">
        <f>VLOOKUP(C796,'시스템이펙트 참고자료'!$A:$C,2,FALSE)</f>
        <v>ACTIVE_PHYSICAL_CRITICAL_DAMAGE_UP</v>
      </c>
      <c r="C796" s="25">
        <v>658</v>
      </c>
      <c r="D796" s="25">
        <f>VLOOKUP(C796,'시스템이펙트 참고자료'!$A:$D,4,FALSE)</f>
        <v>0</v>
      </c>
      <c r="E796" s="25">
        <v>0</v>
      </c>
      <c r="F796" s="25">
        <v>0</v>
      </c>
      <c r="G796" s="25">
        <f t="shared" si="60"/>
        <v>4</v>
      </c>
      <c r="H796" s="25" t="s">
        <v>395</v>
      </c>
      <c r="I796" s="25">
        <v>1</v>
      </c>
      <c r="J796" s="25" t="str">
        <f>VLOOKUP(C796,'시스템이펙트 참고자료'!$A:$C,3,FALSE)</f>
        <v>절대값만 가능</v>
      </c>
      <c r="K796" s="25">
        <v>15</v>
      </c>
      <c r="M796" s="25">
        <v>10</v>
      </c>
      <c r="N796" s="25">
        <f t="shared" si="59"/>
        <v>28</v>
      </c>
      <c r="O796" s="25">
        <v>1</v>
      </c>
      <c r="P796" s="25">
        <v>1</v>
      </c>
      <c r="Q796" s="25">
        <v>1</v>
      </c>
      <c r="R796" s="25">
        <v>1</v>
      </c>
      <c r="T796" s="25">
        <v>1</v>
      </c>
      <c r="AA796" s="25">
        <f t="shared" si="62"/>
        <v>128</v>
      </c>
      <c r="AK796" s="25">
        <v>1</v>
      </c>
      <c r="AM796" s="25">
        <v>28</v>
      </c>
      <c r="AN796" s="25">
        <v>100</v>
      </c>
      <c r="AP796" s="25">
        <f t="shared" si="61"/>
        <v>4</v>
      </c>
      <c r="AQ796" s="25" t="str">
        <f>VLOOKUP(C796,'시스템이펙트 참고자료'!$A:$B,2,FALSE)</f>
        <v>ACTIVE_PHYSICAL_CRITICAL_DAMAGE_UP</v>
      </c>
      <c r="AS796" s="25">
        <v>1</v>
      </c>
      <c r="BD796" s="25">
        <v>1</v>
      </c>
    </row>
    <row r="797" spans="1:56" hidden="1">
      <c r="A797" s="25">
        <v>792</v>
      </c>
      <c r="B797" s="25" t="str">
        <f>VLOOKUP(C797,'시스템이펙트 참고자료'!$A:$C,2,FALSE)</f>
        <v>ACTIVE_ENERGY_CRITICAL_DAMAGE_UP</v>
      </c>
      <c r="C797" s="25">
        <v>659</v>
      </c>
      <c r="D797" s="25">
        <f>VLOOKUP(C797,'시스템이펙트 참고자료'!$A:$D,4,FALSE)</f>
        <v>0</v>
      </c>
      <c r="E797" s="25">
        <v>0</v>
      </c>
      <c r="F797" s="25">
        <v>0</v>
      </c>
      <c r="G797" s="25">
        <f t="shared" si="60"/>
        <v>4</v>
      </c>
      <c r="H797" s="25" t="s">
        <v>395</v>
      </c>
      <c r="I797" s="25">
        <v>1</v>
      </c>
      <c r="J797" s="25" t="str">
        <f>VLOOKUP(C797,'시스템이펙트 참고자료'!$A:$C,3,FALSE)</f>
        <v>절대값만 가능</v>
      </c>
      <c r="K797" s="25">
        <v>15</v>
      </c>
      <c r="M797" s="25">
        <v>10</v>
      </c>
      <c r="N797" s="25">
        <f t="shared" si="59"/>
        <v>32</v>
      </c>
      <c r="O797" s="25">
        <v>1</v>
      </c>
      <c r="P797" s="25">
        <v>1</v>
      </c>
      <c r="Q797" s="25">
        <v>1</v>
      </c>
      <c r="R797" s="25">
        <v>1</v>
      </c>
      <c r="T797" s="25">
        <v>1</v>
      </c>
      <c r="AA797" s="25">
        <f t="shared" si="62"/>
        <v>128</v>
      </c>
      <c r="AK797" s="25">
        <v>1</v>
      </c>
      <c r="AM797" s="25">
        <v>32</v>
      </c>
      <c r="AN797" s="25">
        <v>100</v>
      </c>
      <c r="AP797" s="25">
        <f t="shared" si="61"/>
        <v>4</v>
      </c>
      <c r="AQ797" s="25" t="str">
        <f>VLOOKUP(C797,'시스템이펙트 참고자료'!$A:$B,2,FALSE)</f>
        <v>ACTIVE_ENERGY_CRITICAL_DAMAGE_UP</v>
      </c>
      <c r="AS797" s="25">
        <v>1</v>
      </c>
      <c r="BD797" s="25">
        <v>1</v>
      </c>
    </row>
    <row r="798" spans="1:56" hidden="1">
      <c r="A798" s="25">
        <v>793</v>
      </c>
      <c r="B798" s="25" t="str">
        <f>VLOOKUP(C798,'시스템이펙트 참고자료'!$A:$C,2,FALSE)</f>
        <v>ACTIVE_DEX_UP</v>
      </c>
      <c r="C798" s="25">
        <v>613</v>
      </c>
      <c r="D798" s="25">
        <f>VLOOKUP(C798,'시스템이펙트 참고자료'!$A:$D,4,FALSE)</f>
        <v>0</v>
      </c>
      <c r="E798" s="25">
        <v>0</v>
      </c>
      <c r="F798" s="25">
        <v>0</v>
      </c>
      <c r="G798" s="25">
        <f t="shared" si="60"/>
        <v>3</v>
      </c>
      <c r="H798" s="25" t="s">
        <v>395</v>
      </c>
      <c r="I798" s="25">
        <v>1</v>
      </c>
      <c r="J798" s="25" t="str">
        <f>VLOOKUP(C798,'시스템이펙트 참고자료'!$A:$C,3,FALSE)</f>
        <v>절대값/상대값(%) 가능</v>
      </c>
      <c r="K798" s="25">
        <v>15</v>
      </c>
      <c r="M798" s="25">
        <v>10</v>
      </c>
      <c r="N798" s="25">
        <f t="shared" si="59"/>
        <v>44</v>
      </c>
      <c r="O798" s="25">
        <v>1</v>
      </c>
      <c r="P798" s="25">
        <v>1</v>
      </c>
      <c r="Q798" s="25">
        <v>1</v>
      </c>
      <c r="R798" s="25">
        <v>1</v>
      </c>
      <c r="T798" s="25">
        <v>1</v>
      </c>
      <c r="AA798" s="25">
        <f t="shared" si="62"/>
        <v>128</v>
      </c>
      <c r="AK798" s="25">
        <v>1</v>
      </c>
      <c r="AM798" s="25">
        <v>44</v>
      </c>
      <c r="AN798" s="25">
        <v>100</v>
      </c>
      <c r="AP798" s="25">
        <f t="shared" si="61"/>
        <v>3</v>
      </c>
      <c r="AQ798" s="25" t="str">
        <f>VLOOKUP(C798,'시스템이펙트 참고자료'!$A:$B,2,FALSE)</f>
        <v>ACTIVE_DEX_UP</v>
      </c>
      <c r="AS798" s="25">
        <v>1</v>
      </c>
      <c r="BD798" s="25">
        <v>1</v>
      </c>
    </row>
    <row r="799" spans="1:56" hidden="1">
      <c r="A799" s="25">
        <v>794</v>
      </c>
      <c r="B799" s="25" t="str">
        <f>VLOOKUP(C799,'시스템이펙트 참고자료'!$A:$C,2,FALSE)</f>
        <v>ACTIVE_ATTACK_SPEED_UP</v>
      </c>
      <c r="C799" s="25">
        <v>617</v>
      </c>
      <c r="D799" s="25">
        <f>VLOOKUP(C799,'시스템이펙트 참고자료'!$A:$D,4,FALSE)</f>
        <v>1</v>
      </c>
      <c r="E799" s="25">
        <v>0</v>
      </c>
      <c r="F799" s="25">
        <v>0</v>
      </c>
      <c r="G799" s="25">
        <f t="shared" si="60"/>
        <v>10</v>
      </c>
      <c r="H799" s="25" t="s">
        <v>395</v>
      </c>
      <c r="I799" s="25">
        <v>1</v>
      </c>
      <c r="J799" s="25" t="str">
        <f>VLOOKUP(C799,'시스템이펙트 참고자료'!$A:$C,3,FALSE)</f>
        <v>절대값/상대값(%) 가능</v>
      </c>
      <c r="K799" s="25">
        <v>15</v>
      </c>
      <c r="M799" s="25">
        <v>10</v>
      </c>
      <c r="N799" s="25">
        <f t="shared" si="59"/>
        <v>10</v>
      </c>
      <c r="O799" s="25">
        <v>1</v>
      </c>
      <c r="P799" s="25">
        <v>1</v>
      </c>
      <c r="Q799" s="25">
        <v>1</v>
      </c>
      <c r="R799" s="25">
        <v>1</v>
      </c>
      <c r="T799" s="25">
        <v>1</v>
      </c>
      <c r="AA799" s="25">
        <f t="shared" si="62"/>
        <v>128</v>
      </c>
      <c r="AK799" s="25">
        <v>1</v>
      </c>
      <c r="AM799" s="25">
        <v>10</v>
      </c>
      <c r="AN799" s="25">
        <v>100</v>
      </c>
      <c r="AP799" s="25">
        <f t="shared" si="61"/>
        <v>10</v>
      </c>
      <c r="AQ799" s="25" t="str">
        <f>VLOOKUP(C799,'시스템이펙트 참고자료'!$A:$B,2,FALSE)</f>
        <v>ACTIVE_ATTACK_SPEED_UP</v>
      </c>
      <c r="AS799" s="25">
        <v>1</v>
      </c>
      <c r="BD799" s="25">
        <v>1</v>
      </c>
    </row>
    <row r="800" spans="1:56" hidden="1">
      <c r="A800" s="25">
        <v>795</v>
      </c>
      <c r="B800" s="25" t="str">
        <f>VLOOKUP(C800,'시스템이펙트 참고자료'!$A:$C,2,FALSE)</f>
        <v>ACTIVE_STR_UP</v>
      </c>
      <c r="C800" s="25">
        <v>610</v>
      </c>
      <c r="D800" s="25">
        <f>VLOOKUP(C800,'시스템이펙트 참고자료'!$A:$D,4,FALSE)</f>
        <v>0</v>
      </c>
      <c r="E800" s="25">
        <v>0</v>
      </c>
      <c r="F800" s="25">
        <v>0</v>
      </c>
      <c r="G800" s="25">
        <f t="shared" si="60"/>
        <v>2</v>
      </c>
      <c r="H800" s="25" t="s">
        <v>395</v>
      </c>
      <c r="I800" s="25">
        <v>1</v>
      </c>
      <c r="J800" s="25" t="str">
        <f>VLOOKUP(C800,'시스템이펙트 참고자료'!$A:$C,3,FALSE)</f>
        <v>절대값/상대값(%) 가능</v>
      </c>
      <c r="K800" s="25">
        <v>15</v>
      </c>
      <c r="M800" s="25">
        <v>11</v>
      </c>
      <c r="N800" s="25">
        <f t="shared" si="59"/>
        <v>57</v>
      </c>
      <c r="O800" s="25">
        <v>1</v>
      </c>
      <c r="P800" s="25">
        <v>1</v>
      </c>
      <c r="Q800" s="25">
        <v>1</v>
      </c>
      <c r="R800" s="25">
        <v>1</v>
      </c>
      <c r="T800" s="25">
        <v>1</v>
      </c>
      <c r="AA800" s="25">
        <f t="shared" si="62"/>
        <v>128</v>
      </c>
      <c r="AK800" s="25">
        <v>1</v>
      </c>
      <c r="AM800" s="25">
        <v>57</v>
      </c>
      <c r="AN800" s="25">
        <v>100</v>
      </c>
      <c r="AP800" s="25">
        <f t="shared" si="61"/>
        <v>2</v>
      </c>
      <c r="AQ800" s="25" t="str">
        <f>VLOOKUP(C800,'시스템이펙트 참고자료'!$A:$B,2,FALSE)</f>
        <v>ACTIVE_STR_UP</v>
      </c>
      <c r="AS800" s="25">
        <v>1</v>
      </c>
      <c r="BD800" s="25">
        <v>1</v>
      </c>
    </row>
    <row r="801" spans="1:56" hidden="1">
      <c r="A801" s="25">
        <v>796</v>
      </c>
      <c r="B801" s="25" t="str">
        <f>VLOOKUP(C801,'시스템이펙트 참고자료'!$A:$C,2,FALSE)</f>
        <v>ACTIVE_CON_UP</v>
      </c>
      <c r="C801" s="25">
        <v>611</v>
      </c>
      <c r="D801" s="25">
        <f>VLOOKUP(C801,'시스템이펙트 참고자료'!$A:$D,4,FALSE)</f>
        <v>0</v>
      </c>
      <c r="E801" s="25">
        <v>0</v>
      </c>
      <c r="F801" s="25">
        <v>0</v>
      </c>
      <c r="G801" s="25">
        <f t="shared" si="60"/>
        <v>3</v>
      </c>
      <c r="H801" s="25" t="s">
        <v>395</v>
      </c>
      <c r="I801" s="25">
        <v>1</v>
      </c>
      <c r="J801" s="25" t="str">
        <f>VLOOKUP(C801,'시스템이펙트 참고자료'!$A:$C,3,FALSE)</f>
        <v>절대값/상대값(%) 가능</v>
      </c>
      <c r="K801" s="25">
        <v>15</v>
      </c>
      <c r="M801" s="25">
        <v>11</v>
      </c>
      <c r="N801" s="25">
        <f t="shared" si="59"/>
        <v>48</v>
      </c>
      <c r="O801" s="25">
        <v>1</v>
      </c>
      <c r="P801" s="25">
        <v>1</v>
      </c>
      <c r="Q801" s="25">
        <v>1</v>
      </c>
      <c r="R801" s="25">
        <v>1</v>
      </c>
      <c r="T801" s="25">
        <v>1</v>
      </c>
      <c r="AA801" s="25">
        <f t="shared" si="62"/>
        <v>128</v>
      </c>
      <c r="AK801" s="25">
        <v>1</v>
      </c>
      <c r="AM801" s="25">
        <v>48</v>
      </c>
      <c r="AN801" s="25">
        <v>100</v>
      </c>
      <c r="AP801" s="25">
        <f t="shared" si="61"/>
        <v>3</v>
      </c>
      <c r="AQ801" s="25" t="str">
        <f>VLOOKUP(C801,'시스템이펙트 참고자료'!$A:$B,2,FALSE)</f>
        <v>ACTIVE_CON_UP</v>
      </c>
      <c r="AS801" s="25">
        <v>1</v>
      </c>
      <c r="BD801" s="25">
        <v>1</v>
      </c>
    </row>
    <row r="802" spans="1:56" hidden="1">
      <c r="A802" s="25">
        <v>797</v>
      </c>
      <c r="B802" s="25" t="str">
        <f>VLOOKUP(C802,'시스템이펙트 참고자료'!$A:$C,2,FALSE)</f>
        <v>ACTIVE_FOC_UP</v>
      </c>
      <c r="C802" s="25">
        <v>612</v>
      </c>
      <c r="D802" s="25">
        <f>VLOOKUP(C802,'시스템이펙트 참고자료'!$A:$D,4,FALSE)</f>
        <v>0</v>
      </c>
      <c r="E802" s="25">
        <v>0</v>
      </c>
      <c r="F802" s="25">
        <v>0</v>
      </c>
      <c r="G802" s="25">
        <f t="shared" si="60"/>
        <v>2</v>
      </c>
      <c r="H802" s="25" t="s">
        <v>395</v>
      </c>
      <c r="I802" s="25">
        <v>1</v>
      </c>
      <c r="J802" s="25" t="str">
        <f>VLOOKUP(C802,'시스템이펙트 참고자료'!$A:$C,3,FALSE)</f>
        <v>절대값/상대값(%) 가능</v>
      </c>
      <c r="K802" s="25">
        <v>15</v>
      </c>
      <c r="M802" s="25">
        <v>11</v>
      </c>
      <c r="N802" s="25">
        <f t="shared" si="59"/>
        <v>53</v>
      </c>
      <c r="O802" s="25">
        <v>1</v>
      </c>
      <c r="P802" s="25">
        <v>1</v>
      </c>
      <c r="Q802" s="25">
        <v>1</v>
      </c>
      <c r="R802" s="25">
        <v>1</v>
      </c>
      <c r="T802" s="25">
        <v>1</v>
      </c>
      <c r="AA802" s="25">
        <f t="shared" si="62"/>
        <v>128</v>
      </c>
      <c r="AK802" s="25">
        <v>1</v>
      </c>
      <c r="AM802" s="25">
        <v>53</v>
      </c>
      <c r="AN802" s="25">
        <v>100</v>
      </c>
      <c r="AP802" s="25">
        <f t="shared" si="61"/>
        <v>2</v>
      </c>
      <c r="AQ802" s="25" t="str">
        <f>VLOOKUP(C802,'시스템이펙트 참고자료'!$A:$B,2,FALSE)</f>
        <v>ACTIVE_FOC_UP</v>
      </c>
      <c r="AS802" s="25">
        <v>1</v>
      </c>
      <c r="BD802" s="25">
        <v>1</v>
      </c>
    </row>
    <row r="803" spans="1:56" hidden="1">
      <c r="A803" s="25">
        <v>798</v>
      </c>
      <c r="B803" s="25" t="str">
        <f>VLOOKUP(C803,'시스템이펙트 참고자료'!$A:$C,2,FALSE)</f>
        <v>ACTIVE_DEX_UP</v>
      </c>
      <c r="C803" s="25">
        <v>613</v>
      </c>
      <c r="D803" s="25">
        <f>VLOOKUP(C803,'시스템이펙트 참고자료'!$A:$D,4,FALSE)</f>
        <v>0</v>
      </c>
      <c r="E803" s="25">
        <v>0</v>
      </c>
      <c r="F803" s="25">
        <v>0</v>
      </c>
      <c r="G803" s="25">
        <f t="shared" si="60"/>
        <v>3</v>
      </c>
      <c r="H803" s="25" t="s">
        <v>395</v>
      </c>
      <c r="I803" s="25">
        <v>1</v>
      </c>
      <c r="J803" s="25" t="str">
        <f>VLOOKUP(C803,'시스템이펙트 참고자료'!$A:$C,3,FALSE)</f>
        <v>절대값/상대값(%) 가능</v>
      </c>
      <c r="K803" s="25">
        <v>15</v>
      </c>
      <c r="M803" s="25">
        <v>11</v>
      </c>
      <c r="N803" s="25">
        <f t="shared" si="59"/>
        <v>44</v>
      </c>
      <c r="O803" s="25">
        <v>1</v>
      </c>
      <c r="P803" s="25">
        <v>1</v>
      </c>
      <c r="Q803" s="25">
        <v>1</v>
      </c>
      <c r="R803" s="25">
        <v>1</v>
      </c>
      <c r="T803" s="25">
        <v>1</v>
      </c>
      <c r="AA803" s="25">
        <f t="shared" si="62"/>
        <v>128</v>
      </c>
      <c r="AK803" s="25">
        <v>1</v>
      </c>
      <c r="AM803" s="25">
        <v>44</v>
      </c>
      <c r="AN803" s="25">
        <v>100</v>
      </c>
      <c r="AP803" s="25">
        <f t="shared" si="61"/>
        <v>3</v>
      </c>
      <c r="AQ803" s="25" t="str">
        <f>VLOOKUP(C803,'시스템이펙트 참고자료'!$A:$B,2,FALSE)</f>
        <v>ACTIVE_DEX_UP</v>
      </c>
      <c r="AS803" s="25">
        <v>1</v>
      </c>
      <c r="BD803" s="25">
        <v>1</v>
      </c>
    </row>
    <row r="804" spans="1:56" hidden="1">
      <c r="A804" s="25">
        <v>799</v>
      </c>
      <c r="B804" s="25" t="str">
        <f>VLOOKUP(C804,'시스템이펙트 참고자료'!$A:$C,2,FALSE)</f>
        <v>ACTIVE_SOL_UP</v>
      </c>
      <c r="C804" s="25">
        <v>614</v>
      </c>
      <c r="D804" s="25">
        <f>VLOOKUP(C804,'시스템이펙트 참고자료'!$A:$D,4,FALSE)</f>
        <v>0</v>
      </c>
      <c r="E804" s="25">
        <v>0</v>
      </c>
      <c r="F804" s="25">
        <v>0</v>
      </c>
      <c r="G804" s="25">
        <f t="shared" si="60"/>
        <v>2</v>
      </c>
      <c r="H804" s="25" t="s">
        <v>395</v>
      </c>
      <c r="I804" s="25">
        <v>1</v>
      </c>
      <c r="J804" s="25" t="str">
        <f>VLOOKUP(C804,'시스템이펙트 참고자료'!$A:$C,3,FALSE)</f>
        <v>절대값/상대값(%) 가능</v>
      </c>
      <c r="K804" s="25">
        <v>15</v>
      </c>
      <c r="M804" s="25">
        <v>11</v>
      </c>
      <c r="N804" s="25">
        <f t="shared" si="59"/>
        <v>53</v>
      </c>
      <c r="O804" s="25">
        <v>1</v>
      </c>
      <c r="P804" s="25">
        <v>1</v>
      </c>
      <c r="Q804" s="25">
        <v>1</v>
      </c>
      <c r="R804" s="25">
        <v>1</v>
      </c>
      <c r="T804" s="25">
        <v>1</v>
      </c>
      <c r="AA804" s="25">
        <f t="shared" si="62"/>
        <v>128</v>
      </c>
      <c r="AK804" s="25">
        <v>1</v>
      </c>
      <c r="AM804" s="25">
        <v>53</v>
      </c>
      <c r="AN804" s="25">
        <v>100</v>
      </c>
      <c r="AP804" s="25">
        <f t="shared" si="61"/>
        <v>2</v>
      </c>
      <c r="AQ804" s="25" t="str">
        <f>VLOOKUP(C804,'시스템이펙트 참고자료'!$A:$B,2,FALSE)</f>
        <v>ACTIVE_SOL_UP</v>
      </c>
      <c r="AS804" s="25">
        <v>1</v>
      </c>
      <c r="BD804" s="25">
        <v>1</v>
      </c>
    </row>
    <row r="805" spans="1:56" hidden="1">
      <c r="A805" s="25">
        <v>800</v>
      </c>
      <c r="B805" s="25" t="str">
        <f>VLOOKUP(C805,'시스템이펙트 참고자료'!$A:$C,2,FALSE)</f>
        <v>ACTIVE_ENG_UP</v>
      </c>
      <c r="C805" s="25">
        <v>615</v>
      </c>
      <c r="D805" s="25">
        <f>VLOOKUP(C805,'시스템이펙트 참고자료'!$A:$D,4,FALSE)</f>
        <v>0</v>
      </c>
      <c r="E805" s="25">
        <v>0</v>
      </c>
      <c r="F805" s="25">
        <v>0</v>
      </c>
      <c r="G805" s="25">
        <f t="shared" si="60"/>
        <v>2</v>
      </c>
      <c r="H805" s="25" t="s">
        <v>395</v>
      </c>
      <c r="I805" s="25">
        <v>1</v>
      </c>
      <c r="J805" s="25" t="str">
        <f>VLOOKUP(C805,'시스템이펙트 참고자료'!$A:$C,3,FALSE)</f>
        <v>절대값/상대값(%) 가능</v>
      </c>
      <c r="K805" s="25">
        <v>15</v>
      </c>
      <c r="M805" s="25">
        <v>11</v>
      </c>
      <c r="N805" s="25">
        <f t="shared" si="59"/>
        <v>62</v>
      </c>
      <c r="O805" s="25">
        <v>1</v>
      </c>
      <c r="P805" s="25">
        <v>1</v>
      </c>
      <c r="Q805" s="25">
        <v>1</v>
      </c>
      <c r="R805" s="25">
        <v>1</v>
      </c>
      <c r="T805" s="25">
        <v>1</v>
      </c>
      <c r="AA805" s="25">
        <f t="shared" si="62"/>
        <v>128</v>
      </c>
      <c r="AK805" s="25">
        <v>1</v>
      </c>
      <c r="AM805" s="25">
        <v>62</v>
      </c>
      <c r="AN805" s="25">
        <v>100</v>
      </c>
      <c r="AP805" s="25">
        <f t="shared" si="61"/>
        <v>2</v>
      </c>
      <c r="AQ805" s="25" t="str">
        <f>VLOOKUP(C805,'시스템이펙트 참고자료'!$A:$B,2,FALSE)</f>
        <v>ACTIVE_ENG_UP</v>
      </c>
      <c r="AS805" s="25">
        <v>1</v>
      </c>
      <c r="BD805" s="25">
        <v>1</v>
      </c>
    </row>
    <row r="806" spans="1:56" hidden="1">
      <c r="A806" s="25">
        <v>801</v>
      </c>
      <c r="B806" s="25" t="str">
        <f>VLOOKUP(C806,'시스템이펙트 참고자료'!$A:$C,2,FALSE)</f>
        <v>ACTIVE_PHYSICAL_DEFENCE_UP</v>
      </c>
      <c r="C806" s="25">
        <v>608</v>
      </c>
      <c r="D806" s="25">
        <f>VLOOKUP(C806,'시스템이펙트 참고자료'!$A:$D,4,FALSE)</f>
        <v>0</v>
      </c>
      <c r="E806" s="25">
        <v>0</v>
      </c>
      <c r="F806" s="25">
        <v>0</v>
      </c>
      <c r="G806" s="25">
        <f t="shared" si="60"/>
        <v>1</v>
      </c>
      <c r="H806" s="25" t="s">
        <v>395</v>
      </c>
      <c r="I806" s="25">
        <v>1</v>
      </c>
      <c r="J806" s="25" t="str">
        <f>VLOOKUP(C806,'시스템이펙트 참고자료'!$A:$C,3,FALSE)</f>
        <v>절대값/상대값(%) 가능</v>
      </c>
      <c r="K806" s="25">
        <v>15</v>
      </c>
      <c r="M806" s="25">
        <v>12</v>
      </c>
      <c r="N806" s="25">
        <f t="shared" si="59"/>
        <v>1350</v>
      </c>
      <c r="O806" s="25">
        <v>1</v>
      </c>
      <c r="P806" s="25">
        <v>1</v>
      </c>
      <c r="Q806" s="25">
        <v>1</v>
      </c>
      <c r="R806" s="25">
        <v>1</v>
      </c>
      <c r="T806" s="25">
        <v>1</v>
      </c>
      <c r="AA806" s="25">
        <f t="shared" si="62"/>
        <v>128</v>
      </c>
      <c r="AK806" s="25">
        <v>1</v>
      </c>
      <c r="AM806" s="25">
        <v>1350</v>
      </c>
      <c r="AN806" s="25">
        <v>100</v>
      </c>
      <c r="AP806" s="25">
        <f t="shared" si="61"/>
        <v>1</v>
      </c>
      <c r="AQ806" s="25" t="str">
        <f>VLOOKUP(C806,'시스템이펙트 참고자료'!$A:$B,2,FALSE)</f>
        <v>ACTIVE_PHYSICAL_DEFENCE_UP</v>
      </c>
      <c r="AS806" s="25">
        <v>1</v>
      </c>
      <c r="BD806" s="25">
        <v>1</v>
      </c>
    </row>
    <row r="807" spans="1:56" hidden="1">
      <c r="A807" s="25">
        <v>802</v>
      </c>
      <c r="B807" s="25" t="str">
        <f>VLOOKUP(C807,'시스템이펙트 참고자료'!$A:$C,2,FALSE)</f>
        <v>ACTIVE_BLOCK_RATE_UP</v>
      </c>
      <c r="C807" s="25">
        <v>620</v>
      </c>
      <c r="D807" s="25">
        <f>VLOOKUP(C807,'시스템이펙트 참고자료'!$A:$D,4,FALSE)</f>
        <v>0</v>
      </c>
      <c r="E807" s="25">
        <v>0</v>
      </c>
      <c r="F807" s="25">
        <v>0</v>
      </c>
      <c r="G807" s="25">
        <f t="shared" si="60"/>
        <v>1</v>
      </c>
      <c r="H807" s="25" t="s">
        <v>395</v>
      </c>
      <c r="I807" s="25">
        <v>1</v>
      </c>
      <c r="J807" s="25" t="str">
        <f>VLOOKUP(C807,'시스템이펙트 참고자료'!$A:$C,3,FALSE)</f>
        <v>절대값/상대값(%) 가능</v>
      </c>
      <c r="K807" s="25">
        <v>15</v>
      </c>
      <c r="M807" s="25">
        <v>12</v>
      </c>
      <c r="N807" s="25">
        <f t="shared" si="59"/>
        <v>352</v>
      </c>
      <c r="O807" s="25">
        <v>1</v>
      </c>
      <c r="P807" s="25">
        <v>1</v>
      </c>
      <c r="Q807" s="25">
        <v>1</v>
      </c>
      <c r="R807" s="25">
        <v>1</v>
      </c>
      <c r="T807" s="25">
        <v>1</v>
      </c>
      <c r="AA807" s="25">
        <f t="shared" si="62"/>
        <v>128</v>
      </c>
      <c r="AK807" s="25">
        <v>1</v>
      </c>
      <c r="AM807" s="25">
        <v>352</v>
      </c>
      <c r="AN807" s="25">
        <v>100</v>
      </c>
      <c r="AP807" s="25">
        <f t="shared" si="61"/>
        <v>1</v>
      </c>
      <c r="AQ807" s="25" t="str">
        <f>VLOOKUP(C807,'시스템이펙트 참고자료'!$A:$B,2,FALSE)</f>
        <v>ACTIVE_BLOCK_RATE_UP</v>
      </c>
      <c r="AS807" s="25">
        <v>1</v>
      </c>
      <c r="BD807" s="25">
        <v>1</v>
      </c>
    </row>
    <row r="808" spans="1:56" hidden="1">
      <c r="A808" s="25">
        <v>803</v>
      </c>
      <c r="B808" s="25" t="str">
        <f>VLOOKUP(C808,'시스템이펙트 참고자료'!$A:$C,2,FALSE)</f>
        <v>ACTIVE_CON_UP</v>
      </c>
      <c r="C808" s="25">
        <v>611</v>
      </c>
      <c r="D808" s="25">
        <f>VLOOKUP(C808,'시스템이펙트 참고자료'!$A:$D,4,FALSE)</f>
        <v>0</v>
      </c>
      <c r="E808" s="25">
        <v>0</v>
      </c>
      <c r="F808" s="25">
        <v>0</v>
      </c>
      <c r="G808" s="25">
        <f t="shared" si="60"/>
        <v>3</v>
      </c>
      <c r="H808" s="25" t="s">
        <v>395</v>
      </c>
      <c r="I808" s="25">
        <v>1</v>
      </c>
      <c r="J808" s="25" t="str">
        <f>VLOOKUP(C808,'시스템이펙트 참고자료'!$A:$C,3,FALSE)</f>
        <v>절대값/상대값(%) 가능</v>
      </c>
      <c r="K808" s="25">
        <v>15</v>
      </c>
      <c r="M808" s="25">
        <v>12</v>
      </c>
      <c r="N808" s="25">
        <f t="shared" si="59"/>
        <v>48</v>
      </c>
      <c r="O808" s="25">
        <v>1</v>
      </c>
      <c r="P808" s="25">
        <v>1</v>
      </c>
      <c r="Q808" s="25">
        <v>1</v>
      </c>
      <c r="R808" s="25">
        <v>1</v>
      </c>
      <c r="T808" s="25">
        <v>1</v>
      </c>
      <c r="AA808" s="25">
        <f t="shared" si="62"/>
        <v>128</v>
      </c>
      <c r="AK808" s="25">
        <v>1</v>
      </c>
      <c r="AM808" s="25">
        <v>48</v>
      </c>
      <c r="AN808" s="25">
        <v>100</v>
      </c>
      <c r="AP808" s="25">
        <f t="shared" si="61"/>
        <v>3</v>
      </c>
      <c r="AQ808" s="25" t="str">
        <f>VLOOKUP(C808,'시스템이펙트 참고자료'!$A:$B,2,FALSE)</f>
        <v>ACTIVE_CON_UP</v>
      </c>
      <c r="AS808" s="25">
        <v>1</v>
      </c>
      <c r="BD808" s="25">
        <v>1</v>
      </c>
    </row>
    <row r="809" spans="1:56" hidden="1">
      <c r="A809" s="25">
        <v>804</v>
      </c>
      <c r="B809" s="25" t="str">
        <f>VLOOKUP(C809,'시스템이펙트 참고자료'!$A:$C,2,FALSE)</f>
        <v>ACTIVE_FOC_UP</v>
      </c>
      <c r="C809" s="25">
        <v>612</v>
      </c>
      <c r="D809" s="25">
        <f>VLOOKUP(C809,'시스템이펙트 참고자료'!$A:$D,4,FALSE)</f>
        <v>0</v>
      </c>
      <c r="E809" s="25">
        <v>0</v>
      </c>
      <c r="F809" s="25">
        <v>0</v>
      </c>
      <c r="G809" s="25">
        <f t="shared" si="60"/>
        <v>2</v>
      </c>
      <c r="H809" s="25" t="s">
        <v>395</v>
      </c>
      <c r="I809" s="25">
        <v>1</v>
      </c>
      <c r="J809" s="25" t="str">
        <f>VLOOKUP(C809,'시스템이펙트 참고자료'!$A:$C,3,FALSE)</f>
        <v>절대값/상대값(%) 가능</v>
      </c>
      <c r="K809" s="25">
        <v>15</v>
      </c>
      <c r="M809" s="25">
        <v>12</v>
      </c>
      <c r="N809" s="25">
        <f t="shared" si="59"/>
        <v>53</v>
      </c>
      <c r="O809" s="25">
        <v>1</v>
      </c>
      <c r="P809" s="25">
        <v>1</v>
      </c>
      <c r="Q809" s="25">
        <v>1</v>
      </c>
      <c r="R809" s="25">
        <v>1</v>
      </c>
      <c r="T809" s="25">
        <v>1</v>
      </c>
      <c r="AA809" s="25">
        <f t="shared" si="62"/>
        <v>128</v>
      </c>
      <c r="AK809" s="25">
        <v>1</v>
      </c>
      <c r="AM809" s="25">
        <v>53</v>
      </c>
      <c r="AN809" s="25">
        <v>100</v>
      </c>
      <c r="AP809" s="25">
        <f t="shared" si="61"/>
        <v>2</v>
      </c>
      <c r="AQ809" s="25" t="str">
        <f>VLOOKUP(C809,'시스템이펙트 참고자료'!$A:$B,2,FALSE)</f>
        <v>ACTIVE_FOC_UP</v>
      </c>
      <c r="AS809" s="25">
        <v>1</v>
      </c>
      <c r="BD809" s="25">
        <v>1</v>
      </c>
    </row>
    <row r="810" spans="1:56" hidden="1">
      <c r="A810" s="25">
        <v>805</v>
      </c>
      <c r="B810" s="25" t="str">
        <f>VLOOKUP(C810,'시스템이펙트 참고자료'!$A:$C,2,FALSE)</f>
        <v>ACTIVE_ENERGY_OFFENCE_UP</v>
      </c>
      <c r="C810" s="25">
        <v>607</v>
      </c>
      <c r="D810" s="25">
        <f>VLOOKUP(C810,'시스템이펙트 참고자료'!$A:$D,4,FALSE)</f>
        <v>0</v>
      </c>
      <c r="E810" s="25">
        <v>0</v>
      </c>
      <c r="F810" s="25">
        <v>0</v>
      </c>
      <c r="G810" s="25">
        <f t="shared" si="60"/>
        <v>1</v>
      </c>
      <c r="H810" s="25" t="s">
        <v>395</v>
      </c>
      <c r="I810" s="25">
        <v>1</v>
      </c>
      <c r="J810" s="25" t="str">
        <f>VLOOKUP(C810,'시스템이펙트 참고자료'!$A:$C,3,FALSE)</f>
        <v>절대값/상대값(%) 가능</v>
      </c>
      <c r="K810" s="25">
        <v>16</v>
      </c>
      <c r="M810" s="25">
        <v>3</v>
      </c>
      <c r="N810" s="25">
        <f t="shared" si="59"/>
        <v>104</v>
      </c>
      <c r="O810" s="25">
        <v>1</v>
      </c>
      <c r="P810" s="25">
        <v>1</v>
      </c>
      <c r="Q810" s="25">
        <v>1</v>
      </c>
      <c r="R810" s="25">
        <v>1</v>
      </c>
      <c r="T810" s="25">
        <v>1</v>
      </c>
      <c r="AA810" s="25">
        <f t="shared" si="62"/>
        <v>128</v>
      </c>
      <c r="AK810" s="25">
        <v>1</v>
      </c>
      <c r="AM810" s="25">
        <v>104</v>
      </c>
      <c r="AN810" s="25">
        <v>100</v>
      </c>
      <c r="AP810" s="25">
        <f t="shared" si="61"/>
        <v>1</v>
      </c>
      <c r="AQ810" s="25" t="str">
        <f>VLOOKUP(C810,'시스템이펙트 참고자료'!$A:$B,2,FALSE)</f>
        <v>ACTIVE_ENERGY_OFFENCE_UP</v>
      </c>
      <c r="AS810" s="25">
        <v>1</v>
      </c>
      <c r="BD810" s="25">
        <v>1</v>
      </c>
    </row>
    <row r="811" spans="1:56" hidden="1">
      <c r="A811" s="25">
        <v>806</v>
      </c>
      <c r="B811" s="25" t="str">
        <f>VLOOKUP(C811,'시스템이펙트 참고자료'!$A:$C,2,FALSE)</f>
        <v>ACTIVE_FOC_UP</v>
      </c>
      <c r="C811" s="25">
        <v>612</v>
      </c>
      <c r="D811" s="25">
        <f>VLOOKUP(C811,'시스템이펙트 참고자료'!$A:$D,4,FALSE)</f>
        <v>0</v>
      </c>
      <c r="E811" s="25">
        <v>0</v>
      </c>
      <c r="F811" s="25">
        <v>0</v>
      </c>
      <c r="G811" s="25">
        <f t="shared" si="60"/>
        <v>2</v>
      </c>
      <c r="H811" s="25" t="s">
        <v>395</v>
      </c>
      <c r="I811" s="25">
        <v>1</v>
      </c>
      <c r="J811" s="25" t="str">
        <f>VLOOKUP(C811,'시스템이펙트 참고자료'!$A:$C,3,FALSE)</f>
        <v>절대값/상대값(%) 가능</v>
      </c>
      <c r="K811" s="25">
        <v>16</v>
      </c>
      <c r="M811" s="25">
        <v>3</v>
      </c>
      <c r="N811" s="25">
        <f t="shared" si="59"/>
        <v>53</v>
      </c>
      <c r="O811" s="25">
        <v>1</v>
      </c>
      <c r="P811" s="25">
        <v>1</v>
      </c>
      <c r="Q811" s="25">
        <v>1</v>
      </c>
      <c r="R811" s="25">
        <v>1</v>
      </c>
      <c r="T811" s="25">
        <v>1</v>
      </c>
      <c r="AA811" s="25">
        <f t="shared" si="62"/>
        <v>128</v>
      </c>
      <c r="AK811" s="25">
        <v>1</v>
      </c>
      <c r="AM811" s="25">
        <v>53</v>
      </c>
      <c r="AN811" s="25">
        <v>100</v>
      </c>
      <c r="AP811" s="25">
        <f t="shared" si="61"/>
        <v>2</v>
      </c>
      <c r="AQ811" s="25" t="str">
        <f>VLOOKUP(C811,'시스템이펙트 참고자료'!$A:$B,2,FALSE)</f>
        <v>ACTIVE_FOC_UP</v>
      </c>
      <c r="AS811" s="25">
        <v>1</v>
      </c>
      <c r="BD811" s="25">
        <v>1</v>
      </c>
    </row>
    <row r="812" spans="1:56" hidden="1">
      <c r="A812" s="25">
        <v>807</v>
      </c>
      <c r="B812" s="25" t="str">
        <f>VLOOKUP(C812,'시스템이펙트 참고자료'!$A:$C,2,FALSE)</f>
        <v>ACTIVE_SOL_UP</v>
      </c>
      <c r="C812" s="25">
        <v>614</v>
      </c>
      <c r="D812" s="25">
        <f>VLOOKUP(C812,'시스템이펙트 참고자료'!$A:$D,4,FALSE)</f>
        <v>0</v>
      </c>
      <c r="E812" s="25">
        <v>0</v>
      </c>
      <c r="F812" s="25">
        <v>0</v>
      </c>
      <c r="G812" s="25">
        <f t="shared" si="60"/>
        <v>2</v>
      </c>
      <c r="H812" s="25" t="s">
        <v>395</v>
      </c>
      <c r="I812" s="25">
        <v>1</v>
      </c>
      <c r="J812" s="25" t="str">
        <f>VLOOKUP(C812,'시스템이펙트 참고자료'!$A:$C,3,FALSE)</f>
        <v>절대값/상대값(%) 가능</v>
      </c>
      <c r="K812" s="25">
        <v>16</v>
      </c>
      <c r="M812" s="25">
        <v>3</v>
      </c>
      <c r="N812" s="25">
        <f t="shared" si="59"/>
        <v>53</v>
      </c>
      <c r="O812" s="25">
        <v>1</v>
      </c>
      <c r="P812" s="25">
        <v>1</v>
      </c>
      <c r="Q812" s="25">
        <v>1</v>
      </c>
      <c r="R812" s="25">
        <v>1</v>
      </c>
      <c r="T812" s="25">
        <v>1</v>
      </c>
      <c r="AA812" s="25">
        <f t="shared" si="62"/>
        <v>128</v>
      </c>
      <c r="AK812" s="25">
        <v>1</v>
      </c>
      <c r="AM812" s="25">
        <v>53</v>
      </c>
      <c r="AN812" s="25">
        <v>100</v>
      </c>
      <c r="AP812" s="25">
        <f t="shared" si="61"/>
        <v>2</v>
      </c>
      <c r="AQ812" s="25" t="str">
        <f>VLOOKUP(C812,'시스템이펙트 참고자료'!$A:$B,2,FALSE)</f>
        <v>ACTIVE_SOL_UP</v>
      </c>
      <c r="AS812" s="25">
        <v>1</v>
      </c>
      <c r="BD812" s="25">
        <v>1</v>
      </c>
    </row>
    <row r="813" spans="1:56" hidden="1">
      <c r="A813" s="25">
        <v>808</v>
      </c>
      <c r="B813" s="25" t="str">
        <f>VLOOKUP(C813,'시스템이펙트 참고자료'!$A:$C,2,FALSE)</f>
        <v>ACTIVE_ENERGY_CRITICAL_DAMAGE_UP</v>
      </c>
      <c r="C813" s="25">
        <v>659</v>
      </c>
      <c r="D813" s="25">
        <f>VLOOKUP(C813,'시스템이펙트 참고자료'!$A:$D,4,FALSE)</f>
        <v>0</v>
      </c>
      <c r="E813" s="25">
        <v>0</v>
      </c>
      <c r="F813" s="25">
        <v>0</v>
      </c>
      <c r="G813" s="25">
        <f t="shared" si="60"/>
        <v>4</v>
      </c>
      <c r="H813" s="25" t="s">
        <v>395</v>
      </c>
      <c r="I813" s="25">
        <v>1</v>
      </c>
      <c r="J813" s="25" t="str">
        <f>VLOOKUP(C813,'시스템이펙트 참고자료'!$A:$C,3,FALSE)</f>
        <v>절대값만 가능</v>
      </c>
      <c r="K813" s="25">
        <v>16</v>
      </c>
      <c r="M813" s="25">
        <v>3</v>
      </c>
      <c r="N813" s="25">
        <f t="shared" si="59"/>
        <v>32</v>
      </c>
      <c r="O813" s="25">
        <v>1</v>
      </c>
      <c r="P813" s="25">
        <v>1</v>
      </c>
      <c r="Q813" s="25">
        <v>1</v>
      </c>
      <c r="R813" s="25">
        <v>1</v>
      </c>
      <c r="T813" s="25">
        <v>1</v>
      </c>
      <c r="AA813" s="25">
        <f t="shared" si="62"/>
        <v>128</v>
      </c>
      <c r="AK813" s="25">
        <v>1</v>
      </c>
      <c r="AM813" s="25">
        <v>32</v>
      </c>
      <c r="AN813" s="25">
        <v>100</v>
      </c>
      <c r="AP813" s="25">
        <f t="shared" si="61"/>
        <v>4</v>
      </c>
      <c r="AQ813" s="25" t="str">
        <f>VLOOKUP(C813,'시스템이펙트 참고자료'!$A:$B,2,FALSE)</f>
        <v>ACTIVE_ENERGY_CRITICAL_DAMAGE_UP</v>
      </c>
      <c r="AS813" s="25">
        <v>1</v>
      </c>
      <c r="BD813" s="25">
        <v>1</v>
      </c>
    </row>
    <row r="814" spans="1:56" hidden="1">
      <c r="A814" s="25">
        <v>809</v>
      </c>
      <c r="B814" s="25" t="str">
        <f>VLOOKUP(C814,'시스템이펙트 참고자료'!$A:$C,2,FALSE)</f>
        <v>ACTIVE_ENERGY_CRITICAL</v>
      </c>
      <c r="C814" s="25">
        <v>633</v>
      </c>
      <c r="D814" s="25">
        <f>VLOOKUP(C814,'시스템이펙트 참고자료'!$A:$D,4,FALSE)</f>
        <v>0</v>
      </c>
      <c r="E814" s="25">
        <v>0</v>
      </c>
      <c r="F814" s="25">
        <v>0</v>
      </c>
      <c r="G814" s="25">
        <f t="shared" si="60"/>
        <v>5</v>
      </c>
      <c r="H814" s="25" t="s">
        <v>395</v>
      </c>
      <c r="I814" s="25">
        <v>1</v>
      </c>
      <c r="J814" s="25" t="str">
        <f>VLOOKUP(C814,'시스템이펙트 참고자료'!$A:$C,3,FALSE)</f>
        <v>절대값/상대값(%) 가능</v>
      </c>
      <c r="K814" s="25">
        <v>16</v>
      </c>
      <c r="M814" s="25">
        <v>4</v>
      </c>
      <c r="N814" s="25">
        <f t="shared" si="59"/>
        <v>24</v>
      </c>
      <c r="O814" s="25">
        <v>1</v>
      </c>
      <c r="P814" s="25">
        <v>1</v>
      </c>
      <c r="Q814" s="25">
        <v>1</v>
      </c>
      <c r="R814" s="25">
        <v>1</v>
      </c>
      <c r="T814" s="25">
        <v>1</v>
      </c>
      <c r="AA814" s="25">
        <f t="shared" si="62"/>
        <v>128</v>
      </c>
      <c r="AK814" s="25">
        <v>1</v>
      </c>
      <c r="AM814" s="25">
        <v>24</v>
      </c>
      <c r="AN814" s="25">
        <v>100</v>
      </c>
      <c r="AP814" s="25">
        <f t="shared" si="61"/>
        <v>5</v>
      </c>
      <c r="AQ814" s="25" t="str">
        <f>VLOOKUP(C814,'시스템이펙트 참고자료'!$A:$B,2,FALSE)</f>
        <v>ACTIVE_ENERGY_CRITICAL</v>
      </c>
      <c r="AS814" s="25">
        <v>1</v>
      </c>
      <c r="BD814" s="25">
        <v>1</v>
      </c>
    </row>
    <row r="815" spans="1:56" hidden="1">
      <c r="A815" s="25">
        <v>810</v>
      </c>
      <c r="B815" s="25" t="str">
        <f>VLOOKUP(C815,'시스템이펙트 참고자료'!$A:$C,2,FALSE)</f>
        <v>ACTIVE_ENERGY_CRITICAL_DAMAGE_UP</v>
      </c>
      <c r="C815" s="25">
        <v>659</v>
      </c>
      <c r="D815" s="25">
        <f>VLOOKUP(C815,'시스템이펙트 참고자료'!$A:$D,4,FALSE)</f>
        <v>0</v>
      </c>
      <c r="E815" s="25">
        <v>0</v>
      </c>
      <c r="F815" s="25">
        <v>0</v>
      </c>
      <c r="G815" s="25">
        <f t="shared" si="60"/>
        <v>4</v>
      </c>
      <c r="H815" s="25" t="s">
        <v>395</v>
      </c>
      <c r="I815" s="25">
        <v>1</v>
      </c>
      <c r="J815" s="25" t="str">
        <f>VLOOKUP(C815,'시스템이펙트 참고자료'!$A:$C,3,FALSE)</f>
        <v>절대값만 가능</v>
      </c>
      <c r="K815" s="25">
        <v>16</v>
      </c>
      <c r="M815" s="25">
        <v>4</v>
      </c>
      <c r="N815" s="25">
        <f t="shared" si="59"/>
        <v>32</v>
      </c>
      <c r="O815" s="25">
        <v>1</v>
      </c>
      <c r="P815" s="25">
        <v>1</v>
      </c>
      <c r="Q815" s="25">
        <v>1</v>
      </c>
      <c r="R815" s="25">
        <v>1</v>
      </c>
      <c r="T815" s="25">
        <v>1</v>
      </c>
      <c r="AA815" s="25">
        <f t="shared" si="62"/>
        <v>128</v>
      </c>
      <c r="AK815" s="25">
        <v>1</v>
      </c>
      <c r="AM815" s="25">
        <v>32</v>
      </c>
      <c r="AN815" s="25">
        <v>100</v>
      </c>
      <c r="AP815" s="25">
        <f t="shared" si="61"/>
        <v>4</v>
      </c>
      <c r="AQ815" s="25" t="str">
        <f>VLOOKUP(C815,'시스템이펙트 참고자료'!$A:$B,2,FALSE)</f>
        <v>ACTIVE_ENERGY_CRITICAL_DAMAGE_UP</v>
      </c>
      <c r="AS815" s="25">
        <v>1</v>
      </c>
      <c r="BD815" s="25">
        <v>1</v>
      </c>
    </row>
    <row r="816" spans="1:56" hidden="1">
      <c r="A816" s="25">
        <v>811</v>
      </c>
      <c r="B816" s="25" t="str">
        <f>VLOOKUP(C816,'시스템이펙트 참고자료'!$A:$C,2,FALSE)</f>
        <v>ACTIVE_FOC_UP</v>
      </c>
      <c r="C816" s="25">
        <v>612</v>
      </c>
      <c r="D816" s="25">
        <f>VLOOKUP(C816,'시스템이펙트 참고자료'!$A:$D,4,FALSE)</f>
        <v>0</v>
      </c>
      <c r="E816" s="25">
        <v>0</v>
      </c>
      <c r="F816" s="25">
        <v>0</v>
      </c>
      <c r="G816" s="25">
        <f t="shared" si="60"/>
        <v>2</v>
      </c>
      <c r="H816" s="25" t="s">
        <v>395</v>
      </c>
      <c r="I816" s="25">
        <v>1</v>
      </c>
      <c r="J816" s="25" t="str">
        <f>VLOOKUP(C816,'시스템이펙트 참고자료'!$A:$C,3,FALSE)</f>
        <v>절대값/상대값(%) 가능</v>
      </c>
      <c r="K816" s="25">
        <v>16</v>
      </c>
      <c r="M816" s="25">
        <v>4</v>
      </c>
      <c r="N816" s="25">
        <f t="shared" si="59"/>
        <v>53</v>
      </c>
      <c r="O816" s="25">
        <v>1</v>
      </c>
      <c r="P816" s="25">
        <v>1</v>
      </c>
      <c r="Q816" s="25">
        <v>1</v>
      </c>
      <c r="R816" s="25">
        <v>1</v>
      </c>
      <c r="T816" s="25">
        <v>1</v>
      </c>
      <c r="AA816" s="25">
        <f t="shared" si="62"/>
        <v>128</v>
      </c>
      <c r="AK816" s="25">
        <v>1</v>
      </c>
      <c r="AM816" s="25">
        <v>53</v>
      </c>
      <c r="AN816" s="25">
        <v>100</v>
      </c>
      <c r="AP816" s="25">
        <f t="shared" si="61"/>
        <v>2</v>
      </c>
      <c r="AQ816" s="25" t="str">
        <f>VLOOKUP(C816,'시스템이펙트 참고자료'!$A:$B,2,FALSE)</f>
        <v>ACTIVE_FOC_UP</v>
      </c>
      <c r="AS816" s="25">
        <v>1</v>
      </c>
      <c r="BD816" s="25">
        <v>1</v>
      </c>
    </row>
    <row r="817" spans="1:56" hidden="1">
      <c r="A817" s="25">
        <v>812</v>
      </c>
      <c r="B817" s="25" t="str">
        <f>VLOOKUP(C817,'시스템이펙트 참고자료'!$A:$C,2,FALSE)</f>
        <v>ACTIVE_DEX_UP</v>
      </c>
      <c r="C817" s="25">
        <v>613</v>
      </c>
      <c r="D817" s="25">
        <f>VLOOKUP(C817,'시스템이펙트 참고자료'!$A:$D,4,FALSE)</f>
        <v>0</v>
      </c>
      <c r="E817" s="25">
        <v>0</v>
      </c>
      <c r="F817" s="25">
        <v>0</v>
      </c>
      <c r="G817" s="25">
        <f t="shared" si="60"/>
        <v>3</v>
      </c>
      <c r="H817" s="25" t="s">
        <v>395</v>
      </c>
      <c r="I817" s="25">
        <v>1</v>
      </c>
      <c r="J817" s="25" t="str">
        <f>VLOOKUP(C817,'시스템이펙트 참고자료'!$A:$C,3,FALSE)</f>
        <v>절대값/상대값(%) 가능</v>
      </c>
      <c r="K817" s="25">
        <v>16</v>
      </c>
      <c r="M817" s="25">
        <v>4</v>
      </c>
      <c r="N817" s="25">
        <f t="shared" si="59"/>
        <v>44</v>
      </c>
      <c r="O817" s="25">
        <v>1</v>
      </c>
      <c r="P817" s="25">
        <v>1</v>
      </c>
      <c r="Q817" s="25">
        <v>1</v>
      </c>
      <c r="R817" s="25">
        <v>1</v>
      </c>
      <c r="T817" s="25">
        <v>1</v>
      </c>
      <c r="AA817" s="25">
        <f t="shared" si="62"/>
        <v>128</v>
      </c>
      <c r="AK817" s="25">
        <v>1</v>
      </c>
      <c r="AM817" s="25">
        <v>44</v>
      </c>
      <c r="AN817" s="25">
        <v>100</v>
      </c>
      <c r="AP817" s="25">
        <f t="shared" si="61"/>
        <v>3</v>
      </c>
      <c r="AQ817" s="25" t="str">
        <f>VLOOKUP(C817,'시스템이펙트 참고자료'!$A:$B,2,FALSE)</f>
        <v>ACTIVE_DEX_UP</v>
      </c>
      <c r="AS817" s="25">
        <v>1</v>
      </c>
      <c r="BD817" s="25">
        <v>1</v>
      </c>
    </row>
    <row r="818" spans="1:56" hidden="1">
      <c r="A818" s="25">
        <v>813</v>
      </c>
      <c r="B818" s="25" t="str">
        <f>VLOOKUP(C818,'시스템이펙트 참고자료'!$A:$C,2,FALSE)</f>
        <v>ACTIVE_ATTACK_SPEED_UP</v>
      </c>
      <c r="C818" s="25">
        <v>617</v>
      </c>
      <c r="D818" s="25">
        <f>VLOOKUP(C818,'시스템이펙트 참고자료'!$A:$D,4,FALSE)</f>
        <v>1</v>
      </c>
      <c r="E818" s="25">
        <v>0</v>
      </c>
      <c r="F818" s="25">
        <v>0</v>
      </c>
      <c r="G818" s="25">
        <f t="shared" si="60"/>
        <v>10</v>
      </c>
      <c r="H818" s="25" t="s">
        <v>395</v>
      </c>
      <c r="I818" s="25">
        <v>1</v>
      </c>
      <c r="J818" s="25" t="str">
        <f>VLOOKUP(C818,'시스템이펙트 참고자료'!$A:$C,3,FALSE)</f>
        <v>절대값/상대값(%) 가능</v>
      </c>
      <c r="K818" s="25">
        <v>16</v>
      </c>
      <c r="M818" s="25">
        <v>5</v>
      </c>
      <c r="N818" s="25">
        <f t="shared" si="59"/>
        <v>10</v>
      </c>
      <c r="O818" s="25">
        <v>1</v>
      </c>
      <c r="P818" s="25">
        <v>1</v>
      </c>
      <c r="Q818" s="25">
        <v>1</v>
      </c>
      <c r="R818" s="25">
        <v>1</v>
      </c>
      <c r="T818" s="25">
        <v>1</v>
      </c>
      <c r="AA818" s="25">
        <f t="shared" si="62"/>
        <v>128</v>
      </c>
      <c r="AK818" s="25">
        <v>1</v>
      </c>
      <c r="AM818" s="25">
        <v>10</v>
      </c>
      <c r="AN818" s="25">
        <v>100</v>
      </c>
      <c r="AP818" s="25">
        <f t="shared" si="61"/>
        <v>10</v>
      </c>
      <c r="AQ818" s="25" t="str">
        <f>VLOOKUP(C818,'시스템이펙트 참고자료'!$A:$B,2,FALSE)</f>
        <v>ACTIVE_ATTACK_SPEED_UP</v>
      </c>
      <c r="AS818" s="25">
        <v>1</v>
      </c>
      <c r="BD818" s="25">
        <v>1</v>
      </c>
    </row>
    <row r="819" spans="1:56" hidden="1">
      <c r="A819" s="25">
        <v>814</v>
      </c>
      <c r="B819" s="25" t="str">
        <f>VLOOKUP(C819,'시스템이펙트 참고자료'!$A:$C,2,FALSE)</f>
        <v>ACTIVE_DEX_UP</v>
      </c>
      <c r="C819" s="25">
        <v>613</v>
      </c>
      <c r="D819" s="25">
        <f>VLOOKUP(C819,'시스템이펙트 참고자료'!$A:$D,4,FALSE)</f>
        <v>0</v>
      </c>
      <c r="E819" s="25">
        <v>0</v>
      </c>
      <c r="F819" s="25">
        <v>0</v>
      </c>
      <c r="G819" s="25">
        <f t="shared" si="60"/>
        <v>3</v>
      </c>
      <c r="H819" s="25" t="s">
        <v>395</v>
      </c>
      <c r="I819" s="25">
        <v>1</v>
      </c>
      <c r="J819" s="25" t="str">
        <f>VLOOKUP(C819,'시스템이펙트 참고자료'!$A:$C,3,FALSE)</f>
        <v>절대값/상대값(%) 가능</v>
      </c>
      <c r="K819" s="25">
        <v>16</v>
      </c>
      <c r="M819" s="25">
        <v>5</v>
      </c>
      <c r="N819" s="25">
        <f t="shared" si="59"/>
        <v>44</v>
      </c>
      <c r="O819" s="25">
        <v>1</v>
      </c>
      <c r="P819" s="25">
        <v>1</v>
      </c>
      <c r="Q819" s="25">
        <v>1</v>
      </c>
      <c r="R819" s="25">
        <v>1</v>
      </c>
      <c r="T819" s="25">
        <v>1</v>
      </c>
      <c r="AA819" s="25">
        <f t="shared" si="62"/>
        <v>128</v>
      </c>
      <c r="AK819" s="25">
        <v>1</v>
      </c>
      <c r="AM819" s="25">
        <v>44</v>
      </c>
      <c r="AN819" s="25">
        <v>100</v>
      </c>
      <c r="AP819" s="25">
        <f t="shared" si="61"/>
        <v>3</v>
      </c>
      <c r="AQ819" s="25" t="str">
        <f>VLOOKUP(C819,'시스템이펙트 참고자료'!$A:$B,2,FALSE)</f>
        <v>ACTIVE_DEX_UP</v>
      </c>
      <c r="AS819" s="25">
        <v>1</v>
      </c>
      <c r="BD819" s="25">
        <v>1</v>
      </c>
    </row>
    <row r="820" spans="1:56" hidden="1">
      <c r="A820" s="25">
        <v>815</v>
      </c>
      <c r="B820" s="25" t="str">
        <f>VLOOKUP(C820,'시스템이펙트 참고자료'!$A:$C,2,FALSE)</f>
        <v>ACTIVE_FOC_UP</v>
      </c>
      <c r="C820" s="25">
        <v>612</v>
      </c>
      <c r="D820" s="25">
        <f>VLOOKUP(C820,'시스템이펙트 참고자료'!$A:$D,4,FALSE)</f>
        <v>0</v>
      </c>
      <c r="E820" s="25">
        <v>0</v>
      </c>
      <c r="F820" s="25">
        <v>0</v>
      </c>
      <c r="G820" s="25">
        <f t="shared" si="60"/>
        <v>2</v>
      </c>
      <c r="H820" s="25" t="s">
        <v>395</v>
      </c>
      <c r="I820" s="25">
        <v>1</v>
      </c>
      <c r="J820" s="25" t="str">
        <f>VLOOKUP(C820,'시스템이펙트 참고자료'!$A:$C,3,FALSE)</f>
        <v>절대값/상대값(%) 가능</v>
      </c>
      <c r="K820" s="25">
        <v>16</v>
      </c>
      <c r="M820" s="25">
        <v>5</v>
      </c>
      <c r="N820" s="25">
        <f t="shared" si="59"/>
        <v>53</v>
      </c>
      <c r="O820" s="25">
        <v>1</v>
      </c>
      <c r="P820" s="25">
        <v>1</v>
      </c>
      <c r="Q820" s="25">
        <v>1</v>
      </c>
      <c r="R820" s="25">
        <v>1</v>
      </c>
      <c r="T820" s="25">
        <v>1</v>
      </c>
      <c r="AA820" s="25">
        <f t="shared" si="62"/>
        <v>128</v>
      </c>
      <c r="AK820" s="25">
        <v>1</v>
      </c>
      <c r="AM820" s="25">
        <v>53</v>
      </c>
      <c r="AN820" s="25">
        <v>100</v>
      </c>
      <c r="AP820" s="25">
        <f t="shared" si="61"/>
        <v>2</v>
      </c>
      <c r="AQ820" s="25" t="str">
        <f>VLOOKUP(C820,'시스템이펙트 참고자료'!$A:$B,2,FALSE)</f>
        <v>ACTIVE_FOC_UP</v>
      </c>
      <c r="AS820" s="25">
        <v>1</v>
      </c>
      <c r="BD820" s="25">
        <v>1</v>
      </c>
    </row>
    <row r="821" spans="1:56" hidden="1">
      <c r="A821" s="25">
        <v>816</v>
      </c>
      <c r="B821" s="25" t="str">
        <f>VLOOKUP(C821,'시스템이펙트 참고자료'!$A:$C,2,FALSE)</f>
        <v>ACTIVE_PHYSICAL_OFFENCE_UP</v>
      </c>
      <c r="C821" s="25">
        <v>606</v>
      </c>
      <c r="D821" s="25">
        <f>VLOOKUP(C821,'시스템이펙트 참고자료'!$A:$D,4,FALSE)</f>
        <v>0</v>
      </c>
      <c r="E821" s="25">
        <v>0</v>
      </c>
      <c r="F821" s="25">
        <v>0</v>
      </c>
      <c r="G821" s="25">
        <f t="shared" si="60"/>
        <v>1</v>
      </c>
      <c r="H821" s="25" t="s">
        <v>395</v>
      </c>
      <c r="I821" s="25">
        <v>1</v>
      </c>
      <c r="J821" s="25" t="str">
        <f>VLOOKUP(C821,'시스템이펙트 참고자료'!$A:$C,3,FALSE)</f>
        <v>절대값/상대값(%) 가능</v>
      </c>
      <c r="K821" s="25">
        <v>16</v>
      </c>
      <c r="M821" s="25">
        <v>5</v>
      </c>
      <c r="N821" s="25">
        <f t="shared" si="59"/>
        <v>125</v>
      </c>
      <c r="O821" s="25">
        <v>1</v>
      </c>
      <c r="P821" s="25">
        <v>1</v>
      </c>
      <c r="Q821" s="25">
        <v>1</v>
      </c>
      <c r="R821" s="25">
        <v>1</v>
      </c>
      <c r="T821" s="25">
        <v>1</v>
      </c>
      <c r="AA821" s="25">
        <f t="shared" si="62"/>
        <v>128</v>
      </c>
      <c r="AK821" s="25">
        <v>1</v>
      </c>
      <c r="AM821" s="25">
        <v>125</v>
      </c>
      <c r="AN821" s="25">
        <v>100</v>
      </c>
      <c r="AP821" s="25">
        <f t="shared" si="61"/>
        <v>1</v>
      </c>
      <c r="AQ821" s="25" t="str">
        <f>VLOOKUP(C821,'시스템이펙트 참고자료'!$A:$B,2,FALSE)</f>
        <v>ACTIVE_PHYSICAL_OFFENCE_UP</v>
      </c>
      <c r="AS821" s="25">
        <v>1</v>
      </c>
      <c r="BD821" s="25">
        <v>1</v>
      </c>
    </row>
    <row r="822" spans="1:56" hidden="1">
      <c r="A822" s="25">
        <v>817</v>
      </c>
      <c r="B822" s="25" t="str">
        <f>VLOOKUP(C822,'시스템이펙트 참고자료'!$A:$C,2,FALSE)</f>
        <v>ACTIVE_ENERGY_OFFENCE_UP</v>
      </c>
      <c r="C822" s="25">
        <v>607</v>
      </c>
      <c r="D822" s="25">
        <f>VLOOKUP(C822,'시스템이펙트 참고자료'!$A:$D,4,FALSE)</f>
        <v>0</v>
      </c>
      <c r="E822" s="25">
        <v>0</v>
      </c>
      <c r="F822" s="25">
        <v>0</v>
      </c>
      <c r="G822" s="25">
        <f t="shared" si="60"/>
        <v>1</v>
      </c>
      <c r="H822" s="25" t="s">
        <v>395</v>
      </c>
      <c r="I822" s="25">
        <v>1</v>
      </c>
      <c r="J822" s="25" t="str">
        <f>VLOOKUP(C822,'시스템이펙트 참고자료'!$A:$C,3,FALSE)</f>
        <v>절대값/상대값(%) 가능</v>
      </c>
      <c r="K822" s="25">
        <v>16</v>
      </c>
      <c r="M822" s="25">
        <v>5</v>
      </c>
      <c r="N822" s="25">
        <f t="shared" si="59"/>
        <v>104</v>
      </c>
      <c r="O822" s="25">
        <v>1</v>
      </c>
      <c r="P822" s="25">
        <v>1</v>
      </c>
      <c r="Q822" s="25">
        <v>1</v>
      </c>
      <c r="R822" s="25">
        <v>1</v>
      </c>
      <c r="T822" s="25">
        <v>1</v>
      </c>
      <c r="AA822" s="25">
        <f t="shared" si="62"/>
        <v>128</v>
      </c>
      <c r="AK822" s="25">
        <v>1</v>
      </c>
      <c r="AM822" s="25">
        <v>104</v>
      </c>
      <c r="AN822" s="25">
        <v>100</v>
      </c>
      <c r="AP822" s="25">
        <f t="shared" si="61"/>
        <v>1</v>
      </c>
      <c r="AQ822" s="25" t="str">
        <f>VLOOKUP(C822,'시스템이펙트 참고자료'!$A:$B,2,FALSE)</f>
        <v>ACTIVE_ENERGY_OFFENCE_UP</v>
      </c>
      <c r="AS822" s="25">
        <v>1</v>
      </c>
      <c r="BD822" s="25">
        <v>1</v>
      </c>
    </row>
    <row r="823" spans="1:56" hidden="1">
      <c r="A823" s="25">
        <v>818</v>
      </c>
      <c r="B823" s="25" t="str">
        <f>VLOOKUP(C823,'시스템이펙트 참고자료'!$A:$C,2,FALSE)</f>
        <v>ACTIVE_PHYSICAL_OFFENCE_UP</v>
      </c>
      <c r="C823" s="25">
        <v>606</v>
      </c>
      <c r="D823" s="25">
        <f>VLOOKUP(C823,'시스템이펙트 참고자료'!$A:$D,4,FALSE)</f>
        <v>0</v>
      </c>
      <c r="E823" s="25">
        <v>0</v>
      </c>
      <c r="F823" s="25">
        <v>0</v>
      </c>
      <c r="G823" s="25">
        <f t="shared" si="60"/>
        <v>1</v>
      </c>
      <c r="H823" s="25" t="s">
        <v>395</v>
      </c>
      <c r="I823" s="25">
        <v>1</v>
      </c>
      <c r="J823" s="25" t="str">
        <f>VLOOKUP(C823,'시스템이펙트 참고자료'!$A:$C,3,FALSE)</f>
        <v>절대값/상대값(%) 가능</v>
      </c>
      <c r="K823" s="25">
        <v>16</v>
      </c>
      <c r="M823" s="25">
        <v>6</v>
      </c>
      <c r="N823" s="25">
        <f t="shared" si="59"/>
        <v>125</v>
      </c>
      <c r="O823" s="25">
        <v>1</v>
      </c>
      <c r="P823" s="25">
        <v>1</v>
      </c>
      <c r="Q823" s="25">
        <v>1</v>
      </c>
      <c r="R823" s="25">
        <v>1</v>
      </c>
      <c r="T823" s="25">
        <v>1</v>
      </c>
      <c r="AA823" s="25">
        <f t="shared" si="62"/>
        <v>128</v>
      </c>
      <c r="AK823" s="25">
        <v>1</v>
      </c>
      <c r="AM823" s="25">
        <v>125</v>
      </c>
      <c r="AN823" s="25">
        <v>100</v>
      </c>
      <c r="AP823" s="25">
        <f t="shared" si="61"/>
        <v>1</v>
      </c>
      <c r="AQ823" s="25" t="str">
        <f>VLOOKUP(C823,'시스템이펙트 참고자료'!$A:$B,2,FALSE)</f>
        <v>ACTIVE_PHYSICAL_OFFENCE_UP</v>
      </c>
      <c r="AS823" s="25">
        <v>1</v>
      </c>
      <c r="BD823" s="25">
        <v>1</v>
      </c>
    </row>
    <row r="824" spans="1:56" hidden="1">
      <c r="A824" s="25">
        <v>819</v>
      </c>
      <c r="B824" s="25" t="str">
        <f>VLOOKUP(C824,'시스템이펙트 참고자료'!$A:$C,2,FALSE)</f>
        <v>ACTIVE_ENERGY_OFFENCE_UP</v>
      </c>
      <c r="C824" s="25">
        <v>607</v>
      </c>
      <c r="D824" s="25">
        <f>VLOOKUP(C824,'시스템이펙트 참고자료'!$A:$D,4,FALSE)</f>
        <v>0</v>
      </c>
      <c r="E824" s="25">
        <v>0</v>
      </c>
      <c r="F824" s="25">
        <v>0</v>
      </c>
      <c r="G824" s="25">
        <f t="shared" si="60"/>
        <v>1</v>
      </c>
      <c r="H824" s="25" t="s">
        <v>395</v>
      </c>
      <c r="I824" s="25">
        <v>1</v>
      </c>
      <c r="J824" s="25" t="str">
        <f>VLOOKUP(C824,'시스템이펙트 참고자료'!$A:$C,3,FALSE)</f>
        <v>절대값/상대값(%) 가능</v>
      </c>
      <c r="K824" s="25">
        <v>16</v>
      </c>
      <c r="M824" s="25">
        <v>6</v>
      </c>
      <c r="N824" s="25">
        <f t="shared" si="59"/>
        <v>104</v>
      </c>
      <c r="O824" s="25">
        <v>1</v>
      </c>
      <c r="P824" s="25">
        <v>1</v>
      </c>
      <c r="Q824" s="25">
        <v>1</v>
      </c>
      <c r="R824" s="25">
        <v>1</v>
      </c>
      <c r="T824" s="25">
        <v>1</v>
      </c>
      <c r="AA824" s="25">
        <f t="shared" si="62"/>
        <v>128</v>
      </c>
      <c r="AK824" s="25">
        <v>1</v>
      </c>
      <c r="AM824" s="25">
        <v>104</v>
      </c>
      <c r="AN824" s="25">
        <v>100</v>
      </c>
      <c r="AP824" s="25">
        <f t="shared" si="61"/>
        <v>1</v>
      </c>
      <c r="AQ824" s="25" t="str">
        <f>VLOOKUP(C824,'시스템이펙트 참고자료'!$A:$B,2,FALSE)</f>
        <v>ACTIVE_ENERGY_OFFENCE_UP</v>
      </c>
      <c r="AS824" s="25">
        <v>1</v>
      </c>
      <c r="BD824" s="25">
        <v>1</v>
      </c>
    </row>
    <row r="825" spans="1:56" hidden="1">
      <c r="A825" s="25">
        <v>820</v>
      </c>
      <c r="B825" s="25" t="str">
        <f>VLOOKUP(C825,'시스템이펙트 참고자료'!$A:$C,2,FALSE)</f>
        <v>ACTIVE_STR_UP</v>
      </c>
      <c r="C825" s="25">
        <v>610</v>
      </c>
      <c r="D825" s="25">
        <f>VLOOKUP(C825,'시스템이펙트 참고자료'!$A:$D,4,FALSE)</f>
        <v>0</v>
      </c>
      <c r="E825" s="25">
        <v>0</v>
      </c>
      <c r="F825" s="25">
        <v>0</v>
      </c>
      <c r="G825" s="25">
        <f t="shared" si="60"/>
        <v>2</v>
      </c>
      <c r="H825" s="25" t="s">
        <v>395</v>
      </c>
      <c r="I825" s="25">
        <v>1</v>
      </c>
      <c r="J825" s="25" t="str">
        <f>VLOOKUP(C825,'시스템이펙트 참고자료'!$A:$C,3,FALSE)</f>
        <v>절대값/상대값(%) 가능</v>
      </c>
      <c r="K825" s="25">
        <v>16</v>
      </c>
      <c r="M825" s="25">
        <v>6</v>
      </c>
      <c r="N825" s="25">
        <f t="shared" si="59"/>
        <v>57</v>
      </c>
      <c r="O825" s="25">
        <v>1</v>
      </c>
      <c r="P825" s="25">
        <v>1</v>
      </c>
      <c r="Q825" s="25">
        <v>1</v>
      </c>
      <c r="R825" s="25">
        <v>1</v>
      </c>
      <c r="T825" s="25">
        <v>1</v>
      </c>
      <c r="AA825" s="25">
        <f t="shared" si="62"/>
        <v>128</v>
      </c>
      <c r="AK825" s="25">
        <v>1</v>
      </c>
      <c r="AM825" s="25">
        <v>57</v>
      </c>
      <c r="AN825" s="25">
        <v>100</v>
      </c>
      <c r="AP825" s="25">
        <f t="shared" si="61"/>
        <v>2</v>
      </c>
      <c r="AQ825" s="25" t="str">
        <f>VLOOKUP(C825,'시스템이펙트 참고자료'!$A:$B,2,FALSE)</f>
        <v>ACTIVE_STR_UP</v>
      </c>
      <c r="AS825" s="25">
        <v>1</v>
      </c>
      <c r="BD825" s="25">
        <v>1</v>
      </c>
    </row>
    <row r="826" spans="1:56" hidden="1">
      <c r="A826" s="25">
        <v>821</v>
      </c>
      <c r="B826" s="25" t="str">
        <f>VLOOKUP(C826,'시스템이펙트 참고자료'!$A:$C,2,FALSE)</f>
        <v>ACTIVE_SOL_UP</v>
      </c>
      <c r="C826" s="25">
        <v>614</v>
      </c>
      <c r="D826" s="25">
        <f>VLOOKUP(C826,'시스템이펙트 참고자료'!$A:$D,4,FALSE)</f>
        <v>0</v>
      </c>
      <c r="E826" s="25">
        <v>0</v>
      </c>
      <c r="F826" s="25">
        <v>0</v>
      </c>
      <c r="G826" s="25">
        <f t="shared" si="60"/>
        <v>2</v>
      </c>
      <c r="H826" s="25" t="s">
        <v>395</v>
      </c>
      <c r="I826" s="25">
        <v>1</v>
      </c>
      <c r="J826" s="25" t="str">
        <f>VLOOKUP(C826,'시스템이펙트 참고자료'!$A:$C,3,FALSE)</f>
        <v>절대값/상대값(%) 가능</v>
      </c>
      <c r="K826" s="25">
        <v>16</v>
      </c>
      <c r="M826" s="25">
        <v>6</v>
      </c>
      <c r="N826" s="25">
        <f t="shared" si="59"/>
        <v>53</v>
      </c>
      <c r="O826" s="25">
        <v>1</v>
      </c>
      <c r="P826" s="25">
        <v>1</v>
      </c>
      <c r="Q826" s="25">
        <v>1</v>
      </c>
      <c r="R826" s="25">
        <v>1</v>
      </c>
      <c r="T826" s="25">
        <v>1</v>
      </c>
      <c r="AA826" s="25">
        <f t="shared" si="62"/>
        <v>128</v>
      </c>
      <c r="AK826" s="25">
        <v>1</v>
      </c>
      <c r="AM826" s="25">
        <v>53</v>
      </c>
      <c r="AN826" s="25">
        <v>100</v>
      </c>
      <c r="AP826" s="25">
        <f t="shared" si="61"/>
        <v>2</v>
      </c>
      <c r="AQ826" s="25" t="str">
        <f>VLOOKUP(C826,'시스템이펙트 참고자료'!$A:$B,2,FALSE)</f>
        <v>ACTIVE_SOL_UP</v>
      </c>
      <c r="AS826" s="25">
        <v>1</v>
      </c>
      <c r="BD826" s="25">
        <v>1</v>
      </c>
    </row>
    <row r="827" spans="1:56" hidden="1">
      <c r="A827" s="25">
        <v>822</v>
      </c>
      <c r="B827" s="25" t="str">
        <f>VLOOKUP(C827,'시스템이펙트 참고자료'!$A:$C,2,FALSE)</f>
        <v>ACTIVE_PHYSICAL_CRITICAL_DAMAGE_UP</v>
      </c>
      <c r="C827" s="25">
        <v>658</v>
      </c>
      <c r="D827" s="25">
        <f>VLOOKUP(C827,'시스템이펙트 참고자료'!$A:$D,4,FALSE)</f>
        <v>0</v>
      </c>
      <c r="E827" s="25">
        <v>0</v>
      </c>
      <c r="F827" s="25">
        <v>0</v>
      </c>
      <c r="G827" s="25">
        <f t="shared" si="60"/>
        <v>4</v>
      </c>
      <c r="H827" s="25" t="s">
        <v>395</v>
      </c>
      <c r="I827" s="25">
        <v>1</v>
      </c>
      <c r="J827" s="25" t="str">
        <f>VLOOKUP(C827,'시스템이펙트 참고자료'!$A:$C,3,FALSE)</f>
        <v>절대값만 가능</v>
      </c>
      <c r="K827" s="25">
        <v>16</v>
      </c>
      <c r="M827" s="25">
        <v>6</v>
      </c>
      <c r="N827" s="25">
        <f t="shared" si="59"/>
        <v>28</v>
      </c>
      <c r="O827" s="25">
        <v>1</v>
      </c>
      <c r="P827" s="25">
        <v>1</v>
      </c>
      <c r="Q827" s="25">
        <v>1</v>
      </c>
      <c r="R827" s="25">
        <v>1</v>
      </c>
      <c r="T827" s="25">
        <v>1</v>
      </c>
      <c r="AA827" s="25">
        <f t="shared" si="62"/>
        <v>128</v>
      </c>
      <c r="AK827" s="25">
        <v>1</v>
      </c>
      <c r="AM827" s="25">
        <v>28</v>
      </c>
      <c r="AN827" s="25">
        <v>100</v>
      </c>
      <c r="AP827" s="25">
        <f t="shared" si="61"/>
        <v>4</v>
      </c>
      <c r="AQ827" s="25" t="str">
        <f>VLOOKUP(C827,'시스템이펙트 참고자료'!$A:$B,2,FALSE)</f>
        <v>ACTIVE_PHYSICAL_CRITICAL_DAMAGE_UP</v>
      </c>
      <c r="AS827" s="25">
        <v>1</v>
      </c>
      <c r="BD827" s="25">
        <v>1</v>
      </c>
    </row>
    <row r="828" spans="1:56" hidden="1">
      <c r="A828" s="25">
        <v>823</v>
      </c>
      <c r="B828" s="25" t="str">
        <f>VLOOKUP(C828,'시스템이펙트 참고자료'!$A:$C,2,FALSE)</f>
        <v>ACTIVE_ENERGY_CRITICAL_DAMAGE_UP</v>
      </c>
      <c r="C828" s="25">
        <v>659</v>
      </c>
      <c r="D828" s="25">
        <f>VLOOKUP(C828,'시스템이펙트 참고자료'!$A:$D,4,FALSE)</f>
        <v>0</v>
      </c>
      <c r="E828" s="25">
        <v>0</v>
      </c>
      <c r="F828" s="25">
        <v>0</v>
      </c>
      <c r="G828" s="25">
        <f t="shared" si="60"/>
        <v>4</v>
      </c>
      <c r="H828" s="25" t="s">
        <v>395</v>
      </c>
      <c r="I828" s="25">
        <v>1</v>
      </c>
      <c r="J828" s="25" t="str">
        <f>VLOOKUP(C828,'시스템이펙트 참고자료'!$A:$C,3,FALSE)</f>
        <v>절대값만 가능</v>
      </c>
      <c r="K828" s="25">
        <v>16</v>
      </c>
      <c r="M828" s="25">
        <v>6</v>
      </c>
      <c r="N828" s="25">
        <f t="shared" si="59"/>
        <v>32</v>
      </c>
      <c r="O828" s="25">
        <v>1</v>
      </c>
      <c r="P828" s="25">
        <v>1</v>
      </c>
      <c r="Q828" s="25">
        <v>1</v>
      </c>
      <c r="R828" s="25">
        <v>1</v>
      </c>
      <c r="T828" s="25">
        <v>1</v>
      </c>
      <c r="AA828" s="25">
        <f t="shared" si="62"/>
        <v>128</v>
      </c>
      <c r="AK828" s="25">
        <v>1</v>
      </c>
      <c r="AM828" s="25">
        <v>32</v>
      </c>
      <c r="AN828" s="25">
        <v>100</v>
      </c>
      <c r="AP828" s="25">
        <f t="shared" si="61"/>
        <v>4</v>
      </c>
      <c r="AQ828" s="25" t="str">
        <f>VLOOKUP(C828,'시스템이펙트 참고자료'!$A:$B,2,FALSE)</f>
        <v>ACTIVE_ENERGY_CRITICAL_DAMAGE_UP</v>
      </c>
      <c r="AS828" s="25">
        <v>1</v>
      </c>
      <c r="BD828" s="25">
        <v>1</v>
      </c>
    </row>
    <row r="829" spans="1:56" hidden="1">
      <c r="A829" s="25">
        <v>824</v>
      </c>
      <c r="B829" s="25" t="str">
        <f>VLOOKUP(C829,'시스템이펙트 참고자료'!$A:$C,2,FALSE)</f>
        <v>ACTIVE_FOC_UP</v>
      </c>
      <c r="C829" s="25">
        <v>612</v>
      </c>
      <c r="D829" s="25">
        <f>VLOOKUP(C829,'시스템이펙트 참고자료'!$A:$D,4,FALSE)</f>
        <v>0</v>
      </c>
      <c r="E829" s="25">
        <v>0</v>
      </c>
      <c r="F829" s="25">
        <v>0</v>
      </c>
      <c r="G829" s="25">
        <f t="shared" si="60"/>
        <v>2</v>
      </c>
      <c r="H829" s="25" t="s">
        <v>395</v>
      </c>
      <c r="I829" s="25">
        <v>1</v>
      </c>
      <c r="J829" s="25" t="str">
        <f>VLOOKUP(C829,'시스템이펙트 참고자료'!$A:$C,3,FALSE)</f>
        <v>절대값/상대값(%) 가능</v>
      </c>
      <c r="K829" s="25">
        <v>16</v>
      </c>
      <c r="M829" s="25">
        <v>7</v>
      </c>
      <c r="N829" s="25">
        <f t="shared" si="59"/>
        <v>53</v>
      </c>
      <c r="O829" s="25">
        <v>1</v>
      </c>
      <c r="P829" s="25">
        <v>1</v>
      </c>
      <c r="Q829" s="25">
        <v>1</v>
      </c>
      <c r="R829" s="25">
        <v>1</v>
      </c>
      <c r="T829" s="25">
        <v>1</v>
      </c>
      <c r="AA829" s="25">
        <f t="shared" si="62"/>
        <v>128</v>
      </c>
      <c r="AK829" s="25">
        <v>1</v>
      </c>
      <c r="AM829" s="25">
        <v>53</v>
      </c>
      <c r="AN829" s="25">
        <v>100</v>
      </c>
      <c r="AP829" s="25">
        <f t="shared" si="61"/>
        <v>2</v>
      </c>
      <c r="AQ829" s="25" t="str">
        <f>VLOOKUP(C829,'시스템이펙트 참고자료'!$A:$B,2,FALSE)</f>
        <v>ACTIVE_FOC_UP</v>
      </c>
      <c r="AS829" s="25">
        <v>1</v>
      </c>
      <c r="BD829" s="25">
        <v>1</v>
      </c>
    </row>
    <row r="830" spans="1:56" hidden="1">
      <c r="A830" s="25">
        <v>825</v>
      </c>
      <c r="B830" s="25" t="str">
        <f>VLOOKUP(C830,'시스템이펙트 참고자료'!$A:$C,2,FALSE)</f>
        <v>ACTIVE_ATTACK_RATE_UP</v>
      </c>
      <c r="C830" s="25">
        <v>618</v>
      </c>
      <c r="D830" s="25">
        <f>VLOOKUP(C830,'시스템이펙트 참고자료'!$A:$D,4,FALSE)</f>
        <v>0</v>
      </c>
      <c r="E830" s="25">
        <v>0</v>
      </c>
      <c r="F830" s="25">
        <v>0</v>
      </c>
      <c r="G830" s="25">
        <f t="shared" si="60"/>
        <v>1</v>
      </c>
      <c r="H830" s="25" t="s">
        <v>395</v>
      </c>
      <c r="I830" s="25">
        <v>1</v>
      </c>
      <c r="J830" s="25" t="str">
        <f>VLOOKUP(C830,'시스템이펙트 참고자료'!$A:$C,3,FALSE)</f>
        <v>절대값/상대값(%) 가능</v>
      </c>
      <c r="K830" s="25">
        <v>16</v>
      </c>
      <c r="M830" s="25">
        <v>7</v>
      </c>
      <c r="N830" s="25">
        <f t="shared" si="59"/>
        <v>528</v>
      </c>
      <c r="O830" s="25">
        <v>1</v>
      </c>
      <c r="P830" s="25">
        <v>1</v>
      </c>
      <c r="Q830" s="25">
        <v>1</v>
      </c>
      <c r="R830" s="25">
        <v>1</v>
      </c>
      <c r="T830" s="25">
        <v>1</v>
      </c>
      <c r="AA830" s="25">
        <f t="shared" si="62"/>
        <v>128</v>
      </c>
      <c r="AK830" s="25">
        <v>1</v>
      </c>
      <c r="AM830" s="25">
        <v>528</v>
      </c>
      <c r="AN830" s="25">
        <v>100</v>
      </c>
      <c r="AP830" s="25">
        <f t="shared" si="61"/>
        <v>1</v>
      </c>
      <c r="AQ830" s="25" t="str">
        <f>VLOOKUP(C830,'시스템이펙트 참고자료'!$A:$B,2,FALSE)</f>
        <v>ACTIVE_ATTACK_RATE_UP</v>
      </c>
      <c r="AS830" s="25">
        <v>1</v>
      </c>
      <c r="BD830" s="25">
        <v>1</v>
      </c>
    </row>
    <row r="831" spans="1:56" hidden="1">
      <c r="A831" s="25">
        <v>826</v>
      </c>
      <c r="B831" s="25" t="str">
        <f>VLOOKUP(C831,'시스템이펙트 참고자료'!$A:$C,2,FALSE)</f>
        <v>ACTIVE_ENG_UP</v>
      </c>
      <c r="C831" s="25">
        <v>615</v>
      </c>
      <c r="D831" s="25">
        <f>VLOOKUP(C831,'시스템이펙트 참고자료'!$A:$D,4,FALSE)</f>
        <v>0</v>
      </c>
      <c r="E831" s="25">
        <v>0</v>
      </c>
      <c r="F831" s="25">
        <v>0</v>
      </c>
      <c r="G831" s="25">
        <f t="shared" si="60"/>
        <v>2</v>
      </c>
      <c r="H831" s="25" t="s">
        <v>395</v>
      </c>
      <c r="I831" s="25">
        <v>1</v>
      </c>
      <c r="J831" s="25" t="str">
        <f>VLOOKUP(C831,'시스템이펙트 참고자료'!$A:$C,3,FALSE)</f>
        <v>절대값/상대값(%) 가능</v>
      </c>
      <c r="K831" s="25">
        <v>16</v>
      </c>
      <c r="M831" s="25">
        <v>7</v>
      </c>
      <c r="N831" s="25">
        <f t="shared" si="59"/>
        <v>62</v>
      </c>
      <c r="O831" s="25">
        <v>1</v>
      </c>
      <c r="P831" s="25">
        <v>1</v>
      </c>
      <c r="Q831" s="25">
        <v>1</v>
      </c>
      <c r="R831" s="25">
        <v>1</v>
      </c>
      <c r="T831" s="25">
        <v>1</v>
      </c>
      <c r="AA831" s="25">
        <f t="shared" si="62"/>
        <v>128</v>
      </c>
      <c r="AK831" s="25">
        <v>1</v>
      </c>
      <c r="AM831" s="25">
        <v>62</v>
      </c>
      <c r="AN831" s="25">
        <v>100</v>
      </c>
      <c r="AP831" s="25">
        <f t="shared" si="61"/>
        <v>2</v>
      </c>
      <c r="AQ831" s="25" t="str">
        <f>VLOOKUP(C831,'시스템이펙트 참고자료'!$A:$B,2,FALSE)</f>
        <v>ACTIVE_ENG_UP</v>
      </c>
      <c r="AS831" s="25">
        <v>1</v>
      </c>
      <c r="BD831" s="25">
        <v>1</v>
      </c>
    </row>
    <row r="832" spans="1:56" hidden="1">
      <c r="A832" s="25">
        <v>827</v>
      </c>
      <c r="B832" s="25" t="str">
        <f>VLOOKUP(C832,'시스템이펙트 참고자료'!$A:$C,2,FALSE)</f>
        <v>ACTIVE_PHYSICAL_CRITICAL</v>
      </c>
      <c r="C832" s="25">
        <v>632</v>
      </c>
      <c r="D832" s="25">
        <f>VLOOKUP(C832,'시스템이펙트 참고자료'!$A:$D,4,FALSE)</f>
        <v>0</v>
      </c>
      <c r="E832" s="25">
        <v>0</v>
      </c>
      <c r="F832" s="25">
        <v>0</v>
      </c>
      <c r="G832" s="25">
        <f t="shared" si="60"/>
        <v>5</v>
      </c>
      <c r="H832" s="25" t="s">
        <v>395</v>
      </c>
      <c r="I832" s="25">
        <v>1</v>
      </c>
      <c r="J832" s="25" t="str">
        <f>VLOOKUP(C832,'시스템이펙트 참고자료'!$A:$C,3,FALSE)</f>
        <v>절대값/상대값(%) 가능</v>
      </c>
      <c r="K832" s="25">
        <v>16</v>
      </c>
      <c r="M832" s="25">
        <v>7</v>
      </c>
      <c r="N832" s="25">
        <f t="shared" si="59"/>
        <v>21</v>
      </c>
      <c r="O832" s="25">
        <v>1</v>
      </c>
      <c r="P832" s="25">
        <v>1</v>
      </c>
      <c r="Q832" s="25">
        <v>1</v>
      </c>
      <c r="R832" s="25">
        <v>1</v>
      </c>
      <c r="T832" s="25">
        <v>1</v>
      </c>
      <c r="AA832" s="25">
        <f t="shared" si="62"/>
        <v>128</v>
      </c>
      <c r="AK832" s="25">
        <v>1</v>
      </c>
      <c r="AM832" s="25">
        <v>21</v>
      </c>
      <c r="AN832" s="25">
        <v>100</v>
      </c>
      <c r="AP832" s="25">
        <f t="shared" si="61"/>
        <v>5</v>
      </c>
      <c r="AQ832" s="25" t="str">
        <f>VLOOKUP(C832,'시스템이펙트 참고자료'!$A:$B,2,FALSE)</f>
        <v>ACTIVE_PHYSICAL_CRITICAL</v>
      </c>
      <c r="AS832" s="25">
        <v>1</v>
      </c>
      <c r="BD832" s="25">
        <v>1</v>
      </c>
    </row>
    <row r="833" spans="1:56" hidden="1">
      <c r="A833" s="25">
        <v>828</v>
      </c>
      <c r="B833" s="25" t="str">
        <f>VLOOKUP(C833,'시스템이펙트 참고자료'!$A:$C,2,FALSE)</f>
        <v>ACTIVE_ENERGY_CRITICAL</v>
      </c>
      <c r="C833" s="25">
        <v>633</v>
      </c>
      <c r="D833" s="25">
        <f>VLOOKUP(C833,'시스템이펙트 참고자료'!$A:$D,4,FALSE)</f>
        <v>0</v>
      </c>
      <c r="E833" s="25">
        <v>0</v>
      </c>
      <c r="F833" s="25">
        <v>0</v>
      </c>
      <c r="G833" s="25">
        <f t="shared" si="60"/>
        <v>5</v>
      </c>
      <c r="H833" s="25" t="s">
        <v>395</v>
      </c>
      <c r="I833" s="25">
        <v>1</v>
      </c>
      <c r="J833" s="25" t="str">
        <f>VLOOKUP(C833,'시스템이펙트 참고자료'!$A:$C,3,FALSE)</f>
        <v>절대값/상대값(%) 가능</v>
      </c>
      <c r="K833" s="25">
        <v>16</v>
      </c>
      <c r="M833" s="25">
        <v>7</v>
      </c>
      <c r="N833" s="25">
        <f t="shared" si="59"/>
        <v>24</v>
      </c>
      <c r="O833" s="25">
        <v>1</v>
      </c>
      <c r="P833" s="25">
        <v>1</v>
      </c>
      <c r="Q833" s="25">
        <v>1</v>
      </c>
      <c r="R833" s="25">
        <v>1</v>
      </c>
      <c r="T833" s="25">
        <v>1</v>
      </c>
      <c r="AA833" s="25">
        <f t="shared" si="62"/>
        <v>128</v>
      </c>
      <c r="AK833" s="25">
        <v>1</v>
      </c>
      <c r="AM833" s="25">
        <v>24</v>
      </c>
      <c r="AN833" s="25">
        <v>100</v>
      </c>
      <c r="AP833" s="25">
        <f t="shared" si="61"/>
        <v>5</v>
      </c>
      <c r="AQ833" s="25" t="str">
        <f>VLOOKUP(C833,'시스템이펙트 참고자료'!$A:$B,2,FALSE)</f>
        <v>ACTIVE_ENERGY_CRITICAL</v>
      </c>
      <c r="AS833" s="25">
        <v>1</v>
      </c>
      <c r="BD833" s="25">
        <v>1</v>
      </c>
    </row>
    <row r="834" spans="1:56" hidden="1">
      <c r="A834" s="25">
        <v>829</v>
      </c>
      <c r="B834" s="25" t="str">
        <f>VLOOKUP(C834,'시스템이펙트 참고자료'!$A:$C,2,FALSE)</f>
        <v>ACTIVE_FOC_UP</v>
      </c>
      <c r="C834" s="25">
        <v>612</v>
      </c>
      <c r="D834" s="25">
        <f>VLOOKUP(C834,'시스템이펙트 참고자료'!$A:$D,4,FALSE)</f>
        <v>0</v>
      </c>
      <c r="E834" s="25">
        <v>0</v>
      </c>
      <c r="F834" s="25">
        <v>0</v>
      </c>
      <c r="G834" s="25">
        <f t="shared" si="60"/>
        <v>2</v>
      </c>
      <c r="H834" s="25" t="s">
        <v>395</v>
      </c>
      <c r="I834" s="25">
        <v>1</v>
      </c>
      <c r="J834" s="25" t="str">
        <f>VLOOKUP(C834,'시스템이펙트 참고자료'!$A:$C,3,FALSE)</f>
        <v>절대값/상대값(%) 가능</v>
      </c>
      <c r="K834" s="25">
        <v>16</v>
      </c>
      <c r="M834" s="25">
        <v>8</v>
      </c>
      <c r="N834" s="25">
        <f t="shared" si="59"/>
        <v>53</v>
      </c>
      <c r="O834" s="25">
        <v>1</v>
      </c>
      <c r="P834" s="25">
        <v>1</v>
      </c>
      <c r="Q834" s="25">
        <v>1</v>
      </c>
      <c r="R834" s="25">
        <v>1</v>
      </c>
      <c r="T834" s="25">
        <v>1</v>
      </c>
      <c r="AA834" s="25">
        <f t="shared" si="62"/>
        <v>128</v>
      </c>
      <c r="AK834" s="25">
        <v>1</v>
      </c>
      <c r="AM834" s="25">
        <v>53</v>
      </c>
      <c r="AN834" s="25">
        <v>100</v>
      </c>
      <c r="AP834" s="25">
        <f t="shared" si="61"/>
        <v>2</v>
      </c>
      <c r="AQ834" s="25" t="str">
        <f>VLOOKUP(C834,'시스템이펙트 참고자료'!$A:$B,2,FALSE)</f>
        <v>ACTIVE_FOC_UP</v>
      </c>
      <c r="AS834" s="25">
        <v>1</v>
      </c>
      <c r="BD834" s="25">
        <v>1</v>
      </c>
    </row>
    <row r="835" spans="1:56" hidden="1">
      <c r="A835" s="25">
        <v>830</v>
      </c>
      <c r="B835" s="25" t="str">
        <f>VLOOKUP(C835,'시스템이펙트 참고자료'!$A:$C,2,FALSE)</f>
        <v>ACTIVE_CON_UP</v>
      </c>
      <c r="C835" s="25">
        <v>611</v>
      </c>
      <c r="D835" s="25">
        <f>VLOOKUP(C835,'시스템이펙트 참고자료'!$A:$D,4,FALSE)</f>
        <v>0</v>
      </c>
      <c r="E835" s="25">
        <v>0</v>
      </c>
      <c r="F835" s="25">
        <v>0</v>
      </c>
      <c r="G835" s="25">
        <f t="shared" si="60"/>
        <v>3</v>
      </c>
      <c r="H835" s="25" t="s">
        <v>395</v>
      </c>
      <c r="I835" s="25">
        <v>1</v>
      </c>
      <c r="J835" s="25" t="str">
        <f>VLOOKUP(C835,'시스템이펙트 참고자료'!$A:$C,3,FALSE)</f>
        <v>절대값/상대값(%) 가능</v>
      </c>
      <c r="K835" s="25">
        <v>16</v>
      </c>
      <c r="M835" s="25">
        <v>8</v>
      </c>
      <c r="N835" s="25">
        <f t="shared" si="59"/>
        <v>48</v>
      </c>
      <c r="O835" s="25">
        <v>1</v>
      </c>
      <c r="P835" s="25">
        <v>1</v>
      </c>
      <c r="Q835" s="25">
        <v>1</v>
      </c>
      <c r="R835" s="25">
        <v>1</v>
      </c>
      <c r="T835" s="25">
        <v>1</v>
      </c>
      <c r="AA835" s="25">
        <f t="shared" si="62"/>
        <v>128</v>
      </c>
      <c r="AK835" s="25">
        <v>1</v>
      </c>
      <c r="AM835" s="25">
        <v>48</v>
      </c>
      <c r="AN835" s="25">
        <v>100</v>
      </c>
      <c r="AP835" s="25">
        <f t="shared" si="61"/>
        <v>3</v>
      </c>
      <c r="AQ835" s="25" t="str">
        <f>VLOOKUP(C835,'시스템이펙트 참고자료'!$A:$B,2,FALSE)</f>
        <v>ACTIVE_CON_UP</v>
      </c>
      <c r="AS835" s="25">
        <v>1</v>
      </c>
      <c r="BD835" s="25">
        <v>1</v>
      </c>
    </row>
    <row r="836" spans="1:56" hidden="1">
      <c r="A836" s="25">
        <v>831</v>
      </c>
      <c r="B836" s="25" t="str">
        <f>VLOOKUP(C836,'시스템이펙트 참고자료'!$A:$C,2,FALSE)</f>
        <v>ACTIVE_BLOCK_RATE_UP</v>
      </c>
      <c r="C836" s="25">
        <v>620</v>
      </c>
      <c r="D836" s="25">
        <f>VLOOKUP(C836,'시스템이펙트 참고자료'!$A:$D,4,FALSE)</f>
        <v>0</v>
      </c>
      <c r="E836" s="25">
        <v>0</v>
      </c>
      <c r="F836" s="25">
        <v>0</v>
      </c>
      <c r="G836" s="25">
        <f t="shared" si="60"/>
        <v>1</v>
      </c>
      <c r="H836" s="25" t="s">
        <v>395</v>
      </c>
      <c r="I836" s="25">
        <v>1</v>
      </c>
      <c r="J836" s="25" t="str">
        <f>VLOOKUP(C836,'시스템이펙트 참고자료'!$A:$C,3,FALSE)</f>
        <v>절대값/상대값(%) 가능</v>
      </c>
      <c r="K836" s="25">
        <v>16</v>
      </c>
      <c r="M836" s="25">
        <v>8</v>
      </c>
      <c r="N836" s="25">
        <f t="shared" si="59"/>
        <v>352</v>
      </c>
      <c r="O836" s="25">
        <v>1</v>
      </c>
      <c r="P836" s="25">
        <v>1</v>
      </c>
      <c r="Q836" s="25">
        <v>1</v>
      </c>
      <c r="R836" s="25">
        <v>1</v>
      </c>
      <c r="T836" s="25">
        <v>1</v>
      </c>
      <c r="AA836" s="25">
        <f t="shared" si="62"/>
        <v>128</v>
      </c>
      <c r="AK836" s="25">
        <v>1</v>
      </c>
      <c r="AM836" s="25">
        <v>352</v>
      </c>
      <c r="AN836" s="25">
        <v>100</v>
      </c>
      <c r="AP836" s="25">
        <f t="shared" si="61"/>
        <v>1</v>
      </c>
      <c r="AQ836" s="25" t="str">
        <f>VLOOKUP(C836,'시스템이펙트 참고자료'!$A:$B,2,FALSE)</f>
        <v>ACTIVE_BLOCK_RATE_UP</v>
      </c>
      <c r="AS836" s="25">
        <v>1</v>
      </c>
      <c r="BD836" s="25">
        <v>1</v>
      </c>
    </row>
    <row r="837" spans="1:56" hidden="1">
      <c r="A837" s="25">
        <v>832</v>
      </c>
      <c r="B837" s="25" t="str">
        <f>VLOOKUP(C837,'시스템이펙트 참고자료'!$A:$C,2,FALSE)</f>
        <v>ACTIVE_ENG_UP</v>
      </c>
      <c r="C837" s="25">
        <v>615</v>
      </c>
      <c r="D837" s="25">
        <f>VLOOKUP(C837,'시스템이펙트 참고자료'!$A:$D,4,FALSE)</f>
        <v>0</v>
      </c>
      <c r="E837" s="25">
        <v>0</v>
      </c>
      <c r="F837" s="25">
        <v>0</v>
      </c>
      <c r="G837" s="25">
        <f t="shared" si="60"/>
        <v>2</v>
      </c>
      <c r="H837" s="25" t="s">
        <v>395</v>
      </c>
      <c r="I837" s="25">
        <v>1</v>
      </c>
      <c r="J837" s="25" t="str">
        <f>VLOOKUP(C837,'시스템이펙트 참고자료'!$A:$C,3,FALSE)</f>
        <v>절대값/상대값(%) 가능</v>
      </c>
      <c r="K837" s="25">
        <v>16</v>
      </c>
      <c r="M837" s="25">
        <v>8</v>
      </c>
      <c r="N837" s="25">
        <f t="shared" si="59"/>
        <v>62</v>
      </c>
      <c r="O837" s="25">
        <v>1</v>
      </c>
      <c r="P837" s="25">
        <v>1</v>
      </c>
      <c r="Q837" s="25">
        <v>1</v>
      </c>
      <c r="R837" s="25">
        <v>1</v>
      </c>
      <c r="T837" s="25">
        <v>1</v>
      </c>
      <c r="AA837" s="25">
        <f t="shared" si="62"/>
        <v>128</v>
      </c>
      <c r="AK837" s="25">
        <v>1</v>
      </c>
      <c r="AM837" s="25">
        <v>62</v>
      </c>
      <c r="AN837" s="25">
        <v>100</v>
      </c>
      <c r="AP837" s="25">
        <f t="shared" si="61"/>
        <v>2</v>
      </c>
      <c r="AQ837" s="25" t="str">
        <f>VLOOKUP(C837,'시스템이펙트 참고자료'!$A:$B,2,FALSE)</f>
        <v>ACTIVE_ENG_UP</v>
      </c>
      <c r="AS837" s="25">
        <v>1</v>
      </c>
      <c r="BD837" s="25">
        <v>1</v>
      </c>
    </row>
    <row r="838" spans="1:56" hidden="1">
      <c r="A838" s="25">
        <v>833</v>
      </c>
      <c r="B838" s="25" t="str">
        <f>VLOOKUP(C838,'시스템이펙트 참고자료'!$A:$C,2,FALSE)</f>
        <v>ACTIVE_PHYSICAL_CRITICAL</v>
      </c>
      <c r="C838" s="25">
        <v>632</v>
      </c>
      <c r="D838" s="25">
        <f>VLOOKUP(C838,'시스템이펙트 참고자료'!$A:$D,4,FALSE)</f>
        <v>0</v>
      </c>
      <c r="E838" s="25">
        <v>0</v>
      </c>
      <c r="F838" s="25">
        <v>0</v>
      </c>
      <c r="G838" s="25">
        <f t="shared" si="60"/>
        <v>5</v>
      </c>
      <c r="H838" s="25" t="s">
        <v>395</v>
      </c>
      <c r="I838" s="25">
        <v>1</v>
      </c>
      <c r="J838" s="25" t="str">
        <f>VLOOKUP(C838,'시스템이펙트 참고자료'!$A:$C,3,FALSE)</f>
        <v>절대값/상대값(%) 가능</v>
      </c>
      <c r="K838" s="25">
        <v>16</v>
      </c>
      <c r="M838" s="25">
        <v>9</v>
      </c>
      <c r="N838" s="25">
        <f t="shared" si="59"/>
        <v>21</v>
      </c>
      <c r="O838" s="25">
        <v>1</v>
      </c>
      <c r="P838" s="25">
        <v>1</v>
      </c>
      <c r="Q838" s="25">
        <v>1</v>
      </c>
      <c r="R838" s="25">
        <v>1</v>
      </c>
      <c r="T838" s="25">
        <v>1</v>
      </c>
      <c r="AA838" s="25">
        <f t="shared" si="62"/>
        <v>128</v>
      </c>
      <c r="AK838" s="25">
        <v>1</v>
      </c>
      <c r="AM838" s="25">
        <v>21</v>
      </c>
      <c r="AN838" s="25">
        <v>100</v>
      </c>
      <c r="AP838" s="25">
        <f t="shared" si="61"/>
        <v>5</v>
      </c>
      <c r="AQ838" s="25" t="str">
        <f>VLOOKUP(C838,'시스템이펙트 참고자료'!$A:$B,2,FALSE)</f>
        <v>ACTIVE_PHYSICAL_CRITICAL</v>
      </c>
      <c r="AS838" s="25">
        <v>1</v>
      </c>
      <c r="BD838" s="25">
        <v>1</v>
      </c>
    </row>
    <row r="839" spans="1:56" hidden="1">
      <c r="A839" s="25">
        <v>834</v>
      </c>
      <c r="B839" s="25" t="str">
        <f>VLOOKUP(C839,'시스템이펙트 참고자료'!$A:$C,2,FALSE)</f>
        <v>ACTIVE_ENERGY_CRITICAL</v>
      </c>
      <c r="C839" s="25">
        <v>633</v>
      </c>
      <c r="D839" s="25">
        <f>VLOOKUP(C839,'시스템이펙트 참고자료'!$A:$D,4,FALSE)</f>
        <v>0</v>
      </c>
      <c r="E839" s="25">
        <v>0</v>
      </c>
      <c r="F839" s="25">
        <v>0</v>
      </c>
      <c r="G839" s="25">
        <f t="shared" si="60"/>
        <v>5</v>
      </c>
      <c r="H839" s="25" t="s">
        <v>395</v>
      </c>
      <c r="I839" s="25">
        <v>1</v>
      </c>
      <c r="J839" s="25" t="str">
        <f>VLOOKUP(C839,'시스템이펙트 참고자료'!$A:$C,3,FALSE)</f>
        <v>절대값/상대값(%) 가능</v>
      </c>
      <c r="K839" s="25">
        <v>16</v>
      </c>
      <c r="M839" s="25">
        <v>9</v>
      </c>
      <c r="N839" s="25">
        <f t="shared" ref="N839:N902" si="63">IF(BD839&gt;0,INT(AM839/AK839),0)</f>
        <v>24</v>
      </c>
      <c r="O839" s="25">
        <v>1</v>
      </c>
      <c r="P839" s="25">
        <v>1</v>
      </c>
      <c r="Q839" s="25">
        <v>1</v>
      </c>
      <c r="R839" s="25">
        <v>1</v>
      </c>
      <c r="T839" s="25">
        <v>1</v>
      </c>
      <c r="AA839" s="25">
        <f t="shared" si="62"/>
        <v>128</v>
      </c>
      <c r="AK839" s="25">
        <v>1</v>
      </c>
      <c r="AM839" s="25">
        <v>24</v>
      </c>
      <c r="AN839" s="25">
        <v>100</v>
      </c>
      <c r="AP839" s="25">
        <f t="shared" si="61"/>
        <v>5</v>
      </c>
      <c r="AQ839" s="25" t="str">
        <f>VLOOKUP(C839,'시스템이펙트 참고자료'!$A:$B,2,FALSE)</f>
        <v>ACTIVE_ENERGY_CRITICAL</v>
      </c>
      <c r="AS839" s="25">
        <v>1</v>
      </c>
      <c r="BD839" s="25">
        <v>1</v>
      </c>
    </row>
    <row r="840" spans="1:56" hidden="1">
      <c r="A840" s="25">
        <v>835</v>
      </c>
      <c r="B840" s="25" t="str">
        <f>VLOOKUP(C840,'시스템이펙트 참고자료'!$A:$C,2,FALSE)</f>
        <v>ACTIVE_DEX_UP</v>
      </c>
      <c r="C840" s="25">
        <v>613</v>
      </c>
      <c r="D840" s="25">
        <f>VLOOKUP(C840,'시스템이펙트 참고자료'!$A:$D,4,FALSE)</f>
        <v>0</v>
      </c>
      <c r="E840" s="25">
        <v>0</v>
      </c>
      <c r="F840" s="25">
        <v>0</v>
      </c>
      <c r="G840" s="25">
        <f t="shared" si="60"/>
        <v>3</v>
      </c>
      <c r="H840" s="25" t="s">
        <v>395</v>
      </c>
      <c r="I840" s="25">
        <v>1</v>
      </c>
      <c r="J840" s="25" t="str">
        <f>VLOOKUP(C840,'시스템이펙트 참고자료'!$A:$C,3,FALSE)</f>
        <v>절대값/상대값(%) 가능</v>
      </c>
      <c r="K840" s="25">
        <v>16</v>
      </c>
      <c r="M840" s="25">
        <v>9</v>
      </c>
      <c r="N840" s="25">
        <f t="shared" si="63"/>
        <v>44</v>
      </c>
      <c r="O840" s="25">
        <v>1</v>
      </c>
      <c r="P840" s="25">
        <v>1</v>
      </c>
      <c r="Q840" s="25">
        <v>1</v>
      </c>
      <c r="R840" s="25">
        <v>1</v>
      </c>
      <c r="T840" s="25">
        <v>1</v>
      </c>
      <c r="AA840" s="25">
        <f t="shared" si="62"/>
        <v>128</v>
      </c>
      <c r="AK840" s="25">
        <v>1</v>
      </c>
      <c r="AM840" s="25">
        <v>44</v>
      </c>
      <c r="AN840" s="25">
        <v>100</v>
      </c>
      <c r="AP840" s="25">
        <f t="shared" si="61"/>
        <v>3</v>
      </c>
      <c r="AQ840" s="25" t="str">
        <f>VLOOKUP(C840,'시스템이펙트 참고자료'!$A:$B,2,FALSE)</f>
        <v>ACTIVE_DEX_UP</v>
      </c>
      <c r="AS840" s="25">
        <v>1</v>
      </c>
      <c r="BD840" s="25">
        <v>1</v>
      </c>
    </row>
    <row r="841" spans="1:56" hidden="1">
      <c r="A841" s="25">
        <v>836</v>
      </c>
      <c r="B841" s="25" t="str">
        <f>VLOOKUP(C841,'시스템이펙트 참고자료'!$A:$C,2,FALSE)</f>
        <v>ACTIVE_FOC_UP</v>
      </c>
      <c r="C841" s="25">
        <v>612</v>
      </c>
      <c r="D841" s="25">
        <f>VLOOKUP(C841,'시스템이펙트 참고자료'!$A:$D,4,FALSE)</f>
        <v>0</v>
      </c>
      <c r="E841" s="25">
        <v>0</v>
      </c>
      <c r="F841" s="25">
        <v>0</v>
      </c>
      <c r="G841" s="25">
        <f t="shared" si="60"/>
        <v>2</v>
      </c>
      <c r="H841" s="25" t="s">
        <v>395</v>
      </c>
      <c r="I841" s="25">
        <v>1</v>
      </c>
      <c r="J841" s="25" t="str">
        <f>VLOOKUP(C841,'시스템이펙트 참고자료'!$A:$C,3,FALSE)</f>
        <v>절대값/상대값(%) 가능</v>
      </c>
      <c r="K841" s="25">
        <v>16</v>
      </c>
      <c r="M841" s="25">
        <v>9</v>
      </c>
      <c r="N841" s="25">
        <f t="shared" si="63"/>
        <v>53</v>
      </c>
      <c r="O841" s="25">
        <v>1</v>
      </c>
      <c r="P841" s="25">
        <v>1</v>
      </c>
      <c r="Q841" s="25">
        <v>1</v>
      </c>
      <c r="R841" s="25">
        <v>1</v>
      </c>
      <c r="T841" s="25">
        <v>1</v>
      </c>
      <c r="AA841" s="25">
        <f t="shared" si="62"/>
        <v>128</v>
      </c>
      <c r="AK841" s="25">
        <v>1</v>
      </c>
      <c r="AM841" s="25">
        <v>53</v>
      </c>
      <c r="AN841" s="25">
        <v>100</v>
      </c>
      <c r="AP841" s="25">
        <f t="shared" si="61"/>
        <v>2</v>
      </c>
      <c r="AQ841" s="25" t="str">
        <f>VLOOKUP(C841,'시스템이펙트 참고자료'!$A:$B,2,FALSE)</f>
        <v>ACTIVE_FOC_UP</v>
      </c>
      <c r="AS841" s="25">
        <v>1</v>
      </c>
      <c r="BD841" s="25">
        <v>1</v>
      </c>
    </row>
    <row r="842" spans="1:56" hidden="1">
      <c r="A842" s="25">
        <v>837</v>
      </c>
      <c r="B842" s="25" t="str">
        <f>VLOOKUP(C842,'시스템이펙트 참고자료'!$A:$C,2,FALSE)</f>
        <v>ACTIVE_PHYSICAL_CRITICAL_DAMAGE_UP</v>
      </c>
      <c r="C842" s="25">
        <v>658</v>
      </c>
      <c r="D842" s="25">
        <f>VLOOKUP(C842,'시스템이펙트 참고자료'!$A:$D,4,FALSE)</f>
        <v>0</v>
      </c>
      <c r="E842" s="25">
        <v>0</v>
      </c>
      <c r="F842" s="25">
        <v>0</v>
      </c>
      <c r="G842" s="25">
        <f t="shared" si="60"/>
        <v>4</v>
      </c>
      <c r="H842" s="25" t="s">
        <v>395</v>
      </c>
      <c r="I842" s="25">
        <v>1</v>
      </c>
      <c r="J842" s="25" t="str">
        <f>VLOOKUP(C842,'시스템이펙트 참고자료'!$A:$C,3,FALSE)</f>
        <v>절대값만 가능</v>
      </c>
      <c r="K842" s="25">
        <v>16</v>
      </c>
      <c r="M842" s="25">
        <v>10</v>
      </c>
      <c r="N842" s="25">
        <f t="shared" si="63"/>
        <v>28</v>
      </c>
      <c r="O842" s="25">
        <v>1</v>
      </c>
      <c r="P842" s="25">
        <v>1</v>
      </c>
      <c r="Q842" s="25">
        <v>1</v>
      </c>
      <c r="R842" s="25">
        <v>1</v>
      </c>
      <c r="T842" s="25">
        <v>1</v>
      </c>
      <c r="AA842" s="25">
        <f t="shared" si="62"/>
        <v>128</v>
      </c>
      <c r="AK842" s="25">
        <v>1</v>
      </c>
      <c r="AM842" s="25">
        <v>28</v>
      </c>
      <c r="AN842" s="25">
        <v>100</v>
      </c>
      <c r="AP842" s="25">
        <f t="shared" si="61"/>
        <v>4</v>
      </c>
      <c r="AQ842" s="25" t="str">
        <f>VLOOKUP(C842,'시스템이펙트 참고자료'!$A:$B,2,FALSE)</f>
        <v>ACTIVE_PHYSICAL_CRITICAL_DAMAGE_UP</v>
      </c>
      <c r="AS842" s="25">
        <v>1</v>
      </c>
      <c r="BD842" s="25">
        <v>1</v>
      </c>
    </row>
    <row r="843" spans="1:56" hidden="1">
      <c r="A843" s="25">
        <v>838</v>
      </c>
      <c r="B843" s="25" t="str">
        <f>VLOOKUP(C843,'시스템이펙트 참고자료'!$A:$C,2,FALSE)</f>
        <v>ACTIVE_ENERGY_CRITICAL_DAMAGE_UP</v>
      </c>
      <c r="C843" s="25">
        <v>659</v>
      </c>
      <c r="D843" s="25">
        <f>VLOOKUP(C843,'시스템이펙트 참고자료'!$A:$D,4,FALSE)</f>
        <v>0</v>
      </c>
      <c r="E843" s="25">
        <v>0</v>
      </c>
      <c r="F843" s="25">
        <v>0</v>
      </c>
      <c r="G843" s="25">
        <f t="shared" si="60"/>
        <v>4</v>
      </c>
      <c r="H843" s="25" t="s">
        <v>395</v>
      </c>
      <c r="I843" s="25">
        <v>1</v>
      </c>
      <c r="J843" s="25" t="str">
        <f>VLOOKUP(C843,'시스템이펙트 참고자료'!$A:$C,3,FALSE)</f>
        <v>절대값만 가능</v>
      </c>
      <c r="K843" s="25">
        <v>16</v>
      </c>
      <c r="M843" s="25">
        <v>10</v>
      </c>
      <c r="N843" s="25">
        <f t="shared" si="63"/>
        <v>32</v>
      </c>
      <c r="O843" s="25">
        <v>1</v>
      </c>
      <c r="P843" s="25">
        <v>1</v>
      </c>
      <c r="Q843" s="25">
        <v>1</v>
      </c>
      <c r="R843" s="25">
        <v>1</v>
      </c>
      <c r="T843" s="25">
        <v>1</v>
      </c>
      <c r="AA843" s="25">
        <f t="shared" si="62"/>
        <v>128</v>
      </c>
      <c r="AK843" s="25">
        <v>1</v>
      </c>
      <c r="AM843" s="25">
        <v>32</v>
      </c>
      <c r="AN843" s="25">
        <v>100</v>
      </c>
      <c r="AP843" s="25">
        <f t="shared" si="61"/>
        <v>4</v>
      </c>
      <c r="AQ843" s="25" t="str">
        <f>VLOOKUP(C843,'시스템이펙트 참고자료'!$A:$B,2,FALSE)</f>
        <v>ACTIVE_ENERGY_CRITICAL_DAMAGE_UP</v>
      </c>
      <c r="AS843" s="25">
        <v>1</v>
      </c>
      <c r="BD843" s="25">
        <v>1</v>
      </c>
    </row>
    <row r="844" spans="1:56" hidden="1">
      <c r="A844" s="25">
        <v>839</v>
      </c>
      <c r="B844" s="25" t="str">
        <f>VLOOKUP(C844,'시스템이펙트 참고자료'!$A:$C,2,FALSE)</f>
        <v>ACTIVE_DEX_UP</v>
      </c>
      <c r="C844" s="25">
        <v>613</v>
      </c>
      <c r="D844" s="25">
        <f>VLOOKUP(C844,'시스템이펙트 참고자료'!$A:$D,4,FALSE)</f>
        <v>0</v>
      </c>
      <c r="E844" s="25">
        <v>0</v>
      </c>
      <c r="F844" s="25">
        <v>0</v>
      </c>
      <c r="G844" s="25">
        <f t="shared" si="60"/>
        <v>3</v>
      </c>
      <c r="H844" s="25" t="s">
        <v>395</v>
      </c>
      <c r="I844" s="25">
        <v>1</v>
      </c>
      <c r="J844" s="25" t="str">
        <f>VLOOKUP(C844,'시스템이펙트 참고자료'!$A:$C,3,FALSE)</f>
        <v>절대값/상대값(%) 가능</v>
      </c>
      <c r="K844" s="25">
        <v>16</v>
      </c>
      <c r="M844" s="25">
        <v>10</v>
      </c>
      <c r="N844" s="25">
        <f t="shared" si="63"/>
        <v>44</v>
      </c>
      <c r="O844" s="25">
        <v>1</v>
      </c>
      <c r="P844" s="25">
        <v>1</v>
      </c>
      <c r="Q844" s="25">
        <v>1</v>
      </c>
      <c r="R844" s="25">
        <v>1</v>
      </c>
      <c r="T844" s="25">
        <v>1</v>
      </c>
      <c r="AA844" s="25">
        <f t="shared" si="62"/>
        <v>128</v>
      </c>
      <c r="AK844" s="25">
        <v>1</v>
      </c>
      <c r="AM844" s="25">
        <v>44</v>
      </c>
      <c r="AN844" s="25">
        <v>100</v>
      </c>
      <c r="AP844" s="25">
        <f t="shared" si="61"/>
        <v>3</v>
      </c>
      <c r="AQ844" s="25" t="str">
        <f>VLOOKUP(C844,'시스템이펙트 참고자료'!$A:$B,2,FALSE)</f>
        <v>ACTIVE_DEX_UP</v>
      </c>
      <c r="AS844" s="25">
        <v>1</v>
      </c>
      <c r="BD844" s="25">
        <v>1</v>
      </c>
    </row>
    <row r="845" spans="1:56" hidden="1">
      <c r="A845" s="25">
        <v>840</v>
      </c>
      <c r="B845" s="25" t="str">
        <f>VLOOKUP(C845,'시스템이펙트 참고자료'!$A:$C,2,FALSE)</f>
        <v>ACTIVE_ATTACK_SPEED_UP</v>
      </c>
      <c r="C845" s="25">
        <v>617</v>
      </c>
      <c r="D845" s="25">
        <f>VLOOKUP(C845,'시스템이펙트 참고자료'!$A:$D,4,FALSE)</f>
        <v>1</v>
      </c>
      <c r="E845" s="25">
        <v>0</v>
      </c>
      <c r="F845" s="25">
        <v>0</v>
      </c>
      <c r="G845" s="25">
        <f t="shared" si="60"/>
        <v>10</v>
      </c>
      <c r="H845" s="25" t="s">
        <v>395</v>
      </c>
      <c r="I845" s="25">
        <v>1</v>
      </c>
      <c r="J845" s="25" t="str">
        <f>VLOOKUP(C845,'시스템이펙트 참고자료'!$A:$C,3,FALSE)</f>
        <v>절대값/상대값(%) 가능</v>
      </c>
      <c r="K845" s="25">
        <v>16</v>
      </c>
      <c r="M845" s="25">
        <v>10</v>
      </c>
      <c r="N845" s="25">
        <f t="shared" si="63"/>
        <v>10</v>
      </c>
      <c r="O845" s="25">
        <v>1</v>
      </c>
      <c r="P845" s="25">
        <v>1</v>
      </c>
      <c r="Q845" s="25">
        <v>1</v>
      </c>
      <c r="R845" s="25">
        <v>1</v>
      </c>
      <c r="T845" s="25">
        <v>1</v>
      </c>
      <c r="AA845" s="25">
        <f t="shared" si="62"/>
        <v>128</v>
      </c>
      <c r="AK845" s="25">
        <v>1</v>
      </c>
      <c r="AM845" s="25">
        <v>10</v>
      </c>
      <c r="AN845" s="25">
        <v>100</v>
      </c>
      <c r="AP845" s="25">
        <f t="shared" si="61"/>
        <v>10</v>
      </c>
      <c r="AQ845" s="25" t="str">
        <f>VLOOKUP(C845,'시스템이펙트 참고자료'!$A:$B,2,FALSE)</f>
        <v>ACTIVE_ATTACK_SPEED_UP</v>
      </c>
      <c r="AS845" s="25">
        <v>1</v>
      </c>
      <c r="BD845" s="25">
        <v>1</v>
      </c>
    </row>
    <row r="846" spans="1:56" hidden="1">
      <c r="A846" s="25">
        <v>841</v>
      </c>
      <c r="B846" s="25" t="str">
        <f>VLOOKUP(C846,'시스템이펙트 참고자료'!$A:$C,2,FALSE)</f>
        <v>ACTIVE_STR_UP</v>
      </c>
      <c r="C846" s="25">
        <v>610</v>
      </c>
      <c r="D846" s="25">
        <f>VLOOKUP(C846,'시스템이펙트 참고자료'!$A:$D,4,FALSE)</f>
        <v>0</v>
      </c>
      <c r="E846" s="25">
        <v>0</v>
      </c>
      <c r="F846" s="25">
        <v>0</v>
      </c>
      <c r="G846" s="25">
        <f t="shared" si="60"/>
        <v>2</v>
      </c>
      <c r="H846" s="25" t="s">
        <v>395</v>
      </c>
      <c r="I846" s="25">
        <v>1</v>
      </c>
      <c r="J846" s="25" t="str">
        <f>VLOOKUP(C846,'시스템이펙트 참고자료'!$A:$C,3,FALSE)</f>
        <v>절대값/상대값(%) 가능</v>
      </c>
      <c r="K846" s="25">
        <v>16</v>
      </c>
      <c r="M846" s="25">
        <v>11</v>
      </c>
      <c r="N846" s="25">
        <f t="shared" si="63"/>
        <v>57</v>
      </c>
      <c r="O846" s="25">
        <v>1</v>
      </c>
      <c r="P846" s="25">
        <v>1</v>
      </c>
      <c r="Q846" s="25">
        <v>1</v>
      </c>
      <c r="R846" s="25">
        <v>1</v>
      </c>
      <c r="T846" s="25">
        <v>1</v>
      </c>
      <c r="AA846" s="25">
        <f t="shared" si="62"/>
        <v>128</v>
      </c>
      <c r="AK846" s="25">
        <v>1</v>
      </c>
      <c r="AM846" s="25">
        <v>57</v>
      </c>
      <c r="AN846" s="25">
        <v>100</v>
      </c>
      <c r="AP846" s="25">
        <f t="shared" si="61"/>
        <v>2</v>
      </c>
      <c r="AQ846" s="25" t="str">
        <f>VLOOKUP(C846,'시스템이펙트 참고자료'!$A:$B,2,FALSE)</f>
        <v>ACTIVE_STR_UP</v>
      </c>
      <c r="AS846" s="25">
        <v>1</v>
      </c>
      <c r="BD846" s="25">
        <v>1</v>
      </c>
    </row>
    <row r="847" spans="1:56" hidden="1">
      <c r="A847" s="25">
        <v>842</v>
      </c>
      <c r="B847" s="25" t="str">
        <f>VLOOKUP(C847,'시스템이펙트 참고자료'!$A:$C,2,FALSE)</f>
        <v>ACTIVE_CON_UP</v>
      </c>
      <c r="C847" s="25">
        <v>611</v>
      </c>
      <c r="D847" s="25">
        <f>VLOOKUP(C847,'시스템이펙트 참고자료'!$A:$D,4,FALSE)</f>
        <v>0</v>
      </c>
      <c r="E847" s="25">
        <v>0</v>
      </c>
      <c r="F847" s="25">
        <v>0</v>
      </c>
      <c r="G847" s="25">
        <f t="shared" si="60"/>
        <v>3</v>
      </c>
      <c r="H847" s="25" t="s">
        <v>395</v>
      </c>
      <c r="I847" s="25">
        <v>1</v>
      </c>
      <c r="J847" s="25" t="str">
        <f>VLOOKUP(C847,'시스템이펙트 참고자료'!$A:$C,3,FALSE)</f>
        <v>절대값/상대값(%) 가능</v>
      </c>
      <c r="K847" s="25">
        <v>16</v>
      </c>
      <c r="M847" s="25">
        <v>11</v>
      </c>
      <c r="N847" s="25">
        <f t="shared" si="63"/>
        <v>48</v>
      </c>
      <c r="O847" s="25">
        <v>1</v>
      </c>
      <c r="P847" s="25">
        <v>1</v>
      </c>
      <c r="Q847" s="25">
        <v>1</v>
      </c>
      <c r="R847" s="25">
        <v>1</v>
      </c>
      <c r="T847" s="25">
        <v>1</v>
      </c>
      <c r="AA847" s="25">
        <f t="shared" si="62"/>
        <v>128</v>
      </c>
      <c r="AK847" s="25">
        <v>1</v>
      </c>
      <c r="AM847" s="25">
        <v>48</v>
      </c>
      <c r="AN847" s="25">
        <v>100</v>
      </c>
      <c r="AP847" s="25">
        <f t="shared" si="61"/>
        <v>3</v>
      </c>
      <c r="AQ847" s="25" t="str">
        <f>VLOOKUP(C847,'시스템이펙트 참고자료'!$A:$B,2,FALSE)</f>
        <v>ACTIVE_CON_UP</v>
      </c>
      <c r="AS847" s="25">
        <v>1</v>
      </c>
      <c r="BD847" s="25">
        <v>1</v>
      </c>
    </row>
    <row r="848" spans="1:56" hidden="1">
      <c r="A848" s="25">
        <v>843</v>
      </c>
      <c r="B848" s="25" t="str">
        <f>VLOOKUP(C848,'시스템이펙트 참고자료'!$A:$C,2,FALSE)</f>
        <v>ACTIVE_FOC_UP</v>
      </c>
      <c r="C848" s="25">
        <v>612</v>
      </c>
      <c r="D848" s="25">
        <f>VLOOKUP(C848,'시스템이펙트 참고자료'!$A:$D,4,FALSE)</f>
        <v>0</v>
      </c>
      <c r="E848" s="25">
        <v>0</v>
      </c>
      <c r="F848" s="25">
        <v>0</v>
      </c>
      <c r="G848" s="25">
        <f t="shared" si="60"/>
        <v>2</v>
      </c>
      <c r="H848" s="25" t="s">
        <v>395</v>
      </c>
      <c r="I848" s="25">
        <v>1</v>
      </c>
      <c r="J848" s="25" t="str">
        <f>VLOOKUP(C848,'시스템이펙트 참고자료'!$A:$C,3,FALSE)</f>
        <v>절대값/상대값(%) 가능</v>
      </c>
      <c r="K848" s="25">
        <v>16</v>
      </c>
      <c r="M848" s="25">
        <v>11</v>
      </c>
      <c r="N848" s="25">
        <f t="shared" si="63"/>
        <v>53</v>
      </c>
      <c r="O848" s="25">
        <v>1</v>
      </c>
      <c r="P848" s="25">
        <v>1</v>
      </c>
      <c r="Q848" s="25">
        <v>1</v>
      </c>
      <c r="R848" s="25">
        <v>1</v>
      </c>
      <c r="T848" s="25">
        <v>1</v>
      </c>
      <c r="AA848" s="25">
        <f t="shared" si="62"/>
        <v>128</v>
      </c>
      <c r="AK848" s="25">
        <v>1</v>
      </c>
      <c r="AM848" s="25">
        <v>53</v>
      </c>
      <c r="AN848" s="25">
        <v>100</v>
      </c>
      <c r="AP848" s="25">
        <f t="shared" si="61"/>
        <v>2</v>
      </c>
      <c r="AQ848" s="25" t="str">
        <f>VLOOKUP(C848,'시스템이펙트 참고자료'!$A:$B,2,FALSE)</f>
        <v>ACTIVE_FOC_UP</v>
      </c>
      <c r="AS848" s="25">
        <v>1</v>
      </c>
      <c r="BD848" s="25">
        <v>1</v>
      </c>
    </row>
    <row r="849" spans="1:56" hidden="1">
      <c r="A849" s="25">
        <v>844</v>
      </c>
      <c r="B849" s="25" t="str">
        <f>VLOOKUP(C849,'시스템이펙트 참고자료'!$A:$C,2,FALSE)</f>
        <v>ACTIVE_DEX_UP</v>
      </c>
      <c r="C849" s="25">
        <v>613</v>
      </c>
      <c r="D849" s="25">
        <f>VLOOKUP(C849,'시스템이펙트 참고자료'!$A:$D,4,FALSE)</f>
        <v>0</v>
      </c>
      <c r="E849" s="25">
        <v>0</v>
      </c>
      <c r="F849" s="25">
        <v>0</v>
      </c>
      <c r="G849" s="25">
        <f t="shared" si="60"/>
        <v>3</v>
      </c>
      <c r="H849" s="25" t="s">
        <v>395</v>
      </c>
      <c r="I849" s="25">
        <v>1</v>
      </c>
      <c r="J849" s="25" t="str">
        <f>VLOOKUP(C849,'시스템이펙트 참고자료'!$A:$C,3,FALSE)</f>
        <v>절대값/상대값(%) 가능</v>
      </c>
      <c r="K849" s="25">
        <v>16</v>
      </c>
      <c r="M849" s="25">
        <v>11</v>
      </c>
      <c r="N849" s="25">
        <f t="shared" si="63"/>
        <v>44</v>
      </c>
      <c r="O849" s="25">
        <v>1</v>
      </c>
      <c r="P849" s="25">
        <v>1</v>
      </c>
      <c r="Q849" s="25">
        <v>1</v>
      </c>
      <c r="R849" s="25">
        <v>1</v>
      </c>
      <c r="T849" s="25">
        <v>1</v>
      </c>
      <c r="AA849" s="25">
        <f t="shared" si="62"/>
        <v>128</v>
      </c>
      <c r="AK849" s="25">
        <v>1</v>
      </c>
      <c r="AM849" s="25">
        <v>44</v>
      </c>
      <c r="AN849" s="25">
        <v>100</v>
      </c>
      <c r="AP849" s="25">
        <f t="shared" si="61"/>
        <v>3</v>
      </c>
      <c r="AQ849" s="25" t="str">
        <f>VLOOKUP(C849,'시스템이펙트 참고자료'!$A:$B,2,FALSE)</f>
        <v>ACTIVE_DEX_UP</v>
      </c>
      <c r="AS849" s="25">
        <v>1</v>
      </c>
      <c r="BD849" s="25">
        <v>1</v>
      </c>
    </row>
    <row r="850" spans="1:56" hidden="1">
      <c r="A850" s="25">
        <v>845</v>
      </c>
      <c r="B850" s="25" t="str">
        <f>VLOOKUP(C850,'시스템이펙트 참고자료'!$A:$C,2,FALSE)</f>
        <v>ACTIVE_SOL_UP</v>
      </c>
      <c r="C850" s="25">
        <v>614</v>
      </c>
      <c r="D850" s="25">
        <f>VLOOKUP(C850,'시스템이펙트 참고자료'!$A:$D,4,FALSE)</f>
        <v>0</v>
      </c>
      <c r="E850" s="25">
        <v>0</v>
      </c>
      <c r="F850" s="25">
        <v>0</v>
      </c>
      <c r="G850" s="25">
        <f t="shared" ref="G850:G901" si="64">IF(N850&gt;0,INT(100/N850+0.99),0)</f>
        <v>2</v>
      </c>
      <c r="H850" s="25" t="s">
        <v>395</v>
      </c>
      <c r="I850" s="25">
        <v>1</v>
      </c>
      <c r="J850" s="25" t="str">
        <f>VLOOKUP(C850,'시스템이펙트 참고자료'!$A:$C,3,FALSE)</f>
        <v>절대값/상대값(%) 가능</v>
      </c>
      <c r="K850" s="25">
        <v>16</v>
      </c>
      <c r="M850" s="25">
        <v>11</v>
      </c>
      <c r="N850" s="25">
        <f t="shared" si="63"/>
        <v>53</v>
      </c>
      <c r="O850" s="25">
        <v>1</v>
      </c>
      <c r="P850" s="25">
        <v>1</v>
      </c>
      <c r="Q850" s="25">
        <v>1</v>
      </c>
      <c r="R850" s="25">
        <v>1</v>
      </c>
      <c r="T850" s="25">
        <v>1</v>
      </c>
      <c r="AA850" s="25">
        <f t="shared" si="62"/>
        <v>128</v>
      </c>
      <c r="AK850" s="25">
        <v>1</v>
      </c>
      <c r="AM850" s="25">
        <v>53</v>
      </c>
      <c r="AN850" s="25">
        <v>100</v>
      </c>
      <c r="AP850" s="25">
        <f t="shared" ref="AP850:AP901" si="65">INT(100/N850+0.99)</f>
        <v>2</v>
      </c>
      <c r="AQ850" s="25" t="str">
        <f>VLOOKUP(C850,'시스템이펙트 참고자료'!$A:$B,2,FALSE)</f>
        <v>ACTIVE_SOL_UP</v>
      </c>
      <c r="AS850" s="25">
        <v>1</v>
      </c>
      <c r="BD850" s="25">
        <v>1</v>
      </c>
    </row>
    <row r="851" spans="1:56" hidden="1">
      <c r="A851" s="25">
        <v>846</v>
      </c>
      <c r="B851" s="25" t="str">
        <f>VLOOKUP(C851,'시스템이펙트 참고자료'!$A:$C,2,FALSE)</f>
        <v>ACTIVE_ENG_UP</v>
      </c>
      <c r="C851" s="25">
        <v>615</v>
      </c>
      <c r="D851" s="25">
        <f>VLOOKUP(C851,'시스템이펙트 참고자료'!$A:$D,4,FALSE)</f>
        <v>0</v>
      </c>
      <c r="E851" s="25">
        <v>0</v>
      </c>
      <c r="F851" s="25">
        <v>0</v>
      </c>
      <c r="G851" s="25">
        <f t="shared" si="64"/>
        <v>2</v>
      </c>
      <c r="H851" s="25" t="s">
        <v>395</v>
      </c>
      <c r="I851" s="25">
        <v>1</v>
      </c>
      <c r="J851" s="25" t="str">
        <f>VLOOKUP(C851,'시스템이펙트 참고자료'!$A:$C,3,FALSE)</f>
        <v>절대값/상대값(%) 가능</v>
      </c>
      <c r="K851" s="25">
        <v>16</v>
      </c>
      <c r="M851" s="25">
        <v>11</v>
      </c>
      <c r="N851" s="25">
        <f t="shared" si="63"/>
        <v>62</v>
      </c>
      <c r="O851" s="25">
        <v>1</v>
      </c>
      <c r="P851" s="25">
        <v>1</v>
      </c>
      <c r="Q851" s="25">
        <v>1</v>
      </c>
      <c r="R851" s="25">
        <v>1</v>
      </c>
      <c r="T851" s="25">
        <v>1</v>
      </c>
      <c r="AA851" s="25">
        <f t="shared" ref="AA851:AA914" si="66">2^AA$1</f>
        <v>128</v>
      </c>
      <c r="AK851" s="25">
        <v>1</v>
      </c>
      <c r="AM851" s="25">
        <v>62</v>
      </c>
      <c r="AN851" s="25">
        <v>100</v>
      </c>
      <c r="AP851" s="25">
        <f t="shared" si="65"/>
        <v>2</v>
      </c>
      <c r="AQ851" s="25" t="str">
        <f>VLOOKUP(C851,'시스템이펙트 참고자료'!$A:$B,2,FALSE)</f>
        <v>ACTIVE_ENG_UP</v>
      </c>
      <c r="AS851" s="25">
        <v>1</v>
      </c>
      <c r="BD851" s="25">
        <v>1</v>
      </c>
    </row>
    <row r="852" spans="1:56" hidden="1">
      <c r="A852" s="25">
        <v>847</v>
      </c>
      <c r="B852" s="25" t="str">
        <f>VLOOKUP(C852,'시스템이펙트 참고자료'!$A:$C,2,FALSE)</f>
        <v>ACTIVE_PHYSICAL_DEFENCE_UP</v>
      </c>
      <c r="C852" s="25">
        <v>608</v>
      </c>
      <c r="D852" s="25">
        <f>VLOOKUP(C852,'시스템이펙트 참고자료'!$A:$D,4,FALSE)</f>
        <v>0</v>
      </c>
      <c r="E852" s="25">
        <v>0</v>
      </c>
      <c r="F852" s="25">
        <v>0</v>
      </c>
      <c r="G852" s="25">
        <f t="shared" si="64"/>
        <v>1</v>
      </c>
      <c r="H852" s="25" t="s">
        <v>395</v>
      </c>
      <c r="I852" s="25">
        <v>1</v>
      </c>
      <c r="J852" s="25" t="str">
        <f>VLOOKUP(C852,'시스템이펙트 참고자료'!$A:$C,3,FALSE)</f>
        <v>절대값/상대값(%) 가능</v>
      </c>
      <c r="K852" s="25">
        <v>16</v>
      </c>
      <c r="M852" s="25">
        <v>12</v>
      </c>
      <c r="N852" s="25">
        <f t="shared" si="63"/>
        <v>1350</v>
      </c>
      <c r="O852" s="25">
        <v>1</v>
      </c>
      <c r="P852" s="25">
        <v>1</v>
      </c>
      <c r="Q852" s="25">
        <v>1</v>
      </c>
      <c r="R852" s="25">
        <v>1</v>
      </c>
      <c r="T852" s="25">
        <v>1</v>
      </c>
      <c r="AA852" s="25">
        <f t="shared" si="66"/>
        <v>128</v>
      </c>
      <c r="AK852" s="25">
        <v>1</v>
      </c>
      <c r="AM852" s="25">
        <v>1350</v>
      </c>
      <c r="AN852" s="25">
        <v>100</v>
      </c>
      <c r="AP852" s="25">
        <f t="shared" si="65"/>
        <v>1</v>
      </c>
      <c r="AQ852" s="25" t="str">
        <f>VLOOKUP(C852,'시스템이펙트 참고자료'!$A:$B,2,FALSE)</f>
        <v>ACTIVE_PHYSICAL_DEFENCE_UP</v>
      </c>
      <c r="AS852" s="25">
        <v>1</v>
      </c>
      <c r="BD852" s="25">
        <v>1</v>
      </c>
    </row>
    <row r="853" spans="1:56" hidden="1">
      <c r="A853" s="25">
        <v>848</v>
      </c>
      <c r="B853" s="25" t="str">
        <f>VLOOKUP(C853,'시스템이펙트 참고자료'!$A:$C,2,FALSE)</f>
        <v>ACTIVE_BLOCK_RATE_UP</v>
      </c>
      <c r="C853" s="25">
        <v>620</v>
      </c>
      <c r="D853" s="25">
        <f>VLOOKUP(C853,'시스템이펙트 참고자료'!$A:$D,4,FALSE)</f>
        <v>0</v>
      </c>
      <c r="E853" s="25">
        <v>0</v>
      </c>
      <c r="F853" s="25">
        <v>0</v>
      </c>
      <c r="G853" s="25">
        <f t="shared" si="64"/>
        <v>1</v>
      </c>
      <c r="H853" s="25" t="s">
        <v>395</v>
      </c>
      <c r="I853" s="25">
        <v>1</v>
      </c>
      <c r="J853" s="25" t="str">
        <f>VLOOKUP(C853,'시스템이펙트 참고자료'!$A:$C,3,FALSE)</f>
        <v>절대값/상대값(%) 가능</v>
      </c>
      <c r="K853" s="25">
        <v>16</v>
      </c>
      <c r="M853" s="25">
        <v>12</v>
      </c>
      <c r="N853" s="25">
        <f t="shared" si="63"/>
        <v>352</v>
      </c>
      <c r="O853" s="25">
        <v>1</v>
      </c>
      <c r="P853" s="25">
        <v>1</v>
      </c>
      <c r="Q853" s="25">
        <v>1</v>
      </c>
      <c r="R853" s="25">
        <v>1</v>
      </c>
      <c r="T853" s="25">
        <v>1</v>
      </c>
      <c r="AA853" s="25">
        <f t="shared" si="66"/>
        <v>128</v>
      </c>
      <c r="AK853" s="25">
        <v>1</v>
      </c>
      <c r="AM853" s="25">
        <v>352</v>
      </c>
      <c r="AN853" s="25">
        <v>100</v>
      </c>
      <c r="AP853" s="25">
        <f t="shared" si="65"/>
        <v>1</v>
      </c>
      <c r="AQ853" s="25" t="str">
        <f>VLOOKUP(C853,'시스템이펙트 참고자료'!$A:$B,2,FALSE)</f>
        <v>ACTIVE_BLOCK_RATE_UP</v>
      </c>
      <c r="AS853" s="25">
        <v>1</v>
      </c>
      <c r="BD853" s="25">
        <v>1</v>
      </c>
    </row>
    <row r="854" spans="1:56" hidden="1">
      <c r="A854" s="25">
        <v>849</v>
      </c>
      <c r="B854" s="25" t="str">
        <f>VLOOKUP(C854,'시스템이펙트 참고자료'!$A:$C,2,FALSE)</f>
        <v>ACTIVE_CON_UP</v>
      </c>
      <c r="C854" s="25">
        <v>611</v>
      </c>
      <c r="D854" s="25">
        <f>VLOOKUP(C854,'시스템이펙트 참고자료'!$A:$D,4,FALSE)</f>
        <v>0</v>
      </c>
      <c r="E854" s="25">
        <v>0</v>
      </c>
      <c r="F854" s="25">
        <v>0</v>
      </c>
      <c r="G854" s="25">
        <f t="shared" si="64"/>
        <v>3</v>
      </c>
      <c r="H854" s="25" t="s">
        <v>395</v>
      </c>
      <c r="I854" s="25">
        <v>1</v>
      </c>
      <c r="J854" s="25" t="str">
        <f>VLOOKUP(C854,'시스템이펙트 참고자료'!$A:$C,3,FALSE)</f>
        <v>절대값/상대값(%) 가능</v>
      </c>
      <c r="K854" s="25">
        <v>16</v>
      </c>
      <c r="M854" s="25">
        <v>12</v>
      </c>
      <c r="N854" s="25">
        <f t="shared" si="63"/>
        <v>48</v>
      </c>
      <c r="O854" s="25">
        <v>1</v>
      </c>
      <c r="P854" s="25">
        <v>1</v>
      </c>
      <c r="Q854" s="25">
        <v>1</v>
      </c>
      <c r="R854" s="25">
        <v>1</v>
      </c>
      <c r="T854" s="25">
        <v>1</v>
      </c>
      <c r="AA854" s="25">
        <f t="shared" si="66"/>
        <v>128</v>
      </c>
      <c r="AK854" s="25">
        <v>1</v>
      </c>
      <c r="AM854" s="25">
        <v>48</v>
      </c>
      <c r="AN854" s="25">
        <v>100</v>
      </c>
      <c r="AP854" s="25">
        <f t="shared" si="65"/>
        <v>3</v>
      </c>
      <c r="AQ854" s="25" t="str">
        <f>VLOOKUP(C854,'시스템이펙트 참고자료'!$A:$B,2,FALSE)</f>
        <v>ACTIVE_CON_UP</v>
      </c>
      <c r="AS854" s="25">
        <v>1</v>
      </c>
      <c r="BD854" s="25">
        <v>1</v>
      </c>
    </row>
    <row r="855" spans="1:56" hidden="1">
      <c r="A855" s="25">
        <v>850</v>
      </c>
      <c r="B855" s="25" t="str">
        <f>VLOOKUP(C855,'시스템이펙트 참고자료'!$A:$C,2,FALSE)</f>
        <v>ACTIVE_FOC_UP</v>
      </c>
      <c r="C855" s="25">
        <v>612</v>
      </c>
      <c r="D855" s="25">
        <f>VLOOKUP(C855,'시스템이펙트 참고자료'!$A:$D,4,FALSE)</f>
        <v>0</v>
      </c>
      <c r="E855" s="25">
        <v>0</v>
      </c>
      <c r="F855" s="25">
        <v>0</v>
      </c>
      <c r="G855" s="25">
        <f t="shared" si="64"/>
        <v>2</v>
      </c>
      <c r="H855" s="25" t="s">
        <v>395</v>
      </c>
      <c r="I855" s="25">
        <v>1</v>
      </c>
      <c r="J855" s="25" t="str">
        <f>VLOOKUP(C855,'시스템이펙트 참고자료'!$A:$C,3,FALSE)</f>
        <v>절대값/상대값(%) 가능</v>
      </c>
      <c r="K855" s="25">
        <v>16</v>
      </c>
      <c r="M855" s="25">
        <v>12</v>
      </c>
      <c r="N855" s="25">
        <f t="shared" si="63"/>
        <v>53</v>
      </c>
      <c r="O855" s="25">
        <v>1</v>
      </c>
      <c r="P855" s="25">
        <v>1</v>
      </c>
      <c r="Q855" s="25">
        <v>1</v>
      </c>
      <c r="R855" s="25">
        <v>1</v>
      </c>
      <c r="T855" s="25">
        <v>1</v>
      </c>
      <c r="AA855" s="25">
        <f t="shared" si="66"/>
        <v>128</v>
      </c>
      <c r="AK855" s="25">
        <v>1</v>
      </c>
      <c r="AM855" s="25">
        <v>53</v>
      </c>
      <c r="AN855" s="25">
        <v>100</v>
      </c>
      <c r="AP855" s="25">
        <f t="shared" si="65"/>
        <v>2</v>
      </c>
      <c r="AQ855" s="25" t="str">
        <f>VLOOKUP(C855,'시스템이펙트 참고자료'!$A:$B,2,FALSE)</f>
        <v>ACTIVE_FOC_UP</v>
      </c>
      <c r="AS855" s="25">
        <v>1</v>
      </c>
      <c r="BD855" s="25">
        <v>1</v>
      </c>
    </row>
    <row r="856" spans="1:56" hidden="1">
      <c r="A856" s="25">
        <v>851</v>
      </c>
      <c r="B856" s="25" t="str">
        <f>VLOOKUP(C856,'시스템이펙트 참고자료'!$A:$C,2,FALSE)</f>
        <v>ACTIVE_ENERGY_OFFENCE_UP</v>
      </c>
      <c r="C856" s="25">
        <v>607</v>
      </c>
      <c r="D856" s="25">
        <f>VLOOKUP(C856,'시스템이펙트 참고자료'!$A:$D,4,FALSE)</f>
        <v>0</v>
      </c>
      <c r="E856" s="25">
        <v>0</v>
      </c>
      <c r="F856" s="25">
        <v>0</v>
      </c>
      <c r="G856" s="25">
        <f t="shared" si="64"/>
        <v>1</v>
      </c>
      <c r="H856" s="25" t="s">
        <v>395</v>
      </c>
      <c r="I856" s="25">
        <v>1</v>
      </c>
      <c r="J856" s="25" t="str">
        <f>VLOOKUP(C856,'시스템이펙트 참고자료'!$A:$C,3,FALSE)</f>
        <v>절대값/상대값(%) 가능</v>
      </c>
      <c r="K856" s="25">
        <v>17</v>
      </c>
      <c r="M856" s="25">
        <v>3</v>
      </c>
      <c r="N856" s="25">
        <f t="shared" si="63"/>
        <v>104</v>
      </c>
      <c r="O856" s="25">
        <v>1</v>
      </c>
      <c r="P856" s="25">
        <v>1</v>
      </c>
      <c r="Q856" s="25">
        <v>1</v>
      </c>
      <c r="R856" s="25">
        <v>1</v>
      </c>
      <c r="T856" s="25">
        <v>1</v>
      </c>
      <c r="AA856" s="25">
        <f t="shared" si="66"/>
        <v>128</v>
      </c>
      <c r="AK856" s="25">
        <v>1</v>
      </c>
      <c r="AM856" s="25">
        <v>104</v>
      </c>
      <c r="AN856" s="25">
        <v>100</v>
      </c>
      <c r="AP856" s="25">
        <f t="shared" si="65"/>
        <v>1</v>
      </c>
      <c r="AQ856" s="25" t="str">
        <f>VLOOKUP(C856,'시스템이펙트 참고자료'!$A:$B,2,FALSE)</f>
        <v>ACTIVE_ENERGY_OFFENCE_UP</v>
      </c>
      <c r="AS856" s="25">
        <v>1</v>
      </c>
      <c r="BD856" s="25">
        <v>1</v>
      </c>
    </row>
    <row r="857" spans="1:56" hidden="1">
      <c r="A857" s="25">
        <v>852</v>
      </c>
      <c r="B857" s="25" t="str">
        <f>VLOOKUP(C857,'시스템이펙트 참고자료'!$A:$C,2,FALSE)</f>
        <v>ACTIVE_FOC_UP</v>
      </c>
      <c r="C857" s="25">
        <v>612</v>
      </c>
      <c r="D857" s="25">
        <f>VLOOKUP(C857,'시스템이펙트 참고자료'!$A:$D,4,FALSE)</f>
        <v>0</v>
      </c>
      <c r="E857" s="25">
        <v>0</v>
      </c>
      <c r="F857" s="25">
        <v>0</v>
      </c>
      <c r="G857" s="25">
        <f t="shared" si="64"/>
        <v>2</v>
      </c>
      <c r="H857" s="25" t="s">
        <v>395</v>
      </c>
      <c r="I857" s="25">
        <v>1</v>
      </c>
      <c r="J857" s="25" t="str">
        <f>VLOOKUP(C857,'시스템이펙트 참고자료'!$A:$C,3,FALSE)</f>
        <v>절대값/상대값(%) 가능</v>
      </c>
      <c r="K857" s="25">
        <v>17</v>
      </c>
      <c r="M857" s="25">
        <v>3</v>
      </c>
      <c r="N857" s="25">
        <f t="shared" si="63"/>
        <v>53</v>
      </c>
      <c r="O857" s="25">
        <v>1</v>
      </c>
      <c r="P857" s="25">
        <v>1</v>
      </c>
      <c r="Q857" s="25">
        <v>1</v>
      </c>
      <c r="R857" s="25">
        <v>1</v>
      </c>
      <c r="T857" s="25">
        <v>1</v>
      </c>
      <c r="AA857" s="25">
        <f t="shared" si="66"/>
        <v>128</v>
      </c>
      <c r="AK857" s="25">
        <v>1</v>
      </c>
      <c r="AM857" s="25">
        <v>53</v>
      </c>
      <c r="AN857" s="25">
        <v>100</v>
      </c>
      <c r="AP857" s="25">
        <f t="shared" si="65"/>
        <v>2</v>
      </c>
      <c r="AQ857" s="25" t="str">
        <f>VLOOKUP(C857,'시스템이펙트 참고자료'!$A:$B,2,FALSE)</f>
        <v>ACTIVE_FOC_UP</v>
      </c>
      <c r="AS857" s="25">
        <v>1</v>
      </c>
      <c r="BD857" s="25">
        <v>1</v>
      </c>
    </row>
    <row r="858" spans="1:56" hidden="1">
      <c r="A858" s="25">
        <v>853</v>
      </c>
      <c r="B858" s="25" t="str">
        <f>VLOOKUP(C858,'시스템이펙트 참고자료'!$A:$C,2,FALSE)</f>
        <v>ACTIVE_SOL_UP</v>
      </c>
      <c r="C858" s="25">
        <v>614</v>
      </c>
      <c r="D858" s="25">
        <f>VLOOKUP(C858,'시스템이펙트 참고자료'!$A:$D,4,FALSE)</f>
        <v>0</v>
      </c>
      <c r="E858" s="25">
        <v>0</v>
      </c>
      <c r="F858" s="25">
        <v>0</v>
      </c>
      <c r="G858" s="25">
        <f t="shared" si="64"/>
        <v>2</v>
      </c>
      <c r="H858" s="25" t="s">
        <v>395</v>
      </c>
      <c r="I858" s="25">
        <v>1</v>
      </c>
      <c r="J858" s="25" t="str">
        <f>VLOOKUP(C858,'시스템이펙트 참고자료'!$A:$C,3,FALSE)</f>
        <v>절대값/상대값(%) 가능</v>
      </c>
      <c r="K858" s="25">
        <v>17</v>
      </c>
      <c r="M858" s="25">
        <v>3</v>
      </c>
      <c r="N858" s="25">
        <f t="shared" si="63"/>
        <v>53</v>
      </c>
      <c r="O858" s="25">
        <v>1</v>
      </c>
      <c r="P858" s="25">
        <v>1</v>
      </c>
      <c r="Q858" s="25">
        <v>1</v>
      </c>
      <c r="R858" s="25">
        <v>1</v>
      </c>
      <c r="T858" s="25">
        <v>1</v>
      </c>
      <c r="AA858" s="25">
        <f t="shared" si="66"/>
        <v>128</v>
      </c>
      <c r="AK858" s="25">
        <v>1</v>
      </c>
      <c r="AM858" s="25">
        <v>53</v>
      </c>
      <c r="AN858" s="25">
        <v>100</v>
      </c>
      <c r="AP858" s="25">
        <f t="shared" si="65"/>
        <v>2</v>
      </c>
      <c r="AQ858" s="25" t="str">
        <f>VLOOKUP(C858,'시스템이펙트 참고자료'!$A:$B,2,FALSE)</f>
        <v>ACTIVE_SOL_UP</v>
      </c>
      <c r="AS858" s="25">
        <v>1</v>
      </c>
      <c r="BD858" s="25">
        <v>1</v>
      </c>
    </row>
    <row r="859" spans="1:56" hidden="1">
      <c r="A859" s="25">
        <v>854</v>
      </c>
      <c r="B859" s="25" t="str">
        <f>VLOOKUP(C859,'시스템이펙트 참고자료'!$A:$C,2,FALSE)</f>
        <v>ACTIVE_ENERGY_CRITICAL_DAMAGE_UP</v>
      </c>
      <c r="C859" s="25">
        <v>659</v>
      </c>
      <c r="D859" s="25">
        <f>VLOOKUP(C859,'시스템이펙트 참고자료'!$A:$D,4,FALSE)</f>
        <v>0</v>
      </c>
      <c r="E859" s="25">
        <v>0</v>
      </c>
      <c r="F859" s="25">
        <v>0</v>
      </c>
      <c r="G859" s="25">
        <f t="shared" si="64"/>
        <v>4</v>
      </c>
      <c r="H859" s="25" t="s">
        <v>395</v>
      </c>
      <c r="I859" s="25">
        <v>1</v>
      </c>
      <c r="J859" s="25" t="str">
        <f>VLOOKUP(C859,'시스템이펙트 참고자료'!$A:$C,3,FALSE)</f>
        <v>절대값만 가능</v>
      </c>
      <c r="K859" s="25">
        <v>17</v>
      </c>
      <c r="M859" s="25">
        <v>3</v>
      </c>
      <c r="N859" s="25">
        <f t="shared" si="63"/>
        <v>32</v>
      </c>
      <c r="O859" s="25">
        <v>1</v>
      </c>
      <c r="P859" s="25">
        <v>1</v>
      </c>
      <c r="Q859" s="25">
        <v>1</v>
      </c>
      <c r="R859" s="25">
        <v>1</v>
      </c>
      <c r="T859" s="25">
        <v>1</v>
      </c>
      <c r="AA859" s="25">
        <f t="shared" si="66"/>
        <v>128</v>
      </c>
      <c r="AK859" s="25">
        <v>1</v>
      </c>
      <c r="AM859" s="25">
        <v>32</v>
      </c>
      <c r="AN859" s="25">
        <v>100</v>
      </c>
      <c r="AP859" s="25">
        <f t="shared" si="65"/>
        <v>4</v>
      </c>
      <c r="AQ859" s="25" t="str">
        <f>VLOOKUP(C859,'시스템이펙트 참고자료'!$A:$B,2,FALSE)</f>
        <v>ACTIVE_ENERGY_CRITICAL_DAMAGE_UP</v>
      </c>
      <c r="AS859" s="25">
        <v>1</v>
      </c>
      <c r="BD859" s="25">
        <v>1</v>
      </c>
    </row>
    <row r="860" spans="1:56" hidden="1">
      <c r="A860" s="25">
        <v>855</v>
      </c>
      <c r="B860" s="25" t="str">
        <f>VLOOKUP(C860,'시스템이펙트 참고자료'!$A:$C,2,FALSE)</f>
        <v>ACTIVE_ENERGY_CRITICAL</v>
      </c>
      <c r="C860" s="25">
        <v>633</v>
      </c>
      <c r="D860" s="25">
        <f>VLOOKUP(C860,'시스템이펙트 참고자료'!$A:$D,4,FALSE)</f>
        <v>0</v>
      </c>
      <c r="E860" s="25">
        <v>0</v>
      </c>
      <c r="F860" s="25">
        <v>0</v>
      </c>
      <c r="G860" s="25">
        <f t="shared" si="64"/>
        <v>5</v>
      </c>
      <c r="H860" s="25" t="s">
        <v>395</v>
      </c>
      <c r="I860" s="25">
        <v>1</v>
      </c>
      <c r="J860" s="25" t="str">
        <f>VLOOKUP(C860,'시스템이펙트 참고자료'!$A:$C,3,FALSE)</f>
        <v>절대값/상대값(%) 가능</v>
      </c>
      <c r="K860" s="25">
        <v>17</v>
      </c>
      <c r="M860" s="25">
        <v>4</v>
      </c>
      <c r="N860" s="25">
        <f t="shared" si="63"/>
        <v>24</v>
      </c>
      <c r="O860" s="25">
        <v>1</v>
      </c>
      <c r="P860" s="25">
        <v>1</v>
      </c>
      <c r="Q860" s="25">
        <v>1</v>
      </c>
      <c r="R860" s="25">
        <v>1</v>
      </c>
      <c r="T860" s="25">
        <v>1</v>
      </c>
      <c r="AA860" s="25">
        <f t="shared" si="66"/>
        <v>128</v>
      </c>
      <c r="AK860" s="25">
        <v>1</v>
      </c>
      <c r="AM860" s="25">
        <v>24</v>
      </c>
      <c r="AN860" s="25">
        <v>100</v>
      </c>
      <c r="AP860" s="25">
        <f t="shared" si="65"/>
        <v>5</v>
      </c>
      <c r="AQ860" s="25" t="str">
        <f>VLOOKUP(C860,'시스템이펙트 참고자료'!$A:$B,2,FALSE)</f>
        <v>ACTIVE_ENERGY_CRITICAL</v>
      </c>
      <c r="AS860" s="25">
        <v>1</v>
      </c>
      <c r="BD860" s="25">
        <v>1</v>
      </c>
    </row>
    <row r="861" spans="1:56" hidden="1">
      <c r="A861" s="25">
        <v>856</v>
      </c>
      <c r="B861" s="25" t="str">
        <f>VLOOKUP(C861,'시스템이펙트 참고자료'!$A:$C,2,FALSE)</f>
        <v>ACTIVE_ENERGY_CRITICAL_DAMAGE_UP</v>
      </c>
      <c r="C861" s="25">
        <v>659</v>
      </c>
      <c r="D861" s="25">
        <f>VLOOKUP(C861,'시스템이펙트 참고자료'!$A:$D,4,FALSE)</f>
        <v>0</v>
      </c>
      <c r="E861" s="25">
        <v>0</v>
      </c>
      <c r="F861" s="25">
        <v>0</v>
      </c>
      <c r="G861" s="25">
        <f t="shared" si="64"/>
        <v>4</v>
      </c>
      <c r="H861" s="25" t="s">
        <v>395</v>
      </c>
      <c r="I861" s="25">
        <v>1</v>
      </c>
      <c r="J861" s="25" t="str">
        <f>VLOOKUP(C861,'시스템이펙트 참고자료'!$A:$C,3,FALSE)</f>
        <v>절대값만 가능</v>
      </c>
      <c r="K861" s="25">
        <v>17</v>
      </c>
      <c r="M861" s="25">
        <v>4</v>
      </c>
      <c r="N861" s="25">
        <f t="shared" si="63"/>
        <v>32</v>
      </c>
      <c r="O861" s="25">
        <v>1</v>
      </c>
      <c r="P861" s="25">
        <v>1</v>
      </c>
      <c r="Q861" s="25">
        <v>1</v>
      </c>
      <c r="R861" s="25">
        <v>1</v>
      </c>
      <c r="T861" s="25">
        <v>1</v>
      </c>
      <c r="AA861" s="25">
        <f t="shared" si="66"/>
        <v>128</v>
      </c>
      <c r="AK861" s="25">
        <v>1</v>
      </c>
      <c r="AM861" s="25">
        <v>32</v>
      </c>
      <c r="AN861" s="25">
        <v>100</v>
      </c>
      <c r="AP861" s="25">
        <f t="shared" si="65"/>
        <v>4</v>
      </c>
      <c r="AQ861" s="25" t="str">
        <f>VLOOKUP(C861,'시스템이펙트 참고자료'!$A:$B,2,FALSE)</f>
        <v>ACTIVE_ENERGY_CRITICAL_DAMAGE_UP</v>
      </c>
      <c r="AS861" s="25">
        <v>1</v>
      </c>
      <c r="BD861" s="25">
        <v>1</v>
      </c>
    </row>
    <row r="862" spans="1:56" hidden="1">
      <c r="A862" s="25">
        <v>857</v>
      </c>
      <c r="B862" s="25" t="str">
        <f>VLOOKUP(C862,'시스템이펙트 참고자료'!$A:$C,2,FALSE)</f>
        <v>ACTIVE_FOC_UP</v>
      </c>
      <c r="C862" s="25">
        <v>612</v>
      </c>
      <c r="D862" s="25">
        <f>VLOOKUP(C862,'시스템이펙트 참고자료'!$A:$D,4,FALSE)</f>
        <v>0</v>
      </c>
      <c r="E862" s="25">
        <v>0</v>
      </c>
      <c r="F862" s="25">
        <v>0</v>
      </c>
      <c r="G862" s="25">
        <f t="shared" si="64"/>
        <v>2</v>
      </c>
      <c r="H862" s="25" t="s">
        <v>395</v>
      </c>
      <c r="I862" s="25">
        <v>1</v>
      </c>
      <c r="J862" s="25" t="str">
        <f>VLOOKUP(C862,'시스템이펙트 참고자료'!$A:$C,3,FALSE)</f>
        <v>절대값/상대값(%) 가능</v>
      </c>
      <c r="K862" s="25">
        <v>17</v>
      </c>
      <c r="M862" s="25">
        <v>4</v>
      </c>
      <c r="N862" s="25">
        <f t="shared" si="63"/>
        <v>53</v>
      </c>
      <c r="O862" s="25">
        <v>1</v>
      </c>
      <c r="P862" s="25">
        <v>1</v>
      </c>
      <c r="Q862" s="25">
        <v>1</v>
      </c>
      <c r="R862" s="25">
        <v>1</v>
      </c>
      <c r="T862" s="25">
        <v>1</v>
      </c>
      <c r="AA862" s="25">
        <f t="shared" si="66"/>
        <v>128</v>
      </c>
      <c r="AK862" s="25">
        <v>1</v>
      </c>
      <c r="AM862" s="25">
        <v>53</v>
      </c>
      <c r="AN862" s="25">
        <v>100</v>
      </c>
      <c r="AP862" s="25">
        <f t="shared" si="65"/>
        <v>2</v>
      </c>
      <c r="AQ862" s="25" t="str">
        <f>VLOOKUP(C862,'시스템이펙트 참고자료'!$A:$B,2,FALSE)</f>
        <v>ACTIVE_FOC_UP</v>
      </c>
      <c r="AS862" s="25">
        <v>1</v>
      </c>
      <c r="BD862" s="25">
        <v>1</v>
      </c>
    </row>
    <row r="863" spans="1:56" hidden="1">
      <c r="A863" s="25">
        <v>858</v>
      </c>
      <c r="B863" s="25" t="str">
        <f>VLOOKUP(C863,'시스템이펙트 참고자료'!$A:$C,2,FALSE)</f>
        <v>ACTIVE_DEX_UP</v>
      </c>
      <c r="C863" s="25">
        <v>613</v>
      </c>
      <c r="D863" s="25">
        <f>VLOOKUP(C863,'시스템이펙트 참고자료'!$A:$D,4,FALSE)</f>
        <v>0</v>
      </c>
      <c r="E863" s="25">
        <v>0</v>
      </c>
      <c r="F863" s="25">
        <v>0</v>
      </c>
      <c r="G863" s="25">
        <f t="shared" si="64"/>
        <v>3</v>
      </c>
      <c r="H863" s="25" t="s">
        <v>395</v>
      </c>
      <c r="I863" s="25">
        <v>1</v>
      </c>
      <c r="J863" s="25" t="str">
        <f>VLOOKUP(C863,'시스템이펙트 참고자료'!$A:$C,3,FALSE)</f>
        <v>절대값/상대값(%) 가능</v>
      </c>
      <c r="K863" s="25">
        <v>17</v>
      </c>
      <c r="M863" s="25">
        <v>4</v>
      </c>
      <c r="N863" s="25">
        <f t="shared" si="63"/>
        <v>44</v>
      </c>
      <c r="O863" s="25">
        <v>1</v>
      </c>
      <c r="P863" s="25">
        <v>1</v>
      </c>
      <c r="Q863" s="25">
        <v>1</v>
      </c>
      <c r="R863" s="25">
        <v>1</v>
      </c>
      <c r="T863" s="25">
        <v>1</v>
      </c>
      <c r="AA863" s="25">
        <f t="shared" si="66"/>
        <v>128</v>
      </c>
      <c r="AK863" s="25">
        <v>1</v>
      </c>
      <c r="AM863" s="25">
        <v>44</v>
      </c>
      <c r="AN863" s="25">
        <v>100</v>
      </c>
      <c r="AP863" s="25">
        <f t="shared" si="65"/>
        <v>3</v>
      </c>
      <c r="AQ863" s="25" t="str">
        <f>VLOOKUP(C863,'시스템이펙트 참고자료'!$A:$B,2,FALSE)</f>
        <v>ACTIVE_DEX_UP</v>
      </c>
      <c r="AS863" s="25">
        <v>1</v>
      </c>
      <c r="BD863" s="25">
        <v>1</v>
      </c>
    </row>
    <row r="864" spans="1:56" hidden="1">
      <c r="A864" s="25">
        <v>859</v>
      </c>
      <c r="B864" s="25" t="str">
        <f>VLOOKUP(C864,'시스템이펙트 참고자료'!$A:$C,2,FALSE)</f>
        <v>ACTIVE_ATTACK_SPEED_UP</v>
      </c>
      <c r="C864" s="25">
        <v>617</v>
      </c>
      <c r="D864" s="25">
        <f>VLOOKUP(C864,'시스템이펙트 참고자료'!$A:$D,4,FALSE)</f>
        <v>1</v>
      </c>
      <c r="E864" s="25">
        <v>0</v>
      </c>
      <c r="F864" s="25">
        <v>0</v>
      </c>
      <c r="G864" s="25">
        <f t="shared" si="64"/>
        <v>10</v>
      </c>
      <c r="H864" s="25" t="s">
        <v>395</v>
      </c>
      <c r="I864" s="25">
        <v>1</v>
      </c>
      <c r="J864" s="25" t="str">
        <f>VLOOKUP(C864,'시스템이펙트 참고자료'!$A:$C,3,FALSE)</f>
        <v>절대값/상대값(%) 가능</v>
      </c>
      <c r="K864" s="25">
        <v>17</v>
      </c>
      <c r="M864" s="25">
        <v>5</v>
      </c>
      <c r="N864" s="25">
        <f t="shared" si="63"/>
        <v>10</v>
      </c>
      <c r="O864" s="25">
        <v>1</v>
      </c>
      <c r="P864" s="25">
        <v>1</v>
      </c>
      <c r="Q864" s="25">
        <v>1</v>
      </c>
      <c r="R864" s="25">
        <v>1</v>
      </c>
      <c r="T864" s="25">
        <v>1</v>
      </c>
      <c r="AA864" s="25">
        <f t="shared" si="66"/>
        <v>128</v>
      </c>
      <c r="AK864" s="25">
        <v>1</v>
      </c>
      <c r="AM864" s="25">
        <v>10</v>
      </c>
      <c r="AN864" s="25">
        <v>100</v>
      </c>
      <c r="AP864" s="25">
        <f t="shared" si="65"/>
        <v>10</v>
      </c>
      <c r="AQ864" s="25" t="str">
        <f>VLOOKUP(C864,'시스템이펙트 참고자료'!$A:$B,2,FALSE)</f>
        <v>ACTIVE_ATTACK_SPEED_UP</v>
      </c>
      <c r="AS864" s="25">
        <v>1</v>
      </c>
      <c r="BD864" s="25">
        <v>1</v>
      </c>
    </row>
    <row r="865" spans="1:56" hidden="1">
      <c r="A865" s="25">
        <v>860</v>
      </c>
      <c r="B865" s="25" t="str">
        <f>VLOOKUP(C865,'시스템이펙트 참고자료'!$A:$C,2,FALSE)</f>
        <v>ACTIVE_DEX_UP</v>
      </c>
      <c r="C865" s="25">
        <v>613</v>
      </c>
      <c r="D865" s="25">
        <f>VLOOKUP(C865,'시스템이펙트 참고자료'!$A:$D,4,FALSE)</f>
        <v>0</v>
      </c>
      <c r="E865" s="25">
        <v>0</v>
      </c>
      <c r="F865" s="25">
        <v>0</v>
      </c>
      <c r="G865" s="25">
        <f t="shared" si="64"/>
        <v>3</v>
      </c>
      <c r="H865" s="25" t="s">
        <v>395</v>
      </c>
      <c r="I865" s="25">
        <v>1</v>
      </c>
      <c r="J865" s="25" t="str">
        <f>VLOOKUP(C865,'시스템이펙트 참고자료'!$A:$C,3,FALSE)</f>
        <v>절대값/상대값(%) 가능</v>
      </c>
      <c r="K865" s="25">
        <v>17</v>
      </c>
      <c r="M865" s="25">
        <v>5</v>
      </c>
      <c r="N865" s="25">
        <f t="shared" si="63"/>
        <v>44</v>
      </c>
      <c r="O865" s="25">
        <v>1</v>
      </c>
      <c r="P865" s="25">
        <v>1</v>
      </c>
      <c r="Q865" s="25">
        <v>1</v>
      </c>
      <c r="R865" s="25">
        <v>1</v>
      </c>
      <c r="T865" s="25">
        <v>1</v>
      </c>
      <c r="AA865" s="25">
        <f t="shared" si="66"/>
        <v>128</v>
      </c>
      <c r="AK865" s="25">
        <v>1</v>
      </c>
      <c r="AM865" s="25">
        <v>44</v>
      </c>
      <c r="AN865" s="25">
        <v>100</v>
      </c>
      <c r="AP865" s="25">
        <f t="shared" si="65"/>
        <v>3</v>
      </c>
      <c r="AQ865" s="25" t="str">
        <f>VLOOKUP(C865,'시스템이펙트 참고자료'!$A:$B,2,FALSE)</f>
        <v>ACTIVE_DEX_UP</v>
      </c>
      <c r="AS865" s="25">
        <v>1</v>
      </c>
      <c r="BD865" s="25">
        <v>1</v>
      </c>
    </row>
    <row r="866" spans="1:56" hidden="1">
      <c r="A866" s="25">
        <v>861</v>
      </c>
      <c r="B866" s="25" t="str">
        <f>VLOOKUP(C866,'시스템이펙트 참고자료'!$A:$C,2,FALSE)</f>
        <v>ACTIVE_FOC_UP</v>
      </c>
      <c r="C866" s="25">
        <v>612</v>
      </c>
      <c r="D866" s="25">
        <f>VLOOKUP(C866,'시스템이펙트 참고자료'!$A:$D,4,FALSE)</f>
        <v>0</v>
      </c>
      <c r="E866" s="25">
        <v>0</v>
      </c>
      <c r="F866" s="25">
        <v>0</v>
      </c>
      <c r="G866" s="25">
        <f t="shared" si="64"/>
        <v>2</v>
      </c>
      <c r="H866" s="25" t="s">
        <v>395</v>
      </c>
      <c r="I866" s="25">
        <v>1</v>
      </c>
      <c r="J866" s="25" t="str">
        <f>VLOOKUP(C866,'시스템이펙트 참고자료'!$A:$C,3,FALSE)</f>
        <v>절대값/상대값(%) 가능</v>
      </c>
      <c r="K866" s="25">
        <v>17</v>
      </c>
      <c r="M866" s="25">
        <v>5</v>
      </c>
      <c r="N866" s="25">
        <f t="shared" si="63"/>
        <v>53</v>
      </c>
      <c r="O866" s="25">
        <v>1</v>
      </c>
      <c r="P866" s="25">
        <v>1</v>
      </c>
      <c r="Q866" s="25">
        <v>1</v>
      </c>
      <c r="R866" s="25">
        <v>1</v>
      </c>
      <c r="T866" s="25">
        <v>1</v>
      </c>
      <c r="AA866" s="25">
        <f t="shared" si="66"/>
        <v>128</v>
      </c>
      <c r="AK866" s="25">
        <v>1</v>
      </c>
      <c r="AM866" s="25">
        <v>53</v>
      </c>
      <c r="AN866" s="25">
        <v>100</v>
      </c>
      <c r="AP866" s="25">
        <f t="shared" si="65"/>
        <v>2</v>
      </c>
      <c r="AQ866" s="25" t="str">
        <f>VLOOKUP(C866,'시스템이펙트 참고자료'!$A:$B,2,FALSE)</f>
        <v>ACTIVE_FOC_UP</v>
      </c>
      <c r="AS866" s="25">
        <v>1</v>
      </c>
      <c r="BD866" s="25">
        <v>1</v>
      </c>
    </row>
    <row r="867" spans="1:56" hidden="1">
      <c r="A867" s="25">
        <v>862</v>
      </c>
      <c r="B867" s="25" t="str">
        <f>VLOOKUP(C867,'시스템이펙트 참고자료'!$A:$C,2,FALSE)</f>
        <v>ACTIVE_PHYSICAL_OFFENCE_UP</v>
      </c>
      <c r="C867" s="25">
        <v>606</v>
      </c>
      <c r="D867" s="25">
        <f>VLOOKUP(C867,'시스템이펙트 참고자료'!$A:$D,4,FALSE)</f>
        <v>0</v>
      </c>
      <c r="E867" s="25">
        <v>0</v>
      </c>
      <c r="F867" s="25">
        <v>0</v>
      </c>
      <c r="G867" s="25">
        <f t="shared" si="64"/>
        <v>1</v>
      </c>
      <c r="H867" s="25" t="s">
        <v>395</v>
      </c>
      <c r="I867" s="25">
        <v>1</v>
      </c>
      <c r="J867" s="25" t="str">
        <f>VLOOKUP(C867,'시스템이펙트 참고자료'!$A:$C,3,FALSE)</f>
        <v>절대값/상대값(%) 가능</v>
      </c>
      <c r="K867" s="25">
        <v>17</v>
      </c>
      <c r="M867" s="25">
        <v>5</v>
      </c>
      <c r="N867" s="25">
        <f t="shared" si="63"/>
        <v>125</v>
      </c>
      <c r="O867" s="25">
        <v>1</v>
      </c>
      <c r="P867" s="25">
        <v>1</v>
      </c>
      <c r="Q867" s="25">
        <v>1</v>
      </c>
      <c r="R867" s="25">
        <v>1</v>
      </c>
      <c r="T867" s="25">
        <v>1</v>
      </c>
      <c r="AA867" s="25">
        <f t="shared" si="66"/>
        <v>128</v>
      </c>
      <c r="AK867" s="25">
        <v>1</v>
      </c>
      <c r="AM867" s="25">
        <v>125</v>
      </c>
      <c r="AN867" s="25">
        <v>100</v>
      </c>
      <c r="AP867" s="25">
        <f t="shared" si="65"/>
        <v>1</v>
      </c>
      <c r="AQ867" s="25" t="str">
        <f>VLOOKUP(C867,'시스템이펙트 참고자료'!$A:$B,2,FALSE)</f>
        <v>ACTIVE_PHYSICAL_OFFENCE_UP</v>
      </c>
      <c r="AS867" s="25">
        <v>1</v>
      </c>
      <c r="BD867" s="25">
        <v>1</v>
      </c>
    </row>
    <row r="868" spans="1:56" hidden="1">
      <c r="A868" s="25">
        <v>863</v>
      </c>
      <c r="B868" s="25" t="str">
        <f>VLOOKUP(C868,'시스템이펙트 참고자료'!$A:$C,2,FALSE)</f>
        <v>ACTIVE_ENERGY_OFFENCE_UP</v>
      </c>
      <c r="C868" s="25">
        <v>607</v>
      </c>
      <c r="D868" s="25">
        <f>VLOOKUP(C868,'시스템이펙트 참고자료'!$A:$D,4,FALSE)</f>
        <v>0</v>
      </c>
      <c r="E868" s="25">
        <v>0</v>
      </c>
      <c r="F868" s="25">
        <v>0</v>
      </c>
      <c r="G868" s="25">
        <f t="shared" si="64"/>
        <v>1</v>
      </c>
      <c r="H868" s="25" t="s">
        <v>395</v>
      </c>
      <c r="I868" s="25">
        <v>1</v>
      </c>
      <c r="J868" s="25" t="str">
        <f>VLOOKUP(C868,'시스템이펙트 참고자료'!$A:$C,3,FALSE)</f>
        <v>절대값/상대값(%) 가능</v>
      </c>
      <c r="K868" s="25">
        <v>17</v>
      </c>
      <c r="M868" s="25">
        <v>5</v>
      </c>
      <c r="N868" s="25">
        <f t="shared" si="63"/>
        <v>104</v>
      </c>
      <c r="O868" s="25">
        <v>1</v>
      </c>
      <c r="P868" s="25">
        <v>1</v>
      </c>
      <c r="Q868" s="25">
        <v>1</v>
      </c>
      <c r="R868" s="25">
        <v>1</v>
      </c>
      <c r="T868" s="25">
        <v>1</v>
      </c>
      <c r="AA868" s="25">
        <f t="shared" si="66"/>
        <v>128</v>
      </c>
      <c r="AK868" s="25">
        <v>1</v>
      </c>
      <c r="AM868" s="25">
        <v>104</v>
      </c>
      <c r="AN868" s="25">
        <v>100</v>
      </c>
      <c r="AP868" s="25">
        <f t="shared" si="65"/>
        <v>1</v>
      </c>
      <c r="AQ868" s="25" t="str">
        <f>VLOOKUP(C868,'시스템이펙트 참고자료'!$A:$B,2,FALSE)</f>
        <v>ACTIVE_ENERGY_OFFENCE_UP</v>
      </c>
      <c r="AS868" s="25">
        <v>1</v>
      </c>
      <c r="BD868" s="25">
        <v>1</v>
      </c>
    </row>
    <row r="869" spans="1:56" hidden="1">
      <c r="A869" s="25">
        <v>864</v>
      </c>
      <c r="B869" s="25" t="str">
        <f>VLOOKUP(C869,'시스템이펙트 참고자료'!$A:$C,2,FALSE)</f>
        <v>ACTIVE_PHYSICAL_OFFENCE_UP</v>
      </c>
      <c r="C869" s="25">
        <v>606</v>
      </c>
      <c r="D869" s="25">
        <f>VLOOKUP(C869,'시스템이펙트 참고자료'!$A:$D,4,FALSE)</f>
        <v>0</v>
      </c>
      <c r="E869" s="25">
        <v>0</v>
      </c>
      <c r="F869" s="25">
        <v>0</v>
      </c>
      <c r="G869" s="25">
        <f t="shared" si="64"/>
        <v>1</v>
      </c>
      <c r="H869" s="25" t="s">
        <v>395</v>
      </c>
      <c r="I869" s="25">
        <v>1</v>
      </c>
      <c r="J869" s="25" t="str">
        <f>VLOOKUP(C869,'시스템이펙트 참고자료'!$A:$C,3,FALSE)</f>
        <v>절대값/상대값(%) 가능</v>
      </c>
      <c r="K869" s="25">
        <v>17</v>
      </c>
      <c r="M869" s="25">
        <v>6</v>
      </c>
      <c r="N869" s="25">
        <f t="shared" si="63"/>
        <v>125</v>
      </c>
      <c r="O869" s="25">
        <v>1</v>
      </c>
      <c r="P869" s="25">
        <v>1</v>
      </c>
      <c r="Q869" s="25">
        <v>1</v>
      </c>
      <c r="R869" s="25">
        <v>1</v>
      </c>
      <c r="T869" s="25">
        <v>1</v>
      </c>
      <c r="AA869" s="25">
        <f t="shared" si="66"/>
        <v>128</v>
      </c>
      <c r="AK869" s="25">
        <v>1</v>
      </c>
      <c r="AM869" s="25">
        <v>125</v>
      </c>
      <c r="AN869" s="25">
        <v>100</v>
      </c>
      <c r="AP869" s="25">
        <f t="shared" si="65"/>
        <v>1</v>
      </c>
      <c r="AQ869" s="25" t="str">
        <f>VLOOKUP(C869,'시스템이펙트 참고자료'!$A:$B,2,FALSE)</f>
        <v>ACTIVE_PHYSICAL_OFFENCE_UP</v>
      </c>
      <c r="AS869" s="25">
        <v>1</v>
      </c>
      <c r="BD869" s="25">
        <v>1</v>
      </c>
    </row>
    <row r="870" spans="1:56" hidden="1">
      <c r="A870" s="25">
        <v>865</v>
      </c>
      <c r="B870" s="25" t="str">
        <f>VLOOKUP(C870,'시스템이펙트 참고자료'!$A:$C,2,FALSE)</f>
        <v>ACTIVE_ENERGY_OFFENCE_UP</v>
      </c>
      <c r="C870" s="25">
        <v>607</v>
      </c>
      <c r="D870" s="25">
        <f>VLOOKUP(C870,'시스템이펙트 참고자료'!$A:$D,4,FALSE)</f>
        <v>0</v>
      </c>
      <c r="E870" s="25">
        <v>0</v>
      </c>
      <c r="F870" s="25">
        <v>0</v>
      </c>
      <c r="G870" s="25">
        <f t="shared" si="64"/>
        <v>1</v>
      </c>
      <c r="H870" s="25" t="s">
        <v>395</v>
      </c>
      <c r="I870" s="25">
        <v>1</v>
      </c>
      <c r="J870" s="25" t="str">
        <f>VLOOKUP(C870,'시스템이펙트 참고자료'!$A:$C,3,FALSE)</f>
        <v>절대값/상대값(%) 가능</v>
      </c>
      <c r="K870" s="25">
        <v>17</v>
      </c>
      <c r="M870" s="25">
        <v>6</v>
      </c>
      <c r="N870" s="25">
        <f t="shared" si="63"/>
        <v>104</v>
      </c>
      <c r="O870" s="25">
        <v>1</v>
      </c>
      <c r="P870" s="25">
        <v>1</v>
      </c>
      <c r="Q870" s="25">
        <v>1</v>
      </c>
      <c r="R870" s="25">
        <v>1</v>
      </c>
      <c r="T870" s="25">
        <v>1</v>
      </c>
      <c r="AA870" s="25">
        <f t="shared" si="66"/>
        <v>128</v>
      </c>
      <c r="AK870" s="25">
        <v>1</v>
      </c>
      <c r="AM870" s="25">
        <v>104</v>
      </c>
      <c r="AN870" s="25">
        <v>100</v>
      </c>
      <c r="AP870" s="25">
        <f t="shared" si="65"/>
        <v>1</v>
      </c>
      <c r="AQ870" s="25" t="str">
        <f>VLOOKUP(C870,'시스템이펙트 참고자료'!$A:$B,2,FALSE)</f>
        <v>ACTIVE_ENERGY_OFFENCE_UP</v>
      </c>
      <c r="AS870" s="25">
        <v>1</v>
      </c>
      <c r="BD870" s="25">
        <v>1</v>
      </c>
    </row>
    <row r="871" spans="1:56" hidden="1">
      <c r="A871" s="25">
        <v>866</v>
      </c>
      <c r="B871" s="25" t="str">
        <f>VLOOKUP(C871,'시스템이펙트 참고자료'!$A:$C,2,FALSE)</f>
        <v>ACTIVE_STR_UP</v>
      </c>
      <c r="C871" s="25">
        <v>610</v>
      </c>
      <c r="D871" s="25">
        <f>VLOOKUP(C871,'시스템이펙트 참고자료'!$A:$D,4,FALSE)</f>
        <v>0</v>
      </c>
      <c r="E871" s="25">
        <v>0</v>
      </c>
      <c r="F871" s="25">
        <v>0</v>
      </c>
      <c r="G871" s="25">
        <f t="shared" si="64"/>
        <v>2</v>
      </c>
      <c r="H871" s="25" t="s">
        <v>395</v>
      </c>
      <c r="I871" s="25">
        <v>1</v>
      </c>
      <c r="J871" s="25" t="str">
        <f>VLOOKUP(C871,'시스템이펙트 참고자료'!$A:$C,3,FALSE)</f>
        <v>절대값/상대값(%) 가능</v>
      </c>
      <c r="K871" s="25">
        <v>17</v>
      </c>
      <c r="M871" s="25">
        <v>6</v>
      </c>
      <c r="N871" s="25">
        <f t="shared" si="63"/>
        <v>57</v>
      </c>
      <c r="O871" s="25">
        <v>1</v>
      </c>
      <c r="P871" s="25">
        <v>1</v>
      </c>
      <c r="Q871" s="25">
        <v>1</v>
      </c>
      <c r="R871" s="25">
        <v>1</v>
      </c>
      <c r="T871" s="25">
        <v>1</v>
      </c>
      <c r="AA871" s="25">
        <f t="shared" si="66"/>
        <v>128</v>
      </c>
      <c r="AK871" s="25">
        <v>1</v>
      </c>
      <c r="AM871" s="25">
        <v>57</v>
      </c>
      <c r="AN871" s="25">
        <v>100</v>
      </c>
      <c r="AP871" s="25">
        <f t="shared" si="65"/>
        <v>2</v>
      </c>
      <c r="AQ871" s="25" t="str">
        <f>VLOOKUP(C871,'시스템이펙트 참고자료'!$A:$B,2,FALSE)</f>
        <v>ACTIVE_STR_UP</v>
      </c>
      <c r="AS871" s="25">
        <v>1</v>
      </c>
      <c r="BD871" s="25">
        <v>1</v>
      </c>
    </row>
    <row r="872" spans="1:56" hidden="1">
      <c r="A872" s="25">
        <v>867</v>
      </c>
      <c r="B872" s="25" t="str">
        <f>VLOOKUP(C872,'시스템이펙트 참고자료'!$A:$C,2,FALSE)</f>
        <v>ACTIVE_SOL_UP</v>
      </c>
      <c r="C872" s="25">
        <v>614</v>
      </c>
      <c r="D872" s="25">
        <f>VLOOKUP(C872,'시스템이펙트 참고자료'!$A:$D,4,FALSE)</f>
        <v>0</v>
      </c>
      <c r="E872" s="25">
        <v>0</v>
      </c>
      <c r="F872" s="25">
        <v>0</v>
      </c>
      <c r="G872" s="25">
        <f t="shared" si="64"/>
        <v>2</v>
      </c>
      <c r="H872" s="25" t="s">
        <v>395</v>
      </c>
      <c r="I872" s="25">
        <v>1</v>
      </c>
      <c r="J872" s="25" t="str">
        <f>VLOOKUP(C872,'시스템이펙트 참고자료'!$A:$C,3,FALSE)</f>
        <v>절대값/상대값(%) 가능</v>
      </c>
      <c r="K872" s="25">
        <v>17</v>
      </c>
      <c r="M872" s="25">
        <v>6</v>
      </c>
      <c r="N872" s="25">
        <f t="shared" si="63"/>
        <v>53</v>
      </c>
      <c r="O872" s="25">
        <v>1</v>
      </c>
      <c r="P872" s="25">
        <v>1</v>
      </c>
      <c r="Q872" s="25">
        <v>1</v>
      </c>
      <c r="R872" s="25">
        <v>1</v>
      </c>
      <c r="T872" s="25">
        <v>1</v>
      </c>
      <c r="AA872" s="25">
        <f t="shared" si="66"/>
        <v>128</v>
      </c>
      <c r="AK872" s="25">
        <v>1</v>
      </c>
      <c r="AM872" s="25">
        <v>53</v>
      </c>
      <c r="AN872" s="25">
        <v>100</v>
      </c>
      <c r="AP872" s="25">
        <f t="shared" si="65"/>
        <v>2</v>
      </c>
      <c r="AQ872" s="25" t="str">
        <f>VLOOKUP(C872,'시스템이펙트 참고자료'!$A:$B,2,FALSE)</f>
        <v>ACTIVE_SOL_UP</v>
      </c>
      <c r="AS872" s="25">
        <v>1</v>
      </c>
      <c r="BD872" s="25">
        <v>1</v>
      </c>
    </row>
    <row r="873" spans="1:56" hidden="1">
      <c r="A873" s="25">
        <v>868</v>
      </c>
      <c r="B873" s="25" t="str">
        <f>VLOOKUP(C873,'시스템이펙트 참고자료'!$A:$C,2,FALSE)</f>
        <v>ACTIVE_PHYSICAL_CRITICAL_DAMAGE_UP</v>
      </c>
      <c r="C873" s="25">
        <v>658</v>
      </c>
      <c r="D873" s="25">
        <f>VLOOKUP(C873,'시스템이펙트 참고자료'!$A:$D,4,FALSE)</f>
        <v>0</v>
      </c>
      <c r="E873" s="25">
        <v>0</v>
      </c>
      <c r="F873" s="25">
        <v>0</v>
      </c>
      <c r="G873" s="25">
        <f t="shared" si="64"/>
        <v>4</v>
      </c>
      <c r="H873" s="25" t="s">
        <v>395</v>
      </c>
      <c r="I873" s="25">
        <v>1</v>
      </c>
      <c r="J873" s="25" t="str">
        <f>VLOOKUP(C873,'시스템이펙트 참고자료'!$A:$C,3,FALSE)</f>
        <v>절대값만 가능</v>
      </c>
      <c r="K873" s="25">
        <v>17</v>
      </c>
      <c r="M873" s="25">
        <v>6</v>
      </c>
      <c r="N873" s="25">
        <f t="shared" si="63"/>
        <v>28</v>
      </c>
      <c r="O873" s="25">
        <v>1</v>
      </c>
      <c r="P873" s="25">
        <v>1</v>
      </c>
      <c r="Q873" s="25">
        <v>1</v>
      </c>
      <c r="R873" s="25">
        <v>1</v>
      </c>
      <c r="T873" s="25">
        <v>1</v>
      </c>
      <c r="AA873" s="25">
        <f t="shared" si="66"/>
        <v>128</v>
      </c>
      <c r="AK873" s="25">
        <v>1</v>
      </c>
      <c r="AM873" s="25">
        <v>28</v>
      </c>
      <c r="AN873" s="25">
        <v>100</v>
      </c>
      <c r="AP873" s="25">
        <f t="shared" si="65"/>
        <v>4</v>
      </c>
      <c r="AQ873" s="25" t="str">
        <f>VLOOKUP(C873,'시스템이펙트 참고자료'!$A:$B,2,FALSE)</f>
        <v>ACTIVE_PHYSICAL_CRITICAL_DAMAGE_UP</v>
      </c>
      <c r="AS873" s="25">
        <v>1</v>
      </c>
      <c r="BD873" s="25">
        <v>1</v>
      </c>
    </row>
    <row r="874" spans="1:56" hidden="1">
      <c r="A874" s="25">
        <v>869</v>
      </c>
      <c r="B874" s="25" t="str">
        <f>VLOOKUP(C874,'시스템이펙트 참고자료'!$A:$C,2,FALSE)</f>
        <v>ACTIVE_ENERGY_CRITICAL_DAMAGE_UP</v>
      </c>
      <c r="C874" s="25">
        <v>659</v>
      </c>
      <c r="D874" s="25">
        <f>VLOOKUP(C874,'시스템이펙트 참고자료'!$A:$D,4,FALSE)</f>
        <v>0</v>
      </c>
      <c r="E874" s="25">
        <v>0</v>
      </c>
      <c r="F874" s="25">
        <v>0</v>
      </c>
      <c r="G874" s="25">
        <f t="shared" si="64"/>
        <v>4</v>
      </c>
      <c r="H874" s="25" t="s">
        <v>395</v>
      </c>
      <c r="I874" s="25">
        <v>1</v>
      </c>
      <c r="J874" s="25" t="str">
        <f>VLOOKUP(C874,'시스템이펙트 참고자료'!$A:$C,3,FALSE)</f>
        <v>절대값만 가능</v>
      </c>
      <c r="K874" s="25">
        <v>17</v>
      </c>
      <c r="M874" s="25">
        <v>6</v>
      </c>
      <c r="N874" s="25">
        <f t="shared" si="63"/>
        <v>32</v>
      </c>
      <c r="O874" s="25">
        <v>1</v>
      </c>
      <c r="P874" s="25">
        <v>1</v>
      </c>
      <c r="Q874" s="25">
        <v>1</v>
      </c>
      <c r="R874" s="25">
        <v>1</v>
      </c>
      <c r="T874" s="25">
        <v>1</v>
      </c>
      <c r="AA874" s="25">
        <f t="shared" si="66"/>
        <v>128</v>
      </c>
      <c r="AK874" s="25">
        <v>1</v>
      </c>
      <c r="AM874" s="25">
        <v>32</v>
      </c>
      <c r="AN874" s="25">
        <v>100</v>
      </c>
      <c r="AP874" s="25">
        <f t="shared" si="65"/>
        <v>4</v>
      </c>
      <c r="AQ874" s="25" t="str">
        <f>VLOOKUP(C874,'시스템이펙트 참고자료'!$A:$B,2,FALSE)</f>
        <v>ACTIVE_ENERGY_CRITICAL_DAMAGE_UP</v>
      </c>
      <c r="AS874" s="25">
        <v>1</v>
      </c>
      <c r="BD874" s="25">
        <v>1</v>
      </c>
    </row>
    <row r="875" spans="1:56" hidden="1">
      <c r="A875" s="25">
        <v>870</v>
      </c>
      <c r="B875" s="25" t="str">
        <f>VLOOKUP(C875,'시스템이펙트 참고자료'!$A:$C,2,FALSE)</f>
        <v>ACTIVE_FOC_UP</v>
      </c>
      <c r="C875" s="25">
        <v>612</v>
      </c>
      <c r="D875" s="25">
        <f>VLOOKUP(C875,'시스템이펙트 참고자료'!$A:$D,4,FALSE)</f>
        <v>0</v>
      </c>
      <c r="E875" s="25">
        <v>0</v>
      </c>
      <c r="F875" s="25">
        <v>0</v>
      </c>
      <c r="G875" s="25">
        <f t="shared" si="64"/>
        <v>2</v>
      </c>
      <c r="H875" s="25" t="s">
        <v>395</v>
      </c>
      <c r="I875" s="25">
        <v>1</v>
      </c>
      <c r="J875" s="25" t="str">
        <f>VLOOKUP(C875,'시스템이펙트 참고자료'!$A:$C,3,FALSE)</f>
        <v>절대값/상대값(%) 가능</v>
      </c>
      <c r="K875" s="25">
        <v>17</v>
      </c>
      <c r="M875" s="25">
        <v>7</v>
      </c>
      <c r="N875" s="25">
        <f t="shared" si="63"/>
        <v>53</v>
      </c>
      <c r="O875" s="25">
        <v>1</v>
      </c>
      <c r="P875" s="25">
        <v>1</v>
      </c>
      <c r="Q875" s="25">
        <v>1</v>
      </c>
      <c r="R875" s="25">
        <v>1</v>
      </c>
      <c r="T875" s="25">
        <v>1</v>
      </c>
      <c r="AA875" s="25">
        <f t="shared" si="66"/>
        <v>128</v>
      </c>
      <c r="AK875" s="25">
        <v>1</v>
      </c>
      <c r="AM875" s="25">
        <v>53</v>
      </c>
      <c r="AN875" s="25">
        <v>100</v>
      </c>
      <c r="AP875" s="25">
        <f t="shared" si="65"/>
        <v>2</v>
      </c>
      <c r="AQ875" s="25" t="str">
        <f>VLOOKUP(C875,'시스템이펙트 참고자료'!$A:$B,2,FALSE)</f>
        <v>ACTIVE_FOC_UP</v>
      </c>
      <c r="AS875" s="25">
        <v>1</v>
      </c>
      <c r="BD875" s="25">
        <v>1</v>
      </c>
    </row>
    <row r="876" spans="1:56" hidden="1">
      <c r="A876" s="25">
        <v>871</v>
      </c>
      <c r="B876" s="25" t="str">
        <f>VLOOKUP(C876,'시스템이펙트 참고자료'!$A:$C,2,FALSE)</f>
        <v>ACTIVE_ATTACK_RATE_UP</v>
      </c>
      <c r="C876" s="25">
        <v>618</v>
      </c>
      <c r="D876" s="25">
        <f>VLOOKUP(C876,'시스템이펙트 참고자료'!$A:$D,4,FALSE)</f>
        <v>0</v>
      </c>
      <c r="E876" s="25">
        <v>0</v>
      </c>
      <c r="F876" s="25">
        <v>0</v>
      </c>
      <c r="G876" s="25">
        <f t="shared" si="64"/>
        <v>1</v>
      </c>
      <c r="H876" s="25" t="s">
        <v>395</v>
      </c>
      <c r="I876" s="25">
        <v>1</v>
      </c>
      <c r="J876" s="25" t="str">
        <f>VLOOKUP(C876,'시스템이펙트 참고자료'!$A:$C,3,FALSE)</f>
        <v>절대값/상대값(%) 가능</v>
      </c>
      <c r="K876" s="25">
        <v>17</v>
      </c>
      <c r="M876" s="25">
        <v>7</v>
      </c>
      <c r="N876" s="25">
        <f t="shared" si="63"/>
        <v>528</v>
      </c>
      <c r="O876" s="25">
        <v>1</v>
      </c>
      <c r="P876" s="25">
        <v>1</v>
      </c>
      <c r="Q876" s="25">
        <v>1</v>
      </c>
      <c r="R876" s="25">
        <v>1</v>
      </c>
      <c r="T876" s="25">
        <v>1</v>
      </c>
      <c r="AA876" s="25">
        <f t="shared" si="66"/>
        <v>128</v>
      </c>
      <c r="AK876" s="25">
        <v>1</v>
      </c>
      <c r="AM876" s="25">
        <v>528</v>
      </c>
      <c r="AN876" s="25">
        <v>100</v>
      </c>
      <c r="AP876" s="25">
        <f t="shared" si="65"/>
        <v>1</v>
      </c>
      <c r="AQ876" s="25" t="str">
        <f>VLOOKUP(C876,'시스템이펙트 참고자료'!$A:$B,2,FALSE)</f>
        <v>ACTIVE_ATTACK_RATE_UP</v>
      </c>
      <c r="AS876" s="25">
        <v>1</v>
      </c>
      <c r="BD876" s="25">
        <v>1</v>
      </c>
    </row>
    <row r="877" spans="1:56" hidden="1">
      <c r="A877" s="25">
        <v>872</v>
      </c>
      <c r="B877" s="25" t="str">
        <f>VLOOKUP(C877,'시스템이펙트 참고자료'!$A:$C,2,FALSE)</f>
        <v>ACTIVE_ENG_UP</v>
      </c>
      <c r="C877" s="25">
        <v>615</v>
      </c>
      <c r="D877" s="25">
        <f>VLOOKUP(C877,'시스템이펙트 참고자료'!$A:$D,4,FALSE)</f>
        <v>0</v>
      </c>
      <c r="E877" s="25">
        <v>0</v>
      </c>
      <c r="F877" s="25">
        <v>0</v>
      </c>
      <c r="G877" s="25">
        <f t="shared" si="64"/>
        <v>2</v>
      </c>
      <c r="H877" s="25" t="s">
        <v>395</v>
      </c>
      <c r="I877" s="25">
        <v>1</v>
      </c>
      <c r="J877" s="25" t="str">
        <f>VLOOKUP(C877,'시스템이펙트 참고자료'!$A:$C,3,FALSE)</f>
        <v>절대값/상대값(%) 가능</v>
      </c>
      <c r="K877" s="25">
        <v>17</v>
      </c>
      <c r="M877" s="25">
        <v>7</v>
      </c>
      <c r="N877" s="25">
        <f t="shared" si="63"/>
        <v>62</v>
      </c>
      <c r="O877" s="25">
        <v>1</v>
      </c>
      <c r="P877" s="25">
        <v>1</v>
      </c>
      <c r="Q877" s="25">
        <v>1</v>
      </c>
      <c r="R877" s="25">
        <v>1</v>
      </c>
      <c r="T877" s="25">
        <v>1</v>
      </c>
      <c r="AA877" s="25">
        <f t="shared" si="66"/>
        <v>128</v>
      </c>
      <c r="AK877" s="25">
        <v>1</v>
      </c>
      <c r="AM877" s="25">
        <v>62</v>
      </c>
      <c r="AN877" s="25">
        <v>100</v>
      </c>
      <c r="AP877" s="25">
        <f t="shared" si="65"/>
        <v>2</v>
      </c>
      <c r="AQ877" s="25" t="str">
        <f>VLOOKUP(C877,'시스템이펙트 참고자료'!$A:$B,2,FALSE)</f>
        <v>ACTIVE_ENG_UP</v>
      </c>
      <c r="AS877" s="25">
        <v>1</v>
      </c>
      <c r="BD877" s="25">
        <v>1</v>
      </c>
    </row>
    <row r="878" spans="1:56" hidden="1">
      <c r="A878" s="25">
        <v>873</v>
      </c>
      <c r="B878" s="25" t="str">
        <f>VLOOKUP(C878,'시스템이펙트 참고자료'!$A:$C,2,FALSE)</f>
        <v>ACTIVE_PHYSICAL_CRITICAL</v>
      </c>
      <c r="C878" s="25">
        <v>632</v>
      </c>
      <c r="D878" s="25">
        <f>VLOOKUP(C878,'시스템이펙트 참고자료'!$A:$D,4,FALSE)</f>
        <v>0</v>
      </c>
      <c r="E878" s="25">
        <v>0</v>
      </c>
      <c r="F878" s="25">
        <v>0</v>
      </c>
      <c r="G878" s="25">
        <f t="shared" si="64"/>
        <v>5</v>
      </c>
      <c r="H878" s="25" t="s">
        <v>395</v>
      </c>
      <c r="I878" s="25">
        <v>1</v>
      </c>
      <c r="J878" s="25" t="str">
        <f>VLOOKUP(C878,'시스템이펙트 참고자료'!$A:$C,3,FALSE)</f>
        <v>절대값/상대값(%) 가능</v>
      </c>
      <c r="K878" s="25">
        <v>17</v>
      </c>
      <c r="M878" s="25">
        <v>7</v>
      </c>
      <c r="N878" s="25">
        <f t="shared" si="63"/>
        <v>21</v>
      </c>
      <c r="O878" s="25">
        <v>1</v>
      </c>
      <c r="P878" s="25">
        <v>1</v>
      </c>
      <c r="Q878" s="25">
        <v>1</v>
      </c>
      <c r="R878" s="25">
        <v>1</v>
      </c>
      <c r="T878" s="25">
        <v>1</v>
      </c>
      <c r="AA878" s="25">
        <f t="shared" si="66"/>
        <v>128</v>
      </c>
      <c r="AK878" s="25">
        <v>1</v>
      </c>
      <c r="AM878" s="25">
        <v>21</v>
      </c>
      <c r="AN878" s="25">
        <v>100</v>
      </c>
      <c r="AP878" s="25">
        <f t="shared" si="65"/>
        <v>5</v>
      </c>
      <c r="AQ878" s="25" t="str">
        <f>VLOOKUP(C878,'시스템이펙트 참고자료'!$A:$B,2,FALSE)</f>
        <v>ACTIVE_PHYSICAL_CRITICAL</v>
      </c>
      <c r="AS878" s="25">
        <v>1</v>
      </c>
      <c r="BD878" s="25">
        <v>1</v>
      </c>
    </row>
    <row r="879" spans="1:56" hidden="1">
      <c r="A879" s="25">
        <v>874</v>
      </c>
      <c r="B879" s="25" t="str">
        <f>VLOOKUP(C879,'시스템이펙트 참고자료'!$A:$C,2,FALSE)</f>
        <v>ACTIVE_ENERGY_CRITICAL</v>
      </c>
      <c r="C879" s="25">
        <v>633</v>
      </c>
      <c r="D879" s="25">
        <f>VLOOKUP(C879,'시스템이펙트 참고자료'!$A:$D,4,FALSE)</f>
        <v>0</v>
      </c>
      <c r="E879" s="25">
        <v>0</v>
      </c>
      <c r="F879" s="25">
        <v>0</v>
      </c>
      <c r="G879" s="25">
        <f t="shared" si="64"/>
        <v>5</v>
      </c>
      <c r="H879" s="25" t="s">
        <v>395</v>
      </c>
      <c r="I879" s="25">
        <v>1</v>
      </c>
      <c r="J879" s="25" t="str">
        <f>VLOOKUP(C879,'시스템이펙트 참고자료'!$A:$C,3,FALSE)</f>
        <v>절대값/상대값(%) 가능</v>
      </c>
      <c r="K879" s="25">
        <v>17</v>
      </c>
      <c r="M879" s="25">
        <v>7</v>
      </c>
      <c r="N879" s="25">
        <f t="shared" si="63"/>
        <v>24</v>
      </c>
      <c r="O879" s="25">
        <v>1</v>
      </c>
      <c r="P879" s="25">
        <v>1</v>
      </c>
      <c r="Q879" s="25">
        <v>1</v>
      </c>
      <c r="R879" s="25">
        <v>1</v>
      </c>
      <c r="T879" s="25">
        <v>1</v>
      </c>
      <c r="AA879" s="25">
        <f t="shared" si="66"/>
        <v>128</v>
      </c>
      <c r="AK879" s="25">
        <v>1</v>
      </c>
      <c r="AM879" s="25">
        <v>24</v>
      </c>
      <c r="AN879" s="25">
        <v>100</v>
      </c>
      <c r="AP879" s="25">
        <f t="shared" si="65"/>
        <v>5</v>
      </c>
      <c r="AQ879" s="25" t="str">
        <f>VLOOKUP(C879,'시스템이펙트 참고자료'!$A:$B,2,FALSE)</f>
        <v>ACTIVE_ENERGY_CRITICAL</v>
      </c>
      <c r="AS879" s="25">
        <v>1</v>
      </c>
      <c r="BD879" s="25">
        <v>1</v>
      </c>
    </row>
    <row r="880" spans="1:56" hidden="1">
      <c r="A880" s="25">
        <v>875</v>
      </c>
      <c r="B880" s="25" t="str">
        <f>VLOOKUP(C880,'시스템이펙트 참고자료'!$A:$C,2,FALSE)</f>
        <v>ACTIVE_FOC_UP</v>
      </c>
      <c r="C880" s="25">
        <v>612</v>
      </c>
      <c r="D880" s="25">
        <f>VLOOKUP(C880,'시스템이펙트 참고자료'!$A:$D,4,FALSE)</f>
        <v>0</v>
      </c>
      <c r="E880" s="25">
        <v>0</v>
      </c>
      <c r="F880" s="25">
        <v>0</v>
      </c>
      <c r="G880" s="25">
        <f t="shared" si="64"/>
        <v>2</v>
      </c>
      <c r="H880" s="25" t="s">
        <v>395</v>
      </c>
      <c r="I880" s="25">
        <v>1</v>
      </c>
      <c r="J880" s="25" t="str">
        <f>VLOOKUP(C880,'시스템이펙트 참고자료'!$A:$C,3,FALSE)</f>
        <v>절대값/상대값(%) 가능</v>
      </c>
      <c r="K880" s="25">
        <v>17</v>
      </c>
      <c r="M880" s="25">
        <v>8</v>
      </c>
      <c r="N880" s="25">
        <f t="shared" si="63"/>
        <v>53</v>
      </c>
      <c r="O880" s="25">
        <v>1</v>
      </c>
      <c r="P880" s="25">
        <v>1</v>
      </c>
      <c r="Q880" s="25">
        <v>1</v>
      </c>
      <c r="R880" s="25">
        <v>1</v>
      </c>
      <c r="T880" s="25">
        <v>1</v>
      </c>
      <c r="AA880" s="25">
        <f t="shared" si="66"/>
        <v>128</v>
      </c>
      <c r="AK880" s="25">
        <v>1</v>
      </c>
      <c r="AM880" s="25">
        <v>53</v>
      </c>
      <c r="AN880" s="25">
        <v>100</v>
      </c>
      <c r="AP880" s="25">
        <f t="shared" si="65"/>
        <v>2</v>
      </c>
      <c r="AQ880" s="25" t="str">
        <f>VLOOKUP(C880,'시스템이펙트 참고자료'!$A:$B,2,FALSE)</f>
        <v>ACTIVE_FOC_UP</v>
      </c>
      <c r="AS880" s="25">
        <v>1</v>
      </c>
      <c r="BD880" s="25">
        <v>1</v>
      </c>
    </row>
    <row r="881" spans="1:56" hidden="1">
      <c r="A881" s="25">
        <v>876</v>
      </c>
      <c r="B881" s="25" t="str">
        <f>VLOOKUP(C881,'시스템이펙트 참고자료'!$A:$C,2,FALSE)</f>
        <v>ACTIVE_CON_UP</v>
      </c>
      <c r="C881" s="25">
        <v>611</v>
      </c>
      <c r="D881" s="25">
        <f>VLOOKUP(C881,'시스템이펙트 참고자료'!$A:$D,4,FALSE)</f>
        <v>0</v>
      </c>
      <c r="E881" s="25">
        <v>0</v>
      </c>
      <c r="F881" s="25">
        <v>0</v>
      </c>
      <c r="G881" s="25">
        <f t="shared" si="64"/>
        <v>3</v>
      </c>
      <c r="H881" s="25" t="s">
        <v>395</v>
      </c>
      <c r="I881" s="25">
        <v>1</v>
      </c>
      <c r="J881" s="25" t="str">
        <f>VLOOKUP(C881,'시스템이펙트 참고자료'!$A:$C,3,FALSE)</f>
        <v>절대값/상대값(%) 가능</v>
      </c>
      <c r="K881" s="25">
        <v>17</v>
      </c>
      <c r="M881" s="25">
        <v>8</v>
      </c>
      <c r="N881" s="25">
        <f t="shared" si="63"/>
        <v>48</v>
      </c>
      <c r="O881" s="25">
        <v>1</v>
      </c>
      <c r="P881" s="25">
        <v>1</v>
      </c>
      <c r="Q881" s="25">
        <v>1</v>
      </c>
      <c r="R881" s="25">
        <v>1</v>
      </c>
      <c r="T881" s="25">
        <v>1</v>
      </c>
      <c r="AA881" s="25">
        <f t="shared" si="66"/>
        <v>128</v>
      </c>
      <c r="AK881" s="25">
        <v>1</v>
      </c>
      <c r="AM881" s="25">
        <v>48</v>
      </c>
      <c r="AN881" s="25">
        <v>100</v>
      </c>
      <c r="AP881" s="25">
        <f t="shared" si="65"/>
        <v>3</v>
      </c>
      <c r="AQ881" s="25" t="str">
        <f>VLOOKUP(C881,'시스템이펙트 참고자료'!$A:$B,2,FALSE)</f>
        <v>ACTIVE_CON_UP</v>
      </c>
      <c r="AS881" s="25">
        <v>1</v>
      </c>
      <c r="BD881" s="25">
        <v>1</v>
      </c>
    </row>
    <row r="882" spans="1:56" hidden="1">
      <c r="A882" s="25">
        <v>877</v>
      </c>
      <c r="B882" s="25" t="str">
        <f>VLOOKUP(C882,'시스템이펙트 참고자료'!$A:$C,2,FALSE)</f>
        <v>ACTIVE_BLOCK_RATE_UP</v>
      </c>
      <c r="C882" s="25">
        <v>620</v>
      </c>
      <c r="D882" s="25">
        <f>VLOOKUP(C882,'시스템이펙트 참고자료'!$A:$D,4,FALSE)</f>
        <v>0</v>
      </c>
      <c r="E882" s="25">
        <v>0</v>
      </c>
      <c r="F882" s="25">
        <v>0</v>
      </c>
      <c r="G882" s="25">
        <f t="shared" si="64"/>
        <v>1</v>
      </c>
      <c r="H882" s="25" t="s">
        <v>395</v>
      </c>
      <c r="I882" s="25">
        <v>1</v>
      </c>
      <c r="J882" s="25" t="str">
        <f>VLOOKUP(C882,'시스템이펙트 참고자료'!$A:$C,3,FALSE)</f>
        <v>절대값/상대값(%) 가능</v>
      </c>
      <c r="K882" s="25">
        <v>17</v>
      </c>
      <c r="M882" s="25">
        <v>8</v>
      </c>
      <c r="N882" s="25">
        <f t="shared" si="63"/>
        <v>352</v>
      </c>
      <c r="O882" s="25">
        <v>1</v>
      </c>
      <c r="P882" s="25">
        <v>1</v>
      </c>
      <c r="Q882" s="25">
        <v>1</v>
      </c>
      <c r="R882" s="25">
        <v>1</v>
      </c>
      <c r="T882" s="25">
        <v>1</v>
      </c>
      <c r="AA882" s="25">
        <f t="shared" si="66"/>
        <v>128</v>
      </c>
      <c r="AK882" s="25">
        <v>1</v>
      </c>
      <c r="AM882" s="25">
        <v>352</v>
      </c>
      <c r="AN882" s="25">
        <v>100</v>
      </c>
      <c r="AP882" s="25">
        <f t="shared" si="65"/>
        <v>1</v>
      </c>
      <c r="AQ882" s="25" t="str">
        <f>VLOOKUP(C882,'시스템이펙트 참고자료'!$A:$B,2,FALSE)</f>
        <v>ACTIVE_BLOCK_RATE_UP</v>
      </c>
      <c r="AS882" s="25">
        <v>1</v>
      </c>
      <c r="BD882" s="25">
        <v>1</v>
      </c>
    </row>
    <row r="883" spans="1:56" hidden="1">
      <c r="A883" s="25">
        <v>878</v>
      </c>
      <c r="B883" s="25" t="str">
        <f>VLOOKUP(C883,'시스템이펙트 참고자료'!$A:$C,2,FALSE)</f>
        <v>ACTIVE_ENG_UP</v>
      </c>
      <c r="C883" s="25">
        <v>615</v>
      </c>
      <c r="D883" s="25">
        <f>VLOOKUP(C883,'시스템이펙트 참고자료'!$A:$D,4,FALSE)</f>
        <v>0</v>
      </c>
      <c r="E883" s="25">
        <v>0</v>
      </c>
      <c r="F883" s="25">
        <v>0</v>
      </c>
      <c r="G883" s="25">
        <f t="shared" si="64"/>
        <v>2</v>
      </c>
      <c r="H883" s="25" t="s">
        <v>395</v>
      </c>
      <c r="I883" s="25">
        <v>1</v>
      </c>
      <c r="J883" s="25" t="str">
        <f>VLOOKUP(C883,'시스템이펙트 참고자료'!$A:$C,3,FALSE)</f>
        <v>절대값/상대값(%) 가능</v>
      </c>
      <c r="K883" s="25">
        <v>17</v>
      </c>
      <c r="M883" s="25">
        <v>8</v>
      </c>
      <c r="N883" s="25">
        <f t="shared" si="63"/>
        <v>62</v>
      </c>
      <c r="O883" s="25">
        <v>1</v>
      </c>
      <c r="P883" s="25">
        <v>1</v>
      </c>
      <c r="Q883" s="25">
        <v>1</v>
      </c>
      <c r="R883" s="25">
        <v>1</v>
      </c>
      <c r="T883" s="25">
        <v>1</v>
      </c>
      <c r="AA883" s="25">
        <f t="shared" si="66"/>
        <v>128</v>
      </c>
      <c r="AK883" s="25">
        <v>1</v>
      </c>
      <c r="AM883" s="25">
        <v>62</v>
      </c>
      <c r="AN883" s="25">
        <v>100</v>
      </c>
      <c r="AP883" s="25">
        <f t="shared" si="65"/>
        <v>2</v>
      </c>
      <c r="AQ883" s="25" t="str">
        <f>VLOOKUP(C883,'시스템이펙트 참고자료'!$A:$B,2,FALSE)</f>
        <v>ACTIVE_ENG_UP</v>
      </c>
      <c r="AS883" s="25">
        <v>1</v>
      </c>
      <c r="BD883" s="25">
        <v>1</v>
      </c>
    </row>
    <row r="884" spans="1:56" hidden="1">
      <c r="A884" s="25">
        <v>879</v>
      </c>
      <c r="B884" s="25" t="str">
        <f>VLOOKUP(C884,'시스템이펙트 참고자료'!$A:$C,2,FALSE)</f>
        <v>ACTIVE_PHYSICAL_CRITICAL</v>
      </c>
      <c r="C884" s="25">
        <v>632</v>
      </c>
      <c r="D884" s="25">
        <f>VLOOKUP(C884,'시스템이펙트 참고자료'!$A:$D,4,FALSE)</f>
        <v>0</v>
      </c>
      <c r="E884" s="25">
        <v>0</v>
      </c>
      <c r="F884" s="25">
        <v>0</v>
      </c>
      <c r="G884" s="25">
        <f t="shared" si="64"/>
        <v>5</v>
      </c>
      <c r="H884" s="25" t="s">
        <v>395</v>
      </c>
      <c r="I884" s="25">
        <v>1</v>
      </c>
      <c r="J884" s="25" t="str">
        <f>VLOOKUP(C884,'시스템이펙트 참고자료'!$A:$C,3,FALSE)</f>
        <v>절대값/상대값(%) 가능</v>
      </c>
      <c r="K884" s="25">
        <v>17</v>
      </c>
      <c r="M884" s="25">
        <v>9</v>
      </c>
      <c r="N884" s="25">
        <f t="shared" si="63"/>
        <v>21</v>
      </c>
      <c r="O884" s="25">
        <v>1</v>
      </c>
      <c r="P884" s="25">
        <v>1</v>
      </c>
      <c r="Q884" s="25">
        <v>1</v>
      </c>
      <c r="R884" s="25">
        <v>1</v>
      </c>
      <c r="T884" s="25">
        <v>1</v>
      </c>
      <c r="AA884" s="25">
        <f t="shared" si="66"/>
        <v>128</v>
      </c>
      <c r="AK884" s="25">
        <v>1</v>
      </c>
      <c r="AM884" s="25">
        <v>21</v>
      </c>
      <c r="AN884" s="25">
        <v>100</v>
      </c>
      <c r="AP884" s="25">
        <f t="shared" si="65"/>
        <v>5</v>
      </c>
      <c r="AQ884" s="25" t="str">
        <f>VLOOKUP(C884,'시스템이펙트 참고자료'!$A:$B,2,FALSE)</f>
        <v>ACTIVE_PHYSICAL_CRITICAL</v>
      </c>
      <c r="AS884" s="25">
        <v>1</v>
      </c>
      <c r="BD884" s="25">
        <v>1</v>
      </c>
    </row>
    <row r="885" spans="1:56" hidden="1">
      <c r="A885" s="25">
        <v>880</v>
      </c>
      <c r="B885" s="25" t="str">
        <f>VLOOKUP(C885,'시스템이펙트 참고자료'!$A:$C,2,FALSE)</f>
        <v>ACTIVE_ENERGY_CRITICAL</v>
      </c>
      <c r="C885" s="25">
        <v>633</v>
      </c>
      <c r="D885" s="25">
        <f>VLOOKUP(C885,'시스템이펙트 참고자료'!$A:$D,4,FALSE)</f>
        <v>0</v>
      </c>
      <c r="E885" s="25">
        <v>0</v>
      </c>
      <c r="F885" s="25">
        <v>0</v>
      </c>
      <c r="G885" s="25">
        <f t="shared" si="64"/>
        <v>5</v>
      </c>
      <c r="H885" s="25" t="s">
        <v>395</v>
      </c>
      <c r="I885" s="25">
        <v>1</v>
      </c>
      <c r="J885" s="25" t="str">
        <f>VLOOKUP(C885,'시스템이펙트 참고자료'!$A:$C,3,FALSE)</f>
        <v>절대값/상대값(%) 가능</v>
      </c>
      <c r="K885" s="25">
        <v>17</v>
      </c>
      <c r="M885" s="25">
        <v>9</v>
      </c>
      <c r="N885" s="25">
        <f t="shared" si="63"/>
        <v>24</v>
      </c>
      <c r="O885" s="25">
        <v>1</v>
      </c>
      <c r="P885" s="25">
        <v>1</v>
      </c>
      <c r="Q885" s="25">
        <v>1</v>
      </c>
      <c r="R885" s="25">
        <v>1</v>
      </c>
      <c r="T885" s="25">
        <v>1</v>
      </c>
      <c r="AA885" s="25">
        <f t="shared" si="66"/>
        <v>128</v>
      </c>
      <c r="AK885" s="25">
        <v>1</v>
      </c>
      <c r="AM885" s="25">
        <v>24</v>
      </c>
      <c r="AN885" s="25">
        <v>100</v>
      </c>
      <c r="AP885" s="25">
        <f t="shared" si="65"/>
        <v>5</v>
      </c>
      <c r="AQ885" s="25" t="str">
        <f>VLOOKUP(C885,'시스템이펙트 참고자료'!$A:$B,2,FALSE)</f>
        <v>ACTIVE_ENERGY_CRITICAL</v>
      </c>
      <c r="AS885" s="25">
        <v>1</v>
      </c>
      <c r="BD885" s="25">
        <v>1</v>
      </c>
    </row>
    <row r="886" spans="1:56" hidden="1">
      <c r="A886" s="25">
        <v>881</v>
      </c>
      <c r="B886" s="25" t="str">
        <f>VLOOKUP(C886,'시스템이펙트 참고자료'!$A:$C,2,FALSE)</f>
        <v>ACTIVE_DEX_UP</v>
      </c>
      <c r="C886" s="25">
        <v>613</v>
      </c>
      <c r="D886" s="25">
        <f>VLOOKUP(C886,'시스템이펙트 참고자료'!$A:$D,4,FALSE)</f>
        <v>0</v>
      </c>
      <c r="E886" s="25">
        <v>0</v>
      </c>
      <c r="F886" s="25">
        <v>0</v>
      </c>
      <c r="G886" s="25">
        <f t="shared" si="64"/>
        <v>3</v>
      </c>
      <c r="H886" s="25" t="s">
        <v>395</v>
      </c>
      <c r="I886" s="25">
        <v>1</v>
      </c>
      <c r="J886" s="25" t="str">
        <f>VLOOKUP(C886,'시스템이펙트 참고자료'!$A:$C,3,FALSE)</f>
        <v>절대값/상대값(%) 가능</v>
      </c>
      <c r="K886" s="25">
        <v>17</v>
      </c>
      <c r="M886" s="25">
        <v>9</v>
      </c>
      <c r="N886" s="25">
        <f t="shared" si="63"/>
        <v>44</v>
      </c>
      <c r="O886" s="25">
        <v>1</v>
      </c>
      <c r="P886" s="25">
        <v>1</v>
      </c>
      <c r="Q886" s="25">
        <v>1</v>
      </c>
      <c r="R886" s="25">
        <v>1</v>
      </c>
      <c r="T886" s="25">
        <v>1</v>
      </c>
      <c r="AA886" s="25">
        <f t="shared" si="66"/>
        <v>128</v>
      </c>
      <c r="AK886" s="25">
        <v>1</v>
      </c>
      <c r="AM886" s="25">
        <v>44</v>
      </c>
      <c r="AN886" s="25">
        <v>100</v>
      </c>
      <c r="AP886" s="25">
        <f t="shared" si="65"/>
        <v>3</v>
      </c>
      <c r="AQ886" s="25" t="str">
        <f>VLOOKUP(C886,'시스템이펙트 참고자료'!$A:$B,2,FALSE)</f>
        <v>ACTIVE_DEX_UP</v>
      </c>
      <c r="AS886" s="25">
        <v>1</v>
      </c>
      <c r="BD886" s="25">
        <v>1</v>
      </c>
    </row>
    <row r="887" spans="1:56" hidden="1">
      <c r="A887" s="25">
        <v>882</v>
      </c>
      <c r="B887" s="25" t="str">
        <f>VLOOKUP(C887,'시스템이펙트 참고자료'!$A:$C,2,FALSE)</f>
        <v>ACTIVE_FOC_UP</v>
      </c>
      <c r="C887" s="25">
        <v>612</v>
      </c>
      <c r="D887" s="25">
        <f>VLOOKUP(C887,'시스템이펙트 참고자료'!$A:$D,4,FALSE)</f>
        <v>0</v>
      </c>
      <c r="E887" s="25">
        <v>0</v>
      </c>
      <c r="F887" s="25">
        <v>0</v>
      </c>
      <c r="G887" s="25">
        <f t="shared" si="64"/>
        <v>2</v>
      </c>
      <c r="H887" s="25" t="s">
        <v>395</v>
      </c>
      <c r="I887" s="25">
        <v>1</v>
      </c>
      <c r="J887" s="25" t="str">
        <f>VLOOKUP(C887,'시스템이펙트 참고자료'!$A:$C,3,FALSE)</f>
        <v>절대값/상대값(%) 가능</v>
      </c>
      <c r="K887" s="25">
        <v>17</v>
      </c>
      <c r="M887" s="25">
        <v>9</v>
      </c>
      <c r="N887" s="25">
        <f t="shared" si="63"/>
        <v>53</v>
      </c>
      <c r="O887" s="25">
        <v>1</v>
      </c>
      <c r="P887" s="25">
        <v>1</v>
      </c>
      <c r="Q887" s="25">
        <v>1</v>
      </c>
      <c r="R887" s="25">
        <v>1</v>
      </c>
      <c r="T887" s="25">
        <v>1</v>
      </c>
      <c r="AA887" s="25">
        <f t="shared" si="66"/>
        <v>128</v>
      </c>
      <c r="AK887" s="25">
        <v>1</v>
      </c>
      <c r="AM887" s="25">
        <v>53</v>
      </c>
      <c r="AN887" s="25">
        <v>100</v>
      </c>
      <c r="AP887" s="25">
        <f t="shared" si="65"/>
        <v>2</v>
      </c>
      <c r="AQ887" s="25" t="str">
        <f>VLOOKUP(C887,'시스템이펙트 참고자료'!$A:$B,2,FALSE)</f>
        <v>ACTIVE_FOC_UP</v>
      </c>
      <c r="AS887" s="25">
        <v>1</v>
      </c>
      <c r="BD887" s="25">
        <v>1</v>
      </c>
    </row>
    <row r="888" spans="1:56" hidden="1">
      <c r="A888" s="25">
        <v>883</v>
      </c>
      <c r="B888" s="25" t="str">
        <f>VLOOKUP(C888,'시스템이펙트 참고자료'!$A:$C,2,FALSE)</f>
        <v>ACTIVE_PHYSICAL_CRITICAL_DAMAGE_UP</v>
      </c>
      <c r="C888" s="25">
        <v>658</v>
      </c>
      <c r="D888" s="25">
        <f>VLOOKUP(C888,'시스템이펙트 참고자료'!$A:$D,4,FALSE)</f>
        <v>0</v>
      </c>
      <c r="E888" s="25">
        <v>0</v>
      </c>
      <c r="F888" s="25">
        <v>0</v>
      </c>
      <c r="G888" s="25">
        <f t="shared" si="64"/>
        <v>4</v>
      </c>
      <c r="H888" s="25" t="s">
        <v>395</v>
      </c>
      <c r="I888" s="25">
        <v>1</v>
      </c>
      <c r="J888" s="25" t="str">
        <f>VLOOKUP(C888,'시스템이펙트 참고자료'!$A:$C,3,FALSE)</f>
        <v>절대값만 가능</v>
      </c>
      <c r="K888" s="25">
        <v>17</v>
      </c>
      <c r="M888" s="25">
        <v>10</v>
      </c>
      <c r="N888" s="25">
        <f t="shared" si="63"/>
        <v>28</v>
      </c>
      <c r="O888" s="25">
        <v>1</v>
      </c>
      <c r="P888" s="25">
        <v>1</v>
      </c>
      <c r="Q888" s="25">
        <v>1</v>
      </c>
      <c r="R888" s="25">
        <v>1</v>
      </c>
      <c r="T888" s="25">
        <v>1</v>
      </c>
      <c r="AA888" s="25">
        <f t="shared" si="66"/>
        <v>128</v>
      </c>
      <c r="AK888" s="25">
        <v>1</v>
      </c>
      <c r="AM888" s="25">
        <v>28</v>
      </c>
      <c r="AN888" s="25">
        <v>100</v>
      </c>
      <c r="AP888" s="25">
        <f t="shared" si="65"/>
        <v>4</v>
      </c>
      <c r="AQ888" s="25" t="str">
        <f>VLOOKUP(C888,'시스템이펙트 참고자료'!$A:$B,2,FALSE)</f>
        <v>ACTIVE_PHYSICAL_CRITICAL_DAMAGE_UP</v>
      </c>
      <c r="AS888" s="25">
        <v>1</v>
      </c>
      <c r="BD888" s="25">
        <v>1</v>
      </c>
    </row>
    <row r="889" spans="1:56" hidden="1">
      <c r="A889" s="25">
        <v>884</v>
      </c>
      <c r="B889" s="25" t="str">
        <f>VLOOKUP(C889,'시스템이펙트 참고자료'!$A:$C,2,FALSE)</f>
        <v>ACTIVE_ENERGY_CRITICAL_DAMAGE_UP</v>
      </c>
      <c r="C889" s="25">
        <v>659</v>
      </c>
      <c r="D889" s="25">
        <f>VLOOKUP(C889,'시스템이펙트 참고자료'!$A:$D,4,FALSE)</f>
        <v>0</v>
      </c>
      <c r="E889" s="25">
        <v>0</v>
      </c>
      <c r="F889" s="25">
        <v>0</v>
      </c>
      <c r="G889" s="25">
        <f t="shared" si="64"/>
        <v>4</v>
      </c>
      <c r="H889" s="25" t="s">
        <v>395</v>
      </c>
      <c r="I889" s="25">
        <v>1</v>
      </c>
      <c r="J889" s="25" t="str">
        <f>VLOOKUP(C889,'시스템이펙트 참고자료'!$A:$C,3,FALSE)</f>
        <v>절대값만 가능</v>
      </c>
      <c r="K889" s="25">
        <v>17</v>
      </c>
      <c r="M889" s="25">
        <v>10</v>
      </c>
      <c r="N889" s="25">
        <f t="shared" si="63"/>
        <v>32</v>
      </c>
      <c r="O889" s="25">
        <v>1</v>
      </c>
      <c r="P889" s="25">
        <v>1</v>
      </c>
      <c r="Q889" s="25">
        <v>1</v>
      </c>
      <c r="R889" s="25">
        <v>1</v>
      </c>
      <c r="T889" s="25">
        <v>1</v>
      </c>
      <c r="AA889" s="25">
        <f t="shared" si="66"/>
        <v>128</v>
      </c>
      <c r="AK889" s="25">
        <v>1</v>
      </c>
      <c r="AM889" s="25">
        <v>32</v>
      </c>
      <c r="AN889" s="25">
        <v>100</v>
      </c>
      <c r="AP889" s="25">
        <f t="shared" si="65"/>
        <v>4</v>
      </c>
      <c r="AQ889" s="25" t="str">
        <f>VLOOKUP(C889,'시스템이펙트 참고자료'!$A:$B,2,FALSE)</f>
        <v>ACTIVE_ENERGY_CRITICAL_DAMAGE_UP</v>
      </c>
      <c r="AS889" s="25">
        <v>1</v>
      </c>
      <c r="BD889" s="25">
        <v>1</v>
      </c>
    </row>
    <row r="890" spans="1:56" hidden="1">
      <c r="A890" s="25">
        <v>885</v>
      </c>
      <c r="B890" s="25" t="str">
        <f>VLOOKUP(C890,'시스템이펙트 참고자료'!$A:$C,2,FALSE)</f>
        <v>ACTIVE_DEX_UP</v>
      </c>
      <c r="C890" s="25">
        <v>613</v>
      </c>
      <c r="D890" s="25">
        <f>VLOOKUP(C890,'시스템이펙트 참고자료'!$A:$D,4,FALSE)</f>
        <v>0</v>
      </c>
      <c r="E890" s="25">
        <v>0</v>
      </c>
      <c r="F890" s="25">
        <v>0</v>
      </c>
      <c r="G890" s="25">
        <f t="shared" si="64"/>
        <v>3</v>
      </c>
      <c r="H890" s="25" t="s">
        <v>395</v>
      </c>
      <c r="I890" s="25">
        <v>1</v>
      </c>
      <c r="J890" s="25" t="str">
        <f>VLOOKUP(C890,'시스템이펙트 참고자료'!$A:$C,3,FALSE)</f>
        <v>절대값/상대값(%) 가능</v>
      </c>
      <c r="K890" s="25">
        <v>17</v>
      </c>
      <c r="M890" s="25">
        <v>10</v>
      </c>
      <c r="N890" s="25">
        <f t="shared" si="63"/>
        <v>44</v>
      </c>
      <c r="O890" s="25">
        <v>1</v>
      </c>
      <c r="P890" s="25">
        <v>1</v>
      </c>
      <c r="Q890" s="25">
        <v>1</v>
      </c>
      <c r="R890" s="25">
        <v>1</v>
      </c>
      <c r="T890" s="25">
        <v>1</v>
      </c>
      <c r="AA890" s="25">
        <f t="shared" si="66"/>
        <v>128</v>
      </c>
      <c r="AK890" s="25">
        <v>1</v>
      </c>
      <c r="AM890" s="25">
        <v>44</v>
      </c>
      <c r="AN890" s="25">
        <v>100</v>
      </c>
      <c r="AP890" s="25">
        <f t="shared" si="65"/>
        <v>3</v>
      </c>
      <c r="AQ890" s="25" t="str">
        <f>VLOOKUP(C890,'시스템이펙트 참고자료'!$A:$B,2,FALSE)</f>
        <v>ACTIVE_DEX_UP</v>
      </c>
      <c r="AS890" s="25">
        <v>1</v>
      </c>
      <c r="BD890" s="25">
        <v>1</v>
      </c>
    </row>
    <row r="891" spans="1:56" hidden="1">
      <c r="A891" s="25">
        <v>886</v>
      </c>
      <c r="B891" s="25" t="str">
        <f>VLOOKUP(C891,'시스템이펙트 참고자료'!$A:$C,2,FALSE)</f>
        <v>ACTIVE_ATTACK_SPEED_UP</v>
      </c>
      <c r="C891" s="25">
        <v>617</v>
      </c>
      <c r="D891" s="25">
        <f>VLOOKUP(C891,'시스템이펙트 참고자료'!$A:$D,4,FALSE)</f>
        <v>1</v>
      </c>
      <c r="E891" s="25">
        <v>0</v>
      </c>
      <c r="F891" s="25">
        <v>0</v>
      </c>
      <c r="G891" s="25">
        <f t="shared" si="64"/>
        <v>10</v>
      </c>
      <c r="H891" s="25" t="s">
        <v>395</v>
      </c>
      <c r="I891" s="25">
        <v>1</v>
      </c>
      <c r="J891" s="25" t="str">
        <f>VLOOKUP(C891,'시스템이펙트 참고자료'!$A:$C,3,FALSE)</f>
        <v>절대값/상대값(%) 가능</v>
      </c>
      <c r="K891" s="25">
        <v>17</v>
      </c>
      <c r="M891" s="25">
        <v>10</v>
      </c>
      <c r="N891" s="25">
        <f t="shared" si="63"/>
        <v>10</v>
      </c>
      <c r="O891" s="25">
        <v>1</v>
      </c>
      <c r="P891" s="25">
        <v>1</v>
      </c>
      <c r="Q891" s="25">
        <v>1</v>
      </c>
      <c r="R891" s="25">
        <v>1</v>
      </c>
      <c r="T891" s="25">
        <v>1</v>
      </c>
      <c r="AA891" s="25">
        <f t="shared" si="66"/>
        <v>128</v>
      </c>
      <c r="AK891" s="25">
        <v>1</v>
      </c>
      <c r="AM891" s="25">
        <v>10</v>
      </c>
      <c r="AN891" s="25">
        <v>100</v>
      </c>
      <c r="AP891" s="25">
        <f t="shared" si="65"/>
        <v>10</v>
      </c>
      <c r="AQ891" s="25" t="str">
        <f>VLOOKUP(C891,'시스템이펙트 참고자료'!$A:$B,2,FALSE)</f>
        <v>ACTIVE_ATTACK_SPEED_UP</v>
      </c>
      <c r="AS891" s="25">
        <v>1</v>
      </c>
      <c r="BD891" s="25">
        <v>1</v>
      </c>
    </row>
    <row r="892" spans="1:56" hidden="1">
      <c r="A892" s="25">
        <v>887</v>
      </c>
      <c r="B892" s="25" t="str">
        <f>VLOOKUP(C892,'시스템이펙트 참고자료'!$A:$C,2,FALSE)</f>
        <v>ACTIVE_STR_UP</v>
      </c>
      <c r="C892" s="25">
        <v>610</v>
      </c>
      <c r="D892" s="25">
        <f>VLOOKUP(C892,'시스템이펙트 참고자료'!$A:$D,4,FALSE)</f>
        <v>0</v>
      </c>
      <c r="E892" s="25">
        <v>0</v>
      </c>
      <c r="F892" s="25">
        <v>0</v>
      </c>
      <c r="G892" s="25">
        <f t="shared" si="64"/>
        <v>2</v>
      </c>
      <c r="H892" s="25" t="s">
        <v>395</v>
      </c>
      <c r="I892" s="25">
        <v>1</v>
      </c>
      <c r="J892" s="25" t="str">
        <f>VLOOKUP(C892,'시스템이펙트 참고자료'!$A:$C,3,FALSE)</f>
        <v>절대값/상대값(%) 가능</v>
      </c>
      <c r="K892" s="25">
        <v>17</v>
      </c>
      <c r="M892" s="25">
        <v>11</v>
      </c>
      <c r="N892" s="25">
        <f t="shared" si="63"/>
        <v>57</v>
      </c>
      <c r="O892" s="25">
        <v>1</v>
      </c>
      <c r="P892" s="25">
        <v>1</v>
      </c>
      <c r="Q892" s="25">
        <v>1</v>
      </c>
      <c r="R892" s="25">
        <v>1</v>
      </c>
      <c r="T892" s="25">
        <v>1</v>
      </c>
      <c r="AA892" s="25">
        <f t="shared" si="66"/>
        <v>128</v>
      </c>
      <c r="AK892" s="25">
        <v>1</v>
      </c>
      <c r="AM892" s="25">
        <v>57</v>
      </c>
      <c r="AN892" s="25">
        <v>100</v>
      </c>
      <c r="AP892" s="25">
        <f t="shared" si="65"/>
        <v>2</v>
      </c>
      <c r="AQ892" s="25" t="str">
        <f>VLOOKUP(C892,'시스템이펙트 참고자료'!$A:$B,2,FALSE)</f>
        <v>ACTIVE_STR_UP</v>
      </c>
      <c r="AS892" s="25">
        <v>1</v>
      </c>
      <c r="BD892" s="25">
        <v>1</v>
      </c>
    </row>
    <row r="893" spans="1:56" hidden="1">
      <c r="A893" s="25">
        <v>888</v>
      </c>
      <c r="B893" s="25" t="str">
        <f>VLOOKUP(C893,'시스템이펙트 참고자료'!$A:$C,2,FALSE)</f>
        <v>ACTIVE_CON_UP</v>
      </c>
      <c r="C893" s="25">
        <v>611</v>
      </c>
      <c r="D893" s="25">
        <f>VLOOKUP(C893,'시스템이펙트 참고자료'!$A:$D,4,FALSE)</f>
        <v>0</v>
      </c>
      <c r="E893" s="25">
        <v>0</v>
      </c>
      <c r="F893" s="25">
        <v>0</v>
      </c>
      <c r="G893" s="25">
        <f t="shared" si="64"/>
        <v>3</v>
      </c>
      <c r="H893" s="25" t="s">
        <v>395</v>
      </c>
      <c r="I893" s="25">
        <v>1</v>
      </c>
      <c r="J893" s="25" t="str">
        <f>VLOOKUP(C893,'시스템이펙트 참고자료'!$A:$C,3,FALSE)</f>
        <v>절대값/상대값(%) 가능</v>
      </c>
      <c r="K893" s="25">
        <v>17</v>
      </c>
      <c r="M893" s="25">
        <v>11</v>
      </c>
      <c r="N893" s="25">
        <f t="shared" si="63"/>
        <v>48</v>
      </c>
      <c r="O893" s="25">
        <v>1</v>
      </c>
      <c r="P893" s="25">
        <v>1</v>
      </c>
      <c r="Q893" s="25">
        <v>1</v>
      </c>
      <c r="R893" s="25">
        <v>1</v>
      </c>
      <c r="T893" s="25">
        <v>1</v>
      </c>
      <c r="AA893" s="25">
        <f t="shared" si="66"/>
        <v>128</v>
      </c>
      <c r="AK893" s="25">
        <v>1</v>
      </c>
      <c r="AM893" s="25">
        <v>48</v>
      </c>
      <c r="AN893" s="25">
        <v>100</v>
      </c>
      <c r="AP893" s="25">
        <f t="shared" si="65"/>
        <v>3</v>
      </c>
      <c r="AQ893" s="25" t="str">
        <f>VLOOKUP(C893,'시스템이펙트 참고자료'!$A:$B,2,FALSE)</f>
        <v>ACTIVE_CON_UP</v>
      </c>
      <c r="AS893" s="25">
        <v>1</v>
      </c>
      <c r="BD893" s="25">
        <v>1</v>
      </c>
    </row>
    <row r="894" spans="1:56" hidden="1">
      <c r="A894" s="25">
        <v>889</v>
      </c>
      <c r="B894" s="25" t="str">
        <f>VLOOKUP(C894,'시스템이펙트 참고자료'!$A:$C,2,FALSE)</f>
        <v>ACTIVE_FOC_UP</v>
      </c>
      <c r="C894" s="25">
        <v>612</v>
      </c>
      <c r="D894" s="25">
        <f>VLOOKUP(C894,'시스템이펙트 참고자료'!$A:$D,4,FALSE)</f>
        <v>0</v>
      </c>
      <c r="E894" s="25">
        <v>0</v>
      </c>
      <c r="F894" s="25">
        <v>0</v>
      </c>
      <c r="G894" s="25">
        <f t="shared" si="64"/>
        <v>2</v>
      </c>
      <c r="H894" s="25" t="s">
        <v>395</v>
      </c>
      <c r="I894" s="25">
        <v>1</v>
      </c>
      <c r="J894" s="25" t="str">
        <f>VLOOKUP(C894,'시스템이펙트 참고자료'!$A:$C,3,FALSE)</f>
        <v>절대값/상대값(%) 가능</v>
      </c>
      <c r="K894" s="25">
        <v>17</v>
      </c>
      <c r="M894" s="25">
        <v>11</v>
      </c>
      <c r="N894" s="25">
        <f t="shared" si="63"/>
        <v>53</v>
      </c>
      <c r="O894" s="25">
        <v>1</v>
      </c>
      <c r="P894" s="25">
        <v>1</v>
      </c>
      <c r="Q894" s="25">
        <v>1</v>
      </c>
      <c r="R894" s="25">
        <v>1</v>
      </c>
      <c r="T894" s="25">
        <v>1</v>
      </c>
      <c r="AA894" s="25">
        <f t="shared" si="66"/>
        <v>128</v>
      </c>
      <c r="AK894" s="25">
        <v>1</v>
      </c>
      <c r="AM894" s="25">
        <v>53</v>
      </c>
      <c r="AN894" s="25">
        <v>100</v>
      </c>
      <c r="AP894" s="25">
        <f t="shared" si="65"/>
        <v>2</v>
      </c>
      <c r="AQ894" s="25" t="str">
        <f>VLOOKUP(C894,'시스템이펙트 참고자료'!$A:$B,2,FALSE)</f>
        <v>ACTIVE_FOC_UP</v>
      </c>
      <c r="AS894" s="25">
        <v>1</v>
      </c>
      <c r="BD894" s="25">
        <v>1</v>
      </c>
    </row>
    <row r="895" spans="1:56" hidden="1">
      <c r="A895" s="25">
        <v>890</v>
      </c>
      <c r="B895" s="25" t="str">
        <f>VLOOKUP(C895,'시스템이펙트 참고자료'!$A:$C,2,FALSE)</f>
        <v>ACTIVE_DEX_UP</v>
      </c>
      <c r="C895" s="25">
        <v>613</v>
      </c>
      <c r="D895" s="25">
        <f>VLOOKUP(C895,'시스템이펙트 참고자료'!$A:$D,4,FALSE)</f>
        <v>0</v>
      </c>
      <c r="E895" s="25">
        <v>0</v>
      </c>
      <c r="F895" s="25">
        <v>0</v>
      </c>
      <c r="G895" s="25">
        <f t="shared" si="64"/>
        <v>3</v>
      </c>
      <c r="H895" s="25" t="s">
        <v>395</v>
      </c>
      <c r="I895" s="25">
        <v>1</v>
      </c>
      <c r="J895" s="25" t="str">
        <f>VLOOKUP(C895,'시스템이펙트 참고자료'!$A:$C,3,FALSE)</f>
        <v>절대값/상대값(%) 가능</v>
      </c>
      <c r="K895" s="25">
        <v>17</v>
      </c>
      <c r="M895" s="25">
        <v>11</v>
      </c>
      <c r="N895" s="25">
        <f t="shared" si="63"/>
        <v>44</v>
      </c>
      <c r="O895" s="25">
        <v>1</v>
      </c>
      <c r="P895" s="25">
        <v>1</v>
      </c>
      <c r="Q895" s="25">
        <v>1</v>
      </c>
      <c r="R895" s="25">
        <v>1</v>
      </c>
      <c r="T895" s="25">
        <v>1</v>
      </c>
      <c r="AA895" s="25">
        <f t="shared" si="66"/>
        <v>128</v>
      </c>
      <c r="AK895" s="25">
        <v>1</v>
      </c>
      <c r="AM895" s="25">
        <v>44</v>
      </c>
      <c r="AN895" s="25">
        <v>100</v>
      </c>
      <c r="AP895" s="25">
        <f t="shared" si="65"/>
        <v>3</v>
      </c>
      <c r="AQ895" s="25" t="str">
        <f>VLOOKUP(C895,'시스템이펙트 참고자료'!$A:$B,2,FALSE)</f>
        <v>ACTIVE_DEX_UP</v>
      </c>
      <c r="AS895" s="25">
        <v>1</v>
      </c>
      <c r="BD895" s="25">
        <v>1</v>
      </c>
    </row>
    <row r="896" spans="1:56" hidden="1">
      <c r="A896" s="25">
        <v>891</v>
      </c>
      <c r="B896" s="25" t="str">
        <f>VLOOKUP(C896,'시스템이펙트 참고자료'!$A:$C,2,FALSE)</f>
        <v>ACTIVE_SOL_UP</v>
      </c>
      <c r="C896" s="25">
        <v>614</v>
      </c>
      <c r="D896" s="25">
        <f>VLOOKUP(C896,'시스템이펙트 참고자료'!$A:$D,4,FALSE)</f>
        <v>0</v>
      </c>
      <c r="E896" s="25">
        <v>0</v>
      </c>
      <c r="F896" s="25">
        <v>0</v>
      </c>
      <c r="G896" s="25">
        <f t="shared" si="64"/>
        <v>2</v>
      </c>
      <c r="H896" s="25" t="s">
        <v>395</v>
      </c>
      <c r="I896" s="25">
        <v>1</v>
      </c>
      <c r="J896" s="25" t="str">
        <f>VLOOKUP(C896,'시스템이펙트 참고자료'!$A:$C,3,FALSE)</f>
        <v>절대값/상대값(%) 가능</v>
      </c>
      <c r="K896" s="25">
        <v>17</v>
      </c>
      <c r="M896" s="25">
        <v>11</v>
      </c>
      <c r="N896" s="25">
        <f t="shared" si="63"/>
        <v>53</v>
      </c>
      <c r="O896" s="25">
        <v>1</v>
      </c>
      <c r="P896" s="25">
        <v>1</v>
      </c>
      <c r="Q896" s="25">
        <v>1</v>
      </c>
      <c r="R896" s="25">
        <v>1</v>
      </c>
      <c r="T896" s="25">
        <v>1</v>
      </c>
      <c r="AA896" s="25">
        <f t="shared" si="66"/>
        <v>128</v>
      </c>
      <c r="AK896" s="25">
        <v>1</v>
      </c>
      <c r="AM896" s="25">
        <v>53</v>
      </c>
      <c r="AN896" s="25">
        <v>100</v>
      </c>
      <c r="AP896" s="25">
        <f t="shared" si="65"/>
        <v>2</v>
      </c>
      <c r="AQ896" s="25" t="str">
        <f>VLOOKUP(C896,'시스템이펙트 참고자료'!$A:$B,2,FALSE)</f>
        <v>ACTIVE_SOL_UP</v>
      </c>
      <c r="AS896" s="25">
        <v>1</v>
      </c>
      <c r="BD896" s="25">
        <v>1</v>
      </c>
    </row>
    <row r="897" spans="1:56" hidden="1">
      <c r="A897" s="25">
        <v>892</v>
      </c>
      <c r="B897" s="25" t="str">
        <f>VLOOKUP(C897,'시스템이펙트 참고자료'!$A:$C,2,FALSE)</f>
        <v>ACTIVE_ENG_UP</v>
      </c>
      <c r="C897" s="25">
        <v>615</v>
      </c>
      <c r="D897" s="25">
        <f>VLOOKUP(C897,'시스템이펙트 참고자료'!$A:$D,4,FALSE)</f>
        <v>0</v>
      </c>
      <c r="E897" s="25">
        <v>0</v>
      </c>
      <c r="F897" s="25">
        <v>0</v>
      </c>
      <c r="G897" s="25">
        <f t="shared" si="64"/>
        <v>2</v>
      </c>
      <c r="H897" s="25" t="s">
        <v>395</v>
      </c>
      <c r="I897" s="25">
        <v>1</v>
      </c>
      <c r="J897" s="25" t="str">
        <f>VLOOKUP(C897,'시스템이펙트 참고자료'!$A:$C,3,FALSE)</f>
        <v>절대값/상대값(%) 가능</v>
      </c>
      <c r="K897" s="25">
        <v>17</v>
      </c>
      <c r="M897" s="25">
        <v>11</v>
      </c>
      <c r="N897" s="25">
        <f t="shared" si="63"/>
        <v>62</v>
      </c>
      <c r="O897" s="25">
        <v>1</v>
      </c>
      <c r="P897" s="25">
        <v>1</v>
      </c>
      <c r="Q897" s="25">
        <v>1</v>
      </c>
      <c r="R897" s="25">
        <v>1</v>
      </c>
      <c r="T897" s="25">
        <v>1</v>
      </c>
      <c r="AA897" s="25">
        <f t="shared" si="66"/>
        <v>128</v>
      </c>
      <c r="AK897" s="25">
        <v>1</v>
      </c>
      <c r="AM897" s="25">
        <v>62</v>
      </c>
      <c r="AN897" s="25">
        <v>100</v>
      </c>
      <c r="AP897" s="25">
        <f t="shared" si="65"/>
        <v>2</v>
      </c>
      <c r="AQ897" s="25" t="str">
        <f>VLOOKUP(C897,'시스템이펙트 참고자료'!$A:$B,2,FALSE)</f>
        <v>ACTIVE_ENG_UP</v>
      </c>
      <c r="AS897" s="25">
        <v>1</v>
      </c>
      <c r="BD897" s="25">
        <v>1</v>
      </c>
    </row>
    <row r="898" spans="1:56" hidden="1">
      <c r="A898" s="25">
        <v>893</v>
      </c>
      <c r="B898" s="25" t="str">
        <f>VLOOKUP(C898,'시스템이펙트 참고자료'!$A:$C,2,FALSE)</f>
        <v>ACTIVE_PHYSICAL_DEFENCE_UP</v>
      </c>
      <c r="C898" s="25">
        <v>608</v>
      </c>
      <c r="D898" s="25">
        <f>VLOOKUP(C898,'시스템이펙트 참고자료'!$A:$D,4,FALSE)</f>
        <v>0</v>
      </c>
      <c r="E898" s="25">
        <v>0</v>
      </c>
      <c r="F898" s="25">
        <v>0</v>
      </c>
      <c r="G898" s="25">
        <f t="shared" si="64"/>
        <v>1</v>
      </c>
      <c r="H898" s="25" t="s">
        <v>395</v>
      </c>
      <c r="I898" s="25">
        <v>1</v>
      </c>
      <c r="J898" s="25" t="str">
        <f>VLOOKUP(C898,'시스템이펙트 참고자료'!$A:$C,3,FALSE)</f>
        <v>절대값/상대값(%) 가능</v>
      </c>
      <c r="K898" s="25">
        <v>17</v>
      </c>
      <c r="M898" s="25">
        <v>12</v>
      </c>
      <c r="N898" s="25">
        <f t="shared" si="63"/>
        <v>1350</v>
      </c>
      <c r="O898" s="25">
        <v>1</v>
      </c>
      <c r="P898" s="25">
        <v>1</v>
      </c>
      <c r="Q898" s="25">
        <v>1</v>
      </c>
      <c r="R898" s="25">
        <v>1</v>
      </c>
      <c r="T898" s="25">
        <v>1</v>
      </c>
      <c r="AA898" s="25">
        <f t="shared" si="66"/>
        <v>128</v>
      </c>
      <c r="AK898" s="25">
        <v>1</v>
      </c>
      <c r="AM898" s="25">
        <v>1350</v>
      </c>
      <c r="AN898" s="25">
        <v>100</v>
      </c>
      <c r="AP898" s="25">
        <f t="shared" si="65"/>
        <v>1</v>
      </c>
      <c r="AQ898" s="25" t="str">
        <f>VLOOKUP(C898,'시스템이펙트 참고자료'!$A:$B,2,FALSE)</f>
        <v>ACTIVE_PHYSICAL_DEFENCE_UP</v>
      </c>
      <c r="AS898" s="25">
        <v>1</v>
      </c>
      <c r="BD898" s="25">
        <v>1</v>
      </c>
    </row>
    <row r="899" spans="1:56" hidden="1">
      <c r="A899" s="25">
        <v>894</v>
      </c>
      <c r="B899" s="25" t="str">
        <f>VLOOKUP(C899,'시스템이펙트 참고자료'!$A:$C,2,FALSE)</f>
        <v>ACTIVE_BLOCK_RATE_UP</v>
      </c>
      <c r="C899" s="25">
        <v>620</v>
      </c>
      <c r="D899" s="25">
        <f>VLOOKUP(C899,'시스템이펙트 참고자료'!$A:$D,4,FALSE)</f>
        <v>0</v>
      </c>
      <c r="E899" s="25">
        <v>0</v>
      </c>
      <c r="F899" s="25">
        <v>0</v>
      </c>
      <c r="G899" s="25">
        <f t="shared" si="64"/>
        <v>1</v>
      </c>
      <c r="H899" s="25" t="s">
        <v>395</v>
      </c>
      <c r="I899" s="25">
        <v>1</v>
      </c>
      <c r="J899" s="25" t="str">
        <f>VLOOKUP(C899,'시스템이펙트 참고자료'!$A:$C,3,FALSE)</f>
        <v>절대값/상대값(%) 가능</v>
      </c>
      <c r="K899" s="25">
        <v>17</v>
      </c>
      <c r="M899" s="25">
        <v>12</v>
      </c>
      <c r="N899" s="25">
        <f t="shared" si="63"/>
        <v>352</v>
      </c>
      <c r="O899" s="25">
        <v>1</v>
      </c>
      <c r="P899" s="25">
        <v>1</v>
      </c>
      <c r="Q899" s="25">
        <v>1</v>
      </c>
      <c r="R899" s="25">
        <v>1</v>
      </c>
      <c r="T899" s="25">
        <v>1</v>
      </c>
      <c r="AA899" s="25">
        <f t="shared" si="66"/>
        <v>128</v>
      </c>
      <c r="AK899" s="25">
        <v>1</v>
      </c>
      <c r="AM899" s="25">
        <v>352</v>
      </c>
      <c r="AN899" s="25">
        <v>100</v>
      </c>
      <c r="AP899" s="25">
        <f t="shared" si="65"/>
        <v>1</v>
      </c>
      <c r="AQ899" s="25" t="str">
        <f>VLOOKUP(C899,'시스템이펙트 참고자료'!$A:$B,2,FALSE)</f>
        <v>ACTIVE_BLOCK_RATE_UP</v>
      </c>
      <c r="AS899" s="25">
        <v>1</v>
      </c>
      <c r="BD899" s="25">
        <v>1</v>
      </c>
    </row>
    <row r="900" spans="1:56" hidden="1">
      <c r="A900" s="25">
        <v>895</v>
      </c>
      <c r="B900" s="25" t="str">
        <f>VLOOKUP(C900,'시스템이펙트 참고자료'!$A:$C,2,FALSE)</f>
        <v>ACTIVE_CON_UP</v>
      </c>
      <c r="C900" s="25">
        <v>611</v>
      </c>
      <c r="D900" s="25">
        <f>VLOOKUP(C900,'시스템이펙트 참고자료'!$A:$D,4,FALSE)</f>
        <v>0</v>
      </c>
      <c r="E900" s="25">
        <v>0</v>
      </c>
      <c r="F900" s="25">
        <v>0</v>
      </c>
      <c r="G900" s="25">
        <f t="shared" si="64"/>
        <v>3</v>
      </c>
      <c r="H900" s="25" t="s">
        <v>395</v>
      </c>
      <c r="I900" s="25">
        <v>1</v>
      </c>
      <c r="J900" s="25" t="str">
        <f>VLOOKUP(C900,'시스템이펙트 참고자료'!$A:$C,3,FALSE)</f>
        <v>절대값/상대값(%) 가능</v>
      </c>
      <c r="K900" s="25">
        <v>17</v>
      </c>
      <c r="M900" s="25">
        <v>12</v>
      </c>
      <c r="N900" s="25">
        <f t="shared" si="63"/>
        <v>48</v>
      </c>
      <c r="O900" s="25">
        <v>1</v>
      </c>
      <c r="P900" s="25">
        <v>1</v>
      </c>
      <c r="Q900" s="25">
        <v>1</v>
      </c>
      <c r="R900" s="25">
        <v>1</v>
      </c>
      <c r="T900" s="25">
        <v>1</v>
      </c>
      <c r="AA900" s="25">
        <f t="shared" si="66"/>
        <v>128</v>
      </c>
      <c r="AK900" s="25">
        <v>1</v>
      </c>
      <c r="AM900" s="25">
        <v>48</v>
      </c>
      <c r="AN900" s="25">
        <v>100</v>
      </c>
      <c r="AP900" s="25">
        <f t="shared" si="65"/>
        <v>3</v>
      </c>
      <c r="AQ900" s="25" t="str">
        <f>VLOOKUP(C900,'시스템이펙트 참고자료'!$A:$B,2,FALSE)</f>
        <v>ACTIVE_CON_UP</v>
      </c>
      <c r="AS900" s="25">
        <v>1</v>
      </c>
      <c r="BD900" s="25">
        <v>1</v>
      </c>
    </row>
    <row r="901" spans="1:56" hidden="1">
      <c r="A901" s="25">
        <v>896</v>
      </c>
      <c r="B901" s="25" t="str">
        <f>VLOOKUP(C901,'시스템이펙트 참고자료'!$A:$C,2,FALSE)</f>
        <v>ACTIVE_FOC_UP</v>
      </c>
      <c r="C901" s="25">
        <v>612</v>
      </c>
      <c r="D901" s="25">
        <f>VLOOKUP(C901,'시스템이펙트 참고자료'!$A:$D,4,FALSE)</f>
        <v>0</v>
      </c>
      <c r="E901" s="25">
        <v>0</v>
      </c>
      <c r="F901" s="25">
        <v>0</v>
      </c>
      <c r="G901" s="25">
        <f t="shared" si="64"/>
        <v>2</v>
      </c>
      <c r="H901" s="25" t="s">
        <v>395</v>
      </c>
      <c r="I901" s="25">
        <v>1</v>
      </c>
      <c r="J901" s="25" t="str">
        <f>VLOOKUP(C901,'시스템이펙트 참고자료'!$A:$C,3,FALSE)</f>
        <v>절대값/상대값(%) 가능</v>
      </c>
      <c r="K901" s="25">
        <v>17</v>
      </c>
      <c r="M901" s="25">
        <v>12</v>
      </c>
      <c r="N901" s="25">
        <f t="shared" si="63"/>
        <v>53</v>
      </c>
      <c r="O901" s="25">
        <v>1</v>
      </c>
      <c r="P901" s="25">
        <v>1</v>
      </c>
      <c r="Q901" s="25">
        <v>1</v>
      </c>
      <c r="R901" s="25">
        <v>1</v>
      </c>
      <c r="T901" s="25">
        <v>1</v>
      </c>
      <c r="AA901" s="25">
        <f t="shared" si="66"/>
        <v>128</v>
      </c>
      <c r="AK901" s="25">
        <v>1</v>
      </c>
      <c r="AM901" s="25">
        <v>53</v>
      </c>
      <c r="AN901" s="25">
        <v>100</v>
      </c>
      <c r="AP901" s="25">
        <f t="shared" si="65"/>
        <v>2</v>
      </c>
      <c r="AQ901" s="25" t="str">
        <f>VLOOKUP(C901,'시스템이펙트 참고자료'!$A:$B,2,FALSE)</f>
        <v>ACTIVE_FOC_UP</v>
      </c>
      <c r="AS901" s="25">
        <v>1</v>
      </c>
      <c r="BD901" s="25">
        <v>1</v>
      </c>
    </row>
    <row r="902" spans="1:56" hidden="1">
      <c r="A902" s="25">
        <v>897</v>
      </c>
      <c r="B902" s="25" t="str">
        <f>VLOOKUP(C902,'시스템이펙트 참고자료'!$A:$C,2,FALSE)</f>
        <v>ACTIVE_PHYSICAL_DEFENCE_UP</v>
      </c>
      <c r="C902" s="25">
        <v>608</v>
      </c>
      <c r="D902" s="25">
        <f>VLOOKUP(C902,'시스템이펙트 참고자료'!$A:$D,4,FALSE)</f>
        <v>0</v>
      </c>
      <c r="E902" s="25">
        <v>0</v>
      </c>
      <c r="F902" s="25">
        <v>0</v>
      </c>
      <c r="G902" s="25">
        <f t="shared" ref="G902:G911" si="67">IF(N902&gt;0,INT(100/N902+0.99),0)</f>
        <v>1</v>
      </c>
      <c r="H902" s="25" t="s">
        <v>395</v>
      </c>
      <c r="I902" s="25">
        <v>1</v>
      </c>
      <c r="J902" s="25" t="str">
        <f>VLOOKUP(C902,'시스템이펙트 참고자료'!$A:$C,3,FALSE)</f>
        <v>절대값/상대값(%) 가능</v>
      </c>
      <c r="K902" s="25">
        <v>18</v>
      </c>
      <c r="M902" s="25">
        <v>1</v>
      </c>
      <c r="N902" s="25">
        <f t="shared" si="63"/>
        <v>1350</v>
      </c>
      <c r="O902" s="25">
        <v>1</v>
      </c>
      <c r="P902" s="25">
        <v>1</v>
      </c>
      <c r="Q902" s="25">
        <v>1</v>
      </c>
      <c r="R902" s="25">
        <v>1</v>
      </c>
      <c r="T902" s="25">
        <v>1</v>
      </c>
      <c r="AA902" s="25">
        <f t="shared" si="66"/>
        <v>128</v>
      </c>
      <c r="AK902" s="25">
        <v>1</v>
      </c>
      <c r="AM902" s="25">
        <v>1350</v>
      </c>
      <c r="AN902" s="25">
        <v>100</v>
      </c>
      <c r="AP902" s="25">
        <f t="shared" ref="AP902:AP911" si="68">INT(100/N902+0.99)</f>
        <v>1</v>
      </c>
      <c r="AQ902" s="25" t="str">
        <f>VLOOKUP(C902,'시스템이펙트 참고자료'!$A:$B,2,FALSE)</f>
        <v>ACTIVE_PHYSICAL_DEFENCE_UP</v>
      </c>
      <c r="AS902" s="25">
        <v>1</v>
      </c>
      <c r="BD902" s="25">
        <v>1</v>
      </c>
    </row>
    <row r="903" spans="1:56" hidden="1">
      <c r="A903" s="25">
        <v>898</v>
      </c>
      <c r="B903" s="25" t="str">
        <f>VLOOKUP(C903,'시스템이펙트 참고자료'!$A:$C,2,FALSE)</f>
        <v>ACTIVE_BLOCK_RATE_UP</v>
      </c>
      <c r="C903" s="25">
        <v>620</v>
      </c>
      <c r="D903" s="25">
        <f>VLOOKUP(C903,'시스템이펙트 참고자료'!$A:$D,4,FALSE)</f>
        <v>0</v>
      </c>
      <c r="E903" s="25">
        <v>0</v>
      </c>
      <c r="F903" s="25">
        <v>0</v>
      </c>
      <c r="G903" s="25">
        <f t="shared" si="67"/>
        <v>1</v>
      </c>
      <c r="H903" s="25" t="s">
        <v>395</v>
      </c>
      <c r="I903" s="25">
        <v>1</v>
      </c>
      <c r="J903" s="25" t="str">
        <f>VLOOKUP(C903,'시스템이펙트 참고자료'!$A:$C,3,FALSE)</f>
        <v>절대값/상대값(%) 가능</v>
      </c>
      <c r="K903" s="25">
        <v>18</v>
      </c>
      <c r="M903" s="25">
        <v>1</v>
      </c>
      <c r="N903" s="25">
        <f t="shared" ref="N903:N966" si="69">IF(BD903&gt;0,INT(AM903/AK903),0)</f>
        <v>352</v>
      </c>
      <c r="O903" s="25">
        <v>1</v>
      </c>
      <c r="P903" s="25">
        <v>1</v>
      </c>
      <c r="Q903" s="25">
        <v>1</v>
      </c>
      <c r="R903" s="25">
        <v>1</v>
      </c>
      <c r="T903" s="25">
        <v>1</v>
      </c>
      <c r="AA903" s="25">
        <f t="shared" si="66"/>
        <v>128</v>
      </c>
      <c r="AK903" s="25">
        <v>1</v>
      </c>
      <c r="AM903" s="25">
        <v>352</v>
      </c>
      <c r="AN903" s="25">
        <v>100</v>
      </c>
      <c r="AP903" s="25">
        <f t="shared" si="68"/>
        <v>1</v>
      </c>
      <c r="AQ903" s="25" t="str">
        <f>VLOOKUP(C903,'시스템이펙트 참고자료'!$A:$B,2,FALSE)</f>
        <v>ACTIVE_BLOCK_RATE_UP</v>
      </c>
      <c r="AS903" s="25">
        <v>1</v>
      </c>
      <c r="BD903" s="25">
        <v>1</v>
      </c>
    </row>
    <row r="904" spans="1:56" hidden="1">
      <c r="A904" s="25">
        <v>899</v>
      </c>
      <c r="B904" s="25" t="str">
        <f>VLOOKUP(C904,'시스템이펙트 참고자료'!$A:$C,2,FALSE)</f>
        <v>ACTIVE_CON_UP</v>
      </c>
      <c r="C904" s="25">
        <v>611</v>
      </c>
      <c r="D904" s="25">
        <f>VLOOKUP(C904,'시스템이펙트 참고자료'!$A:$D,4,FALSE)</f>
        <v>0</v>
      </c>
      <c r="E904" s="25">
        <v>0</v>
      </c>
      <c r="F904" s="25">
        <v>0</v>
      </c>
      <c r="G904" s="25">
        <f t="shared" si="67"/>
        <v>3</v>
      </c>
      <c r="H904" s="25" t="s">
        <v>395</v>
      </c>
      <c r="I904" s="25">
        <v>1</v>
      </c>
      <c r="J904" s="25" t="str">
        <f>VLOOKUP(C904,'시스템이펙트 참고자료'!$A:$C,3,FALSE)</f>
        <v>절대값/상대값(%) 가능</v>
      </c>
      <c r="K904" s="25">
        <v>18</v>
      </c>
      <c r="M904" s="25">
        <v>1</v>
      </c>
      <c r="N904" s="25">
        <f t="shared" si="69"/>
        <v>48</v>
      </c>
      <c r="O904" s="25">
        <v>1</v>
      </c>
      <c r="P904" s="25">
        <v>1</v>
      </c>
      <c r="Q904" s="25">
        <v>1</v>
      </c>
      <c r="R904" s="25">
        <v>1</v>
      </c>
      <c r="T904" s="25">
        <v>1</v>
      </c>
      <c r="AA904" s="25">
        <f t="shared" si="66"/>
        <v>128</v>
      </c>
      <c r="AK904" s="25">
        <v>1</v>
      </c>
      <c r="AM904" s="25">
        <v>48</v>
      </c>
      <c r="AN904" s="25">
        <v>100</v>
      </c>
      <c r="AP904" s="25">
        <f t="shared" si="68"/>
        <v>3</v>
      </c>
      <c r="AQ904" s="25" t="str">
        <f>VLOOKUP(C904,'시스템이펙트 참고자료'!$A:$B,2,FALSE)</f>
        <v>ACTIVE_CON_UP</v>
      </c>
      <c r="AS904" s="25">
        <v>1</v>
      </c>
      <c r="BD904" s="25">
        <v>1</v>
      </c>
    </row>
    <row r="905" spans="1:56" hidden="1">
      <c r="A905" s="25">
        <v>900</v>
      </c>
      <c r="B905" s="25" t="str">
        <f>VLOOKUP(C905,'시스템이펙트 참고자료'!$A:$C,2,FALSE)</f>
        <v>ACTIVE_BLEED_DEFENCE</v>
      </c>
      <c r="C905" s="25">
        <v>681</v>
      </c>
      <c r="D905" s="25">
        <f>VLOOKUP(C905,'시스템이펙트 참고자료'!$A:$D,4,FALSE)</f>
        <v>0</v>
      </c>
      <c r="E905" s="25">
        <v>0</v>
      </c>
      <c r="F905" s="25">
        <v>0</v>
      </c>
      <c r="G905" s="25">
        <f t="shared" si="67"/>
        <v>1</v>
      </c>
      <c r="H905" s="25" t="s">
        <v>395</v>
      </c>
      <c r="I905" s="25">
        <v>1</v>
      </c>
      <c r="J905" s="25" t="str">
        <f>VLOOKUP(C905,'시스템이펙트 참고자료'!$A:$C,3,FALSE)</f>
        <v>절대값/상대값(%) 가능</v>
      </c>
      <c r="K905" s="25">
        <v>18</v>
      </c>
      <c r="M905" s="25">
        <v>1</v>
      </c>
      <c r="N905" s="25">
        <f t="shared" si="69"/>
        <v>1350</v>
      </c>
      <c r="O905" s="25">
        <v>1</v>
      </c>
      <c r="P905" s="25">
        <v>1</v>
      </c>
      <c r="Q905" s="25">
        <v>1</v>
      </c>
      <c r="R905" s="25">
        <v>1</v>
      </c>
      <c r="T905" s="25">
        <v>1</v>
      </c>
      <c r="AA905" s="25">
        <f t="shared" si="66"/>
        <v>128</v>
      </c>
      <c r="AK905" s="25">
        <v>1</v>
      </c>
      <c r="AM905" s="25">
        <v>1350</v>
      </c>
      <c r="AN905" s="25">
        <v>100</v>
      </c>
      <c r="AP905" s="25">
        <f t="shared" si="68"/>
        <v>1</v>
      </c>
      <c r="AQ905" s="25" t="str">
        <f>VLOOKUP(C905,'시스템이펙트 참고자료'!$A:$B,2,FALSE)</f>
        <v>ACTIVE_BLEED_DEFENCE</v>
      </c>
      <c r="AS905" s="25">
        <v>1</v>
      </c>
      <c r="BD905" s="25">
        <v>1</v>
      </c>
    </row>
    <row r="906" spans="1:56" hidden="1">
      <c r="A906" s="25">
        <v>901</v>
      </c>
      <c r="B906" s="25" t="str">
        <f>VLOOKUP(C906,'시스템이펙트 참고자료'!$A:$C,2,FALSE)</f>
        <v>ACTIVE_BURN_DEFENCE</v>
      </c>
      <c r="C906" s="25">
        <v>682</v>
      </c>
      <c r="D906" s="25">
        <f>VLOOKUP(C906,'시스템이펙트 참고자료'!$A:$D,4,FALSE)</f>
        <v>0</v>
      </c>
      <c r="E906" s="25">
        <v>0</v>
      </c>
      <c r="F906" s="25">
        <v>0</v>
      </c>
      <c r="G906" s="25">
        <f t="shared" si="67"/>
        <v>1</v>
      </c>
      <c r="H906" s="25" t="s">
        <v>395</v>
      </c>
      <c r="I906" s="25">
        <v>1</v>
      </c>
      <c r="J906" s="25" t="str">
        <f>VLOOKUP(C906,'시스템이펙트 참고자료'!$A:$C,3,FALSE)</f>
        <v>절대값/상대값(%) 가능</v>
      </c>
      <c r="K906" s="25">
        <v>18</v>
      </c>
      <c r="M906" s="25">
        <v>1</v>
      </c>
      <c r="N906" s="25">
        <f t="shared" si="69"/>
        <v>1350</v>
      </c>
      <c r="O906" s="25">
        <v>1</v>
      </c>
      <c r="P906" s="25">
        <v>1</v>
      </c>
      <c r="Q906" s="25">
        <v>1</v>
      </c>
      <c r="R906" s="25">
        <v>1</v>
      </c>
      <c r="T906" s="25">
        <v>1</v>
      </c>
      <c r="AA906" s="25">
        <f t="shared" si="66"/>
        <v>128</v>
      </c>
      <c r="AK906" s="25">
        <v>1</v>
      </c>
      <c r="AM906" s="25">
        <v>1350</v>
      </c>
      <c r="AN906" s="25">
        <v>100</v>
      </c>
      <c r="AP906" s="25">
        <f t="shared" si="68"/>
        <v>1</v>
      </c>
      <c r="AQ906" s="25" t="str">
        <f>VLOOKUP(C906,'시스템이펙트 참고자료'!$A:$B,2,FALSE)</f>
        <v>ACTIVE_BURN_DEFENCE</v>
      </c>
      <c r="AS906" s="25">
        <v>1</v>
      </c>
      <c r="BD906" s="25">
        <v>1</v>
      </c>
    </row>
    <row r="907" spans="1:56" hidden="1">
      <c r="A907" s="25">
        <v>902</v>
      </c>
      <c r="B907" s="25" t="str">
        <f>VLOOKUP(C907,'시스템이펙트 참고자료'!$A:$C,2,FALSE)</f>
        <v>ACTIVE_ENERGY_DEFENCE_UP</v>
      </c>
      <c r="C907" s="25">
        <v>609</v>
      </c>
      <c r="D907" s="25">
        <f>VLOOKUP(C907,'시스템이펙트 참고자료'!$A:$D,4,FALSE)</f>
        <v>0</v>
      </c>
      <c r="E907" s="25">
        <v>0</v>
      </c>
      <c r="F907" s="25">
        <v>0</v>
      </c>
      <c r="G907" s="25">
        <f t="shared" si="67"/>
        <v>1</v>
      </c>
      <c r="H907" s="25" t="s">
        <v>395</v>
      </c>
      <c r="I907" s="25">
        <v>1</v>
      </c>
      <c r="J907" s="25" t="str">
        <f>VLOOKUP(C907,'시스템이펙트 참고자료'!$A:$C,3,FALSE)</f>
        <v>절대값/상대값(%) 가능</v>
      </c>
      <c r="K907" s="25">
        <v>18</v>
      </c>
      <c r="M907" s="25">
        <v>2</v>
      </c>
      <c r="N907" s="25">
        <f t="shared" si="69"/>
        <v>1350</v>
      </c>
      <c r="O907" s="25">
        <v>1</v>
      </c>
      <c r="P907" s="25">
        <v>1</v>
      </c>
      <c r="Q907" s="25">
        <v>1</v>
      </c>
      <c r="R907" s="25">
        <v>1</v>
      </c>
      <c r="T907" s="25">
        <v>1</v>
      </c>
      <c r="AA907" s="25">
        <f t="shared" si="66"/>
        <v>128</v>
      </c>
      <c r="AK907" s="25">
        <v>1</v>
      </c>
      <c r="AM907" s="25">
        <v>1350</v>
      </c>
      <c r="AN907" s="25">
        <v>100</v>
      </c>
      <c r="AP907" s="25">
        <f t="shared" si="68"/>
        <v>1</v>
      </c>
      <c r="AQ907" s="25" t="str">
        <f>VLOOKUP(C907,'시스템이펙트 참고자료'!$A:$B,2,FALSE)</f>
        <v>ACTIVE_ENERGY_DEFENCE_UP</v>
      </c>
      <c r="AS907" s="25">
        <v>1</v>
      </c>
      <c r="BD907" s="25">
        <v>1</v>
      </c>
    </row>
    <row r="908" spans="1:56" hidden="1">
      <c r="A908" s="25">
        <v>903</v>
      </c>
      <c r="B908" s="25" t="str">
        <f>VLOOKUP(C908,'시스템이펙트 참고자료'!$A:$C,2,FALSE)</f>
        <v>ACTIVE_BLOCK_RATE_UP</v>
      </c>
      <c r="C908" s="25">
        <v>620</v>
      </c>
      <c r="D908" s="25">
        <f>VLOOKUP(C908,'시스템이펙트 참고자료'!$A:$D,4,FALSE)</f>
        <v>0</v>
      </c>
      <c r="E908" s="25">
        <v>0</v>
      </c>
      <c r="F908" s="25">
        <v>0</v>
      </c>
      <c r="G908" s="25">
        <f t="shared" si="67"/>
        <v>1</v>
      </c>
      <c r="H908" s="25" t="s">
        <v>395</v>
      </c>
      <c r="I908" s="25">
        <v>1</v>
      </c>
      <c r="J908" s="25" t="str">
        <f>VLOOKUP(C908,'시스템이펙트 참고자료'!$A:$C,3,FALSE)</f>
        <v>절대값/상대값(%) 가능</v>
      </c>
      <c r="K908" s="25">
        <v>18</v>
      </c>
      <c r="M908" s="25">
        <v>2</v>
      </c>
      <c r="N908" s="25">
        <f t="shared" si="69"/>
        <v>352</v>
      </c>
      <c r="O908" s="25">
        <v>1</v>
      </c>
      <c r="P908" s="25">
        <v>1</v>
      </c>
      <c r="Q908" s="25">
        <v>1</v>
      </c>
      <c r="R908" s="25">
        <v>1</v>
      </c>
      <c r="T908" s="25">
        <v>1</v>
      </c>
      <c r="AA908" s="25">
        <f t="shared" si="66"/>
        <v>128</v>
      </c>
      <c r="AK908" s="25">
        <v>1</v>
      </c>
      <c r="AM908" s="25">
        <v>352</v>
      </c>
      <c r="AN908" s="25">
        <v>100</v>
      </c>
      <c r="AP908" s="25">
        <f t="shared" si="68"/>
        <v>1</v>
      </c>
      <c r="AQ908" s="25" t="str">
        <f>VLOOKUP(C908,'시스템이펙트 참고자료'!$A:$B,2,FALSE)</f>
        <v>ACTIVE_BLOCK_RATE_UP</v>
      </c>
      <c r="AS908" s="25">
        <v>1</v>
      </c>
      <c r="BD908" s="25">
        <v>1</v>
      </c>
    </row>
    <row r="909" spans="1:56" hidden="1">
      <c r="A909" s="25">
        <v>904</v>
      </c>
      <c r="B909" s="25" t="str">
        <f>VLOOKUP(C909,'시스템이펙트 참고자료'!$A:$C,2,FALSE)</f>
        <v>ACTIVE_ENG_UP</v>
      </c>
      <c r="C909" s="25">
        <v>615</v>
      </c>
      <c r="D909" s="25">
        <f>VLOOKUP(C909,'시스템이펙트 참고자료'!$A:$D,4,FALSE)</f>
        <v>0</v>
      </c>
      <c r="E909" s="25">
        <v>0</v>
      </c>
      <c r="F909" s="25">
        <v>0</v>
      </c>
      <c r="G909" s="25">
        <f t="shared" si="67"/>
        <v>2</v>
      </c>
      <c r="H909" s="25" t="s">
        <v>395</v>
      </c>
      <c r="I909" s="25">
        <v>1</v>
      </c>
      <c r="J909" s="25" t="str">
        <f>VLOOKUP(C909,'시스템이펙트 참고자료'!$A:$C,3,FALSE)</f>
        <v>절대값/상대값(%) 가능</v>
      </c>
      <c r="K909" s="25">
        <v>18</v>
      </c>
      <c r="M909" s="25">
        <v>2</v>
      </c>
      <c r="N909" s="25">
        <f t="shared" si="69"/>
        <v>62</v>
      </c>
      <c r="O909" s="25">
        <v>1</v>
      </c>
      <c r="P909" s="25">
        <v>1</v>
      </c>
      <c r="Q909" s="25">
        <v>1</v>
      </c>
      <c r="R909" s="25">
        <v>1</v>
      </c>
      <c r="T909" s="25">
        <v>1</v>
      </c>
      <c r="AA909" s="25">
        <f t="shared" si="66"/>
        <v>128</v>
      </c>
      <c r="AK909" s="25">
        <v>1</v>
      </c>
      <c r="AM909" s="25">
        <v>62</v>
      </c>
      <c r="AN909" s="25">
        <v>100</v>
      </c>
      <c r="AP909" s="25">
        <f t="shared" si="68"/>
        <v>2</v>
      </c>
      <c r="AQ909" s="25" t="str">
        <f>VLOOKUP(C909,'시스템이펙트 참고자료'!$A:$B,2,FALSE)</f>
        <v>ACTIVE_ENG_UP</v>
      </c>
      <c r="AS909" s="25">
        <v>1</v>
      </c>
      <c r="BD909" s="25">
        <v>1</v>
      </c>
    </row>
    <row r="910" spans="1:56" hidden="1">
      <c r="A910" s="25">
        <v>905</v>
      </c>
      <c r="B910" s="25" t="str">
        <f>VLOOKUP(C910,'시스템이펙트 참고자료'!$A:$C,2,FALSE)</f>
        <v>ACTIVE_STOMACHACHE_DEFENCE</v>
      </c>
      <c r="C910" s="25">
        <v>679</v>
      </c>
      <c r="D910" s="25">
        <f>VLOOKUP(C910,'시스템이펙트 참고자료'!$A:$D,4,FALSE)</f>
        <v>0</v>
      </c>
      <c r="E910" s="25">
        <v>0</v>
      </c>
      <c r="F910" s="25">
        <v>0</v>
      </c>
      <c r="G910" s="25">
        <f t="shared" si="67"/>
        <v>1</v>
      </c>
      <c r="H910" s="25" t="s">
        <v>395</v>
      </c>
      <c r="I910" s="25">
        <v>1</v>
      </c>
      <c r="J910" s="25" t="str">
        <f>VLOOKUP(C910,'시스템이펙트 참고자료'!$A:$C,3,FALSE)</f>
        <v>절대값/상대값(%) 가능</v>
      </c>
      <c r="K910" s="25">
        <v>18</v>
      </c>
      <c r="M910" s="25">
        <v>2</v>
      </c>
      <c r="N910" s="25">
        <f t="shared" si="69"/>
        <v>1350</v>
      </c>
      <c r="O910" s="25">
        <v>1</v>
      </c>
      <c r="P910" s="25">
        <v>1</v>
      </c>
      <c r="Q910" s="25">
        <v>1</v>
      </c>
      <c r="R910" s="25">
        <v>1</v>
      </c>
      <c r="T910" s="25">
        <v>1</v>
      </c>
      <c r="AA910" s="25">
        <f t="shared" si="66"/>
        <v>128</v>
      </c>
      <c r="AK910" s="25">
        <v>1</v>
      </c>
      <c r="AM910" s="25">
        <v>1350</v>
      </c>
      <c r="AN910" s="25">
        <v>100</v>
      </c>
      <c r="AP910" s="25">
        <f t="shared" si="68"/>
        <v>1</v>
      </c>
      <c r="AQ910" s="25" t="str">
        <f>VLOOKUP(C910,'시스템이펙트 참고자료'!$A:$B,2,FALSE)</f>
        <v>ACTIVE_STOMACHACHE_DEFENCE</v>
      </c>
      <c r="AS910" s="25">
        <v>1</v>
      </c>
      <c r="BD910" s="25">
        <v>1</v>
      </c>
    </row>
    <row r="911" spans="1:56" hidden="1">
      <c r="A911" s="25">
        <v>906</v>
      </c>
      <c r="B911" s="25" t="str">
        <f>VLOOKUP(C911,'시스템이펙트 참고자료'!$A:$C,2,FALSE)</f>
        <v>ACTIVE_POISON_DEFENCE</v>
      </c>
      <c r="C911" s="25">
        <v>680</v>
      </c>
      <c r="D911" s="25">
        <f>VLOOKUP(C911,'시스템이펙트 참고자료'!$A:$D,4,FALSE)</f>
        <v>0</v>
      </c>
      <c r="E911" s="25">
        <v>0</v>
      </c>
      <c r="F911" s="25">
        <v>0</v>
      </c>
      <c r="G911" s="25">
        <f t="shared" si="67"/>
        <v>1</v>
      </c>
      <c r="H911" s="25" t="s">
        <v>395</v>
      </c>
      <c r="I911" s="25">
        <v>1</v>
      </c>
      <c r="J911" s="25" t="str">
        <f>VLOOKUP(C911,'시스템이펙트 참고자료'!$A:$C,3,FALSE)</f>
        <v>절대값/상대값(%) 가능</v>
      </c>
      <c r="K911" s="25">
        <v>18</v>
      </c>
      <c r="M911" s="25">
        <v>2</v>
      </c>
      <c r="N911" s="25">
        <f t="shared" si="69"/>
        <v>1350</v>
      </c>
      <c r="O911" s="25">
        <v>1</v>
      </c>
      <c r="P911" s="25">
        <v>1</v>
      </c>
      <c r="Q911" s="25">
        <v>1</v>
      </c>
      <c r="R911" s="25">
        <v>1</v>
      </c>
      <c r="T911" s="25">
        <v>1</v>
      </c>
      <c r="AA911" s="25">
        <f t="shared" si="66"/>
        <v>128</v>
      </c>
      <c r="AK911" s="25">
        <v>1</v>
      </c>
      <c r="AM911" s="25">
        <v>1350</v>
      </c>
      <c r="AN911" s="25">
        <v>100</v>
      </c>
      <c r="AP911" s="25">
        <f t="shared" si="68"/>
        <v>1</v>
      </c>
      <c r="AQ911" s="25" t="str">
        <f>VLOOKUP(C911,'시스템이펙트 참고자료'!$A:$B,2,FALSE)</f>
        <v>ACTIVE_POISON_DEFENCE</v>
      </c>
      <c r="AS911" s="25">
        <v>1</v>
      </c>
      <c r="BD911" s="25">
        <v>1</v>
      </c>
    </row>
    <row r="912" spans="1:56" hidden="1">
      <c r="A912" s="25">
        <v>907</v>
      </c>
      <c r="B912" s="25" t="str">
        <f>VLOOKUP(C912,'시스템이펙트 참고자료'!$A:$C,2,FALSE)</f>
        <v>ACTIVE_DODGE_RATE_UP</v>
      </c>
      <c r="C912" s="25">
        <v>619</v>
      </c>
      <c r="D912" s="25">
        <f>VLOOKUP(C912,'시스템이펙트 참고자료'!$A:$D,4,FALSE)</f>
        <v>0</v>
      </c>
      <c r="E912" s="25">
        <v>0</v>
      </c>
      <c r="F912" s="25">
        <v>0</v>
      </c>
      <c r="G912" s="25">
        <f t="shared" ref="G912:G975" si="70">IF(N912&gt;0,INT(100/N912+0.99),0)</f>
        <v>1</v>
      </c>
      <c r="H912" s="25" t="s">
        <v>395</v>
      </c>
      <c r="I912" s="25">
        <v>1</v>
      </c>
      <c r="J912" s="25" t="str">
        <f>VLOOKUP(C912,'시스템이펙트 참고자료'!$A:$C,3,FALSE)</f>
        <v>절대값/상대값(%) 가능</v>
      </c>
      <c r="K912" s="25">
        <v>18</v>
      </c>
      <c r="M912" s="25">
        <v>3</v>
      </c>
      <c r="N912" s="25">
        <f t="shared" si="69"/>
        <v>275</v>
      </c>
      <c r="O912" s="25">
        <v>1</v>
      </c>
      <c r="P912" s="25">
        <v>1</v>
      </c>
      <c r="Q912" s="25">
        <v>1</v>
      </c>
      <c r="R912" s="25">
        <v>1</v>
      </c>
      <c r="T912" s="25">
        <v>1</v>
      </c>
      <c r="AA912" s="25">
        <f t="shared" si="66"/>
        <v>128</v>
      </c>
      <c r="AK912" s="25">
        <v>1</v>
      </c>
      <c r="AM912" s="25">
        <v>275</v>
      </c>
      <c r="AN912" s="25">
        <v>100</v>
      </c>
      <c r="AP912" s="25">
        <f t="shared" ref="AP912:AP975" si="71">INT(100/N912+0.99)</f>
        <v>1</v>
      </c>
      <c r="AQ912" s="25" t="str">
        <f>VLOOKUP(C912,'시스템이펙트 참고자료'!$A:$B,2,FALSE)</f>
        <v>ACTIVE_DODGE_RATE_UP</v>
      </c>
      <c r="AS912" s="25">
        <v>1</v>
      </c>
      <c r="BD912" s="25">
        <v>1</v>
      </c>
    </row>
    <row r="913" spans="1:56" hidden="1">
      <c r="A913" s="25">
        <v>908</v>
      </c>
      <c r="B913" s="25" t="str">
        <f>VLOOKUP(C913,'시스템이펙트 참고자료'!$A:$C,2,FALSE)</f>
        <v>ACTIVE_DEX_UP</v>
      </c>
      <c r="C913" s="25">
        <v>613</v>
      </c>
      <c r="D913" s="25">
        <f>VLOOKUP(C913,'시스템이펙트 참고자료'!$A:$D,4,FALSE)</f>
        <v>0</v>
      </c>
      <c r="E913" s="25">
        <v>0</v>
      </c>
      <c r="F913" s="25">
        <v>0</v>
      </c>
      <c r="G913" s="25">
        <f t="shared" si="70"/>
        <v>3</v>
      </c>
      <c r="H913" s="25" t="s">
        <v>395</v>
      </c>
      <c r="I913" s="25">
        <v>1</v>
      </c>
      <c r="J913" s="25" t="str">
        <f>VLOOKUP(C913,'시스템이펙트 참고자료'!$A:$C,3,FALSE)</f>
        <v>절대값/상대값(%) 가능</v>
      </c>
      <c r="K913" s="25">
        <v>18</v>
      </c>
      <c r="M913" s="25">
        <v>3</v>
      </c>
      <c r="N913" s="25">
        <f t="shared" si="69"/>
        <v>44</v>
      </c>
      <c r="O913" s="25">
        <v>1</v>
      </c>
      <c r="P913" s="25">
        <v>1</v>
      </c>
      <c r="Q913" s="25">
        <v>1</v>
      </c>
      <c r="R913" s="25">
        <v>1</v>
      </c>
      <c r="T913" s="25">
        <v>1</v>
      </c>
      <c r="AA913" s="25">
        <f t="shared" si="66"/>
        <v>128</v>
      </c>
      <c r="AK913" s="25">
        <v>1</v>
      </c>
      <c r="AM913" s="25">
        <v>44</v>
      </c>
      <c r="AN913" s="25">
        <v>100</v>
      </c>
      <c r="AP913" s="25">
        <f t="shared" si="71"/>
        <v>3</v>
      </c>
      <c r="AQ913" s="25" t="str">
        <f>VLOOKUP(C913,'시스템이펙트 참고자료'!$A:$B,2,FALSE)</f>
        <v>ACTIVE_DEX_UP</v>
      </c>
      <c r="AS913" s="25">
        <v>1</v>
      </c>
      <c r="BD913" s="25">
        <v>1</v>
      </c>
    </row>
    <row r="914" spans="1:56" hidden="1">
      <c r="A914" s="25">
        <v>909</v>
      </c>
      <c r="B914" s="25" t="str">
        <f>VLOOKUP(C914,'시스템이펙트 참고자료'!$A:$C,2,FALSE)</f>
        <v>ACTIVE_FOC_UP</v>
      </c>
      <c r="C914" s="25">
        <v>612</v>
      </c>
      <c r="D914" s="25">
        <f>VLOOKUP(C914,'시스템이펙트 참고자료'!$A:$D,4,FALSE)</f>
        <v>0</v>
      </c>
      <c r="E914" s="25">
        <v>0</v>
      </c>
      <c r="F914" s="25">
        <v>0</v>
      </c>
      <c r="G914" s="25">
        <f t="shared" si="70"/>
        <v>2</v>
      </c>
      <c r="H914" s="25" t="s">
        <v>395</v>
      </c>
      <c r="I914" s="25">
        <v>1</v>
      </c>
      <c r="J914" s="25" t="str">
        <f>VLOOKUP(C914,'시스템이펙트 참고자료'!$A:$C,3,FALSE)</f>
        <v>절대값/상대값(%) 가능</v>
      </c>
      <c r="K914" s="25">
        <v>18</v>
      </c>
      <c r="M914" s="25">
        <v>3</v>
      </c>
      <c r="N914" s="25">
        <f t="shared" si="69"/>
        <v>53</v>
      </c>
      <c r="O914" s="25">
        <v>1</v>
      </c>
      <c r="P914" s="25">
        <v>1</v>
      </c>
      <c r="Q914" s="25">
        <v>1</v>
      </c>
      <c r="R914" s="25">
        <v>1</v>
      </c>
      <c r="T914" s="25">
        <v>1</v>
      </c>
      <c r="AA914" s="25">
        <f t="shared" si="66"/>
        <v>128</v>
      </c>
      <c r="AK914" s="25">
        <v>1</v>
      </c>
      <c r="AM914" s="25">
        <v>53</v>
      </c>
      <c r="AN914" s="25">
        <v>100</v>
      </c>
      <c r="AP914" s="25">
        <f t="shared" si="71"/>
        <v>2</v>
      </c>
      <c r="AQ914" s="25" t="str">
        <f>VLOOKUP(C914,'시스템이펙트 참고자료'!$A:$B,2,FALSE)</f>
        <v>ACTIVE_FOC_UP</v>
      </c>
      <c r="AS914" s="25">
        <v>1</v>
      </c>
      <c r="BD914" s="25">
        <v>1</v>
      </c>
    </row>
    <row r="915" spans="1:56" hidden="1">
      <c r="A915" s="25">
        <v>910</v>
      </c>
      <c r="B915" s="25" t="str">
        <f>VLOOKUP(C915,'시스템이펙트 참고자료'!$A:$C,2,FALSE)</f>
        <v>ACTIVE_BLEEDING_KEEPTIME_DOWN</v>
      </c>
      <c r="C915" s="25">
        <v>648</v>
      </c>
      <c r="D915" s="25">
        <f>VLOOKUP(C915,'시스템이펙트 참고자료'!$A:$D,4,FALSE)</f>
        <v>1</v>
      </c>
      <c r="E915" s="25">
        <v>0</v>
      </c>
      <c r="F915" s="25">
        <v>0</v>
      </c>
      <c r="G915" s="25">
        <f t="shared" si="70"/>
        <v>5</v>
      </c>
      <c r="H915" s="25" t="s">
        <v>395</v>
      </c>
      <c r="I915" s="25">
        <v>1</v>
      </c>
      <c r="J915" s="25" t="str">
        <f>VLOOKUP(C915,'시스템이펙트 참고자료'!$A:$C,3,FALSE)</f>
        <v>상대값(%)값만 가능</v>
      </c>
      <c r="K915" s="25">
        <v>18</v>
      </c>
      <c r="M915" s="25">
        <v>3</v>
      </c>
      <c r="N915" s="25">
        <f t="shared" si="69"/>
        <v>20</v>
      </c>
      <c r="O915" s="25">
        <v>1</v>
      </c>
      <c r="P915" s="25">
        <v>1</v>
      </c>
      <c r="Q915" s="25">
        <v>1</v>
      </c>
      <c r="R915" s="25">
        <v>1</v>
      </c>
      <c r="T915" s="25">
        <v>1</v>
      </c>
      <c r="AA915" s="25">
        <f t="shared" ref="AA915:AA978" si="72">2^AA$1</f>
        <v>128</v>
      </c>
      <c r="AK915" s="25">
        <v>1</v>
      </c>
      <c r="AM915" s="25">
        <v>20</v>
      </c>
      <c r="AN915" s="25">
        <v>100</v>
      </c>
      <c r="AP915" s="25">
        <f t="shared" si="71"/>
        <v>5</v>
      </c>
      <c r="AQ915" s="25" t="str">
        <f>VLOOKUP(C915,'시스템이펙트 참고자료'!$A:$B,2,FALSE)</f>
        <v>ACTIVE_BLEEDING_KEEPTIME_DOWN</v>
      </c>
      <c r="AS915" s="25">
        <v>1</v>
      </c>
      <c r="BD915" s="25">
        <v>1</v>
      </c>
    </row>
    <row r="916" spans="1:56" hidden="1">
      <c r="A916" s="25">
        <v>911</v>
      </c>
      <c r="B916" s="25" t="str">
        <f>VLOOKUP(C916,'시스템이펙트 참고자료'!$A:$C,2,FALSE)</f>
        <v>ACTIVE_POISON_KEEPTIME_DOWN</v>
      </c>
      <c r="C916" s="25">
        <v>649</v>
      </c>
      <c r="D916" s="25">
        <f>VLOOKUP(C916,'시스템이펙트 참고자료'!$A:$D,4,FALSE)</f>
        <v>1</v>
      </c>
      <c r="E916" s="25">
        <v>0</v>
      </c>
      <c r="F916" s="25">
        <v>0</v>
      </c>
      <c r="G916" s="25">
        <f t="shared" si="70"/>
        <v>5</v>
      </c>
      <c r="H916" s="25" t="s">
        <v>395</v>
      </c>
      <c r="I916" s="25">
        <v>1</v>
      </c>
      <c r="J916" s="25" t="str">
        <f>VLOOKUP(C916,'시스템이펙트 참고자료'!$A:$C,3,FALSE)</f>
        <v>상대값(%)값만 가능</v>
      </c>
      <c r="K916" s="25">
        <v>18</v>
      </c>
      <c r="M916" s="25">
        <v>3</v>
      </c>
      <c r="N916" s="25">
        <f t="shared" si="69"/>
        <v>20</v>
      </c>
      <c r="O916" s="25">
        <v>1</v>
      </c>
      <c r="P916" s="25">
        <v>1</v>
      </c>
      <c r="Q916" s="25">
        <v>1</v>
      </c>
      <c r="R916" s="25">
        <v>1</v>
      </c>
      <c r="T916" s="25">
        <v>1</v>
      </c>
      <c r="AA916" s="25">
        <f t="shared" si="72"/>
        <v>128</v>
      </c>
      <c r="AK916" s="25">
        <v>1</v>
      </c>
      <c r="AM916" s="25">
        <v>20</v>
      </c>
      <c r="AN916" s="25">
        <v>100</v>
      </c>
      <c r="AP916" s="25">
        <f t="shared" si="71"/>
        <v>5</v>
      </c>
      <c r="AQ916" s="25" t="str">
        <f>VLOOKUP(C916,'시스템이펙트 참고자료'!$A:$B,2,FALSE)</f>
        <v>ACTIVE_POISON_KEEPTIME_DOWN</v>
      </c>
      <c r="AS916" s="25">
        <v>1</v>
      </c>
      <c r="BD916" s="25">
        <v>1</v>
      </c>
    </row>
    <row r="917" spans="1:56" hidden="1">
      <c r="A917" s="25">
        <v>912</v>
      </c>
      <c r="B917" s="25" t="str">
        <f>VLOOKUP(C917,'시스템이펙트 참고자료'!$A:$C,2,FALSE)</f>
        <v>ACTIVE_STOMACHACHE_KEEPTIME_DOWN</v>
      </c>
      <c r="C917" s="25">
        <v>650</v>
      </c>
      <c r="D917" s="25">
        <f>VLOOKUP(C917,'시스템이펙트 참고자료'!$A:$D,4,FALSE)</f>
        <v>1</v>
      </c>
      <c r="E917" s="25">
        <v>0</v>
      </c>
      <c r="F917" s="25">
        <v>0</v>
      </c>
      <c r="G917" s="25">
        <f t="shared" si="70"/>
        <v>5</v>
      </c>
      <c r="H917" s="25" t="s">
        <v>395</v>
      </c>
      <c r="I917" s="25">
        <v>1</v>
      </c>
      <c r="J917" s="25" t="str">
        <f>VLOOKUP(C917,'시스템이펙트 참고자료'!$A:$C,3,FALSE)</f>
        <v>상대값(%)값만 가능</v>
      </c>
      <c r="K917" s="25">
        <v>18</v>
      </c>
      <c r="M917" s="25">
        <v>3</v>
      </c>
      <c r="N917" s="25">
        <f t="shared" si="69"/>
        <v>20</v>
      </c>
      <c r="O917" s="25">
        <v>1</v>
      </c>
      <c r="P917" s="25">
        <v>1</v>
      </c>
      <c r="Q917" s="25">
        <v>1</v>
      </c>
      <c r="R917" s="25">
        <v>1</v>
      </c>
      <c r="T917" s="25">
        <v>1</v>
      </c>
      <c r="AA917" s="25">
        <f t="shared" si="72"/>
        <v>128</v>
      </c>
      <c r="AK917" s="25">
        <v>1</v>
      </c>
      <c r="AM917" s="25">
        <v>20</v>
      </c>
      <c r="AN917" s="25">
        <v>100</v>
      </c>
      <c r="AP917" s="25">
        <f t="shared" si="71"/>
        <v>5</v>
      </c>
      <c r="AQ917" s="25" t="str">
        <f>VLOOKUP(C917,'시스템이펙트 참고자료'!$A:$B,2,FALSE)</f>
        <v>ACTIVE_STOMACHACHE_KEEPTIME_DOWN</v>
      </c>
      <c r="AS917" s="25">
        <v>1</v>
      </c>
      <c r="BD917" s="25">
        <v>1</v>
      </c>
    </row>
    <row r="918" spans="1:56" hidden="1">
      <c r="A918" s="25">
        <v>913</v>
      </c>
      <c r="B918" s="25" t="str">
        <f>VLOOKUP(C918,'시스템이펙트 참고자료'!$A:$C,2,FALSE)</f>
        <v>ACTIVE_CURSE_TOLERANCE</v>
      </c>
      <c r="C918" s="25">
        <v>631</v>
      </c>
      <c r="D918" s="25">
        <f>VLOOKUP(C918,'시스템이펙트 참고자료'!$A:$D,4,FALSE)</f>
        <v>0</v>
      </c>
      <c r="E918" s="25">
        <v>0</v>
      </c>
      <c r="F918" s="25">
        <v>0</v>
      </c>
      <c r="G918" s="25">
        <f t="shared" si="70"/>
        <v>1</v>
      </c>
      <c r="H918" s="25" t="s">
        <v>395</v>
      </c>
      <c r="I918" s="25">
        <v>1</v>
      </c>
      <c r="J918" s="25" t="str">
        <f>VLOOKUP(C918,'시스템이펙트 참고자료'!$A:$C,3,FALSE)</f>
        <v>절대값/상대값(%) 가능</v>
      </c>
      <c r="K918" s="25">
        <v>18</v>
      </c>
      <c r="M918" s="25">
        <v>4</v>
      </c>
      <c r="N918" s="25">
        <f t="shared" si="69"/>
        <v>220</v>
      </c>
      <c r="O918" s="25">
        <v>1</v>
      </c>
      <c r="P918" s="25">
        <v>1</v>
      </c>
      <c r="Q918" s="25">
        <v>1</v>
      </c>
      <c r="R918" s="25">
        <v>1</v>
      </c>
      <c r="T918" s="25">
        <v>1</v>
      </c>
      <c r="AA918" s="25">
        <f t="shared" si="72"/>
        <v>128</v>
      </c>
      <c r="AK918" s="25">
        <v>1</v>
      </c>
      <c r="AM918" s="25">
        <v>220</v>
      </c>
      <c r="AN918" s="25">
        <v>100</v>
      </c>
      <c r="AP918" s="25">
        <f t="shared" si="71"/>
        <v>1</v>
      </c>
      <c r="AQ918" s="25" t="str">
        <f>VLOOKUP(C918,'시스템이펙트 참고자료'!$A:$B,2,FALSE)</f>
        <v>ACTIVE_CURSE_TOLERANCE</v>
      </c>
      <c r="AS918" s="25">
        <v>1</v>
      </c>
      <c r="BD918" s="25">
        <v>1</v>
      </c>
    </row>
    <row r="919" spans="1:56" hidden="1">
      <c r="A919" s="25">
        <v>914</v>
      </c>
      <c r="B919" s="25" t="str">
        <f>VLOOKUP(C919,'시스템이펙트 참고자료'!$A:$C,2,FALSE)</f>
        <v>ACTIVE_PARALYZE_KEEPTIME_DOWN</v>
      </c>
      <c r="C919" s="25">
        <v>643</v>
      </c>
      <c r="D919" s="25">
        <f>VLOOKUP(C919,'시스템이펙트 참고자료'!$A:$D,4,FALSE)</f>
        <v>1</v>
      </c>
      <c r="E919" s="25">
        <v>0</v>
      </c>
      <c r="F919" s="25">
        <v>0</v>
      </c>
      <c r="G919" s="25">
        <f t="shared" si="70"/>
        <v>5</v>
      </c>
      <c r="H919" s="25" t="s">
        <v>395</v>
      </c>
      <c r="I919" s="25">
        <v>1</v>
      </c>
      <c r="J919" s="25" t="str">
        <f>VLOOKUP(C919,'시스템이펙트 참고자료'!$A:$C,3,FALSE)</f>
        <v>상대값(%)값만 가능</v>
      </c>
      <c r="K919" s="25">
        <v>18</v>
      </c>
      <c r="M919" s="25">
        <v>4</v>
      </c>
      <c r="N919" s="25">
        <f t="shared" si="69"/>
        <v>20</v>
      </c>
      <c r="O919" s="25">
        <v>1</v>
      </c>
      <c r="P919" s="25">
        <v>1</v>
      </c>
      <c r="Q919" s="25">
        <v>1</v>
      </c>
      <c r="R919" s="25">
        <v>1</v>
      </c>
      <c r="T919" s="25">
        <v>1</v>
      </c>
      <c r="AA919" s="25">
        <f t="shared" si="72"/>
        <v>128</v>
      </c>
      <c r="AK919" s="25">
        <v>1</v>
      </c>
      <c r="AM919" s="25">
        <v>20</v>
      </c>
      <c r="AN919" s="25">
        <v>100</v>
      </c>
      <c r="AP919" s="25">
        <f t="shared" si="71"/>
        <v>5</v>
      </c>
      <c r="AQ919" s="25" t="str">
        <f>VLOOKUP(C919,'시스템이펙트 참고자료'!$A:$B,2,FALSE)</f>
        <v>ACTIVE_PARALYZE_KEEPTIME_DOWN</v>
      </c>
      <c r="AS919" s="25">
        <v>1</v>
      </c>
      <c r="BD919" s="25">
        <v>1</v>
      </c>
    </row>
    <row r="920" spans="1:56" hidden="1">
      <c r="A920" s="25">
        <v>915</v>
      </c>
      <c r="B920" s="25" t="str">
        <f>VLOOKUP(C920,'시스템이펙트 참고자료'!$A:$C,2,FALSE)</f>
        <v>ACTIVE_TERROR_KEEPTIME_DOWN</v>
      </c>
      <c r="C920" s="25">
        <v>644</v>
      </c>
      <c r="D920" s="25">
        <f>VLOOKUP(C920,'시스템이펙트 참고자료'!$A:$D,4,FALSE)</f>
        <v>1</v>
      </c>
      <c r="E920" s="25">
        <v>0</v>
      </c>
      <c r="F920" s="25">
        <v>0</v>
      </c>
      <c r="G920" s="25">
        <f t="shared" si="70"/>
        <v>5</v>
      </c>
      <c r="H920" s="25" t="s">
        <v>395</v>
      </c>
      <c r="I920" s="25">
        <v>1</v>
      </c>
      <c r="J920" s="25" t="str">
        <f>VLOOKUP(C920,'시스템이펙트 참고자료'!$A:$C,3,FALSE)</f>
        <v>상대값(%)값만 가능</v>
      </c>
      <c r="K920" s="25">
        <v>18</v>
      </c>
      <c r="M920" s="25">
        <v>4</v>
      </c>
      <c r="N920" s="25">
        <f t="shared" si="69"/>
        <v>20</v>
      </c>
      <c r="O920" s="25">
        <v>1</v>
      </c>
      <c r="P920" s="25">
        <v>1</v>
      </c>
      <c r="Q920" s="25">
        <v>1</v>
      </c>
      <c r="R920" s="25">
        <v>1</v>
      </c>
      <c r="T920" s="25">
        <v>1</v>
      </c>
      <c r="AA920" s="25">
        <f t="shared" si="72"/>
        <v>128</v>
      </c>
      <c r="AK920" s="25">
        <v>1</v>
      </c>
      <c r="AM920" s="25">
        <v>20</v>
      </c>
      <c r="AN920" s="25">
        <v>100</v>
      </c>
      <c r="AP920" s="25">
        <f t="shared" si="71"/>
        <v>5</v>
      </c>
      <c r="AQ920" s="25" t="str">
        <f>VLOOKUP(C920,'시스템이펙트 참고자료'!$A:$B,2,FALSE)</f>
        <v>ACTIVE_TERROR_KEEPTIME_DOWN</v>
      </c>
      <c r="AS920" s="25">
        <v>1</v>
      </c>
      <c r="BD920" s="25">
        <v>1</v>
      </c>
    </row>
    <row r="921" spans="1:56" hidden="1">
      <c r="A921" s="25">
        <v>916</v>
      </c>
      <c r="B921" s="25" t="str">
        <f>VLOOKUP(C921,'시스템이펙트 참고자료'!$A:$C,2,FALSE)</f>
        <v>ACTIVE_CONFUSE_KEEPTIME_DOWN</v>
      </c>
      <c r="C921" s="25">
        <v>645</v>
      </c>
      <c r="D921" s="25">
        <f>VLOOKUP(C921,'시스템이펙트 참고자료'!$A:$D,4,FALSE)</f>
        <v>1</v>
      </c>
      <c r="E921" s="25">
        <v>0</v>
      </c>
      <c r="F921" s="25">
        <v>0</v>
      </c>
      <c r="G921" s="25">
        <f t="shared" si="70"/>
        <v>5</v>
      </c>
      <c r="H921" s="25" t="s">
        <v>395</v>
      </c>
      <c r="I921" s="25">
        <v>1</v>
      </c>
      <c r="J921" s="25" t="str">
        <f>VLOOKUP(C921,'시스템이펙트 참고자료'!$A:$C,3,FALSE)</f>
        <v>상대값(%)값만 가능</v>
      </c>
      <c r="K921" s="25">
        <v>18</v>
      </c>
      <c r="M921" s="25">
        <v>4</v>
      </c>
      <c r="N921" s="25">
        <f t="shared" si="69"/>
        <v>20</v>
      </c>
      <c r="O921" s="25">
        <v>1</v>
      </c>
      <c r="P921" s="25">
        <v>1</v>
      </c>
      <c r="Q921" s="25">
        <v>1</v>
      </c>
      <c r="R921" s="25">
        <v>1</v>
      </c>
      <c r="T921" s="25">
        <v>1</v>
      </c>
      <c r="AA921" s="25">
        <f t="shared" si="72"/>
        <v>128</v>
      </c>
      <c r="AK921" s="25">
        <v>1</v>
      </c>
      <c r="AM921" s="25">
        <v>20</v>
      </c>
      <c r="AN921" s="25">
        <v>100</v>
      </c>
      <c r="AP921" s="25">
        <f t="shared" si="71"/>
        <v>5</v>
      </c>
      <c r="AQ921" s="25" t="str">
        <f>VLOOKUP(C921,'시스템이펙트 참고자료'!$A:$B,2,FALSE)</f>
        <v>ACTIVE_CONFUSE_KEEPTIME_DOWN</v>
      </c>
      <c r="AS921" s="25">
        <v>1</v>
      </c>
      <c r="BD921" s="25">
        <v>1</v>
      </c>
    </row>
    <row r="922" spans="1:56" hidden="1">
      <c r="A922" s="25">
        <v>917</v>
      </c>
      <c r="B922" s="25" t="str">
        <f>VLOOKUP(C922,'시스템이펙트 참고자료'!$A:$C,2,FALSE)</f>
        <v>ACTIVE_STONE_KEEPTIME_DOWN</v>
      </c>
      <c r="C922" s="25">
        <v>646</v>
      </c>
      <c r="D922" s="25">
        <f>VLOOKUP(C922,'시스템이펙트 참고자료'!$A:$D,4,FALSE)</f>
        <v>1</v>
      </c>
      <c r="E922" s="25">
        <v>0</v>
      </c>
      <c r="F922" s="25">
        <v>0</v>
      </c>
      <c r="G922" s="25">
        <f t="shared" si="70"/>
        <v>5</v>
      </c>
      <c r="H922" s="25" t="s">
        <v>395</v>
      </c>
      <c r="I922" s="25">
        <v>1</v>
      </c>
      <c r="J922" s="25" t="str">
        <f>VLOOKUP(C922,'시스템이펙트 참고자료'!$A:$C,3,FALSE)</f>
        <v>상대값(%)값만 가능</v>
      </c>
      <c r="K922" s="25">
        <v>18</v>
      </c>
      <c r="M922" s="25">
        <v>4</v>
      </c>
      <c r="N922" s="25">
        <f t="shared" si="69"/>
        <v>20</v>
      </c>
      <c r="O922" s="25">
        <v>1</v>
      </c>
      <c r="P922" s="25">
        <v>1</v>
      </c>
      <c r="Q922" s="25">
        <v>1</v>
      </c>
      <c r="R922" s="25">
        <v>1</v>
      </c>
      <c r="T922" s="25">
        <v>1</v>
      </c>
      <c r="AA922" s="25">
        <f t="shared" si="72"/>
        <v>128</v>
      </c>
      <c r="AK922" s="25">
        <v>1</v>
      </c>
      <c r="AM922" s="25">
        <v>20</v>
      </c>
      <c r="AN922" s="25">
        <v>100</v>
      </c>
      <c r="AP922" s="25">
        <f t="shared" si="71"/>
        <v>5</v>
      </c>
      <c r="AQ922" s="25" t="str">
        <f>VLOOKUP(C922,'시스템이펙트 참고자료'!$A:$B,2,FALSE)</f>
        <v>ACTIVE_STONE_KEEPTIME_DOWN</v>
      </c>
      <c r="AS922" s="25">
        <v>1</v>
      </c>
      <c r="BD922" s="25">
        <v>1</v>
      </c>
    </row>
    <row r="923" spans="1:56" hidden="1">
      <c r="A923" s="25">
        <v>918</v>
      </c>
      <c r="B923" s="25" t="str">
        <f>VLOOKUP(C923,'시스템이펙트 참고자료'!$A:$C,2,FALSE)</f>
        <v>ACTIVE_CANDY_KEEPTIME_DOWN</v>
      </c>
      <c r="C923" s="25">
        <v>647</v>
      </c>
      <c r="D923" s="25">
        <f>VLOOKUP(C923,'시스템이펙트 참고자료'!$A:$D,4,FALSE)</f>
        <v>1</v>
      </c>
      <c r="E923" s="25">
        <v>0</v>
      </c>
      <c r="F923" s="25">
        <v>0</v>
      </c>
      <c r="G923" s="25">
        <f t="shared" si="70"/>
        <v>5</v>
      </c>
      <c r="H923" s="25" t="s">
        <v>395</v>
      </c>
      <c r="I923" s="25">
        <v>1</v>
      </c>
      <c r="J923" s="25" t="str">
        <f>VLOOKUP(C923,'시스템이펙트 참고자료'!$A:$C,3,FALSE)</f>
        <v>상대값(%)값만 가능</v>
      </c>
      <c r="K923" s="25">
        <v>18</v>
      </c>
      <c r="M923" s="25">
        <v>4</v>
      </c>
      <c r="N923" s="25">
        <f t="shared" si="69"/>
        <v>20</v>
      </c>
      <c r="O923" s="25">
        <v>1</v>
      </c>
      <c r="P923" s="25">
        <v>1</v>
      </c>
      <c r="Q923" s="25">
        <v>1</v>
      </c>
      <c r="R923" s="25">
        <v>1</v>
      </c>
      <c r="T923" s="25">
        <v>1</v>
      </c>
      <c r="AA923" s="25">
        <f t="shared" si="72"/>
        <v>128</v>
      </c>
      <c r="AK923" s="25">
        <v>1</v>
      </c>
      <c r="AM923" s="25">
        <v>20</v>
      </c>
      <c r="AN923" s="25">
        <v>100</v>
      </c>
      <c r="AP923" s="25">
        <f t="shared" si="71"/>
        <v>5</v>
      </c>
      <c r="AQ923" s="25" t="str">
        <f>VLOOKUP(C923,'시스템이펙트 참고자료'!$A:$B,2,FALSE)</f>
        <v>ACTIVE_CANDY_KEEPTIME_DOWN</v>
      </c>
      <c r="AS923" s="25">
        <v>1</v>
      </c>
      <c r="BD923" s="25">
        <v>1</v>
      </c>
    </row>
    <row r="924" spans="1:56" hidden="1">
      <c r="A924" s="25">
        <v>919</v>
      </c>
      <c r="B924" s="25" t="str">
        <f>VLOOKUP(C924,'시스템이펙트 참고자료'!$A:$C,2,FALSE)</f>
        <v>ACTIVE_BLEEDING_KEEPTIME_DOWN</v>
      </c>
      <c r="C924" s="25">
        <v>648</v>
      </c>
      <c r="D924" s="25">
        <f>VLOOKUP(C924,'시스템이펙트 참고자료'!$A:$D,4,FALSE)</f>
        <v>1</v>
      </c>
      <c r="E924" s="25">
        <v>0</v>
      </c>
      <c r="F924" s="25">
        <v>0</v>
      </c>
      <c r="G924" s="25">
        <f t="shared" si="70"/>
        <v>5</v>
      </c>
      <c r="H924" s="25" t="s">
        <v>395</v>
      </c>
      <c r="I924" s="25">
        <v>1</v>
      </c>
      <c r="J924" s="25" t="str">
        <f>VLOOKUP(C924,'시스템이펙트 참고자료'!$A:$C,3,FALSE)</f>
        <v>상대값(%)값만 가능</v>
      </c>
      <c r="K924" s="25">
        <v>18</v>
      </c>
      <c r="M924" s="25">
        <v>4</v>
      </c>
      <c r="N924" s="25">
        <f t="shared" si="69"/>
        <v>20</v>
      </c>
      <c r="O924" s="25">
        <v>1</v>
      </c>
      <c r="P924" s="25">
        <v>1</v>
      </c>
      <c r="Q924" s="25">
        <v>1</v>
      </c>
      <c r="R924" s="25">
        <v>1</v>
      </c>
      <c r="T924" s="25">
        <v>1</v>
      </c>
      <c r="AA924" s="25">
        <f t="shared" si="72"/>
        <v>128</v>
      </c>
      <c r="AK924" s="25">
        <v>1</v>
      </c>
      <c r="AM924" s="25">
        <v>20</v>
      </c>
      <c r="AN924" s="25">
        <v>100</v>
      </c>
      <c r="AP924" s="25">
        <f t="shared" si="71"/>
        <v>5</v>
      </c>
      <c r="AQ924" s="25" t="str">
        <f>VLOOKUP(C924,'시스템이펙트 참고자료'!$A:$B,2,FALSE)</f>
        <v>ACTIVE_BLEEDING_KEEPTIME_DOWN</v>
      </c>
      <c r="AS924" s="25">
        <v>1</v>
      </c>
      <c r="BD924" s="25">
        <v>1</v>
      </c>
    </row>
    <row r="925" spans="1:56" hidden="1">
      <c r="A925" s="25">
        <v>920</v>
      </c>
      <c r="B925" s="25" t="str">
        <f>VLOOKUP(C925,'시스템이펙트 참고자료'!$A:$C,2,FALSE)</f>
        <v>ACTIVE_POISON_KEEPTIME_DOWN</v>
      </c>
      <c r="C925" s="25">
        <v>649</v>
      </c>
      <c r="D925" s="25">
        <f>VLOOKUP(C925,'시스템이펙트 참고자료'!$A:$D,4,FALSE)</f>
        <v>1</v>
      </c>
      <c r="E925" s="25">
        <v>0</v>
      </c>
      <c r="F925" s="25">
        <v>0</v>
      </c>
      <c r="G925" s="25">
        <f t="shared" si="70"/>
        <v>5</v>
      </c>
      <c r="H925" s="25" t="s">
        <v>395</v>
      </c>
      <c r="I925" s="25">
        <v>1</v>
      </c>
      <c r="J925" s="25" t="str">
        <f>VLOOKUP(C925,'시스템이펙트 참고자료'!$A:$C,3,FALSE)</f>
        <v>상대값(%)값만 가능</v>
      </c>
      <c r="K925" s="25">
        <v>18</v>
      </c>
      <c r="M925" s="25">
        <v>4</v>
      </c>
      <c r="N925" s="25">
        <f t="shared" si="69"/>
        <v>20</v>
      </c>
      <c r="O925" s="25">
        <v>1</v>
      </c>
      <c r="P925" s="25">
        <v>1</v>
      </c>
      <c r="Q925" s="25">
        <v>1</v>
      </c>
      <c r="R925" s="25">
        <v>1</v>
      </c>
      <c r="T925" s="25">
        <v>1</v>
      </c>
      <c r="AA925" s="25">
        <f t="shared" si="72"/>
        <v>128</v>
      </c>
      <c r="AK925" s="25">
        <v>1</v>
      </c>
      <c r="AM925" s="25">
        <v>20</v>
      </c>
      <c r="AN925" s="25">
        <v>100</v>
      </c>
      <c r="AP925" s="25">
        <f t="shared" si="71"/>
        <v>5</v>
      </c>
      <c r="AQ925" s="25" t="str">
        <f>VLOOKUP(C925,'시스템이펙트 참고자료'!$A:$B,2,FALSE)</f>
        <v>ACTIVE_POISON_KEEPTIME_DOWN</v>
      </c>
      <c r="AS925" s="25">
        <v>1</v>
      </c>
      <c r="BD925" s="25">
        <v>1</v>
      </c>
    </row>
    <row r="926" spans="1:56" hidden="1">
      <c r="A926" s="25">
        <v>921</v>
      </c>
      <c r="B926" s="25" t="str">
        <f>VLOOKUP(C926,'시스템이펙트 참고자료'!$A:$C,2,FALSE)</f>
        <v>ACTIVE_STOMACHACHE_KEEPTIME_DOWN</v>
      </c>
      <c r="C926" s="25">
        <v>650</v>
      </c>
      <c r="D926" s="25">
        <f>VLOOKUP(C926,'시스템이펙트 참고자료'!$A:$D,4,FALSE)</f>
        <v>1</v>
      </c>
      <c r="E926" s="25">
        <v>0</v>
      </c>
      <c r="F926" s="25">
        <v>0</v>
      </c>
      <c r="G926" s="25">
        <f t="shared" si="70"/>
        <v>5</v>
      </c>
      <c r="H926" s="25" t="s">
        <v>395</v>
      </c>
      <c r="I926" s="25">
        <v>1</v>
      </c>
      <c r="J926" s="25" t="str">
        <f>VLOOKUP(C926,'시스템이펙트 참고자료'!$A:$C,3,FALSE)</f>
        <v>상대값(%)값만 가능</v>
      </c>
      <c r="K926" s="25">
        <v>18</v>
      </c>
      <c r="M926" s="25">
        <v>4</v>
      </c>
      <c r="N926" s="25">
        <f t="shared" si="69"/>
        <v>20</v>
      </c>
      <c r="O926" s="25">
        <v>1</v>
      </c>
      <c r="P926" s="25">
        <v>1</v>
      </c>
      <c r="Q926" s="25">
        <v>1</v>
      </c>
      <c r="R926" s="25">
        <v>1</v>
      </c>
      <c r="T926" s="25">
        <v>1</v>
      </c>
      <c r="AA926" s="25">
        <f t="shared" si="72"/>
        <v>128</v>
      </c>
      <c r="AK926" s="25">
        <v>1</v>
      </c>
      <c r="AM926" s="25">
        <v>20</v>
      </c>
      <c r="AN926" s="25">
        <v>100</v>
      </c>
      <c r="AP926" s="25">
        <f t="shared" si="71"/>
        <v>5</v>
      </c>
      <c r="AQ926" s="25" t="str">
        <f>VLOOKUP(C926,'시스템이펙트 참고자료'!$A:$B,2,FALSE)</f>
        <v>ACTIVE_STOMACHACHE_KEEPTIME_DOWN</v>
      </c>
      <c r="AS926" s="25">
        <v>1</v>
      </c>
      <c r="BD926" s="25">
        <v>1</v>
      </c>
    </row>
    <row r="927" spans="1:56" hidden="1">
      <c r="A927" s="25">
        <v>922</v>
      </c>
      <c r="B927" s="25" t="str">
        <f>VLOOKUP(C927,'시스템이펙트 참고자료'!$A:$C,2,FALSE)</f>
        <v>ACTIVE_MAX_LP_UP</v>
      </c>
      <c r="C927" s="25">
        <v>603</v>
      </c>
      <c r="D927" s="25">
        <f>VLOOKUP(C927,'시스템이펙트 참고자료'!$A:$D,4,FALSE)</f>
        <v>0</v>
      </c>
      <c r="E927" s="25">
        <v>0</v>
      </c>
      <c r="F927" s="25">
        <v>0</v>
      </c>
      <c r="G927" s="25">
        <f t="shared" si="70"/>
        <v>1</v>
      </c>
      <c r="H927" s="25" t="s">
        <v>395</v>
      </c>
      <c r="I927" s="25">
        <v>1</v>
      </c>
      <c r="J927" s="25" t="str">
        <f>VLOOKUP(C927,'시스템이펙트 참고자료'!$A:$C,3,FALSE)</f>
        <v>절대값/상대값(%) 가능</v>
      </c>
      <c r="K927" s="25">
        <v>18</v>
      </c>
      <c r="M927" s="25">
        <v>5</v>
      </c>
      <c r="N927" s="25">
        <f t="shared" si="69"/>
        <v>2762</v>
      </c>
      <c r="O927" s="25">
        <v>1</v>
      </c>
      <c r="P927" s="25">
        <v>1</v>
      </c>
      <c r="Q927" s="25">
        <v>1</v>
      </c>
      <c r="R927" s="25">
        <v>1</v>
      </c>
      <c r="T927" s="25">
        <v>1</v>
      </c>
      <c r="AA927" s="25">
        <f t="shared" si="72"/>
        <v>128</v>
      </c>
      <c r="AK927" s="25">
        <v>1</v>
      </c>
      <c r="AM927" s="25">
        <v>2762</v>
      </c>
      <c r="AN927" s="25">
        <v>100</v>
      </c>
      <c r="AP927" s="25">
        <f t="shared" si="71"/>
        <v>1</v>
      </c>
      <c r="AQ927" s="25" t="str">
        <f>VLOOKUP(C927,'시스템이펙트 참고자료'!$A:$B,2,FALSE)</f>
        <v>ACTIVE_MAX_LP_UP</v>
      </c>
      <c r="AS927" s="25">
        <v>1</v>
      </c>
      <c r="BD927" s="25">
        <v>1</v>
      </c>
    </row>
    <row r="928" spans="1:56" hidden="1">
      <c r="A928" s="25">
        <v>923</v>
      </c>
      <c r="B928" s="25" t="str">
        <f>VLOOKUP(C928,'시스템이펙트 참고자료'!$A:$C,2,FALSE)</f>
        <v>ACTIVE_CON_UP</v>
      </c>
      <c r="C928" s="25">
        <v>611</v>
      </c>
      <c r="D928" s="25">
        <f>VLOOKUP(C928,'시스템이펙트 참고자료'!$A:$D,4,FALSE)</f>
        <v>0</v>
      </c>
      <c r="E928" s="25">
        <v>0</v>
      </c>
      <c r="F928" s="25">
        <v>0</v>
      </c>
      <c r="G928" s="25">
        <f t="shared" si="70"/>
        <v>3</v>
      </c>
      <c r="H928" s="25" t="s">
        <v>395</v>
      </c>
      <c r="I928" s="25">
        <v>1</v>
      </c>
      <c r="J928" s="25" t="str">
        <f>VLOOKUP(C928,'시스템이펙트 참고자료'!$A:$C,3,FALSE)</f>
        <v>절대값/상대값(%) 가능</v>
      </c>
      <c r="K928" s="25">
        <v>18</v>
      </c>
      <c r="M928" s="25">
        <v>5</v>
      </c>
      <c r="N928" s="25">
        <f t="shared" si="69"/>
        <v>48</v>
      </c>
      <c r="O928" s="25">
        <v>1</v>
      </c>
      <c r="P928" s="25">
        <v>1</v>
      </c>
      <c r="Q928" s="25">
        <v>1</v>
      </c>
      <c r="R928" s="25">
        <v>1</v>
      </c>
      <c r="T928" s="25">
        <v>1</v>
      </c>
      <c r="AA928" s="25">
        <f t="shared" si="72"/>
        <v>128</v>
      </c>
      <c r="AK928" s="25">
        <v>1</v>
      </c>
      <c r="AM928" s="25">
        <v>48</v>
      </c>
      <c r="AN928" s="25">
        <v>100</v>
      </c>
      <c r="AP928" s="25">
        <f t="shared" si="71"/>
        <v>3</v>
      </c>
      <c r="AQ928" s="25" t="str">
        <f>VLOOKUP(C928,'시스템이펙트 참고자료'!$A:$B,2,FALSE)</f>
        <v>ACTIVE_CON_UP</v>
      </c>
      <c r="AS928" s="25">
        <v>1</v>
      </c>
      <c r="BD928" s="25">
        <v>1</v>
      </c>
    </row>
    <row r="929" spans="1:56" hidden="1">
      <c r="A929" s="25">
        <v>924</v>
      </c>
      <c r="B929" s="25" t="str">
        <f>VLOOKUP(C929,'시스템이펙트 참고자료'!$A:$C,2,FALSE)</f>
        <v>ACTIVE_LP_REGENERATION</v>
      </c>
      <c r="C929" s="25">
        <v>627</v>
      </c>
      <c r="D929" s="25">
        <f>VLOOKUP(C929,'시스템이펙트 참고자료'!$A:$D,4,FALSE)</f>
        <v>0</v>
      </c>
      <c r="E929" s="25">
        <v>0</v>
      </c>
      <c r="F929" s="25">
        <v>0</v>
      </c>
      <c r="G929" s="25">
        <f t="shared" si="70"/>
        <v>1</v>
      </c>
      <c r="H929" s="25" t="s">
        <v>395</v>
      </c>
      <c r="I929" s="25">
        <v>1</v>
      </c>
      <c r="J929" s="25" t="str">
        <f>VLOOKUP(C929,'시스템이펙트 참고자료'!$A:$C,3,FALSE)</f>
        <v>절대값/상대값(%) 가능</v>
      </c>
      <c r="K929" s="25">
        <v>18</v>
      </c>
      <c r="M929" s="25">
        <v>5</v>
      </c>
      <c r="N929" s="25">
        <f t="shared" si="69"/>
        <v>126</v>
      </c>
      <c r="O929" s="25">
        <v>1</v>
      </c>
      <c r="P929" s="25">
        <v>1</v>
      </c>
      <c r="Q929" s="25">
        <v>1</v>
      </c>
      <c r="R929" s="25">
        <v>1</v>
      </c>
      <c r="T929" s="25">
        <v>1</v>
      </c>
      <c r="AA929" s="25">
        <f t="shared" si="72"/>
        <v>128</v>
      </c>
      <c r="AK929" s="25">
        <v>1</v>
      </c>
      <c r="AM929" s="25">
        <v>126</v>
      </c>
      <c r="AN929" s="25">
        <v>100</v>
      </c>
      <c r="AP929" s="25">
        <f t="shared" si="71"/>
        <v>1</v>
      </c>
      <c r="AQ929" s="25" t="str">
        <f>VLOOKUP(C929,'시스템이펙트 참고자료'!$A:$B,2,FALSE)</f>
        <v>ACTIVE_LP_REGENERATION</v>
      </c>
      <c r="AS929" s="25">
        <v>1</v>
      </c>
      <c r="BD929" s="25">
        <v>1</v>
      </c>
    </row>
    <row r="930" spans="1:56" hidden="1">
      <c r="A930" s="25">
        <v>925</v>
      </c>
      <c r="B930" s="25" t="str">
        <f>VLOOKUP(C930,'시스템이펙트 참고자료'!$A:$C,2,FALSE)</f>
        <v>ACTIVE_STOMACHACHE_DEFENCE</v>
      </c>
      <c r="C930" s="25">
        <v>679</v>
      </c>
      <c r="D930" s="25">
        <f>VLOOKUP(C930,'시스템이펙트 참고자료'!$A:$D,4,FALSE)</f>
        <v>0</v>
      </c>
      <c r="E930" s="25">
        <v>0</v>
      </c>
      <c r="F930" s="25">
        <v>0</v>
      </c>
      <c r="G930" s="25">
        <f t="shared" si="70"/>
        <v>1</v>
      </c>
      <c r="H930" s="25" t="s">
        <v>395</v>
      </c>
      <c r="I930" s="25">
        <v>1</v>
      </c>
      <c r="J930" s="25" t="str">
        <f>VLOOKUP(C930,'시스템이펙트 참고자료'!$A:$C,3,FALSE)</f>
        <v>절대값/상대값(%) 가능</v>
      </c>
      <c r="K930" s="25">
        <v>18</v>
      </c>
      <c r="M930" s="25">
        <v>5</v>
      </c>
      <c r="N930" s="25">
        <f t="shared" si="69"/>
        <v>1350</v>
      </c>
      <c r="O930" s="25">
        <v>1</v>
      </c>
      <c r="P930" s="25">
        <v>1</v>
      </c>
      <c r="Q930" s="25">
        <v>1</v>
      </c>
      <c r="R930" s="25">
        <v>1</v>
      </c>
      <c r="T930" s="25">
        <v>1</v>
      </c>
      <c r="AA930" s="25">
        <f t="shared" si="72"/>
        <v>128</v>
      </c>
      <c r="AK930" s="25">
        <v>1</v>
      </c>
      <c r="AM930" s="25">
        <v>1350</v>
      </c>
      <c r="AN930" s="25">
        <v>100</v>
      </c>
      <c r="AP930" s="25">
        <f t="shared" si="71"/>
        <v>1</v>
      </c>
      <c r="AQ930" s="25" t="str">
        <f>VLOOKUP(C930,'시스템이펙트 참고자료'!$A:$B,2,FALSE)</f>
        <v>ACTIVE_STOMACHACHE_DEFENCE</v>
      </c>
      <c r="AS930" s="25">
        <v>1</v>
      </c>
      <c r="BD930" s="25">
        <v>1</v>
      </c>
    </row>
    <row r="931" spans="1:56" hidden="1">
      <c r="A931" s="25">
        <v>926</v>
      </c>
      <c r="B931" s="25" t="str">
        <f>VLOOKUP(C931,'시스템이펙트 참고자료'!$A:$C,2,FALSE)</f>
        <v>ACTIVE_POISON_DEFENCE</v>
      </c>
      <c r="C931" s="25">
        <v>680</v>
      </c>
      <c r="D931" s="25">
        <f>VLOOKUP(C931,'시스템이펙트 참고자료'!$A:$D,4,FALSE)</f>
        <v>0</v>
      </c>
      <c r="E931" s="25">
        <v>0</v>
      </c>
      <c r="F931" s="25">
        <v>0</v>
      </c>
      <c r="G931" s="25">
        <f t="shared" si="70"/>
        <v>1</v>
      </c>
      <c r="H931" s="25" t="s">
        <v>395</v>
      </c>
      <c r="I931" s="25">
        <v>1</v>
      </c>
      <c r="J931" s="25" t="str">
        <f>VLOOKUP(C931,'시스템이펙트 참고자료'!$A:$C,3,FALSE)</f>
        <v>절대값/상대값(%) 가능</v>
      </c>
      <c r="K931" s="25">
        <v>18</v>
      </c>
      <c r="M931" s="25">
        <v>5</v>
      </c>
      <c r="N931" s="25">
        <f t="shared" si="69"/>
        <v>1350</v>
      </c>
      <c r="O931" s="25">
        <v>1</v>
      </c>
      <c r="P931" s="25">
        <v>1</v>
      </c>
      <c r="Q931" s="25">
        <v>1</v>
      </c>
      <c r="R931" s="25">
        <v>1</v>
      </c>
      <c r="T931" s="25">
        <v>1</v>
      </c>
      <c r="AA931" s="25">
        <f t="shared" si="72"/>
        <v>128</v>
      </c>
      <c r="AK931" s="25">
        <v>1</v>
      </c>
      <c r="AM931" s="25">
        <v>1350</v>
      </c>
      <c r="AN931" s="25">
        <v>100</v>
      </c>
      <c r="AP931" s="25">
        <f t="shared" si="71"/>
        <v>1</v>
      </c>
      <c r="AQ931" s="25" t="str">
        <f>VLOOKUP(C931,'시스템이펙트 참고자료'!$A:$B,2,FALSE)</f>
        <v>ACTIVE_POISON_DEFENCE</v>
      </c>
      <c r="AS931" s="25">
        <v>1</v>
      </c>
      <c r="BD931" s="25">
        <v>1</v>
      </c>
    </row>
    <row r="932" spans="1:56" hidden="1">
      <c r="A932" s="25">
        <v>927</v>
      </c>
      <c r="B932" s="25" t="str">
        <f>VLOOKUP(C932,'시스템이펙트 참고자료'!$A:$C,2,FALSE)</f>
        <v>ACTIVE_MAX_EP_UP</v>
      </c>
      <c r="C932" s="25">
        <v>604</v>
      </c>
      <c r="D932" s="25">
        <f>VLOOKUP(C932,'시스템이펙트 참고자료'!$A:$D,4,FALSE)</f>
        <v>0</v>
      </c>
      <c r="E932" s="25">
        <v>0</v>
      </c>
      <c r="F932" s="25">
        <v>0</v>
      </c>
      <c r="G932" s="25">
        <f t="shared" si="70"/>
        <v>1</v>
      </c>
      <c r="H932" s="25" t="s">
        <v>395</v>
      </c>
      <c r="I932" s="25">
        <v>1</v>
      </c>
      <c r="J932" s="25" t="str">
        <f>VLOOKUP(C932,'시스템이펙트 참고자료'!$A:$C,3,FALSE)</f>
        <v>절대값/상대값(%) 가능</v>
      </c>
      <c r="K932" s="25">
        <v>18</v>
      </c>
      <c r="M932" s="25">
        <v>6</v>
      </c>
      <c r="N932" s="25">
        <f t="shared" si="69"/>
        <v>2812</v>
      </c>
      <c r="O932" s="25">
        <v>1</v>
      </c>
      <c r="P932" s="25">
        <v>1</v>
      </c>
      <c r="Q932" s="25">
        <v>1</v>
      </c>
      <c r="R932" s="25">
        <v>1</v>
      </c>
      <c r="T932" s="25">
        <v>1</v>
      </c>
      <c r="AA932" s="25">
        <f t="shared" si="72"/>
        <v>128</v>
      </c>
      <c r="AK932" s="25">
        <v>1</v>
      </c>
      <c r="AM932" s="25">
        <v>2812</v>
      </c>
      <c r="AN932" s="25">
        <v>100</v>
      </c>
      <c r="AP932" s="25">
        <f t="shared" si="71"/>
        <v>1</v>
      </c>
      <c r="AQ932" s="25" t="str">
        <f>VLOOKUP(C932,'시스템이펙트 참고자료'!$A:$B,2,FALSE)</f>
        <v>ACTIVE_MAX_EP_UP</v>
      </c>
      <c r="AS932" s="25">
        <v>1</v>
      </c>
      <c r="BD932" s="25">
        <v>1</v>
      </c>
    </row>
    <row r="933" spans="1:56" hidden="1">
      <c r="A933" s="25">
        <v>928</v>
      </c>
      <c r="B933" s="25" t="str">
        <f>VLOOKUP(C933,'시스템이펙트 참고자료'!$A:$C,2,FALSE)</f>
        <v>ACTIVE_EP_REGENERATION</v>
      </c>
      <c r="C933" s="25">
        <v>628</v>
      </c>
      <c r="D933" s="25">
        <f>VLOOKUP(C933,'시스템이펙트 참고자료'!$A:$D,4,FALSE)</f>
        <v>0</v>
      </c>
      <c r="E933" s="25">
        <v>0</v>
      </c>
      <c r="F933" s="25">
        <v>0</v>
      </c>
      <c r="G933" s="25">
        <f t="shared" si="70"/>
        <v>1</v>
      </c>
      <c r="H933" s="25" t="s">
        <v>395</v>
      </c>
      <c r="I933" s="25">
        <v>1</v>
      </c>
      <c r="J933" s="25" t="str">
        <f>VLOOKUP(C933,'시스템이펙트 참고자료'!$A:$C,3,FALSE)</f>
        <v>절대값/상대값(%) 가능</v>
      </c>
      <c r="K933" s="25">
        <v>18</v>
      </c>
      <c r="M933" s="25">
        <v>6</v>
      </c>
      <c r="N933" s="25">
        <f t="shared" si="69"/>
        <v>156</v>
      </c>
      <c r="O933" s="25">
        <v>1</v>
      </c>
      <c r="P933" s="25">
        <v>1</v>
      </c>
      <c r="Q933" s="25">
        <v>1</v>
      </c>
      <c r="R933" s="25">
        <v>1</v>
      </c>
      <c r="T933" s="25">
        <v>1</v>
      </c>
      <c r="AA933" s="25">
        <f t="shared" si="72"/>
        <v>128</v>
      </c>
      <c r="AK933" s="25">
        <v>1</v>
      </c>
      <c r="AM933" s="25">
        <v>156</v>
      </c>
      <c r="AN933" s="25">
        <v>100</v>
      </c>
      <c r="AP933" s="25">
        <f t="shared" si="71"/>
        <v>1</v>
      </c>
      <c r="AQ933" s="25" t="str">
        <f>VLOOKUP(C933,'시스템이펙트 참고자료'!$A:$B,2,FALSE)</f>
        <v>ACTIVE_EP_REGENERATION</v>
      </c>
      <c r="AS933" s="25">
        <v>1</v>
      </c>
      <c r="BD933" s="25">
        <v>1</v>
      </c>
    </row>
    <row r="934" spans="1:56" hidden="1">
      <c r="A934" s="25">
        <v>929</v>
      </c>
      <c r="B934" s="25" t="str">
        <f>VLOOKUP(C934,'시스템이펙트 참고자료'!$A:$C,2,FALSE)</f>
        <v>ACTIVE_ENG_UP</v>
      </c>
      <c r="C934" s="25">
        <v>615</v>
      </c>
      <c r="D934" s="25">
        <f>VLOOKUP(C934,'시스템이펙트 참고자료'!$A:$D,4,FALSE)</f>
        <v>0</v>
      </c>
      <c r="E934" s="25">
        <v>0</v>
      </c>
      <c r="F934" s="25">
        <v>0</v>
      </c>
      <c r="G934" s="25">
        <f t="shared" si="70"/>
        <v>2</v>
      </c>
      <c r="H934" s="25" t="s">
        <v>395</v>
      </c>
      <c r="I934" s="25">
        <v>1</v>
      </c>
      <c r="J934" s="25" t="str">
        <f>VLOOKUP(C934,'시스템이펙트 참고자료'!$A:$C,3,FALSE)</f>
        <v>절대값/상대값(%) 가능</v>
      </c>
      <c r="K934" s="25">
        <v>18</v>
      </c>
      <c r="M934" s="25">
        <v>6</v>
      </c>
      <c r="N934" s="25">
        <f t="shared" si="69"/>
        <v>62</v>
      </c>
      <c r="O934" s="25">
        <v>1</v>
      </c>
      <c r="P934" s="25">
        <v>1</v>
      </c>
      <c r="Q934" s="25">
        <v>1</v>
      </c>
      <c r="R934" s="25">
        <v>1</v>
      </c>
      <c r="T934" s="25">
        <v>1</v>
      </c>
      <c r="AA934" s="25">
        <f t="shared" si="72"/>
        <v>128</v>
      </c>
      <c r="AK934" s="25">
        <v>1</v>
      </c>
      <c r="AM934" s="25">
        <v>62</v>
      </c>
      <c r="AN934" s="25">
        <v>100</v>
      </c>
      <c r="AP934" s="25">
        <f t="shared" si="71"/>
        <v>2</v>
      </c>
      <c r="AQ934" s="25" t="str">
        <f>VLOOKUP(C934,'시스템이펙트 참고자료'!$A:$B,2,FALSE)</f>
        <v>ACTIVE_ENG_UP</v>
      </c>
      <c r="AS934" s="25">
        <v>1</v>
      </c>
      <c r="BD934" s="25">
        <v>1</v>
      </c>
    </row>
    <row r="935" spans="1:56" hidden="1">
      <c r="A935" s="25">
        <v>930</v>
      </c>
      <c r="B935" s="25" t="str">
        <f>VLOOKUP(C935,'시스템이펙트 참고자료'!$A:$C,2,FALSE)</f>
        <v>ACTIVE_BLEED_DEFENCE</v>
      </c>
      <c r="C935" s="25">
        <v>681</v>
      </c>
      <c r="D935" s="25">
        <f>VLOOKUP(C935,'시스템이펙트 참고자료'!$A:$D,4,FALSE)</f>
        <v>0</v>
      </c>
      <c r="E935" s="25">
        <v>0</v>
      </c>
      <c r="F935" s="25">
        <v>0</v>
      </c>
      <c r="G935" s="25">
        <f t="shared" si="70"/>
        <v>1</v>
      </c>
      <c r="H935" s="25" t="s">
        <v>395</v>
      </c>
      <c r="I935" s="25">
        <v>1</v>
      </c>
      <c r="J935" s="25" t="str">
        <f>VLOOKUP(C935,'시스템이펙트 참고자료'!$A:$C,3,FALSE)</f>
        <v>절대값/상대값(%) 가능</v>
      </c>
      <c r="K935" s="25">
        <v>18</v>
      </c>
      <c r="M935" s="25">
        <v>6</v>
      </c>
      <c r="N935" s="25">
        <f t="shared" si="69"/>
        <v>1350</v>
      </c>
      <c r="O935" s="25">
        <v>1</v>
      </c>
      <c r="P935" s="25">
        <v>1</v>
      </c>
      <c r="Q935" s="25">
        <v>1</v>
      </c>
      <c r="R935" s="25">
        <v>1</v>
      </c>
      <c r="T935" s="25">
        <v>1</v>
      </c>
      <c r="AA935" s="25">
        <f t="shared" si="72"/>
        <v>128</v>
      </c>
      <c r="AK935" s="25">
        <v>1</v>
      </c>
      <c r="AM935" s="25">
        <v>1350</v>
      </c>
      <c r="AN935" s="25">
        <v>100</v>
      </c>
      <c r="AP935" s="25">
        <f t="shared" si="71"/>
        <v>1</v>
      </c>
      <c r="AQ935" s="25" t="str">
        <f>VLOOKUP(C935,'시스템이펙트 참고자료'!$A:$B,2,FALSE)</f>
        <v>ACTIVE_BLEED_DEFENCE</v>
      </c>
      <c r="AS935" s="25">
        <v>1</v>
      </c>
      <c r="BD935" s="25">
        <v>1</v>
      </c>
    </row>
    <row r="936" spans="1:56" hidden="1">
      <c r="A936" s="25">
        <v>931</v>
      </c>
      <c r="B936" s="25" t="str">
        <f>VLOOKUP(C936,'시스템이펙트 참고자료'!$A:$C,2,FALSE)</f>
        <v>ACTIVE_BURN_DEFENCE</v>
      </c>
      <c r="C936" s="25">
        <v>682</v>
      </c>
      <c r="D936" s="25">
        <f>VLOOKUP(C936,'시스템이펙트 참고자료'!$A:$D,4,FALSE)</f>
        <v>0</v>
      </c>
      <c r="E936" s="25">
        <v>0</v>
      </c>
      <c r="F936" s="25">
        <v>0</v>
      </c>
      <c r="G936" s="25">
        <f t="shared" si="70"/>
        <v>1</v>
      </c>
      <c r="H936" s="25" t="s">
        <v>395</v>
      </c>
      <c r="I936" s="25">
        <v>1</v>
      </c>
      <c r="J936" s="25" t="str">
        <f>VLOOKUP(C936,'시스템이펙트 참고자료'!$A:$C,3,FALSE)</f>
        <v>절대값/상대값(%) 가능</v>
      </c>
      <c r="K936" s="25">
        <v>18</v>
      </c>
      <c r="M936" s="25">
        <v>6</v>
      </c>
      <c r="N936" s="25">
        <f t="shared" si="69"/>
        <v>1350</v>
      </c>
      <c r="O936" s="25">
        <v>1</v>
      </c>
      <c r="P936" s="25">
        <v>1</v>
      </c>
      <c r="Q936" s="25">
        <v>1</v>
      </c>
      <c r="R936" s="25">
        <v>1</v>
      </c>
      <c r="T936" s="25">
        <v>1</v>
      </c>
      <c r="AA936" s="25">
        <f t="shared" si="72"/>
        <v>128</v>
      </c>
      <c r="AK936" s="25">
        <v>1</v>
      </c>
      <c r="AM936" s="25">
        <v>1350</v>
      </c>
      <c r="AN936" s="25">
        <v>100</v>
      </c>
      <c r="AP936" s="25">
        <f t="shared" si="71"/>
        <v>1</v>
      </c>
      <c r="AQ936" s="25" t="str">
        <f>VLOOKUP(C936,'시스템이펙트 참고자료'!$A:$B,2,FALSE)</f>
        <v>ACTIVE_BURN_DEFENCE</v>
      </c>
      <c r="AS936" s="25">
        <v>1</v>
      </c>
      <c r="BD936" s="25">
        <v>1</v>
      </c>
    </row>
    <row r="937" spans="1:56" hidden="1">
      <c r="A937" s="25">
        <v>932</v>
      </c>
      <c r="B937" s="25" t="str">
        <f>VLOOKUP(C937,'시스템이펙트 참고자료'!$A:$C,2,FALSE)</f>
        <v>ACTIVE_CRITICAL_BLOCK_UP</v>
      </c>
      <c r="C937" s="25">
        <v>651</v>
      </c>
      <c r="D937" s="25">
        <f>VLOOKUP(C937,'시스템이펙트 참고자료'!$A:$D,4,FALSE)</f>
        <v>0</v>
      </c>
      <c r="E937" s="25">
        <v>0</v>
      </c>
      <c r="F937" s="25">
        <v>0</v>
      </c>
      <c r="G937" s="25">
        <f t="shared" si="70"/>
        <v>5</v>
      </c>
      <c r="H937" s="25" t="s">
        <v>395</v>
      </c>
      <c r="I937" s="25">
        <v>1</v>
      </c>
      <c r="J937" s="25" t="str">
        <f>VLOOKUP(C937,'시스템이펙트 참고자료'!$A:$C,3,FALSE)</f>
        <v>절대값만 가능</v>
      </c>
      <c r="K937" s="25">
        <v>18</v>
      </c>
      <c r="M937" s="25">
        <v>7</v>
      </c>
      <c r="N937" s="25">
        <f t="shared" si="69"/>
        <v>20</v>
      </c>
      <c r="O937" s="25">
        <v>1</v>
      </c>
      <c r="P937" s="25">
        <v>1</v>
      </c>
      <c r="Q937" s="25">
        <v>1</v>
      </c>
      <c r="R937" s="25">
        <v>1</v>
      </c>
      <c r="T937" s="25">
        <v>1</v>
      </c>
      <c r="AA937" s="25">
        <f t="shared" si="72"/>
        <v>128</v>
      </c>
      <c r="AK937" s="25">
        <v>1</v>
      </c>
      <c r="AM937" s="25">
        <v>20</v>
      </c>
      <c r="AN937" s="25">
        <v>100</v>
      </c>
      <c r="AP937" s="25">
        <f t="shared" si="71"/>
        <v>5</v>
      </c>
      <c r="AQ937" s="25" t="str">
        <f>VLOOKUP(C937,'시스템이펙트 참고자료'!$A:$B,2,FALSE)</f>
        <v>ACTIVE_CRITICAL_BLOCK_UP</v>
      </c>
      <c r="AS937" s="25">
        <v>1</v>
      </c>
      <c r="BD937" s="25">
        <v>1</v>
      </c>
    </row>
    <row r="938" spans="1:56" hidden="1">
      <c r="A938" s="25">
        <v>933</v>
      </c>
      <c r="B938" s="25" t="str">
        <f>VLOOKUP(C938,'시스템이펙트 참고자료'!$A:$C,2,FALSE)</f>
        <v>ACTIVE_BLOCK_RATE_UP</v>
      </c>
      <c r="C938" s="25">
        <v>620</v>
      </c>
      <c r="D938" s="25">
        <f>VLOOKUP(C938,'시스템이펙트 참고자료'!$A:$D,4,FALSE)</f>
        <v>0</v>
      </c>
      <c r="E938" s="25">
        <v>0</v>
      </c>
      <c r="F938" s="25">
        <v>0</v>
      </c>
      <c r="G938" s="25">
        <f t="shared" si="70"/>
        <v>1</v>
      </c>
      <c r="H938" s="25" t="s">
        <v>395</v>
      </c>
      <c r="I938" s="25">
        <v>1</v>
      </c>
      <c r="J938" s="25" t="str">
        <f>VLOOKUP(C938,'시스템이펙트 참고자료'!$A:$C,3,FALSE)</f>
        <v>절대값/상대값(%) 가능</v>
      </c>
      <c r="K938" s="25">
        <v>18</v>
      </c>
      <c r="M938" s="25">
        <v>7</v>
      </c>
      <c r="N938" s="25">
        <f t="shared" si="69"/>
        <v>352</v>
      </c>
      <c r="O938" s="25">
        <v>1</v>
      </c>
      <c r="P938" s="25">
        <v>1</v>
      </c>
      <c r="Q938" s="25">
        <v>1</v>
      </c>
      <c r="R938" s="25">
        <v>1</v>
      </c>
      <c r="T938" s="25">
        <v>1</v>
      </c>
      <c r="AA938" s="25">
        <f t="shared" si="72"/>
        <v>128</v>
      </c>
      <c r="AK938" s="25">
        <v>1</v>
      </c>
      <c r="AM938" s="25">
        <v>352</v>
      </c>
      <c r="AN938" s="25">
        <v>100</v>
      </c>
      <c r="AP938" s="25">
        <f t="shared" si="71"/>
        <v>1</v>
      </c>
      <c r="AQ938" s="25" t="str">
        <f>VLOOKUP(C938,'시스템이펙트 참고자료'!$A:$B,2,FALSE)</f>
        <v>ACTIVE_BLOCK_RATE_UP</v>
      </c>
      <c r="AS938" s="25">
        <v>1</v>
      </c>
      <c r="BD938" s="25">
        <v>1</v>
      </c>
    </row>
    <row r="939" spans="1:56" hidden="1">
      <c r="A939" s="25">
        <v>934</v>
      </c>
      <c r="B939" s="25" t="str">
        <f>VLOOKUP(C939,'시스템이펙트 참고자료'!$A:$C,2,FALSE)</f>
        <v>ACTIVE_DODGE_RATE_UP</v>
      </c>
      <c r="C939" s="25">
        <v>619</v>
      </c>
      <c r="D939" s="25">
        <f>VLOOKUP(C939,'시스템이펙트 참고자료'!$A:$D,4,FALSE)</f>
        <v>0</v>
      </c>
      <c r="E939" s="25">
        <v>0</v>
      </c>
      <c r="F939" s="25">
        <v>0</v>
      </c>
      <c r="G939" s="25">
        <f t="shared" si="70"/>
        <v>1</v>
      </c>
      <c r="H939" s="25" t="s">
        <v>395</v>
      </c>
      <c r="I939" s="25">
        <v>1</v>
      </c>
      <c r="J939" s="25" t="str">
        <f>VLOOKUP(C939,'시스템이펙트 참고자료'!$A:$C,3,FALSE)</f>
        <v>절대값/상대값(%) 가능</v>
      </c>
      <c r="K939" s="25">
        <v>18</v>
      </c>
      <c r="M939" s="25">
        <v>7</v>
      </c>
      <c r="N939" s="25">
        <f t="shared" si="69"/>
        <v>275</v>
      </c>
      <c r="O939" s="25">
        <v>1</v>
      </c>
      <c r="P939" s="25">
        <v>1</v>
      </c>
      <c r="Q939" s="25">
        <v>1</v>
      </c>
      <c r="R939" s="25">
        <v>1</v>
      </c>
      <c r="T939" s="25">
        <v>1</v>
      </c>
      <c r="AA939" s="25">
        <f t="shared" si="72"/>
        <v>128</v>
      </c>
      <c r="AK939" s="25">
        <v>1</v>
      </c>
      <c r="AM939" s="25">
        <v>275</v>
      </c>
      <c r="AN939" s="25">
        <v>100</v>
      </c>
      <c r="AP939" s="25">
        <f t="shared" si="71"/>
        <v>1</v>
      </c>
      <c r="AQ939" s="25" t="str">
        <f>VLOOKUP(C939,'시스템이펙트 참고자료'!$A:$B,2,FALSE)</f>
        <v>ACTIVE_DODGE_RATE_UP</v>
      </c>
      <c r="AS939" s="25">
        <v>1</v>
      </c>
      <c r="BD939" s="25">
        <v>1</v>
      </c>
    </row>
    <row r="940" spans="1:56" hidden="1">
      <c r="A940" s="25">
        <v>935</v>
      </c>
      <c r="B940" s="25" t="str">
        <f>VLOOKUP(C940,'시스템이펙트 참고자료'!$A:$C,2,FALSE)</f>
        <v>ACTIVE_STOMACHACHE_DEFENCE</v>
      </c>
      <c r="C940" s="25">
        <v>679</v>
      </c>
      <c r="D940" s="25">
        <f>VLOOKUP(C940,'시스템이펙트 참고자료'!$A:$D,4,FALSE)</f>
        <v>0</v>
      </c>
      <c r="E940" s="25">
        <v>0</v>
      </c>
      <c r="F940" s="25">
        <v>0</v>
      </c>
      <c r="G940" s="25">
        <f t="shared" si="70"/>
        <v>1</v>
      </c>
      <c r="H940" s="25" t="s">
        <v>395</v>
      </c>
      <c r="I940" s="25">
        <v>1</v>
      </c>
      <c r="J940" s="25" t="str">
        <f>VLOOKUP(C940,'시스템이펙트 참고자료'!$A:$C,3,FALSE)</f>
        <v>절대값/상대값(%) 가능</v>
      </c>
      <c r="K940" s="25">
        <v>18</v>
      </c>
      <c r="M940" s="25">
        <v>7</v>
      </c>
      <c r="N940" s="25">
        <f t="shared" si="69"/>
        <v>1350</v>
      </c>
      <c r="O940" s="25">
        <v>1</v>
      </c>
      <c r="P940" s="25">
        <v>1</v>
      </c>
      <c r="Q940" s="25">
        <v>1</v>
      </c>
      <c r="R940" s="25">
        <v>1</v>
      </c>
      <c r="T940" s="25">
        <v>1</v>
      </c>
      <c r="AA940" s="25">
        <f t="shared" si="72"/>
        <v>128</v>
      </c>
      <c r="AK940" s="25">
        <v>1</v>
      </c>
      <c r="AM940" s="25">
        <v>1350</v>
      </c>
      <c r="AN940" s="25">
        <v>100</v>
      </c>
      <c r="AP940" s="25">
        <f t="shared" si="71"/>
        <v>1</v>
      </c>
      <c r="AQ940" s="25" t="str">
        <f>VLOOKUP(C940,'시스템이펙트 참고자료'!$A:$B,2,FALSE)</f>
        <v>ACTIVE_STOMACHACHE_DEFENCE</v>
      </c>
      <c r="AS940" s="25">
        <v>1</v>
      </c>
      <c r="BD940" s="25">
        <v>1</v>
      </c>
    </row>
    <row r="941" spans="1:56" hidden="1">
      <c r="A941" s="25">
        <v>936</v>
      </c>
      <c r="B941" s="25" t="str">
        <f>VLOOKUP(C941,'시스템이펙트 참고자료'!$A:$C,2,FALSE)</f>
        <v>ACTIVE_POISON_DEFENCE</v>
      </c>
      <c r="C941" s="25">
        <v>680</v>
      </c>
      <c r="D941" s="25">
        <f>VLOOKUP(C941,'시스템이펙트 참고자료'!$A:$D,4,FALSE)</f>
        <v>0</v>
      </c>
      <c r="E941" s="25">
        <v>0</v>
      </c>
      <c r="F941" s="25">
        <v>0</v>
      </c>
      <c r="G941" s="25">
        <f t="shared" si="70"/>
        <v>1</v>
      </c>
      <c r="H941" s="25" t="s">
        <v>395</v>
      </c>
      <c r="I941" s="25">
        <v>1</v>
      </c>
      <c r="J941" s="25" t="str">
        <f>VLOOKUP(C941,'시스템이펙트 참고자료'!$A:$C,3,FALSE)</f>
        <v>절대값/상대값(%) 가능</v>
      </c>
      <c r="K941" s="25">
        <v>18</v>
      </c>
      <c r="M941" s="25">
        <v>7</v>
      </c>
      <c r="N941" s="25">
        <f t="shared" si="69"/>
        <v>1350</v>
      </c>
      <c r="O941" s="25">
        <v>1</v>
      </c>
      <c r="P941" s="25">
        <v>1</v>
      </c>
      <c r="Q941" s="25">
        <v>1</v>
      </c>
      <c r="R941" s="25">
        <v>1</v>
      </c>
      <c r="T941" s="25">
        <v>1</v>
      </c>
      <c r="AA941" s="25">
        <f t="shared" si="72"/>
        <v>128</v>
      </c>
      <c r="AK941" s="25">
        <v>1</v>
      </c>
      <c r="AM941" s="25">
        <v>1350</v>
      </c>
      <c r="AN941" s="25">
        <v>100</v>
      </c>
      <c r="AP941" s="25">
        <f t="shared" si="71"/>
        <v>1</v>
      </c>
      <c r="AQ941" s="25" t="str">
        <f>VLOOKUP(C941,'시스템이펙트 참고자료'!$A:$B,2,FALSE)</f>
        <v>ACTIVE_POISON_DEFENCE</v>
      </c>
      <c r="AS941" s="25">
        <v>1</v>
      </c>
      <c r="BD941" s="25">
        <v>1</v>
      </c>
    </row>
    <row r="942" spans="1:56" hidden="1">
      <c r="A942" s="25">
        <v>937</v>
      </c>
      <c r="B942" s="25" t="str">
        <f>VLOOKUP(C942,'시스템이펙트 참고자료'!$A:$C,2,FALSE)</f>
        <v>ACTIVE_BLEED_DEFENCE</v>
      </c>
      <c r="C942" s="25">
        <v>681</v>
      </c>
      <c r="D942" s="25">
        <f>VLOOKUP(C942,'시스템이펙트 참고자료'!$A:$D,4,FALSE)</f>
        <v>0</v>
      </c>
      <c r="E942" s="25">
        <v>0</v>
      </c>
      <c r="F942" s="25">
        <v>0</v>
      </c>
      <c r="G942" s="25">
        <f t="shared" si="70"/>
        <v>1</v>
      </c>
      <c r="H942" s="25" t="s">
        <v>395</v>
      </c>
      <c r="I942" s="25">
        <v>1</v>
      </c>
      <c r="J942" s="25" t="str">
        <f>VLOOKUP(C942,'시스템이펙트 참고자료'!$A:$C,3,FALSE)</f>
        <v>절대값/상대값(%) 가능</v>
      </c>
      <c r="K942" s="25">
        <v>18</v>
      </c>
      <c r="M942" s="25">
        <v>7</v>
      </c>
      <c r="N942" s="25">
        <f t="shared" si="69"/>
        <v>1350</v>
      </c>
      <c r="O942" s="25">
        <v>1</v>
      </c>
      <c r="P942" s="25">
        <v>1</v>
      </c>
      <c r="Q942" s="25">
        <v>1</v>
      </c>
      <c r="R942" s="25">
        <v>1</v>
      </c>
      <c r="T942" s="25">
        <v>1</v>
      </c>
      <c r="AA942" s="25">
        <f t="shared" si="72"/>
        <v>128</v>
      </c>
      <c r="AK942" s="25">
        <v>1</v>
      </c>
      <c r="AM942" s="25">
        <v>1350</v>
      </c>
      <c r="AN942" s="25">
        <v>100</v>
      </c>
      <c r="AP942" s="25">
        <f t="shared" si="71"/>
        <v>1</v>
      </c>
      <c r="AQ942" s="25" t="str">
        <f>VLOOKUP(C942,'시스템이펙트 참고자료'!$A:$B,2,FALSE)</f>
        <v>ACTIVE_BLEED_DEFENCE</v>
      </c>
      <c r="AS942" s="25">
        <v>1</v>
      </c>
      <c r="BD942" s="25">
        <v>1</v>
      </c>
    </row>
    <row r="943" spans="1:56" hidden="1">
      <c r="A943" s="25">
        <v>938</v>
      </c>
      <c r="B943" s="25" t="str">
        <f>VLOOKUP(C943,'시스템이펙트 참고자료'!$A:$C,2,FALSE)</f>
        <v>ACTIVE_BURN_DEFENCE</v>
      </c>
      <c r="C943" s="25">
        <v>682</v>
      </c>
      <c r="D943" s="25">
        <f>VLOOKUP(C943,'시스템이펙트 참고자료'!$A:$D,4,FALSE)</f>
        <v>0</v>
      </c>
      <c r="E943" s="25">
        <v>0</v>
      </c>
      <c r="F943" s="25">
        <v>0</v>
      </c>
      <c r="G943" s="25">
        <f t="shared" si="70"/>
        <v>1</v>
      </c>
      <c r="H943" s="25" t="s">
        <v>395</v>
      </c>
      <c r="I943" s="25">
        <v>1</v>
      </c>
      <c r="J943" s="25" t="str">
        <f>VLOOKUP(C943,'시스템이펙트 참고자료'!$A:$C,3,FALSE)</f>
        <v>절대값/상대값(%) 가능</v>
      </c>
      <c r="K943" s="25">
        <v>18</v>
      </c>
      <c r="M943" s="25">
        <v>7</v>
      </c>
      <c r="N943" s="25">
        <f t="shared" si="69"/>
        <v>1350</v>
      </c>
      <c r="O943" s="25">
        <v>1</v>
      </c>
      <c r="P943" s="25">
        <v>1</v>
      </c>
      <c r="Q943" s="25">
        <v>1</v>
      </c>
      <c r="R943" s="25">
        <v>1</v>
      </c>
      <c r="T943" s="25">
        <v>1</v>
      </c>
      <c r="AA943" s="25">
        <f t="shared" si="72"/>
        <v>128</v>
      </c>
      <c r="AK943" s="25">
        <v>1</v>
      </c>
      <c r="AM943" s="25">
        <v>1350</v>
      </c>
      <c r="AN943" s="25">
        <v>100</v>
      </c>
      <c r="AP943" s="25">
        <f t="shared" si="71"/>
        <v>1</v>
      </c>
      <c r="AQ943" s="25" t="str">
        <f>VLOOKUP(C943,'시스템이펙트 참고자료'!$A:$B,2,FALSE)</f>
        <v>ACTIVE_BURN_DEFENCE</v>
      </c>
      <c r="AS943" s="25">
        <v>1</v>
      </c>
      <c r="BD943" s="25">
        <v>1</v>
      </c>
    </row>
    <row r="944" spans="1:56" hidden="1">
      <c r="A944" s="25">
        <v>939</v>
      </c>
      <c r="B944" s="25" t="str">
        <f>VLOOKUP(C944,'시스템이펙트 참고자료'!$A:$C,2,FALSE)</f>
        <v>ACTIVE_PHYSICAL_DEFENCE_UP</v>
      </c>
      <c r="C944" s="25">
        <v>608</v>
      </c>
      <c r="D944" s="25">
        <f>VLOOKUP(C944,'시스템이펙트 참고자료'!$A:$D,4,FALSE)</f>
        <v>0</v>
      </c>
      <c r="E944" s="25">
        <v>0</v>
      </c>
      <c r="F944" s="25">
        <v>0</v>
      </c>
      <c r="G944" s="25">
        <f t="shared" si="70"/>
        <v>1</v>
      </c>
      <c r="H944" s="25" t="s">
        <v>395</v>
      </c>
      <c r="I944" s="25">
        <v>1</v>
      </c>
      <c r="J944" s="25" t="str">
        <f>VLOOKUP(C944,'시스템이펙트 참고자료'!$A:$C,3,FALSE)</f>
        <v>절대값/상대값(%) 가능</v>
      </c>
      <c r="K944" s="25">
        <v>18</v>
      </c>
      <c r="M944" s="25">
        <v>8</v>
      </c>
      <c r="N944" s="25">
        <f t="shared" si="69"/>
        <v>1350</v>
      </c>
      <c r="O944" s="25">
        <v>1</v>
      </c>
      <c r="P944" s="25">
        <v>1</v>
      </c>
      <c r="Q944" s="25">
        <v>1</v>
      </c>
      <c r="R944" s="25">
        <v>1</v>
      </c>
      <c r="T944" s="25">
        <v>1</v>
      </c>
      <c r="AA944" s="25">
        <f t="shared" si="72"/>
        <v>128</v>
      </c>
      <c r="AK944" s="25">
        <v>1</v>
      </c>
      <c r="AM944" s="25">
        <v>1350</v>
      </c>
      <c r="AN944" s="25">
        <v>100</v>
      </c>
      <c r="AP944" s="25">
        <f t="shared" si="71"/>
        <v>1</v>
      </c>
      <c r="AQ944" s="25" t="str">
        <f>VLOOKUP(C944,'시스템이펙트 참고자료'!$A:$B,2,FALSE)</f>
        <v>ACTIVE_PHYSICAL_DEFENCE_UP</v>
      </c>
      <c r="AS944" s="25">
        <v>1</v>
      </c>
      <c r="BD944" s="25">
        <v>1</v>
      </c>
    </row>
    <row r="945" spans="1:56" hidden="1">
      <c r="A945" s="25">
        <v>940</v>
      </c>
      <c r="B945" s="25" t="str">
        <f>VLOOKUP(C945,'시스템이펙트 참고자료'!$A:$C,2,FALSE)</f>
        <v>ACTIVE_ENERGY_DEFENCE_UP</v>
      </c>
      <c r="C945" s="25">
        <v>609</v>
      </c>
      <c r="D945" s="25">
        <f>VLOOKUP(C945,'시스템이펙트 참고자료'!$A:$D,4,FALSE)</f>
        <v>0</v>
      </c>
      <c r="E945" s="25">
        <v>0</v>
      </c>
      <c r="F945" s="25">
        <v>0</v>
      </c>
      <c r="G945" s="25">
        <f t="shared" si="70"/>
        <v>1</v>
      </c>
      <c r="H945" s="25" t="s">
        <v>395</v>
      </c>
      <c r="I945" s="25">
        <v>1</v>
      </c>
      <c r="J945" s="25" t="str">
        <f>VLOOKUP(C945,'시스템이펙트 참고자료'!$A:$C,3,FALSE)</f>
        <v>절대값/상대값(%) 가능</v>
      </c>
      <c r="K945" s="25">
        <v>18</v>
      </c>
      <c r="M945" s="25">
        <v>8</v>
      </c>
      <c r="N945" s="25">
        <f t="shared" si="69"/>
        <v>1350</v>
      </c>
      <c r="O945" s="25">
        <v>1</v>
      </c>
      <c r="P945" s="25">
        <v>1</v>
      </c>
      <c r="Q945" s="25">
        <v>1</v>
      </c>
      <c r="R945" s="25">
        <v>1</v>
      </c>
      <c r="T945" s="25">
        <v>1</v>
      </c>
      <c r="AA945" s="25">
        <f t="shared" si="72"/>
        <v>128</v>
      </c>
      <c r="AK945" s="25">
        <v>1</v>
      </c>
      <c r="AM945" s="25">
        <v>1350</v>
      </c>
      <c r="AN945" s="25">
        <v>100</v>
      </c>
      <c r="AP945" s="25">
        <f t="shared" si="71"/>
        <v>1</v>
      </c>
      <c r="AQ945" s="25" t="str">
        <f>VLOOKUP(C945,'시스템이펙트 참고자료'!$A:$B,2,FALSE)</f>
        <v>ACTIVE_ENERGY_DEFENCE_UP</v>
      </c>
      <c r="AS945" s="25">
        <v>1</v>
      </c>
      <c r="BD945" s="25">
        <v>1</v>
      </c>
    </row>
    <row r="946" spans="1:56" hidden="1">
      <c r="A946" s="25">
        <v>941</v>
      </c>
      <c r="B946" s="25" t="str">
        <f>VLOOKUP(C946,'시스템이펙트 참고자료'!$A:$C,2,FALSE)</f>
        <v>ACTIVE_BLOCK_RATE_UP</v>
      </c>
      <c r="C946" s="25">
        <v>620</v>
      </c>
      <c r="D946" s="25">
        <f>VLOOKUP(C946,'시스템이펙트 참고자료'!$A:$D,4,FALSE)</f>
        <v>0</v>
      </c>
      <c r="E946" s="25">
        <v>0</v>
      </c>
      <c r="F946" s="25">
        <v>0</v>
      </c>
      <c r="G946" s="25">
        <f t="shared" si="70"/>
        <v>1</v>
      </c>
      <c r="H946" s="25" t="s">
        <v>395</v>
      </c>
      <c r="I946" s="25">
        <v>1</v>
      </c>
      <c r="J946" s="25" t="str">
        <f>VLOOKUP(C946,'시스템이펙트 참고자료'!$A:$C,3,FALSE)</f>
        <v>절대값/상대값(%) 가능</v>
      </c>
      <c r="K946" s="25">
        <v>18</v>
      </c>
      <c r="M946" s="25">
        <v>8</v>
      </c>
      <c r="N946" s="25">
        <f t="shared" si="69"/>
        <v>352</v>
      </c>
      <c r="O946" s="25">
        <v>1</v>
      </c>
      <c r="P946" s="25">
        <v>1</v>
      </c>
      <c r="Q946" s="25">
        <v>1</v>
      </c>
      <c r="R946" s="25">
        <v>1</v>
      </c>
      <c r="T946" s="25">
        <v>1</v>
      </c>
      <c r="AA946" s="25">
        <f t="shared" si="72"/>
        <v>128</v>
      </c>
      <c r="AK946" s="25">
        <v>1</v>
      </c>
      <c r="AM946" s="25">
        <v>352</v>
      </c>
      <c r="AN946" s="25">
        <v>100</v>
      </c>
      <c r="AP946" s="25">
        <f t="shared" si="71"/>
        <v>1</v>
      </c>
      <c r="AQ946" s="25" t="str">
        <f>VLOOKUP(C946,'시스템이펙트 참고자료'!$A:$B,2,FALSE)</f>
        <v>ACTIVE_BLOCK_RATE_UP</v>
      </c>
      <c r="AS946" s="25">
        <v>1</v>
      </c>
      <c r="BD946" s="25">
        <v>1</v>
      </c>
    </row>
    <row r="947" spans="1:56" hidden="1">
      <c r="A947" s="25">
        <v>942</v>
      </c>
      <c r="B947" s="25" t="str">
        <f>VLOOKUP(C947,'시스템이펙트 참고자료'!$A:$C,2,FALSE)</f>
        <v>ACTIVE_HONEST_DEFENCE_UP</v>
      </c>
      <c r="C947" s="25">
        <v>621</v>
      </c>
      <c r="D947" s="25">
        <f>VLOOKUP(C947,'시스템이펙트 참고자료'!$A:$D,4,FALSE)</f>
        <v>0</v>
      </c>
      <c r="E947" s="25">
        <v>0</v>
      </c>
      <c r="F947" s="25">
        <v>0</v>
      </c>
      <c r="G947" s="25">
        <f t="shared" si="70"/>
        <v>5</v>
      </c>
      <c r="H947" s="25" t="s">
        <v>395</v>
      </c>
      <c r="I947" s="25">
        <v>1</v>
      </c>
      <c r="J947" s="25" t="str">
        <f>VLOOKUP(C947,'시스템이펙트 참고자료'!$A:$C,3,FALSE)</f>
        <v>절대값만 가능</v>
      </c>
      <c r="K947" s="25">
        <v>18</v>
      </c>
      <c r="M947" s="25">
        <v>8</v>
      </c>
      <c r="N947" s="25">
        <f t="shared" si="69"/>
        <v>20</v>
      </c>
      <c r="O947" s="25">
        <v>1</v>
      </c>
      <c r="P947" s="25">
        <v>1</v>
      </c>
      <c r="Q947" s="25">
        <v>1</v>
      </c>
      <c r="R947" s="25">
        <v>1</v>
      </c>
      <c r="T947" s="25">
        <v>1</v>
      </c>
      <c r="AA947" s="25">
        <f t="shared" si="72"/>
        <v>128</v>
      </c>
      <c r="AK947" s="25">
        <v>1</v>
      </c>
      <c r="AM947" s="25">
        <v>20</v>
      </c>
      <c r="AN947" s="25">
        <v>100</v>
      </c>
      <c r="AP947" s="25">
        <f t="shared" si="71"/>
        <v>5</v>
      </c>
      <c r="AQ947" s="25" t="str">
        <f>VLOOKUP(C947,'시스템이펙트 참고자료'!$A:$B,2,FALSE)</f>
        <v>ACTIVE_HONEST_DEFENCE_UP</v>
      </c>
      <c r="AS947" s="25">
        <v>1</v>
      </c>
      <c r="BD947" s="25">
        <v>1</v>
      </c>
    </row>
    <row r="948" spans="1:56" hidden="1">
      <c r="A948" s="25">
        <v>943</v>
      </c>
      <c r="B948" s="25" t="str">
        <f>VLOOKUP(C948,'시스템이펙트 참고자료'!$A:$C,2,FALSE)</f>
        <v>ACTIVE_STRANGE_DEFENCE_UP</v>
      </c>
      <c r="C948" s="25">
        <v>622</v>
      </c>
      <c r="D948" s="25">
        <f>VLOOKUP(C948,'시스템이펙트 참고자료'!$A:$D,4,FALSE)</f>
        <v>0</v>
      </c>
      <c r="E948" s="25">
        <v>0</v>
      </c>
      <c r="F948" s="25">
        <v>0</v>
      </c>
      <c r="G948" s="25">
        <f t="shared" si="70"/>
        <v>5</v>
      </c>
      <c r="H948" s="25" t="s">
        <v>395</v>
      </c>
      <c r="I948" s="25">
        <v>1</v>
      </c>
      <c r="J948" s="25" t="str">
        <f>VLOOKUP(C948,'시스템이펙트 참고자료'!$A:$C,3,FALSE)</f>
        <v>절대값만 가능</v>
      </c>
      <c r="K948" s="25">
        <v>18</v>
      </c>
      <c r="M948" s="25">
        <v>8</v>
      </c>
      <c r="N948" s="25">
        <f t="shared" si="69"/>
        <v>20</v>
      </c>
      <c r="O948" s="25">
        <v>1</v>
      </c>
      <c r="P948" s="25">
        <v>1</v>
      </c>
      <c r="Q948" s="25">
        <v>1</v>
      </c>
      <c r="R948" s="25">
        <v>1</v>
      </c>
      <c r="T948" s="25">
        <v>1</v>
      </c>
      <c r="AA948" s="25">
        <f t="shared" si="72"/>
        <v>128</v>
      </c>
      <c r="AK948" s="25">
        <v>1</v>
      </c>
      <c r="AM948" s="25">
        <v>20</v>
      </c>
      <c r="AN948" s="25">
        <v>100</v>
      </c>
      <c r="AP948" s="25">
        <f t="shared" si="71"/>
        <v>5</v>
      </c>
      <c r="AQ948" s="25" t="str">
        <f>VLOOKUP(C948,'시스템이펙트 참고자료'!$A:$B,2,FALSE)</f>
        <v>ACTIVE_STRANGE_DEFENCE_UP</v>
      </c>
      <c r="AS948" s="25">
        <v>1</v>
      </c>
      <c r="BD948" s="25">
        <v>1</v>
      </c>
    </row>
    <row r="949" spans="1:56" hidden="1">
      <c r="A949" s="25">
        <v>944</v>
      </c>
      <c r="B949" s="25" t="str">
        <f>VLOOKUP(C949,'시스템이펙트 참고자료'!$A:$C,2,FALSE)</f>
        <v>ACTIVE_WILD_DEFENCE_UP</v>
      </c>
      <c r="C949" s="25">
        <v>623</v>
      </c>
      <c r="D949" s="25">
        <f>VLOOKUP(C949,'시스템이펙트 참고자료'!$A:$D,4,FALSE)</f>
        <v>0</v>
      </c>
      <c r="E949" s="25">
        <v>0</v>
      </c>
      <c r="F949" s="25">
        <v>0</v>
      </c>
      <c r="G949" s="25">
        <f t="shared" si="70"/>
        <v>5</v>
      </c>
      <c r="H949" s="25" t="s">
        <v>395</v>
      </c>
      <c r="I949" s="25">
        <v>1</v>
      </c>
      <c r="J949" s="25" t="str">
        <f>VLOOKUP(C949,'시스템이펙트 참고자료'!$A:$C,3,FALSE)</f>
        <v>절대값만 가능</v>
      </c>
      <c r="K949" s="25">
        <v>18</v>
      </c>
      <c r="M949" s="25">
        <v>8</v>
      </c>
      <c r="N949" s="25">
        <f t="shared" si="69"/>
        <v>20</v>
      </c>
      <c r="O949" s="25">
        <v>1</v>
      </c>
      <c r="P949" s="25">
        <v>1</v>
      </c>
      <c r="Q949" s="25">
        <v>1</v>
      </c>
      <c r="R949" s="25">
        <v>1</v>
      </c>
      <c r="T949" s="25">
        <v>1</v>
      </c>
      <c r="AA949" s="25">
        <f t="shared" si="72"/>
        <v>128</v>
      </c>
      <c r="AK949" s="25">
        <v>1</v>
      </c>
      <c r="AM949" s="25">
        <v>20</v>
      </c>
      <c r="AN949" s="25">
        <v>100</v>
      </c>
      <c r="AP949" s="25">
        <f t="shared" si="71"/>
        <v>5</v>
      </c>
      <c r="AQ949" s="25" t="str">
        <f>VLOOKUP(C949,'시스템이펙트 참고자료'!$A:$B,2,FALSE)</f>
        <v>ACTIVE_WILD_DEFENCE_UP</v>
      </c>
      <c r="AS949" s="25">
        <v>1</v>
      </c>
      <c r="BD949" s="25">
        <v>1</v>
      </c>
    </row>
    <row r="950" spans="1:56" hidden="1">
      <c r="A950" s="25">
        <v>945</v>
      </c>
      <c r="B950" s="25" t="str">
        <f>VLOOKUP(C950,'시스템이펙트 참고자료'!$A:$C,2,FALSE)</f>
        <v>ACTIVE_ELEGANCE_DEFENCE_UP</v>
      </c>
      <c r="C950" s="25">
        <v>624</v>
      </c>
      <c r="D950" s="25">
        <f>VLOOKUP(C950,'시스템이펙트 참고자료'!$A:$D,4,FALSE)</f>
        <v>0</v>
      </c>
      <c r="E950" s="25">
        <v>0</v>
      </c>
      <c r="F950" s="25">
        <v>0</v>
      </c>
      <c r="G950" s="25">
        <f t="shared" si="70"/>
        <v>5</v>
      </c>
      <c r="H950" s="25" t="s">
        <v>395</v>
      </c>
      <c r="I950" s="25">
        <v>1</v>
      </c>
      <c r="J950" s="25" t="str">
        <f>VLOOKUP(C950,'시스템이펙트 참고자료'!$A:$C,3,FALSE)</f>
        <v>절대값만 가능</v>
      </c>
      <c r="K950" s="25">
        <v>18</v>
      </c>
      <c r="M950" s="25">
        <v>8</v>
      </c>
      <c r="N950" s="25">
        <f t="shared" si="69"/>
        <v>20</v>
      </c>
      <c r="O950" s="25">
        <v>1</v>
      </c>
      <c r="P950" s="25">
        <v>1</v>
      </c>
      <c r="Q950" s="25">
        <v>1</v>
      </c>
      <c r="R950" s="25">
        <v>1</v>
      </c>
      <c r="T950" s="25">
        <v>1</v>
      </c>
      <c r="AA950" s="25">
        <f t="shared" si="72"/>
        <v>128</v>
      </c>
      <c r="AK950" s="25">
        <v>1</v>
      </c>
      <c r="AM950" s="25">
        <v>20</v>
      </c>
      <c r="AN950" s="25">
        <v>100</v>
      </c>
      <c r="AP950" s="25">
        <f t="shared" si="71"/>
        <v>5</v>
      </c>
      <c r="AQ950" s="25" t="str">
        <f>VLOOKUP(C950,'시스템이펙트 참고자료'!$A:$B,2,FALSE)</f>
        <v>ACTIVE_ELEGANCE_DEFENCE_UP</v>
      </c>
      <c r="AS950" s="25">
        <v>1</v>
      </c>
      <c r="BD950" s="25">
        <v>1</v>
      </c>
    </row>
    <row r="951" spans="1:56" hidden="1">
      <c r="A951" s="25">
        <v>946</v>
      </c>
      <c r="B951" s="25" t="str">
        <f>VLOOKUP(C951,'시스템이펙트 참고자료'!$A:$C,2,FALSE)</f>
        <v>ACTIVE_FUNNY_DEFENCE_UP</v>
      </c>
      <c r="C951" s="25">
        <v>625</v>
      </c>
      <c r="D951" s="25">
        <f>VLOOKUP(C951,'시스템이펙트 참고자료'!$A:$D,4,FALSE)</f>
        <v>0</v>
      </c>
      <c r="E951" s="25">
        <v>0</v>
      </c>
      <c r="F951" s="25">
        <v>0</v>
      </c>
      <c r="G951" s="25">
        <f t="shared" si="70"/>
        <v>5</v>
      </c>
      <c r="H951" s="25" t="s">
        <v>395</v>
      </c>
      <c r="I951" s="25">
        <v>1</v>
      </c>
      <c r="J951" s="25" t="str">
        <f>VLOOKUP(C951,'시스템이펙트 참고자료'!$A:$C,3,FALSE)</f>
        <v>절대값만 가능</v>
      </c>
      <c r="K951" s="25">
        <v>18</v>
      </c>
      <c r="M951" s="25">
        <v>8</v>
      </c>
      <c r="N951" s="25">
        <f t="shared" si="69"/>
        <v>20</v>
      </c>
      <c r="O951" s="25">
        <v>1</v>
      </c>
      <c r="P951" s="25">
        <v>1</v>
      </c>
      <c r="Q951" s="25">
        <v>1</v>
      </c>
      <c r="R951" s="25">
        <v>1</v>
      </c>
      <c r="T951" s="25">
        <v>1</v>
      </c>
      <c r="AA951" s="25">
        <f t="shared" si="72"/>
        <v>128</v>
      </c>
      <c r="AK951" s="25">
        <v>1</v>
      </c>
      <c r="AM951" s="25">
        <v>20</v>
      </c>
      <c r="AN951" s="25">
        <v>100</v>
      </c>
      <c r="AP951" s="25">
        <f t="shared" si="71"/>
        <v>5</v>
      </c>
      <c r="AQ951" s="25" t="str">
        <f>VLOOKUP(C951,'시스템이펙트 참고자료'!$A:$B,2,FALSE)</f>
        <v>ACTIVE_FUNNY_DEFENCE_UP</v>
      </c>
      <c r="AS951" s="25">
        <v>1</v>
      </c>
      <c r="BD951" s="25">
        <v>1</v>
      </c>
    </row>
    <row r="952" spans="1:56" hidden="1">
      <c r="A952" s="25">
        <v>947</v>
      </c>
      <c r="B952" s="25" t="str">
        <f>VLOOKUP(C952,'시스템이펙트 참고자료'!$A:$C,2,FALSE)</f>
        <v>ACTIVE_PHYSICAL_DEFENCE_UP</v>
      </c>
      <c r="C952" s="25">
        <v>608</v>
      </c>
      <c r="D952" s="25">
        <f>VLOOKUP(C952,'시스템이펙트 참고자료'!$A:$D,4,FALSE)</f>
        <v>0</v>
      </c>
      <c r="E952" s="25">
        <v>0</v>
      </c>
      <c r="F952" s="25">
        <v>0</v>
      </c>
      <c r="G952" s="25">
        <f t="shared" si="70"/>
        <v>1</v>
      </c>
      <c r="H952" s="25" t="s">
        <v>395</v>
      </c>
      <c r="I952" s="25">
        <v>1</v>
      </c>
      <c r="J952" s="25" t="str">
        <f>VLOOKUP(C952,'시스템이펙트 참고자료'!$A:$C,3,FALSE)</f>
        <v>절대값/상대값(%) 가능</v>
      </c>
      <c r="K952" s="25">
        <v>19</v>
      </c>
      <c r="M952" s="25">
        <v>1</v>
      </c>
      <c r="N952" s="25">
        <f t="shared" si="69"/>
        <v>1350</v>
      </c>
      <c r="O952" s="25">
        <v>1</v>
      </c>
      <c r="P952" s="25">
        <v>1</v>
      </c>
      <c r="Q952" s="25">
        <v>1</v>
      </c>
      <c r="R952" s="25">
        <v>1</v>
      </c>
      <c r="T952" s="25">
        <v>1</v>
      </c>
      <c r="AA952" s="25">
        <f t="shared" si="72"/>
        <v>128</v>
      </c>
      <c r="AK952" s="25">
        <v>1</v>
      </c>
      <c r="AM952" s="25">
        <v>1350</v>
      </c>
      <c r="AN952" s="25">
        <v>100</v>
      </c>
      <c r="AP952" s="25">
        <f t="shared" si="71"/>
        <v>1</v>
      </c>
      <c r="AQ952" s="25" t="str">
        <f>VLOOKUP(C952,'시스템이펙트 참고자료'!$A:$B,2,FALSE)</f>
        <v>ACTIVE_PHYSICAL_DEFENCE_UP</v>
      </c>
      <c r="AS952" s="25">
        <v>1</v>
      </c>
      <c r="BD952" s="25">
        <v>1</v>
      </c>
    </row>
    <row r="953" spans="1:56" hidden="1">
      <c r="A953" s="25">
        <v>948</v>
      </c>
      <c r="B953" s="25" t="str">
        <f>VLOOKUP(C953,'시스템이펙트 참고자료'!$A:$C,2,FALSE)</f>
        <v>ACTIVE_BLOCK_RATE_UP</v>
      </c>
      <c r="C953" s="25">
        <v>620</v>
      </c>
      <c r="D953" s="25">
        <f>VLOOKUP(C953,'시스템이펙트 참고자료'!$A:$D,4,FALSE)</f>
        <v>0</v>
      </c>
      <c r="E953" s="25">
        <v>0</v>
      </c>
      <c r="F953" s="25">
        <v>0</v>
      </c>
      <c r="G953" s="25">
        <f t="shared" si="70"/>
        <v>1</v>
      </c>
      <c r="H953" s="25" t="s">
        <v>395</v>
      </c>
      <c r="I953" s="25">
        <v>1</v>
      </c>
      <c r="J953" s="25" t="str">
        <f>VLOOKUP(C953,'시스템이펙트 참고자료'!$A:$C,3,FALSE)</f>
        <v>절대값/상대값(%) 가능</v>
      </c>
      <c r="K953" s="25">
        <v>19</v>
      </c>
      <c r="M953" s="25">
        <v>1</v>
      </c>
      <c r="N953" s="25">
        <f t="shared" si="69"/>
        <v>352</v>
      </c>
      <c r="O953" s="25">
        <v>1</v>
      </c>
      <c r="P953" s="25">
        <v>1</v>
      </c>
      <c r="Q953" s="25">
        <v>1</v>
      </c>
      <c r="R953" s="25">
        <v>1</v>
      </c>
      <c r="T953" s="25">
        <v>1</v>
      </c>
      <c r="AA953" s="25">
        <f t="shared" si="72"/>
        <v>128</v>
      </c>
      <c r="AK953" s="25">
        <v>1</v>
      </c>
      <c r="AM953" s="25">
        <v>352</v>
      </c>
      <c r="AN953" s="25">
        <v>100</v>
      </c>
      <c r="AP953" s="25">
        <f t="shared" si="71"/>
        <v>1</v>
      </c>
      <c r="AQ953" s="25" t="str">
        <f>VLOOKUP(C953,'시스템이펙트 참고자료'!$A:$B,2,FALSE)</f>
        <v>ACTIVE_BLOCK_RATE_UP</v>
      </c>
      <c r="AS953" s="25">
        <v>1</v>
      </c>
      <c r="BD953" s="25">
        <v>1</v>
      </c>
    </row>
    <row r="954" spans="1:56" hidden="1">
      <c r="A954" s="25">
        <v>949</v>
      </c>
      <c r="B954" s="25" t="str">
        <f>VLOOKUP(C954,'시스템이펙트 참고자료'!$A:$C,2,FALSE)</f>
        <v>ACTIVE_CON_UP</v>
      </c>
      <c r="C954" s="25">
        <v>611</v>
      </c>
      <c r="D954" s="25">
        <f>VLOOKUP(C954,'시스템이펙트 참고자료'!$A:$D,4,FALSE)</f>
        <v>0</v>
      </c>
      <c r="E954" s="25">
        <v>0</v>
      </c>
      <c r="F954" s="25">
        <v>0</v>
      </c>
      <c r="G954" s="25">
        <f t="shared" si="70"/>
        <v>3</v>
      </c>
      <c r="H954" s="25" t="s">
        <v>395</v>
      </c>
      <c r="I954" s="25">
        <v>1</v>
      </c>
      <c r="J954" s="25" t="str">
        <f>VLOOKUP(C954,'시스템이펙트 참고자료'!$A:$C,3,FALSE)</f>
        <v>절대값/상대값(%) 가능</v>
      </c>
      <c r="K954" s="25">
        <v>19</v>
      </c>
      <c r="M954" s="25">
        <v>1</v>
      </c>
      <c r="N954" s="25">
        <f t="shared" si="69"/>
        <v>48</v>
      </c>
      <c r="O954" s="25">
        <v>1</v>
      </c>
      <c r="P954" s="25">
        <v>1</v>
      </c>
      <c r="Q954" s="25">
        <v>1</v>
      </c>
      <c r="R954" s="25">
        <v>1</v>
      </c>
      <c r="T954" s="25">
        <v>1</v>
      </c>
      <c r="AA954" s="25">
        <f t="shared" si="72"/>
        <v>128</v>
      </c>
      <c r="AK954" s="25">
        <v>1</v>
      </c>
      <c r="AM954" s="25">
        <v>48</v>
      </c>
      <c r="AN954" s="25">
        <v>100</v>
      </c>
      <c r="AP954" s="25">
        <f t="shared" si="71"/>
        <v>3</v>
      </c>
      <c r="AQ954" s="25" t="str">
        <f>VLOOKUP(C954,'시스템이펙트 참고자료'!$A:$B,2,FALSE)</f>
        <v>ACTIVE_CON_UP</v>
      </c>
      <c r="AS954" s="25">
        <v>1</v>
      </c>
      <c r="BD954" s="25">
        <v>1</v>
      </c>
    </row>
    <row r="955" spans="1:56" hidden="1">
      <c r="A955" s="25">
        <v>950</v>
      </c>
      <c r="B955" s="25" t="str">
        <f>VLOOKUP(C955,'시스템이펙트 참고자료'!$A:$C,2,FALSE)</f>
        <v>ACTIVE_BLEED_DEFENCE</v>
      </c>
      <c r="C955" s="25">
        <v>681</v>
      </c>
      <c r="D955" s="25">
        <f>VLOOKUP(C955,'시스템이펙트 참고자료'!$A:$D,4,FALSE)</f>
        <v>0</v>
      </c>
      <c r="E955" s="25">
        <v>0</v>
      </c>
      <c r="F955" s="25">
        <v>0</v>
      </c>
      <c r="G955" s="25">
        <f t="shared" si="70"/>
        <v>1</v>
      </c>
      <c r="H955" s="25" t="s">
        <v>395</v>
      </c>
      <c r="I955" s="25">
        <v>1</v>
      </c>
      <c r="J955" s="25" t="str">
        <f>VLOOKUP(C955,'시스템이펙트 참고자료'!$A:$C,3,FALSE)</f>
        <v>절대값/상대값(%) 가능</v>
      </c>
      <c r="K955" s="25">
        <v>19</v>
      </c>
      <c r="M955" s="25">
        <v>1</v>
      </c>
      <c r="N955" s="25">
        <f t="shared" si="69"/>
        <v>1350</v>
      </c>
      <c r="O955" s="25">
        <v>1</v>
      </c>
      <c r="P955" s="25">
        <v>1</v>
      </c>
      <c r="Q955" s="25">
        <v>1</v>
      </c>
      <c r="R955" s="25">
        <v>1</v>
      </c>
      <c r="T955" s="25">
        <v>1</v>
      </c>
      <c r="AA955" s="25">
        <f t="shared" si="72"/>
        <v>128</v>
      </c>
      <c r="AK955" s="25">
        <v>1</v>
      </c>
      <c r="AM955" s="25">
        <v>1350</v>
      </c>
      <c r="AN955" s="25">
        <v>100</v>
      </c>
      <c r="AP955" s="25">
        <f t="shared" si="71"/>
        <v>1</v>
      </c>
      <c r="AQ955" s="25" t="str">
        <f>VLOOKUP(C955,'시스템이펙트 참고자료'!$A:$B,2,FALSE)</f>
        <v>ACTIVE_BLEED_DEFENCE</v>
      </c>
      <c r="AS955" s="25">
        <v>1</v>
      </c>
      <c r="BD955" s="25">
        <v>1</v>
      </c>
    </row>
    <row r="956" spans="1:56" hidden="1">
      <c r="A956" s="25">
        <v>951</v>
      </c>
      <c r="B956" s="25" t="str">
        <f>VLOOKUP(C956,'시스템이펙트 참고자료'!$A:$C,2,FALSE)</f>
        <v>ACTIVE_BURN_DEFENCE</v>
      </c>
      <c r="C956" s="25">
        <v>682</v>
      </c>
      <c r="D956" s="25">
        <f>VLOOKUP(C956,'시스템이펙트 참고자료'!$A:$D,4,FALSE)</f>
        <v>0</v>
      </c>
      <c r="E956" s="25">
        <v>0</v>
      </c>
      <c r="F956" s="25">
        <v>0</v>
      </c>
      <c r="G956" s="25">
        <f t="shared" si="70"/>
        <v>1</v>
      </c>
      <c r="H956" s="25" t="s">
        <v>395</v>
      </c>
      <c r="I956" s="25">
        <v>1</v>
      </c>
      <c r="J956" s="25" t="str">
        <f>VLOOKUP(C956,'시스템이펙트 참고자료'!$A:$C,3,FALSE)</f>
        <v>절대값/상대값(%) 가능</v>
      </c>
      <c r="K956" s="25">
        <v>19</v>
      </c>
      <c r="M956" s="25">
        <v>1</v>
      </c>
      <c r="N956" s="25">
        <f t="shared" si="69"/>
        <v>1350</v>
      </c>
      <c r="O956" s="25">
        <v>1</v>
      </c>
      <c r="P956" s="25">
        <v>1</v>
      </c>
      <c r="Q956" s="25">
        <v>1</v>
      </c>
      <c r="R956" s="25">
        <v>1</v>
      </c>
      <c r="T956" s="25">
        <v>1</v>
      </c>
      <c r="AA956" s="25">
        <f t="shared" si="72"/>
        <v>128</v>
      </c>
      <c r="AK956" s="25">
        <v>1</v>
      </c>
      <c r="AM956" s="25">
        <v>1350</v>
      </c>
      <c r="AN956" s="25">
        <v>100</v>
      </c>
      <c r="AP956" s="25">
        <f t="shared" si="71"/>
        <v>1</v>
      </c>
      <c r="AQ956" s="25" t="str">
        <f>VLOOKUP(C956,'시스템이펙트 참고자료'!$A:$B,2,FALSE)</f>
        <v>ACTIVE_BURN_DEFENCE</v>
      </c>
      <c r="AS956" s="25">
        <v>1</v>
      </c>
      <c r="BD956" s="25">
        <v>1</v>
      </c>
    </row>
    <row r="957" spans="1:56" hidden="1">
      <c r="A957" s="25">
        <v>952</v>
      </c>
      <c r="B957" s="25" t="str">
        <f>VLOOKUP(C957,'시스템이펙트 참고자료'!$A:$C,2,FALSE)</f>
        <v>ACTIVE_ENERGY_DEFENCE_UP</v>
      </c>
      <c r="C957" s="25">
        <v>609</v>
      </c>
      <c r="D957" s="25">
        <f>VLOOKUP(C957,'시스템이펙트 참고자료'!$A:$D,4,FALSE)</f>
        <v>0</v>
      </c>
      <c r="E957" s="25">
        <v>0</v>
      </c>
      <c r="F957" s="25">
        <v>0</v>
      </c>
      <c r="G957" s="25">
        <f t="shared" si="70"/>
        <v>1</v>
      </c>
      <c r="H957" s="25" t="s">
        <v>395</v>
      </c>
      <c r="I957" s="25">
        <v>1</v>
      </c>
      <c r="J957" s="25" t="str">
        <f>VLOOKUP(C957,'시스템이펙트 참고자료'!$A:$C,3,FALSE)</f>
        <v>절대값/상대값(%) 가능</v>
      </c>
      <c r="K957" s="25">
        <v>19</v>
      </c>
      <c r="M957" s="25">
        <v>2</v>
      </c>
      <c r="N957" s="25">
        <f t="shared" si="69"/>
        <v>1350</v>
      </c>
      <c r="O957" s="25">
        <v>1</v>
      </c>
      <c r="P957" s="25">
        <v>1</v>
      </c>
      <c r="Q957" s="25">
        <v>1</v>
      </c>
      <c r="R957" s="25">
        <v>1</v>
      </c>
      <c r="T957" s="25">
        <v>1</v>
      </c>
      <c r="AA957" s="25">
        <f t="shared" si="72"/>
        <v>128</v>
      </c>
      <c r="AK957" s="25">
        <v>1</v>
      </c>
      <c r="AM957" s="25">
        <v>1350</v>
      </c>
      <c r="AN957" s="25">
        <v>100</v>
      </c>
      <c r="AP957" s="25">
        <f t="shared" si="71"/>
        <v>1</v>
      </c>
      <c r="AQ957" s="25" t="str">
        <f>VLOOKUP(C957,'시스템이펙트 참고자료'!$A:$B,2,FALSE)</f>
        <v>ACTIVE_ENERGY_DEFENCE_UP</v>
      </c>
      <c r="AS957" s="25">
        <v>1</v>
      </c>
      <c r="BD957" s="25">
        <v>1</v>
      </c>
    </row>
    <row r="958" spans="1:56" hidden="1">
      <c r="A958" s="25">
        <v>953</v>
      </c>
      <c r="B958" s="25" t="str">
        <f>VLOOKUP(C958,'시스템이펙트 참고자료'!$A:$C,2,FALSE)</f>
        <v>ACTIVE_BLOCK_RATE_UP</v>
      </c>
      <c r="C958" s="25">
        <v>620</v>
      </c>
      <c r="D958" s="25">
        <f>VLOOKUP(C958,'시스템이펙트 참고자료'!$A:$D,4,FALSE)</f>
        <v>0</v>
      </c>
      <c r="E958" s="25">
        <v>0</v>
      </c>
      <c r="F958" s="25">
        <v>0</v>
      </c>
      <c r="G958" s="25">
        <f t="shared" si="70"/>
        <v>1</v>
      </c>
      <c r="H958" s="25" t="s">
        <v>395</v>
      </c>
      <c r="I958" s="25">
        <v>1</v>
      </c>
      <c r="J958" s="25" t="str">
        <f>VLOOKUP(C958,'시스템이펙트 참고자료'!$A:$C,3,FALSE)</f>
        <v>절대값/상대값(%) 가능</v>
      </c>
      <c r="K958" s="25">
        <v>19</v>
      </c>
      <c r="M958" s="25">
        <v>2</v>
      </c>
      <c r="N958" s="25">
        <f t="shared" si="69"/>
        <v>352</v>
      </c>
      <c r="O958" s="25">
        <v>1</v>
      </c>
      <c r="P958" s="25">
        <v>1</v>
      </c>
      <c r="Q958" s="25">
        <v>1</v>
      </c>
      <c r="R958" s="25">
        <v>1</v>
      </c>
      <c r="T958" s="25">
        <v>1</v>
      </c>
      <c r="AA958" s="25">
        <f t="shared" si="72"/>
        <v>128</v>
      </c>
      <c r="AK958" s="25">
        <v>1</v>
      </c>
      <c r="AM958" s="25">
        <v>352</v>
      </c>
      <c r="AN958" s="25">
        <v>100</v>
      </c>
      <c r="AP958" s="25">
        <f t="shared" si="71"/>
        <v>1</v>
      </c>
      <c r="AQ958" s="25" t="str">
        <f>VLOOKUP(C958,'시스템이펙트 참고자료'!$A:$B,2,FALSE)</f>
        <v>ACTIVE_BLOCK_RATE_UP</v>
      </c>
      <c r="AS958" s="25">
        <v>1</v>
      </c>
      <c r="BD958" s="25">
        <v>1</v>
      </c>
    </row>
    <row r="959" spans="1:56" hidden="1">
      <c r="A959" s="25">
        <v>954</v>
      </c>
      <c r="B959" s="25" t="str">
        <f>VLOOKUP(C959,'시스템이펙트 참고자료'!$A:$C,2,FALSE)</f>
        <v>ACTIVE_ENG_UP</v>
      </c>
      <c r="C959" s="25">
        <v>615</v>
      </c>
      <c r="D959" s="25">
        <f>VLOOKUP(C959,'시스템이펙트 참고자료'!$A:$D,4,FALSE)</f>
        <v>0</v>
      </c>
      <c r="E959" s="25">
        <v>0</v>
      </c>
      <c r="F959" s="25">
        <v>0</v>
      </c>
      <c r="G959" s="25">
        <f t="shared" si="70"/>
        <v>2</v>
      </c>
      <c r="H959" s="25" t="s">
        <v>395</v>
      </c>
      <c r="I959" s="25">
        <v>1</v>
      </c>
      <c r="J959" s="25" t="str">
        <f>VLOOKUP(C959,'시스템이펙트 참고자료'!$A:$C,3,FALSE)</f>
        <v>절대값/상대값(%) 가능</v>
      </c>
      <c r="K959" s="25">
        <v>19</v>
      </c>
      <c r="M959" s="25">
        <v>2</v>
      </c>
      <c r="N959" s="25">
        <f t="shared" si="69"/>
        <v>62</v>
      </c>
      <c r="O959" s="25">
        <v>1</v>
      </c>
      <c r="P959" s="25">
        <v>1</v>
      </c>
      <c r="Q959" s="25">
        <v>1</v>
      </c>
      <c r="R959" s="25">
        <v>1</v>
      </c>
      <c r="T959" s="25">
        <v>1</v>
      </c>
      <c r="AA959" s="25">
        <f t="shared" si="72"/>
        <v>128</v>
      </c>
      <c r="AK959" s="25">
        <v>1</v>
      </c>
      <c r="AM959" s="25">
        <v>62</v>
      </c>
      <c r="AN959" s="25">
        <v>100</v>
      </c>
      <c r="AP959" s="25">
        <f t="shared" si="71"/>
        <v>2</v>
      </c>
      <c r="AQ959" s="25" t="str">
        <f>VLOOKUP(C959,'시스템이펙트 참고자료'!$A:$B,2,FALSE)</f>
        <v>ACTIVE_ENG_UP</v>
      </c>
      <c r="AS959" s="25">
        <v>1</v>
      </c>
      <c r="BD959" s="25">
        <v>1</v>
      </c>
    </row>
    <row r="960" spans="1:56" hidden="1">
      <c r="A960" s="25">
        <v>955</v>
      </c>
      <c r="B960" s="25" t="str">
        <f>VLOOKUP(C960,'시스템이펙트 참고자료'!$A:$C,2,FALSE)</f>
        <v>ACTIVE_STOMACHACHE_DEFENCE</v>
      </c>
      <c r="C960" s="25">
        <v>679</v>
      </c>
      <c r="D960" s="25">
        <f>VLOOKUP(C960,'시스템이펙트 참고자료'!$A:$D,4,FALSE)</f>
        <v>0</v>
      </c>
      <c r="E960" s="25">
        <v>0</v>
      </c>
      <c r="F960" s="25">
        <v>0</v>
      </c>
      <c r="G960" s="25">
        <f t="shared" si="70"/>
        <v>1</v>
      </c>
      <c r="H960" s="25" t="s">
        <v>395</v>
      </c>
      <c r="I960" s="25">
        <v>1</v>
      </c>
      <c r="J960" s="25" t="str">
        <f>VLOOKUP(C960,'시스템이펙트 참고자료'!$A:$C,3,FALSE)</f>
        <v>절대값/상대값(%) 가능</v>
      </c>
      <c r="K960" s="25">
        <v>19</v>
      </c>
      <c r="M960" s="25">
        <v>2</v>
      </c>
      <c r="N960" s="25">
        <f t="shared" si="69"/>
        <v>1350</v>
      </c>
      <c r="O960" s="25">
        <v>1</v>
      </c>
      <c r="P960" s="25">
        <v>1</v>
      </c>
      <c r="Q960" s="25">
        <v>1</v>
      </c>
      <c r="R960" s="25">
        <v>1</v>
      </c>
      <c r="T960" s="25">
        <v>1</v>
      </c>
      <c r="AA960" s="25">
        <f t="shared" si="72"/>
        <v>128</v>
      </c>
      <c r="AK960" s="25">
        <v>1</v>
      </c>
      <c r="AM960" s="25">
        <v>1350</v>
      </c>
      <c r="AN960" s="25">
        <v>100</v>
      </c>
      <c r="AP960" s="25">
        <f t="shared" si="71"/>
        <v>1</v>
      </c>
      <c r="AQ960" s="25" t="str">
        <f>VLOOKUP(C960,'시스템이펙트 참고자료'!$A:$B,2,FALSE)</f>
        <v>ACTIVE_STOMACHACHE_DEFENCE</v>
      </c>
      <c r="AS960" s="25">
        <v>1</v>
      </c>
      <c r="BD960" s="25">
        <v>1</v>
      </c>
    </row>
    <row r="961" spans="1:56" hidden="1">
      <c r="A961" s="25">
        <v>956</v>
      </c>
      <c r="B961" s="25" t="str">
        <f>VLOOKUP(C961,'시스템이펙트 참고자료'!$A:$C,2,FALSE)</f>
        <v>ACTIVE_POISON_DEFENCE</v>
      </c>
      <c r="C961" s="25">
        <v>680</v>
      </c>
      <c r="D961" s="25">
        <f>VLOOKUP(C961,'시스템이펙트 참고자료'!$A:$D,4,FALSE)</f>
        <v>0</v>
      </c>
      <c r="E961" s="25">
        <v>0</v>
      </c>
      <c r="F961" s="25">
        <v>0</v>
      </c>
      <c r="G961" s="25">
        <f t="shared" si="70"/>
        <v>1</v>
      </c>
      <c r="H961" s="25" t="s">
        <v>395</v>
      </c>
      <c r="I961" s="25">
        <v>1</v>
      </c>
      <c r="J961" s="25" t="str">
        <f>VLOOKUP(C961,'시스템이펙트 참고자료'!$A:$C,3,FALSE)</f>
        <v>절대값/상대값(%) 가능</v>
      </c>
      <c r="K961" s="25">
        <v>19</v>
      </c>
      <c r="M961" s="25">
        <v>2</v>
      </c>
      <c r="N961" s="25">
        <f t="shared" si="69"/>
        <v>1350</v>
      </c>
      <c r="O961" s="25">
        <v>1</v>
      </c>
      <c r="P961" s="25">
        <v>1</v>
      </c>
      <c r="Q961" s="25">
        <v>1</v>
      </c>
      <c r="R961" s="25">
        <v>1</v>
      </c>
      <c r="T961" s="25">
        <v>1</v>
      </c>
      <c r="AA961" s="25">
        <f t="shared" si="72"/>
        <v>128</v>
      </c>
      <c r="AK961" s="25">
        <v>1</v>
      </c>
      <c r="AM961" s="25">
        <v>1350</v>
      </c>
      <c r="AN961" s="25">
        <v>100</v>
      </c>
      <c r="AP961" s="25">
        <f t="shared" si="71"/>
        <v>1</v>
      </c>
      <c r="AQ961" s="25" t="str">
        <f>VLOOKUP(C961,'시스템이펙트 참고자료'!$A:$B,2,FALSE)</f>
        <v>ACTIVE_POISON_DEFENCE</v>
      </c>
      <c r="AS961" s="25">
        <v>1</v>
      </c>
      <c r="BD961" s="25">
        <v>1</v>
      </c>
    </row>
    <row r="962" spans="1:56" hidden="1">
      <c r="A962" s="25">
        <v>957</v>
      </c>
      <c r="B962" s="25" t="str">
        <f>VLOOKUP(C962,'시스템이펙트 참고자료'!$A:$C,2,FALSE)</f>
        <v>ACTIVE_DODGE_RATE_UP</v>
      </c>
      <c r="C962" s="25">
        <v>619</v>
      </c>
      <c r="D962" s="25">
        <f>VLOOKUP(C962,'시스템이펙트 참고자료'!$A:$D,4,FALSE)</f>
        <v>0</v>
      </c>
      <c r="E962" s="25">
        <v>0</v>
      </c>
      <c r="F962" s="25">
        <v>0</v>
      </c>
      <c r="G962" s="25">
        <f t="shared" si="70"/>
        <v>1</v>
      </c>
      <c r="H962" s="25" t="s">
        <v>395</v>
      </c>
      <c r="I962" s="25">
        <v>1</v>
      </c>
      <c r="J962" s="25" t="str">
        <f>VLOOKUP(C962,'시스템이펙트 참고자료'!$A:$C,3,FALSE)</f>
        <v>절대값/상대값(%) 가능</v>
      </c>
      <c r="K962" s="25">
        <v>19</v>
      </c>
      <c r="M962" s="25">
        <v>3</v>
      </c>
      <c r="N962" s="25">
        <f t="shared" si="69"/>
        <v>275</v>
      </c>
      <c r="O962" s="25">
        <v>1</v>
      </c>
      <c r="P962" s="25">
        <v>1</v>
      </c>
      <c r="Q962" s="25">
        <v>1</v>
      </c>
      <c r="R962" s="25">
        <v>1</v>
      </c>
      <c r="T962" s="25">
        <v>1</v>
      </c>
      <c r="AA962" s="25">
        <f t="shared" si="72"/>
        <v>128</v>
      </c>
      <c r="AK962" s="25">
        <v>1</v>
      </c>
      <c r="AM962" s="25">
        <v>275</v>
      </c>
      <c r="AN962" s="25">
        <v>100</v>
      </c>
      <c r="AP962" s="25">
        <f t="shared" si="71"/>
        <v>1</v>
      </c>
      <c r="AQ962" s="25" t="str">
        <f>VLOOKUP(C962,'시스템이펙트 참고자료'!$A:$B,2,FALSE)</f>
        <v>ACTIVE_DODGE_RATE_UP</v>
      </c>
      <c r="AS962" s="25">
        <v>1</v>
      </c>
      <c r="BD962" s="25">
        <v>1</v>
      </c>
    </row>
    <row r="963" spans="1:56" hidden="1">
      <c r="A963" s="25">
        <v>958</v>
      </c>
      <c r="B963" s="25" t="str">
        <f>VLOOKUP(C963,'시스템이펙트 참고자료'!$A:$C,2,FALSE)</f>
        <v>ACTIVE_DEX_UP</v>
      </c>
      <c r="C963" s="25">
        <v>613</v>
      </c>
      <c r="D963" s="25">
        <f>VLOOKUP(C963,'시스템이펙트 참고자료'!$A:$D,4,FALSE)</f>
        <v>0</v>
      </c>
      <c r="E963" s="25">
        <v>0</v>
      </c>
      <c r="F963" s="25">
        <v>0</v>
      </c>
      <c r="G963" s="25">
        <f t="shared" si="70"/>
        <v>3</v>
      </c>
      <c r="H963" s="25" t="s">
        <v>395</v>
      </c>
      <c r="I963" s="25">
        <v>1</v>
      </c>
      <c r="J963" s="25" t="str">
        <f>VLOOKUP(C963,'시스템이펙트 참고자료'!$A:$C,3,FALSE)</f>
        <v>절대값/상대값(%) 가능</v>
      </c>
      <c r="K963" s="25">
        <v>19</v>
      </c>
      <c r="M963" s="25">
        <v>3</v>
      </c>
      <c r="N963" s="25">
        <f t="shared" si="69"/>
        <v>44</v>
      </c>
      <c r="O963" s="25">
        <v>1</v>
      </c>
      <c r="P963" s="25">
        <v>1</v>
      </c>
      <c r="Q963" s="25">
        <v>1</v>
      </c>
      <c r="R963" s="25">
        <v>1</v>
      </c>
      <c r="T963" s="25">
        <v>1</v>
      </c>
      <c r="AA963" s="25">
        <f t="shared" si="72"/>
        <v>128</v>
      </c>
      <c r="AK963" s="25">
        <v>1</v>
      </c>
      <c r="AM963" s="25">
        <v>44</v>
      </c>
      <c r="AN963" s="25">
        <v>100</v>
      </c>
      <c r="AP963" s="25">
        <f t="shared" si="71"/>
        <v>3</v>
      </c>
      <c r="AQ963" s="25" t="str">
        <f>VLOOKUP(C963,'시스템이펙트 참고자료'!$A:$B,2,FALSE)</f>
        <v>ACTIVE_DEX_UP</v>
      </c>
      <c r="AS963" s="25">
        <v>1</v>
      </c>
      <c r="BD963" s="25">
        <v>1</v>
      </c>
    </row>
    <row r="964" spans="1:56" hidden="1">
      <c r="A964" s="25">
        <v>959</v>
      </c>
      <c r="B964" s="25" t="str">
        <f>VLOOKUP(C964,'시스템이펙트 참고자료'!$A:$C,2,FALSE)</f>
        <v>ACTIVE_FOC_UP</v>
      </c>
      <c r="C964" s="25">
        <v>612</v>
      </c>
      <c r="D964" s="25">
        <f>VLOOKUP(C964,'시스템이펙트 참고자료'!$A:$D,4,FALSE)</f>
        <v>0</v>
      </c>
      <c r="E964" s="25">
        <v>0</v>
      </c>
      <c r="F964" s="25">
        <v>0</v>
      </c>
      <c r="G964" s="25">
        <f t="shared" si="70"/>
        <v>2</v>
      </c>
      <c r="H964" s="25" t="s">
        <v>395</v>
      </c>
      <c r="I964" s="25">
        <v>1</v>
      </c>
      <c r="J964" s="25" t="str">
        <f>VLOOKUP(C964,'시스템이펙트 참고자료'!$A:$C,3,FALSE)</f>
        <v>절대값/상대값(%) 가능</v>
      </c>
      <c r="K964" s="25">
        <v>19</v>
      </c>
      <c r="M964" s="25">
        <v>3</v>
      </c>
      <c r="N964" s="25">
        <f t="shared" si="69"/>
        <v>53</v>
      </c>
      <c r="O964" s="25">
        <v>1</v>
      </c>
      <c r="P964" s="25">
        <v>1</v>
      </c>
      <c r="Q964" s="25">
        <v>1</v>
      </c>
      <c r="R964" s="25">
        <v>1</v>
      </c>
      <c r="T964" s="25">
        <v>1</v>
      </c>
      <c r="AA964" s="25">
        <f t="shared" si="72"/>
        <v>128</v>
      </c>
      <c r="AK964" s="25">
        <v>1</v>
      </c>
      <c r="AM964" s="25">
        <v>53</v>
      </c>
      <c r="AN964" s="25">
        <v>100</v>
      </c>
      <c r="AP964" s="25">
        <f t="shared" si="71"/>
        <v>2</v>
      </c>
      <c r="AQ964" s="25" t="str">
        <f>VLOOKUP(C964,'시스템이펙트 참고자료'!$A:$B,2,FALSE)</f>
        <v>ACTIVE_FOC_UP</v>
      </c>
      <c r="AS964" s="25">
        <v>1</v>
      </c>
      <c r="BD964" s="25">
        <v>1</v>
      </c>
    </row>
    <row r="965" spans="1:56" hidden="1">
      <c r="A965" s="25">
        <v>960</v>
      </c>
      <c r="B965" s="25" t="str">
        <f>VLOOKUP(C965,'시스템이펙트 참고자료'!$A:$C,2,FALSE)</f>
        <v>ACTIVE_BLEEDING_KEEPTIME_DOWN</v>
      </c>
      <c r="C965" s="25">
        <v>648</v>
      </c>
      <c r="D965" s="25">
        <f>VLOOKUP(C965,'시스템이펙트 참고자료'!$A:$D,4,FALSE)</f>
        <v>1</v>
      </c>
      <c r="E965" s="25">
        <v>0</v>
      </c>
      <c r="F965" s="25">
        <v>0</v>
      </c>
      <c r="G965" s="25">
        <f t="shared" si="70"/>
        <v>5</v>
      </c>
      <c r="H965" s="25" t="s">
        <v>395</v>
      </c>
      <c r="I965" s="25">
        <v>1</v>
      </c>
      <c r="J965" s="25" t="str">
        <f>VLOOKUP(C965,'시스템이펙트 참고자료'!$A:$C,3,FALSE)</f>
        <v>상대값(%)값만 가능</v>
      </c>
      <c r="K965" s="25">
        <v>19</v>
      </c>
      <c r="M965" s="25">
        <v>3</v>
      </c>
      <c r="N965" s="25">
        <f t="shared" si="69"/>
        <v>20</v>
      </c>
      <c r="O965" s="25">
        <v>1</v>
      </c>
      <c r="P965" s="25">
        <v>1</v>
      </c>
      <c r="Q965" s="25">
        <v>1</v>
      </c>
      <c r="R965" s="25">
        <v>1</v>
      </c>
      <c r="T965" s="25">
        <v>1</v>
      </c>
      <c r="AA965" s="25">
        <f t="shared" si="72"/>
        <v>128</v>
      </c>
      <c r="AK965" s="25">
        <v>1</v>
      </c>
      <c r="AM965" s="25">
        <v>20</v>
      </c>
      <c r="AN965" s="25">
        <v>100</v>
      </c>
      <c r="AP965" s="25">
        <f t="shared" si="71"/>
        <v>5</v>
      </c>
      <c r="AQ965" s="25" t="str">
        <f>VLOOKUP(C965,'시스템이펙트 참고자료'!$A:$B,2,FALSE)</f>
        <v>ACTIVE_BLEEDING_KEEPTIME_DOWN</v>
      </c>
      <c r="AS965" s="25">
        <v>1</v>
      </c>
      <c r="BD965" s="25">
        <v>1</v>
      </c>
    </row>
    <row r="966" spans="1:56" hidden="1">
      <c r="A966" s="25">
        <v>961</v>
      </c>
      <c r="B966" s="25" t="str">
        <f>VLOOKUP(C966,'시스템이펙트 참고자료'!$A:$C,2,FALSE)</f>
        <v>ACTIVE_POISON_KEEPTIME_DOWN</v>
      </c>
      <c r="C966" s="25">
        <v>649</v>
      </c>
      <c r="D966" s="25">
        <f>VLOOKUP(C966,'시스템이펙트 참고자료'!$A:$D,4,FALSE)</f>
        <v>1</v>
      </c>
      <c r="E966" s="25">
        <v>0</v>
      </c>
      <c r="F966" s="25">
        <v>0</v>
      </c>
      <c r="G966" s="25">
        <f t="shared" si="70"/>
        <v>5</v>
      </c>
      <c r="H966" s="25" t="s">
        <v>395</v>
      </c>
      <c r="I966" s="25">
        <v>1</v>
      </c>
      <c r="J966" s="25" t="str">
        <f>VLOOKUP(C966,'시스템이펙트 참고자료'!$A:$C,3,FALSE)</f>
        <v>상대값(%)값만 가능</v>
      </c>
      <c r="K966" s="25">
        <v>19</v>
      </c>
      <c r="M966" s="25">
        <v>3</v>
      </c>
      <c r="N966" s="25">
        <f t="shared" si="69"/>
        <v>20</v>
      </c>
      <c r="O966" s="25">
        <v>1</v>
      </c>
      <c r="P966" s="25">
        <v>1</v>
      </c>
      <c r="Q966" s="25">
        <v>1</v>
      </c>
      <c r="R966" s="25">
        <v>1</v>
      </c>
      <c r="T966" s="25">
        <v>1</v>
      </c>
      <c r="AA966" s="25">
        <f t="shared" si="72"/>
        <v>128</v>
      </c>
      <c r="AK966" s="25">
        <v>1</v>
      </c>
      <c r="AM966" s="25">
        <v>20</v>
      </c>
      <c r="AN966" s="25">
        <v>100</v>
      </c>
      <c r="AP966" s="25">
        <f t="shared" si="71"/>
        <v>5</v>
      </c>
      <c r="AQ966" s="25" t="str">
        <f>VLOOKUP(C966,'시스템이펙트 참고자료'!$A:$B,2,FALSE)</f>
        <v>ACTIVE_POISON_KEEPTIME_DOWN</v>
      </c>
      <c r="AS966" s="25">
        <v>1</v>
      </c>
      <c r="BD966" s="25">
        <v>1</v>
      </c>
    </row>
    <row r="967" spans="1:56" hidden="1">
      <c r="A967" s="25">
        <v>962</v>
      </c>
      <c r="B967" s="25" t="str">
        <f>VLOOKUP(C967,'시스템이펙트 참고자료'!$A:$C,2,FALSE)</f>
        <v>ACTIVE_STOMACHACHE_KEEPTIME_DOWN</v>
      </c>
      <c r="C967" s="25">
        <v>650</v>
      </c>
      <c r="D967" s="25">
        <f>VLOOKUP(C967,'시스템이펙트 참고자료'!$A:$D,4,FALSE)</f>
        <v>1</v>
      </c>
      <c r="E967" s="25">
        <v>0</v>
      </c>
      <c r="F967" s="25">
        <v>0</v>
      </c>
      <c r="G967" s="25">
        <f t="shared" si="70"/>
        <v>5</v>
      </c>
      <c r="H967" s="25" t="s">
        <v>395</v>
      </c>
      <c r="I967" s="25">
        <v>1</v>
      </c>
      <c r="J967" s="25" t="str">
        <f>VLOOKUP(C967,'시스템이펙트 참고자료'!$A:$C,3,FALSE)</f>
        <v>상대값(%)값만 가능</v>
      </c>
      <c r="K967" s="25">
        <v>19</v>
      </c>
      <c r="M967" s="25">
        <v>3</v>
      </c>
      <c r="N967" s="25">
        <f t="shared" ref="N967:N1030" si="73">IF(BD967&gt;0,INT(AM967/AK967),0)</f>
        <v>20</v>
      </c>
      <c r="O967" s="25">
        <v>1</v>
      </c>
      <c r="P967" s="25">
        <v>1</v>
      </c>
      <c r="Q967" s="25">
        <v>1</v>
      </c>
      <c r="R967" s="25">
        <v>1</v>
      </c>
      <c r="T967" s="25">
        <v>1</v>
      </c>
      <c r="AA967" s="25">
        <f t="shared" si="72"/>
        <v>128</v>
      </c>
      <c r="AK967" s="25">
        <v>1</v>
      </c>
      <c r="AM967" s="25">
        <v>20</v>
      </c>
      <c r="AN967" s="25">
        <v>100</v>
      </c>
      <c r="AP967" s="25">
        <f t="shared" si="71"/>
        <v>5</v>
      </c>
      <c r="AQ967" s="25" t="str">
        <f>VLOOKUP(C967,'시스템이펙트 참고자료'!$A:$B,2,FALSE)</f>
        <v>ACTIVE_STOMACHACHE_KEEPTIME_DOWN</v>
      </c>
      <c r="AS967" s="25">
        <v>1</v>
      </c>
      <c r="BD967" s="25">
        <v>1</v>
      </c>
    </row>
    <row r="968" spans="1:56" hidden="1">
      <c r="A968" s="25">
        <v>963</v>
      </c>
      <c r="B968" s="25" t="str">
        <f>VLOOKUP(C968,'시스템이펙트 참고자료'!$A:$C,2,FALSE)</f>
        <v>ACTIVE_CURSE_TOLERANCE</v>
      </c>
      <c r="C968" s="25">
        <v>631</v>
      </c>
      <c r="D968" s="25">
        <f>VLOOKUP(C968,'시스템이펙트 참고자료'!$A:$D,4,FALSE)</f>
        <v>0</v>
      </c>
      <c r="E968" s="25">
        <v>0</v>
      </c>
      <c r="F968" s="25">
        <v>0</v>
      </c>
      <c r="G968" s="25">
        <f t="shared" si="70"/>
        <v>1</v>
      </c>
      <c r="H968" s="25" t="s">
        <v>395</v>
      </c>
      <c r="I968" s="25">
        <v>1</v>
      </c>
      <c r="J968" s="25" t="str">
        <f>VLOOKUP(C968,'시스템이펙트 참고자료'!$A:$C,3,FALSE)</f>
        <v>절대값/상대값(%) 가능</v>
      </c>
      <c r="K968" s="25">
        <v>19</v>
      </c>
      <c r="M968" s="25">
        <v>4</v>
      </c>
      <c r="N968" s="25">
        <f t="shared" si="73"/>
        <v>220</v>
      </c>
      <c r="O968" s="25">
        <v>1</v>
      </c>
      <c r="P968" s="25">
        <v>1</v>
      </c>
      <c r="Q968" s="25">
        <v>1</v>
      </c>
      <c r="R968" s="25">
        <v>1</v>
      </c>
      <c r="T968" s="25">
        <v>1</v>
      </c>
      <c r="AA968" s="25">
        <f t="shared" si="72"/>
        <v>128</v>
      </c>
      <c r="AK968" s="25">
        <v>1</v>
      </c>
      <c r="AM968" s="25">
        <v>220</v>
      </c>
      <c r="AN968" s="25">
        <v>100</v>
      </c>
      <c r="AP968" s="25">
        <f t="shared" si="71"/>
        <v>1</v>
      </c>
      <c r="AQ968" s="25" t="str">
        <f>VLOOKUP(C968,'시스템이펙트 참고자료'!$A:$B,2,FALSE)</f>
        <v>ACTIVE_CURSE_TOLERANCE</v>
      </c>
      <c r="AS968" s="25">
        <v>1</v>
      </c>
      <c r="BD968" s="25">
        <v>1</v>
      </c>
    </row>
    <row r="969" spans="1:56" hidden="1">
      <c r="A969" s="25">
        <v>964</v>
      </c>
      <c r="B969" s="25" t="str">
        <f>VLOOKUP(C969,'시스템이펙트 참고자료'!$A:$C,2,FALSE)</f>
        <v>ACTIVE_PARALYZE_KEEPTIME_DOWN</v>
      </c>
      <c r="C969" s="25">
        <v>643</v>
      </c>
      <c r="D969" s="25">
        <f>VLOOKUP(C969,'시스템이펙트 참고자료'!$A:$D,4,FALSE)</f>
        <v>1</v>
      </c>
      <c r="E969" s="25">
        <v>0</v>
      </c>
      <c r="F969" s="25">
        <v>0</v>
      </c>
      <c r="G969" s="25">
        <f t="shared" si="70"/>
        <v>5</v>
      </c>
      <c r="H969" s="25" t="s">
        <v>395</v>
      </c>
      <c r="I969" s="25">
        <v>1</v>
      </c>
      <c r="J969" s="25" t="str">
        <f>VLOOKUP(C969,'시스템이펙트 참고자료'!$A:$C,3,FALSE)</f>
        <v>상대값(%)값만 가능</v>
      </c>
      <c r="K969" s="25">
        <v>19</v>
      </c>
      <c r="M969" s="25">
        <v>4</v>
      </c>
      <c r="N969" s="25">
        <f t="shared" si="73"/>
        <v>20</v>
      </c>
      <c r="O969" s="25">
        <v>1</v>
      </c>
      <c r="P969" s="25">
        <v>1</v>
      </c>
      <c r="Q969" s="25">
        <v>1</v>
      </c>
      <c r="R969" s="25">
        <v>1</v>
      </c>
      <c r="T969" s="25">
        <v>1</v>
      </c>
      <c r="AA969" s="25">
        <f t="shared" si="72"/>
        <v>128</v>
      </c>
      <c r="AK969" s="25">
        <v>1</v>
      </c>
      <c r="AM969" s="25">
        <v>20</v>
      </c>
      <c r="AN969" s="25">
        <v>100</v>
      </c>
      <c r="AP969" s="25">
        <f t="shared" si="71"/>
        <v>5</v>
      </c>
      <c r="AQ969" s="25" t="str">
        <f>VLOOKUP(C969,'시스템이펙트 참고자료'!$A:$B,2,FALSE)</f>
        <v>ACTIVE_PARALYZE_KEEPTIME_DOWN</v>
      </c>
      <c r="AS969" s="25">
        <v>1</v>
      </c>
      <c r="BD969" s="25">
        <v>1</v>
      </c>
    </row>
    <row r="970" spans="1:56" hidden="1">
      <c r="A970" s="25">
        <v>965</v>
      </c>
      <c r="B970" s="25" t="str">
        <f>VLOOKUP(C970,'시스템이펙트 참고자료'!$A:$C,2,FALSE)</f>
        <v>ACTIVE_TERROR_KEEPTIME_DOWN</v>
      </c>
      <c r="C970" s="25">
        <v>644</v>
      </c>
      <c r="D970" s="25">
        <f>VLOOKUP(C970,'시스템이펙트 참고자료'!$A:$D,4,FALSE)</f>
        <v>1</v>
      </c>
      <c r="E970" s="25">
        <v>0</v>
      </c>
      <c r="F970" s="25">
        <v>0</v>
      </c>
      <c r="G970" s="25">
        <f t="shared" si="70"/>
        <v>5</v>
      </c>
      <c r="H970" s="25" t="s">
        <v>395</v>
      </c>
      <c r="I970" s="25">
        <v>1</v>
      </c>
      <c r="J970" s="25" t="str">
        <f>VLOOKUP(C970,'시스템이펙트 참고자료'!$A:$C,3,FALSE)</f>
        <v>상대값(%)값만 가능</v>
      </c>
      <c r="K970" s="25">
        <v>19</v>
      </c>
      <c r="M970" s="25">
        <v>4</v>
      </c>
      <c r="N970" s="25">
        <f t="shared" si="73"/>
        <v>20</v>
      </c>
      <c r="O970" s="25">
        <v>1</v>
      </c>
      <c r="P970" s="25">
        <v>1</v>
      </c>
      <c r="Q970" s="25">
        <v>1</v>
      </c>
      <c r="R970" s="25">
        <v>1</v>
      </c>
      <c r="T970" s="25">
        <v>1</v>
      </c>
      <c r="AA970" s="25">
        <f t="shared" si="72"/>
        <v>128</v>
      </c>
      <c r="AK970" s="25">
        <v>1</v>
      </c>
      <c r="AM970" s="25">
        <v>20</v>
      </c>
      <c r="AN970" s="25">
        <v>100</v>
      </c>
      <c r="AP970" s="25">
        <f t="shared" si="71"/>
        <v>5</v>
      </c>
      <c r="AQ970" s="25" t="str">
        <f>VLOOKUP(C970,'시스템이펙트 참고자료'!$A:$B,2,FALSE)</f>
        <v>ACTIVE_TERROR_KEEPTIME_DOWN</v>
      </c>
      <c r="AS970" s="25">
        <v>1</v>
      </c>
      <c r="BD970" s="25">
        <v>1</v>
      </c>
    </row>
    <row r="971" spans="1:56" hidden="1">
      <c r="A971" s="25">
        <v>966</v>
      </c>
      <c r="B971" s="25" t="str">
        <f>VLOOKUP(C971,'시스템이펙트 참고자료'!$A:$C,2,FALSE)</f>
        <v>ACTIVE_CONFUSE_KEEPTIME_DOWN</v>
      </c>
      <c r="C971" s="25">
        <v>645</v>
      </c>
      <c r="D971" s="25">
        <f>VLOOKUP(C971,'시스템이펙트 참고자료'!$A:$D,4,FALSE)</f>
        <v>1</v>
      </c>
      <c r="E971" s="25">
        <v>0</v>
      </c>
      <c r="F971" s="25">
        <v>0</v>
      </c>
      <c r="G971" s="25">
        <f t="shared" si="70"/>
        <v>5</v>
      </c>
      <c r="H971" s="25" t="s">
        <v>395</v>
      </c>
      <c r="I971" s="25">
        <v>1</v>
      </c>
      <c r="J971" s="25" t="str">
        <f>VLOOKUP(C971,'시스템이펙트 참고자료'!$A:$C,3,FALSE)</f>
        <v>상대값(%)값만 가능</v>
      </c>
      <c r="K971" s="25">
        <v>19</v>
      </c>
      <c r="M971" s="25">
        <v>4</v>
      </c>
      <c r="N971" s="25">
        <f t="shared" si="73"/>
        <v>20</v>
      </c>
      <c r="O971" s="25">
        <v>1</v>
      </c>
      <c r="P971" s="25">
        <v>1</v>
      </c>
      <c r="Q971" s="25">
        <v>1</v>
      </c>
      <c r="R971" s="25">
        <v>1</v>
      </c>
      <c r="T971" s="25">
        <v>1</v>
      </c>
      <c r="AA971" s="25">
        <f t="shared" si="72"/>
        <v>128</v>
      </c>
      <c r="AK971" s="25">
        <v>1</v>
      </c>
      <c r="AM971" s="25">
        <v>20</v>
      </c>
      <c r="AN971" s="25">
        <v>100</v>
      </c>
      <c r="AP971" s="25">
        <f t="shared" si="71"/>
        <v>5</v>
      </c>
      <c r="AQ971" s="25" t="str">
        <f>VLOOKUP(C971,'시스템이펙트 참고자료'!$A:$B,2,FALSE)</f>
        <v>ACTIVE_CONFUSE_KEEPTIME_DOWN</v>
      </c>
      <c r="AS971" s="25">
        <v>1</v>
      </c>
      <c r="BD971" s="25">
        <v>1</v>
      </c>
    </row>
    <row r="972" spans="1:56" hidden="1">
      <c r="A972" s="25">
        <v>967</v>
      </c>
      <c r="B972" s="25" t="str">
        <f>VLOOKUP(C972,'시스템이펙트 참고자료'!$A:$C,2,FALSE)</f>
        <v>ACTIVE_STONE_KEEPTIME_DOWN</v>
      </c>
      <c r="C972" s="25">
        <v>646</v>
      </c>
      <c r="D972" s="25">
        <f>VLOOKUP(C972,'시스템이펙트 참고자료'!$A:$D,4,FALSE)</f>
        <v>1</v>
      </c>
      <c r="E972" s="25">
        <v>0</v>
      </c>
      <c r="F972" s="25">
        <v>0</v>
      </c>
      <c r="G972" s="25">
        <f t="shared" si="70"/>
        <v>5</v>
      </c>
      <c r="H972" s="25" t="s">
        <v>395</v>
      </c>
      <c r="I972" s="25">
        <v>1</v>
      </c>
      <c r="J972" s="25" t="str">
        <f>VLOOKUP(C972,'시스템이펙트 참고자료'!$A:$C,3,FALSE)</f>
        <v>상대값(%)값만 가능</v>
      </c>
      <c r="K972" s="25">
        <v>19</v>
      </c>
      <c r="M972" s="25">
        <v>4</v>
      </c>
      <c r="N972" s="25">
        <f t="shared" si="73"/>
        <v>20</v>
      </c>
      <c r="O972" s="25">
        <v>1</v>
      </c>
      <c r="P972" s="25">
        <v>1</v>
      </c>
      <c r="Q972" s="25">
        <v>1</v>
      </c>
      <c r="R972" s="25">
        <v>1</v>
      </c>
      <c r="T972" s="25">
        <v>1</v>
      </c>
      <c r="AA972" s="25">
        <f t="shared" si="72"/>
        <v>128</v>
      </c>
      <c r="AK972" s="25">
        <v>1</v>
      </c>
      <c r="AM972" s="25">
        <v>20</v>
      </c>
      <c r="AN972" s="25">
        <v>100</v>
      </c>
      <c r="AP972" s="25">
        <f t="shared" si="71"/>
        <v>5</v>
      </c>
      <c r="AQ972" s="25" t="str">
        <f>VLOOKUP(C972,'시스템이펙트 참고자료'!$A:$B,2,FALSE)</f>
        <v>ACTIVE_STONE_KEEPTIME_DOWN</v>
      </c>
      <c r="AS972" s="25">
        <v>1</v>
      </c>
      <c r="BD972" s="25">
        <v>1</v>
      </c>
    </row>
    <row r="973" spans="1:56" hidden="1">
      <c r="A973" s="25">
        <v>968</v>
      </c>
      <c r="B973" s="25" t="str">
        <f>VLOOKUP(C973,'시스템이펙트 참고자료'!$A:$C,2,FALSE)</f>
        <v>ACTIVE_CANDY_KEEPTIME_DOWN</v>
      </c>
      <c r="C973" s="25">
        <v>647</v>
      </c>
      <c r="D973" s="25">
        <f>VLOOKUP(C973,'시스템이펙트 참고자료'!$A:$D,4,FALSE)</f>
        <v>1</v>
      </c>
      <c r="E973" s="25">
        <v>0</v>
      </c>
      <c r="F973" s="25">
        <v>0</v>
      </c>
      <c r="G973" s="25">
        <f t="shared" si="70"/>
        <v>5</v>
      </c>
      <c r="H973" s="25" t="s">
        <v>395</v>
      </c>
      <c r="I973" s="25">
        <v>1</v>
      </c>
      <c r="J973" s="25" t="str">
        <f>VLOOKUP(C973,'시스템이펙트 참고자료'!$A:$C,3,FALSE)</f>
        <v>상대값(%)값만 가능</v>
      </c>
      <c r="K973" s="25">
        <v>19</v>
      </c>
      <c r="M973" s="25">
        <v>4</v>
      </c>
      <c r="N973" s="25">
        <f t="shared" si="73"/>
        <v>20</v>
      </c>
      <c r="O973" s="25">
        <v>1</v>
      </c>
      <c r="P973" s="25">
        <v>1</v>
      </c>
      <c r="Q973" s="25">
        <v>1</v>
      </c>
      <c r="R973" s="25">
        <v>1</v>
      </c>
      <c r="T973" s="25">
        <v>1</v>
      </c>
      <c r="AA973" s="25">
        <f t="shared" si="72"/>
        <v>128</v>
      </c>
      <c r="AK973" s="25">
        <v>1</v>
      </c>
      <c r="AM973" s="25">
        <v>20</v>
      </c>
      <c r="AN973" s="25">
        <v>100</v>
      </c>
      <c r="AP973" s="25">
        <f t="shared" si="71"/>
        <v>5</v>
      </c>
      <c r="AQ973" s="25" t="str">
        <f>VLOOKUP(C973,'시스템이펙트 참고자료'!$A:$B,2,FALSE)</f>
        <v>ACTIVE_CANDY_KEEPTIME_DOWN</v>
      </c>
      <c r="AS973" s="25">
        <v>1</v>
      </c>
      <c r="BD973" s="25">
        <v>1</v>
      </c>
    </row>
    <row r="974" spans="1:56" hidden="1">
      <c r="A974" s="25">
        <v>969</v>
      </c>
      <c r="B974" s="25" t="str">
        <f>VLOOKUP(C974,'시스템이펙트 참고자료'!$A:$C,2,FALSE)</f>
        <v>ACTIVE_BLEEDING_KEEPTIME_DOWN</v>
      </c>
      <c r="C974" s="25">
        <v>648</v>
      </c>
      <c r="D974" s="25">
        <f>VLOOKUP(C974,'시스템이펙트 참고자료'!$A:$D,4,FALSE)</f>
        <v>1</v>
      </c>
      <c r="E974" s="25">
        <v>0</v>
      </c>
      <c r="F974" s="25">
        <v>0</v>
      </c>
      <c r="G974" s="25">
        <f t="shared" si="70"/>
        <v>5</v>
      </c>
      <c r="H974" s="25" t="s">
        <v>395</v>
      </c>
      <c r="I974" s="25">
        <v>1</v>
      </c>
      <c r="J974" s="25" t="str">
        <f>VLOOKUP(C974,'시스템이펙트 참고자료'!$A:$C,3,FALSE)</f>
        <v>상대값(%)값만 가능</v>
      </c>
      <c r="K974" s="25">
        <v>19</v>
      </c>
      <c r="M974" s="25">
        <v>4</v>
      </c>
      <c r="N974" s="25">
        <f t="shared" si="73"/>
        <v>20</v>
      </c>
      <c r="O974" s="25">
        <v>1</v>
      </c>
      <c r="P974" s="25">
        <v>1</v>
      </c>
      <c r="Q974" s="25">
        <v>1</v>
      </c>
      <c r="R974" s="25">
        <v>1</v>
      </c>
      <c r="T974" s="25">
        <v>1</v>
      </c>
      <c r="AA974" s="25">
        <f t="shared" si="72"/>
        <v>128</v>
      </c>
      <c r="AK974" s="25">
        <v>1</v>
      </c>
      <c r="AM974" s="25">
        <v>20</v>
      </c>
      <c r="AN974" s="25">
        <v>100</v>
      </c>
      <c r="AP974" s="25">
        <f t="shared" si="71"/>
        <v>5</v>
      </c>
      <c r="AQ974" s="25" t="str">
        <f>VLOOKUP(C974,'시스템이펙트 참고자료'!$A:$B,2,FALSE)</f>
        <v>ACTIVE_BLEEDING_KEEPTIME_DOWN</v>
      </c>
      <c r="AS974" s="25">
        <v>1</v>
      </c>
      <c r="BD974" s="25">
        <v>1</v>
      </c>
    </row>
    <row r="975" spans="1:56" hidden="1">
      <c r="A975" s="25">
        <v>970</v>
      </c>
      <c r="B975" s="25" t="str">
        <f>VLOOKUP(C975,'시스템이펙트 참고자료'!$A:$C,2,FALSE)</f>
        <v>ACTIVE_POISON_KEEPTIME_DOWN</v>
      </c>
      <c r="C975" s="25">
        <v>649</v>
      </c>
      <c r="D975" s="25">
        <f>VLOOKUP(C975,'시스템이펙트 참고자료'!$A:$D,4,FALSE)</f>
        <v>1</v>
      </c>
      <c r="E975" s="25">
        <v>0</v>
      </c>
      <c r="F975" s="25">
        <v>0</v>
      </c>
      <c r="G975" s="25">
        <f t="shared" si="70"/>
        <v>5</v>
      </c>
      <c r="H975" s="25" t="s">
        <v>395</v>
      </c>
      <c r="I975" s="25">
        <v>1</v>
      </c>
      <c r="J975" s="25" t="str">
        <f>VLOOKUP(C975,'시스템이펙트 참고자료'!$A:$C,3,FALSE)</f>
        <v>상대값(%)값만 가능</v>
      </c>
      <c r="K975" s="25">
        <v>19</v>
      </c>
      <c r="M975" s="25">
        <v>4</v>
      </c>
      <c r="N975" s="25">
        <f t="shared" si="73"/>
        <v>20</v>
      </c>
      <c r="O975" s="25">
        <v>1</v>
      </c>
      <c r="P975" s="25">
        <v>1</v>
      </c>
      <c r="Q975" s="25">
        <v>1</v>
      </c>
      <c r="R975" s="25">
        <v>1</v>
      </c>
      <c r="T975" s="25">
        <v>1</v>
      </c>
      <c r="AA975" s="25">
        <f t="shared" si="72"/>
        <v>128</v>
      </c>
      <c r="AK975" s="25">
        <v>1</v>
      </c>
      <c r="AM975" s="25">
        <v>20</v>
      </c>
      <c r="AN975" s="25">
        <v>100</v>
      </c>
      <c r="AP975" s="25">
        <f t="shared" si="71"/>
        <v>5</v>
      </c>
      <c r="AQ975" s="25" t="str">
        <f>VLOOKUP(C975,'시스템이펙트 참고자료'!$A:$B,2,FALSE)</f>
        <v>ACTIVE_POISON_KEEPTIME_DOWN</v>
      </c>
      <c r="AS975" s="25">
        <v>1</v>
      </c>
      <c r="BD975" s="25">
        <v>1</v>
      </c>
    </row>
    <row r="976" spans="1:56" hidden="1">
      <c r="A976" s="25">
        <v>971</v>
      </c>
      <c r="B976" s="25" t="str">
        <f>VLOOKUP(C976,'시스템이펙트 참고자료'!$A:$C,2,FALSE)</f>
        <v>ACTIVE_STOMACHACHE_KEEPTIME_DOWN</v>
      </c>
      <c r="C976" s="25">
        <v>650</v>
      </c>
      <c r="D976" s="25">
        <f>VLOOKUP(C976,'시스템이펙트 참고자료'!$A:$D,4,FALSE)</f>
        <v>1</v>
      </c>
      <c r="E976" s="25">
        <v>0</v>
      </c>
      <c r="F976" s="25">
        <v>0</v>
      </c>
      <c r="G976" s="25">
        <f t="shared" ref="G976:G1039" si="74">IF(N976&gt;0,INT(100/N976+0.99),0)</f>
        <v>5</v>
      </c>
      <c r="H976" s="25" t="s">
        <v>395</v>
      </c>
      <c r="I976" s="25">
        <v>1</v>
      </c>
      <c r="J976" s="25" t="str">
        <f>VLOOKUP(C976,'시스템이펙트 참고자료'!$A:$C,3,FALSE)</f>
        <v>상대값(%)값만 가능</v>
      </c>
      <c r="K976" s="25">
        <v>19</v>
      </c>
      <c r="M976" s="25">
        <v>4</v>
      </c>
      <c r="N976" s="25">
        <f t="shared" si="73"/>
        <v>20</v>
      </c>
      <c r="O976" s="25">
        <v>1</v>
      </c>
      <c r="P976" s="25">
        <v>1</v>
      </c>
      <c r="Q976" s="25">
        <v>1</v>
      </c>
      <c r="R976" s="25">
        <v>1</v>
      </c>
      <c r="T976" s="25">
        <v>1</v>
      </c>
      <c r="AA976" s="25">
        <f t="shared" si="72"/>
        <v>128</v>
      </c>
      <c r="AK976" s="25">
        <v>1</v>
      </c>
      <c r="AM976" s="25">
        <v>20</v>
      </c>
      <c r="AN976" s="25">
        <v>100</v>
      </c>
      <c r="AP976" s="25">
        <f t="shared" ref="AP976:AP1039" si="75">INT(100/N976+0.99)</f>
        <v>5</v>
      </c>
      <c r="AQ976" s="25" t="str">
        <f>VLOOKUP(C976,'시스템이펙트 참고자료'!$A:$B,2,FALSE)</f>
        <v>ACTIVE_STOMACHACHE_KEEPTIME_DOWN</v>
      </c>
      <c r="AS976" s="25">
        <v>1</v>
      </c>
      <c r="BD976" s="25">
        <v>1</v>
      </c>
    </row>
    <row r="977" spans="1:56" hidden="1">
      <c r="A977" s="25">
        <v>972</v>
      </c>
      <c r="B977" s="25" t="str">
        <f>VLOOKUP(C977,'시스템이펙트 참고자료'!$A:$C,2,FALSE)</f>
        <v>ACTIVE_MAX_LP_UP</v>
      </c>
      <c r="C977" s="25">
        <v>603</v>
      </c>
      <c r="D977" s="25">
        <f>VLOOKUP(C977,'시스템이펙트 참고자료'!$A:$D,4,FALSE)</f>
        <v>0</v>
      </c>
      <c r="E977" s="25">
        <v>0</v>
      </c>
      <c r="F977" s="25">
        <v>0</v>
      </c>
      <c r="G977" s="25">
        <f t="shared" si="74"/>
        <v>1</v>
      </c>
      <c r="H977" s="25" t="s">
        <v>395</v>
      </c>
      <c r="I977" s="25">
        <v>1</v>
      </c>
      <c r="J977" s="25" t="str">
        <f>VLOOKUP(C977,'시스템이펙트 참고자료'!$A:$C,3,FALSE)</f>
        <v>절대값/상대값(%) 가능</v>
      </c>
      <c r="K977" s="25">
        <v>19</v>
      </c>
      <c r="M977" s="25">
        <v>5</v>
      </c>
      <c r="N977" s="25">
        <f t="shared" si="73"/>
        <v>2762</v>
      </c>
      <c r="O977" s="25">
        <v>1</v>
      </c>
      <c r="P977" s="25">
        <v>1</v>
      </c>
      <c r="Q977" s="25">
        <v>1</v>
      </c>
      <c r="R977" s="25">
        <v>1</v>
      </c>
      <c r="T977" s="25">
        <v>1</v>
      </c>
      <c r="AA977" s="25">
        <f t="shared" si="72"/>
        <v>128</v>
      </c>
      <c r="AK977" s="25">
        <v>1</v>
      </c>
      <c r="AM977" s="25">
        <v>2762</v>
      </c>
      <c r="AN977" s="25">
        <v>100</v>
      </c>
      <c r="AP977" s="25">
        <f t="shared" si="75"/>
        <v>1</v>
      </c>
      <c r="AQ977" s="25" t="str">
        <f>VLOOKUP(C977,'시스템이펙트 참고자료'!$A:$B,2,FALSE)</f>
        <v>ACTIVE_MAX_LP_UP</v>
      </c>
      <c r="AS977" s="25">
        <v>1</v>
      </c>
      <c r="BD977" s="25">
        <v>1</v>
      </c>
    </row>
    <row r="978" spans="1:56" hidden="1">
      <c r="A978" s="25">
        <v>973</v>
      </c>
      <c r="B978" s="25" t="str">
        <f>VLOOKUP(C978,'시스템이펙트 참고자료'!$A:$C,2,FALSE)</f>
        <v>ACTIVE_CON_UP</v>
      </c>
      <c r="C978" s="25">
        <v>611</v>
      </c>
      <c r="D978" s="25">
        <f>VLOOKUP(C978,'시스템이펙트 참고자료'!$A:$D,4,FALSE)</f>
        <v>0</v>
      </c>
      <c r="E978" s="25">
        <v>0</v>
      </c>
      <c r="F978" s="25">
        <v>0</v>
      </c>
      <c r="G978" s="25">
        <f t="shared" si="74"/>
        <v>3</v>
      </c>
      <c r="H978" s="25" t="s">
        <v>395</v>
      </c>
      <c r="I978" s="25">
        <v>1</v>
      </c>
      <c r="J978" s="25" t="str">
        <f>VLOOKUP(C978,'시스템이펙트 참고자료'!$A:$C,3,FALSE)</f>
        <v>절대값/상대값(%) 가능</v>
      </c>
      <c r="K978" s="25">
        <v>19</v>
      </c>
      <c r="M978" s="25">
        <v>5</v>
      </c>
      <c r="N978" s="25">
        <f t="shared" si="73"/>
        <v>48</v>
      </c>
      <c r="O978" s="25">
        <v>1</v>
      </c>
      <c r="P978" s="25">
        <v>1</v>
      </c>
      <c r="Q978" s="25">
        <v>1</v>
      </c>
      <c r="R978" s="25">
        <v>1</v>
      </c>
      <c r="T978" s="25">
        <v>1</v>
      </c>
      <c r="AA978" s="25">
        <f t="shared" si="72"/>
        <v>128</v>
      </c>
      <c r="AK978" s="25">
        <v>1</v>
      </c>
      <c r="AM978" s="25">
        <v>48</v>
      </c>
      <c r="AN978" s="25">
        <v>100</v>
      </c>
      <c r="AP978" s="25">
        <f t="shared" si="75"/>
        <v>3</v>
      </c>
      <c r="AQ978" s="25" t="str">
        <f>VLOOKUP(C978,'시스템이펙트 참고자료'!$A:$B,2,FALSE)</f>
        <v>ACTIVE_CON_UP</v>
      </c>
      <c r="AS978" s="25">
        <v>1</v>
      </c>
      <c r="BD978" s="25">
        <v>1</v>
      </c>
    </row>
    <row r="979" spans="1:56" hidden="1">
      <c r="A979" s="25">
        <v>974</v>
      </c>
      <c r="B979" s="25" t="str">
        <f>VLOOKUP(C979,'시스템이펙트 참고자료'!$A:$C,2,FALSE)</f>
        <v>ACTIVE_LP_REGENERATION</v>
      </c>
      <c r="C979" s="25">
        <v>627</v>
      </c>
      <c r="D979" s="25">
        <f>VLOOKUP(C979,'시스템이펙트 참고자료'!$A:$D,4,FALSE)</f>
        <v>0</v>
      </c>
      <c r="E979" s="25">
        <v>0</v>
      </c>
      <c r="F979" s="25">
        <v>0</v>
      </c>
      <c r="G979" s="25">
        <f t="shared" si="74"/>
        <v>1</v>
      </c>
      <c r="H979" s="25" t="s">
        <v>395</v>
      </c>
      <c r="I979" s="25">
        <v>1</v>
      </c>
      <c r="J979" s="25" t="str">
        <f>VLOOKUP(C979,'시스템이펙트 참고자료'!$A:$C,3,FALSE)</f>
        <v>절대값/상대값(%) 가능</v>
      </c>
      <c r="K979" s="25">
        <v>19</v>
      </c>
      <c r="M979" s="25">
        <v>5</v>
      </c>
      <c r="N979" s="25">
        <f t="shared" si="73"/>
        <v>126</v>
      </c>
      <c r="O979" s="25">
        <v>1</v>
      </c>
      <c r="P979" s="25">
        <v>1</v>
      </c>
      <c r="Q979" s="25">
        <v>1</v>
      </c>
      <c r="R979" s="25">
        <v>1</v>
      </c>
      <c r="T979" s="25">
        <v>1</v>
      </c>
      <c r="AA979" s="25">
        <f t="shared" ref="AA979:AA1042" si="76">2^AA$1</f>
        <v>128</v>
      </c>
      <c r="AK979" s="25">
        <v>1</v>
      </c>
      <c r="AM979" s="25">
        <v>126</v>
      </c>
      <c r="AN979" s="25">
        <v>100</v>
      </c>
      <c r="AP979" s="25">
        <f t="shared" si="75"/>
        <v>1</v>
      </c>
      <c r="AQ979" s="25" t="str">
        <f>VLOOKUP(C979,'시스템이펙트 참고자료'!$A:$B,2,FALSE)</f>
        <v>ACTIVE_LP_REGENERATION</v>
      </c>
      <c r="AS979" s="25">
        <v>1</v>
      </c>
      <c r="BD979" s="25">
        <v>1</v>
      </c>
    </row>
    <row r="980" spans="1:56" hidden="1">
      <c r="A980" s="25">
        <v>975</v>
      </c>
      <c r="B980" s="25" t="str">
        <f>VLOOKUP(C980,'시스템이펙트 참고자료'!$A:$C,2,FALSE)</f>
        <v>ACTIVE_STOMACHACHE_DEFENCE</v>
      </c>
      <c r="C980" s="25">
        <v>679</v>
      </c>
      <c r="D980" s="25">
        <f>VLOOKUP(C980,'시스템이펙트 참고자료'!$A:$D,4,FALSE)</f>
        <v>0</v>
      </c>
      <c r="E980" s="25">
        <v>0</v>
      </c>
      <c r="F980" s="25">
        <v>0</v>
      </c>
      <c r="G980" s="25">
        <f t="shared" si="74"/>
        <v>1</v>
      </c>
      <c r="H980" s="25" t="s">
        <v>395</v>
      </c>
      <c r="I980" s="25">
        <v>1</v>
      </c>
      <c r="J980" s="25" t="str">
        <f>VLOOKUP(C980,'시스템이펙트 참고자료'!$A:$C,3,FALSE)</f>
        <v>절대값/상대값(%) 가능</v>
      </c>
      <c r="K980" s="25">
        <v>19</v>
      </c>
      <c r="M980" s="25">
        <v>5</v>
      </c>
      <c r="N980" s="25">
        <f t="shared" si="73"/>
        <v>1350</v>
      </c>
      <c r="O980" s="25">
        <v>1</v>
      </c>
      <c r="P980" s="25">
        <v>1</v>
      </c>
      <c r="Q980" s="25">
        <v>1</v>
      </c>
      <c r="R980" s="25">
        <v>1</v>
      </c>
      <c r="T980" s="25">
        <v>1</v>
      </c>
      <c r="AA980" s="25">
        <f t="shared" si="76"/>
        <v>128</v>
      </c>
      <c r="AK980" s="25">
        <v>1</v>
      </c>
      <c r="AM980" s="25">
        <v>1350</v>
      </c>
      <c r="AN980" s="25">
        <v>100</v>
      </c>
      <c r="AP980" s="25">
        <f t="shared" si="75"/>
        <v>1</v>
      </c>
      <c r="AQ980" s="25" t="str">
        <f>VLOOKUP(C980,'시스템이펙트 참고자료'!$A:$B,2,FALSE)</f>
        <v>ACTIVE_STOMACHACHE_DEFENCE</v>
      </c>
      <c r="AS980" s="25">
        <v>1</v>
      </c>
      <c r="BD980" s="25">
        <v>1</v>
      </c>
    </row>
    <row r="981" spans="1:56" hidden="1">
      <c r="A981" s="25">
        <v>976</v>
      </c>
      <c r="B981" s="25" t="str">
        <f>VLOOKUP(C981,'시스템이펙트 참고자료'!$A:$C,2,FALSE)</f>
        <v>ACTIVE_POISON_DEFENCE</v>
      </c>
      <c r="C981" s="25">
        <v>680</v>
      </c>
      <c r="D981" s="25">
        <f>VLOOKUP(C981,'시스템이펙트 참고자료'!$A:$D,4,FALSE)</f>
        <v>0</v>
      </c>
      <c r="E981" s="25">
        <v>0</v>
      </c>
      <c r="F981" s="25">
        <v>0</v>
      </c>
      <c r="G981" s="25">
        <f t="shared" si="74"/>
        <v>1</v>
      </c>
      <c r="H981" s="25" t="s">
        <v>395</v>
      </c>
      <c r="I981" s="25">
        <v>1</v>
      </c>
      <c r="J981" s="25" t="str">
        <f>VLOOKUP(C981,'시스템이펙트 참고자료'!$A:$C,3,FALSE)</f>
        <v>절대값/상대값(%) 가능</v>
      </c>
      <c r="K981" s="25">
        <v>19</v>
      </c>
      <c r="M981" s="25">
        <v>5</v>
      </c>
      <c r="N981" s="25">
        <f t="shared" si="73"/>
        <v>1350</v>
      </c>
      <c r="O981" s="25">
        <v>1</v>
      </c>
      <c r="P981" s="25">
        <v>1</v>
      </c>
      <c r="Q981" s="25">
        <v>1</v>
      </c>
      <c r="R981" s="25">
        <v>1</v>
      </c>
      <c r="T981" s="25">
        <v>1</v>
      </c>
      <c r="AA981" s="25">
        <f t="shared" si="76"/>
        <v>128</v>
      </c>
      <c r="AK981" s="25">
        <v>1</v>
      </c>
      <c r="AM981" s="25">
        <v>1350</v>
      </c>
      <c r="AN981" s="25">
        <v>100</v>
      </c>
      <c r="AP981" s="25">
        <f t="shared" si="75"/>
        <v>1</v>
      </c>
      <c r="AQ981" s="25" t="str">
        <f>VLOOKUP(C981,'시스템이펙트 참고자료'!$A:$B,2,FALSE)</f>
        <v>ACTIVE_POISON_DEFENCE</v>
      </c>
      <c r="AS981" s="25">
        <v>1</v>
      </c>
      <c r="BD981" s="25">
        <v>1</v>
      </c>
    </row>
    <row r="982" spans="1:56" hidden="1">
      <c r="A982" s="25">
        <v>977</v>
      </c>
      <c r="B982" s="25" t="str">
        <f>VLOOKUP(C982,'시스템이펙트 참고자료'!$A:$C,2,FALSE)</f>
        <v>ACTIVE_MAX_EP_UP</v>
      </c>
      <c r="C982" s="25">
        <v>604</v>
      </c>
      <c r="D982" s="25">
        <f>VLOOKUP(C982,'시스템이펙트 참고자료'!$A:$D,4,FALSE)</f>
        <v>0</v>
      </c>
      <c r="E982" s="25">
        <v>0</v>
      </c>
      <c r="F982" s="25">
        <v>0</v>
      </c>
      <c r="G982" s="25">
        <f t="shared" si="74"/>
        <v>1</v>
      </c>
      <c r="H982" s="25" t="s">
        <v>395</v>
      </c>
      <c r="I982" s="25">
        <v>1</v>
      </c>
      <c r="J982" s="25" t="str">
        <f>VLOOKUP(C982,'시스템이펙트 참고자료'!$A:$C,3,FALSE)</f>
        <v>절대값/상대값(%) 가능</v>
      </c>
      <c r="K982" s="25">
        <v>19</v>
      </c>
      <c r="M982" s="25">
        <v>6</v>
      </c>
      <c r="N982" s="25">
        <f t="shared" si="73"/>
        <v>2812</v>
      </c>
      <c r="O982" s="25">
        <v>1</v>
      </c>
      <c r="P982" s="25">
        <v>1</v>
      </c>
      <c r="Q982" s="25">
        <v>1</v>
      </c>
      <c r="R982" s="25">
        <v>1</v>
      </c>
      <c r="T982" s="25">
        <v>1</v>
      </c>
      <c r="AA982" s="25">
        <f t="shared" si="76"/>
        <v>128</v>
      </c>
      <c r="AK982" s="25">
        <v>1</v>
      </c>
      <c r="AM982" s="25">
        <v>2812</v>
      </c>
      <c r="AN982" s="25">
        <v>100</v>
      </c>
      <c r="AP982" s="25">
        <f t="shared" si="75"/>
        <v>1</v>
      </c>
      <c r="AQ982" s="25" t="str">
        <f>VLOOKUP(C982,'시스템이펙트 참고자료'!$A:$B,2,FALSE)</f>
        <v>ACTIVE_MAX_EP_UP</v>
      </c>
      <c r="AS982" s="25">
        <v>1</v>
      </c>
      <c r="BD982" s="25">
        <v>1</v>
      </c>
    </row>
    <row r="983" spans="1:56" hidden="1">
      <c r="A983" s="25">
        <v>978</v>
      </c>
      <c r="B983" s="25" t="str">
        <f>VLOOKUP(C983,'시스템이펙트 참고자료'!$A:$C,2,FALSE)</f>
        <v>ACTIVE_EP_REGENERATION</v>
      </c>
      <c r="C983" s="25">
        <v>628</v>
      </c>
      <c r="D983" s="25">
        <f>VLOOKUP(C983,'시스템이펙트 참고자료'!$A:$D,4,FALSE)</f>
        <v>0</v>
      </c>
      <c r="E983" s="25">
        <v>0</v>
      </c>
      <c r="F983" s="25">
        <v>0</v>
      </c>
      <c r="G983" s="25">
        <f t="shared" si="74"/>
        <v>1</v>
      </c>
      <c r="H983" s="25" t="s">
        <v>395</v>
      </c>
      <c r="I983" s="25">
        <v>1</v>
      </c>
      <c r="J983" s="25" t="str">
        <f>VLOOKUP(C983,'시스템이펙트 참고자료'!$A:$C,3,FALSE)</f>
        <v>절대값/상대값(%) 가능</v>
      </c>
      <c r="K983" s="25">
        <v>19</v>
      </c>
      <c r="M983" s="25">
        <v>6</v>
      </c>
      <c r="N983" s="25">
        <f t="shared" si="73"/>
        <v>156</v>
      </c>
      <c r="O983" s="25">
        <v>1</v>
      </c>
      <c r="P983" s="25">
        <v>1</v>
      </c>
      <c r="Q983" s="25">
        <v>1</v>
      </c>
      <c r="R983" s="25">
        <v>1</v>
      </c>
      <c r="T983" s="25">
        <v>1</v>
      </c>
      <c r="AA983" s="25">
        <f t="shared" si="76"/>
        <v>128</v>
      </c>
      <c r="AK983" s="25">
        <v>1</v>
      </c>
      <c r="AM983" s="25">
        <v>156</v>
      </c>
      <c r="AN983" s="25">
        <v>100</v>
      </c>
      <c r="AP983" s="25">
        <f t="shared" si="75"/>
        <v>1</v>
      </c>
      <c r="AQ983" s="25" t="str">
        <f>VLOOKUP(C983,'시스템이펙트 참고자료'!$A:$B,2,FALSE)</f>
        <v>ACTIVE_EP_REGENERATION</v>
      </c>
      <c r="AS983" s="25">
        <v>1</v>
      </c>
      <c r="BD983" s="25">
        <v>1</v>
      </c>
    </row>
    <row r="984" spans="1:56" hidden="1">
      <c r="A984" s="25">
        <v>979</v>
      </c>
      <c r="B984" s="25" t="str">
        <f>VLOOKUP(C984,'시스템이펙트 참고자료'!$A:$C,2,FALSE)</f>
        <v>ACTIVE_ENG_UP</v>
      </c>
      <c r="C984" s="25">
        <v>615</v>
      </c>
      <c r="D984" s="25">
        <f>VLOOKUP(C984,'시스템이펙트 참고자료'!$A:$D,4,FALSE)</f>
        <v>0</v>
      </c>
      <c r="E984" s="25">
        <v>0</v>
      </c>
      <c r="F984" s="25">
        <v>0</v>
      </c>
      <c r="G984" s="25">
        <f t="shared" si="74"/>
        <v>2</v>
      </c>
      <c r="H984" s="25" t="s">
        <v>395</v>
      </c>
      <c r="I984" s="25">
        <v>1</v>
      </c>
      <c r="J984" s="25" t="str">
        <f>VLOOKUP(C984,'시스템이펙트 참고자료'!$A:$C,3,FALSE)</f>
        <v>절대값/상대값(%) 가능</v>
      </c>
      <c r="K984" s="25">
        <v>19</v>
      </c>
      <c r="M984" s="25">
        <v>6</v>
      </c>
      <c r="N984" s="25">
        <f t="shared" si="73"/>
        <v>62</v>
      </c>
      <c r="O984" s="25">
        <v>1</v>
      </c>
      <c r="P984" s="25">
        <v>1</v>
      </c>
      <c r="Q984" s="25">
        <v>1</v>
      </c>
      <c r="R984" s="25">
        <v>1</v>
      </c>
      <c r="T984" s="25">
        <v>1</v>
      </c>
      <c r="AA984" s="25">
        <f t="shared" si="76"/>
        <v>128</v>
      </c>
      <c r="AK984" s="25">
        <v>1</v>
      </c>
      <c r="AM984" s="25">
        <v>62</v>
      </c>
      <c r="AN984" s="25">
        <v>100</v>
      </c>
      <c r="AP984" s="25">
        <f t="shared" si="75"/>
        <v>2</v>
      </c>
      <c r="AQ984" s="25" t="str">
        <f>VLOOKUP(C984,'시스템이펙트 참고자료'!$A:$B,2,FALSE)</f>
        <v>ACTIVE_ENG_UP</v>
      </c>
      <c r="AS984" s="25">
        <v>1</v>
      </c>
      <c r="BD984" s="25">
        <v>1</v>
      </c>
    </row>
    <row r="985" spans="1:56" hidden="1">
      <c r="A985" s="25">
        <v>980</v>
      </c>
      <c r="B985" s="25" t="str">
        <f>VLOOKUP(C985,'시스템이펙트 참고자료'!$A:$C,2,FALSE)</f>
        <v>ACTIVE_BLEED_DEFENCE</v>
      </c>
      <c r="C985" s="25">
        <v>681</v>
      </c>
      <c r="D985" s="25">
        <f>VLOOKUP(C985,'시스템이펙트 참고자료'!$A:$D,4,FALSE)</f>
        <v>0</v>
      </c>
      <c r="E985" s="25">
        <v>0</v>
      </c>
      <c r="F985" s="25">
        <v>0</v>
      </c>
      <c r="G985" s="25">
        <f t="shared" si="74"/>
        <v>1</v>
      </c>
      <c r="H985" s="25" t="s">
        <v>395</v>
      </c>
      <c r="I985" s="25">
        <v>1</v>
      </c>
      <c r="J985" s="25" t="str">
        <f>VLOOKUP(C985,'시스템이펙트 참고자료'!$A:$C,3,FALSE)</f>
        <v>절대값/상대값(%) 가능</v>
      </c>
      <c r="K985" s="25">
        <v>19</v>
      </c>
      <c r="M985" s="25">
        <v>6</v>
      </c>
      <c r="N985" s="25">
        <f t="shared" si="73"/>
        <v>1350</v>
      </c>
      <c r="O985" s="25">
        <v>1</v>
      </c>
      <c r="P985" s="25">
        <v>1</v>
      </c>
      <c r="Q985" s="25">
        <v>1</v>
      </c>
      <c r="R985" s="25">
        <v>1</v>
      </c>
      <c r="T985" s="25">
        <v>1</v>
      </c>
      <c r="AA985" s="25">
        <f t="shared" si="76"/>
        <v>128</v>
      </c>
      <c r="AK985" s="25">
        <v>1</v>
      </c>
      <c r="AM985" s="25">
        <v>1350</v>
      </c>
      <c r="AN985" s="25">
        <v>100</v>
      </c>
      <c r="AP985" s="25">
        <f t="shared" si="75"/>
        <v>1</v>
      </c>
      <c r="AQ985" s="25" t="str">
        <f>VLOOKUP(C985,'시스템이펙트 참고자료'!$A:$B,2,FALSE)</f>
        <v>ACTIVE_BLEED_DEFENCE</v>
      </c>
      <c r="AS985" s="25">
        <v>1</v>
      </c>
      <c r="BD985" s="25">
        <v>1</v>
      </c>
    </row>
    <row r="986" spans="1:56" hidden="1">
      <c r="A986" s="25">
        <v>981</v>
      </c>
      <c r="B986" s="25" t="str">
        <f>VLOOKUP(C986,'시스템이펙트 참고자료'!$A:$C,2,FALSE)</f>
        <v>ACTIVE_BURN_DEFENCE</v>
      </c>
      <c r="C986" s="25">
        <v>682</v>
      </c>
      <c r="D986" s="25">
        <f>VLOOKUP(C986,'시스템이펙트 참고자료'!$A:$D,4,FALSE)</f>
        <v>0</v>
      </c>
      <c r="E986" s="25">
        <v>0</v>
      </c>
      <c r="F986" s="25">
        <v>0</v>
      </c>
      <c r="G986" s="25">
        <f t="shared" si="74"/>
        <v>1</v>
      </c>
      <c r="H986" s="25" t="s">
        <v>395</v>
      </c>
      <c r="I986" s="25">
        <v>1</v>
      </c>
      <c r="J986" s="25" t="str">
        <f>VLOOKUP(C986,'시스템이펙트 참고자료'!$A:$C,3,FALSE)</f>
        <v>절대값/상대값(%) 가능</v>
      </c>
      <c r="K986" s="25">
        <v>19</v>
      </c>
      <c r="M986" s="25">
        <v>6</v>
      </c>
      <c r="N986" s="25">
        <f t="shared" si="73"/>
        <v>1350</v>
      </c>
      <c r="O986" s="25">
        <v>1</v>
      </c>
      <c r="P986" s="25">
        <v>1</v>
      </c>
      <c r="Q986" s="25">
        <v>1</v>
      </c>
      <c r="R986" s="25">
        <v>1</v>
      </c>
      <c r="T986" s="25">
        <v>1</v>
      </c>
      <c r="AA986" s="25">
        <f t="shared" si="76"/>
        <v>128</v>
      </c>
      <c r="AK986" s="25">
        <v>1</v>
      </c>
      <c r="AM986" s="25">
        <v>1350</v>
      </c>
      <c r="AN986" s="25">
        <v>100</v>
      </c>
      <c r="AP986" s="25">
        <f t="shared" si="75"/>
        <v>1</v>
      </c>
      <c r="AQ986" s="25" t="str">
        <f>VLOOKUP(C986,'시스템이펙트 참고자료'!$A:$B,2,FALSE)</f>
        <v>ACTIVE_BURN_DEFENCE</v>
      </c>
      <c r="AS986" s="25">
        <v>1</v>
      </c>
      <c r="BD986" s="25">
        <v>1</v>
      </c>
    </row>
    <row r="987" spans="1:56" hidden="1">
      <c r="A987" s="25">
        <v>982</v>
      </c>
      <c r="B987" s="25" t="str">
        <f>VLOOKUP(C987,'시스템이펙트 참고자료'!$A:$C,2,FALSE)</f>
        <v>ACTIVE_CRITICAL_BLOCK_UP</v>
      </c>
      <c r="C987" s="25">
        <v>651</v>
      </c>
      <c r="D987" s="25">
        <f>VLOOKUP(C987,'시스템이펙트 참고자료'!$A:$D,4,FALSE)</f>
        <v>0</v>
      </c>
      <c r="E987" s="25">
        <v>0</v>
      </c>
      <c r="F987" s="25">
        <v>0</v>
      </c>
      <c r="G987" s="25">
        <f t="shared" si="74"/>
        <v>5</v>
      </c>
      <c r="H987" s="25" t="s">
        <v>395</v>
      </c>
      <c r="I987" s="25">
        <v>1</v>
      </c>
      <c r="J987" s="25" t="str">
        <f>VLOOKUP(C987,'시스템이펙트 참고자료'!$A:$C,3,FALSE)</f>
        <v>절대값만 가능</v>
      </c>
      <c r="K987" s="25">
        <v>19</v>
      </c>
      <c r="M987" s="25">
        <v>7</v>
      </c>
      <c r="N987" s="25">
        <f t="shared" si="73"/>
        <v>20</v>
      </c>
      <c r="O987" s="25">
        <v>1</v>
      </c>
      <c r="P987" s="25">
        <v>1</v>
      </c>
      <c r="Q987" s="25">
        <v>1</v>
      </c>
      <c r="R987" s="25">
        <v>1</v>
      </c>
      <c r="T987" s="25">
        <v>1</v>
      </c>
      <c r="AA987" s="25">
        <f t="shared" si="76"/>
        <v>128</v>
      </c>
      <c r="AK987" s="25">
        <v>1</v>
      </c>
      <c r="AM987" s="25">
        <v>20</v>
      </c>
      <c r="AN987" s="25">
        <v>100</v>
      </c>
      <c r="AP987" s="25">
        <f t="shared" si="75"/>
        <v>5</v>
      </c>
      <c r="AQ987" s="25" t="str">
        <f>VLOOKUP(C987,'시스템이펙트 참고자료'!$A:$B,2,FALSE)</f>
        <v>ACTIVE_CRITICAL_BLOCK_UP</v>
      </c>
      <c r="AS987" s="25">
        <v>1</v>
      </c>
      <c r="BD987" s="25">
        <v>1</v>
      </c>
    </row>
    <row r="988" spans="1:56" hidden="1">
      <c r="A988" s="25">
        <v>983</v>
      </c>
      <c r="B988" s="25" t="str">
        <f>VLOOKUP(C988,'시스템이펙트 참고자료'!$A:$C,2,FALSE)</f>
        <v>ACTIVE_BLOCK_RATE_UP</v>
      </c>
      <c r="C988" s="25">
        <v>620</v>
      </c>
      <c r="D988" s="25">
        <f>VLOOKUP(C988,'시스템이펙트 참고자료'!$A:$D,4,FALSE)</f>
        <v>0</v>
      </c>
      <c r="E988" s="25">
        <v>0</v>
      </c>
      <c r="F988" s="25">
        <v>0</v>
      </c>
      <c r="G988" s="25">
        <f t="shared" si="74"/>
        <v>1</v>
      </c>
      <c r="H988" s="25" t="s">
        <v>395</v>
      </c>
      <c r="I988" s="25">
        <v>1</v>
      </c>
      <c r="J988" s="25" t="str">
        <f>VLOOKUP(C988,'시스템이펙트 참고자료'!$A:$C,3,FALSE)</f>
        <v>절대값/상대값(%) 가능</v>
      </c>
      <c r="K988" s="25">
        <v>19</v>
      </c>
      <c r="M988" s="25">
        <v>7</v>
      </c>
      <c r="N988" s="25">
        <f t="shared" si="73"/>
        <v>352</v>
      </c>
      <c r="O988" s="25">
        <v>1</v>
      </c>
      <c r="P988" s="25">
        <v>1</v>
      </c>
      <c r="Q988" s="25">
        <v>1</v>
      </c>
      <c r="R988" s="25">
        <v>1</v>
      </c>
      <c r="T988" s="25">
        <v>1</v>
      </c>
      <c r="AA988" s="25">
        <f t="shared" si="76"/>
        <v>128</v>
      </c>
      <c r="AK988" s="25">
        <v>1</v>
      </c>
      <c r="AM988" s="25">
        <v>352</v>
      </c>
      <c r="AN988" s="25">
        <v>100</v>
      </c>
      <c r="AP988" s="25">
        <f t="shared" si="75"/>
        <v>1</v>
      </c>
      <c r="AQ988" s="25" t="str">
        <f>VLOOKUP(C988,'시스템이펙트 참고자료'!$A:$B,2,FALSE)</f>
        <v>ACTIVE_BLOCK_RATE_UP</v>
      </c>
      <c r="AS988" s="25">
        <v>1</v>
      </c>
      <c r="BD988" s="25">
        <v>1</v>
      </c>
    </row>
    <row r="989" spans="1:56" hidden="1">
      <c r="A989" s="25">
        <v>984</v>
      </c>
      <c r="B989" s="25" t="str">
        <f>VLOOKUP(C989,'시스템이펙트 참고자료'!$A:$C,2,FALSE)</f>
        <v>ACTIVE_DODGE_RATE_UP</v>
      </c>
      <c r="C989" s="25">
        <v>619</v>
      </c>
      <c r="D989" s="25">
        <f>VLOOKUP(C989,'시스템이펙트 참고자료'!$A:$D,4,FALSE)</f>
        <v>0</v>
      </c>
      <c r="E989" s="25">
        <v>0</v>
      </c>
      <c r="F989" s="25">
        <v>0</v>
      </c>
      <c r="G989" s="25">
        <f t="shared" si="74"/>
        <v>1</v>
      </c>
      <c r="H989" s="25" t="s">
        <v>395</v>
      </c>
      <c r="I989" s="25">
        <v>1</v>
      </c>
      <c r="J989" s="25" t="str">
        <f>VLOOKUP(C989,'시스템이펙트 참고자료'!$A:$C,3,FALSE)</f>
        <v>절대값/상대값(%) 가능</v>
      </c>
      <c r="K989" s="25">
        <v>19</v>
      </c>
      <c r="M989" s="25">
        <v>7</v>
      </c>
      <c r="N989" s="25">
        <f t="shared" si="73"/>
        <v>275</v>
      </c>
      <c r="O989" s="25">
        <v>1</v>
      </c>
      <c r="P989" s="25">
        <v>1</v>
      </c>
      <c r="Q989" s="25">
        <v>1</v>
      </c>
      <c r="R989" s="25">
        <v>1</v>
      </c>
      <c r="T989" s="25">
        <v>1</v>
      </c>
      <c r="AA989" s="25">
        <f t="shared" si="76"/>
        <v>128</v>
      </c>
      <c r="AK989" s="25">
        <v>1</v>
      </c>
      <c r="AM989" s="25">
        <v>275</v>
      </c>
      <c r="AN989" s="25">
        <v>100</v>
      </c>
      <c r="AP989" s="25">
        <f t="shared" si="75"/>
        <v>1</v>
      </c>
      <c r="AQ989" s="25" t="str">
        <f>VLOOKUP(C989,'시스템이펙트 참고자료'!$A:$B,2,FALSE)</f>
        <v>ACTIVE_DODGE_RATE_UP</v>
      </c>
      <c r="AS989" s="25">
        <v>1</v>
      </c>
      <c r="BD989" s="25">
        <v>1</v>
      </c>
    </row>
    <row r="990" spans="1:56" hidden="1">
      <c r="A990" s="25">
        <v>985</v>
      </c>
      <c r="B990" s="25" t="str">
        <f>VLOOKUP(C990,'시스템이펙트 참고자료'!$A:$C,2,FALSE)</f>
        <v>ACTIVE_STOMACHACHE_DEFENCE</v>
      </c>
      <c r="C990" s="25">
        <v>679</v>
      </c>
      <c r="D990" s="25">
        <f>VLOOKUP(C990,'시스템이펙트 참고자료'!$A:$D,4,FALSE)</f>
        <v>0</v>
      </c>
      <c r="E990" s="25">
        <v>0</v>
      </c>
      <c r="F990" s="25">
        <v>0</v>
      </c>
      <c r="G990" s="25">
        <f t="shared" si="74"/>
        <v>1</v>
      </c>
      <c r="H990" s="25" t="s">
        <v>395</v>
      </c>
      <c r="I990" s="25">
        <v>1</v>
      </c>
      <c r="J990" s="25" t="str">
        <f>VLOOKUP(C990,'시스템이펙트 참고자료'!$A:$C,3,FALSE)</f>
        <v>절대값/상대값(%) 가능</v>
      </c>
      <c r="K990" s="25">
        <v>19</v>
      </c>
      <c r="M990" s="25">
        <v>7</v>
      </c>
      <c r="N990" s="25">
        <f t="shared" si="73"/>
        <v>1350</v>
      </c>
      <c r="O990" s="25">
        <v>1</v>
      </c>
      <c r="P990" s="25">
        <v>1</v>
      </c>
      <c r="Q990" s="25">
        <v>1</v>
      </c>
      <c r="R990" s="25">
        <v>1</v>
      </c>
      <c r="T990" s="25">
        <v>1</v>
      </c>
      <c r="AA990" s="25">
        <f t="shared" si="76"/>
        <v>128</v>
      </c>
      <c r="AK990" s="25">
        <v>1</v>
      </c>
      <c r="AM990" s="25">
        <v>1350</v>
      </c>
      <c r="AN990" s="25">
        <v>100</v>
      </c>
      <c r="AP990" s="25">
        <f t="shared" si="75"/>
        <v>1</v>
      </c>
      <c r="AQ990" s="25" t="str">
        <f>VLOOKUP(C990,'시스템이펙트 참고자료'!$A:$B,2,FALSE)</f>
        <v>ACTIVE_STOMACHACHE_DEFENCE</v>
      </c>
      <c r="AS990" s="25">
        <v>1</v>
      </c>
      <c r="BD990" s="25">
        <v>1</v>
      </c>
    </row>
    <row r="991" spans="1:56" hidden="1">
      <c r="A991" s="25">
        <v>986</v>
      </c>
      <c r="B991" s="25" t="str">
        <f>VLOOKUP(C991,'시스템이펙트 참고자료'!$A:$C,2,FALSE)</f>
        <v>ACTIVE_POISON_DEFENCE</v>
      </c>
      <c r="C991" s="25">
        <v>680</v>
      </c>
      <c r="D991" s="25">
        <f>VLOOKUP(C991,'시스템이펙트 참고자료'!$A:$D,4,FALSE)</f>
        <v>0</v>
      </c>
      <c r="E991" s="25">
        <v>0</v>
      </c>
      <c r="F991" s="25">
        <v>0</v>
      </c>
      <c r="G991" s="25">
        <f t="shared" si="74"/>
        <v>1</v>
      </c>
      <c r="H991" s="25" t="s">
        <v>395</v>
      </c>
      <c r="I991" s="25">
        <v>1</v>
      </c>
      <c r="J991" s="25" t="str">
        <f>VLOOKUP(C991,'시스템이펙트 참고자료'!$A:$C,3,FALSE)</f>
        <v>절대값/상대값(%) 가능</v>
      </c>
      <c r="K991" s="25">
        <v>19</v>
      </c>
      <c r="M991" s="25">
        <v>7</v>
      </c>
      <c r="N991" s="25">
        <f t="shared" si="73"/>
        <v>1350</v>
      </c>
      <c r="O991" s="25">
        <v>1</v>
      </c>
      <c r="P991" s="25">
        <v>1</v>
      </c>
      <c r="Q991" s="25">
        <v>1</v>
      </c>
      <c r="R991" s="25">
        <v>1</v>
      </c>
      <c r="T991" s="25">
        <v>1</v>
      </c>
      <c r="AA991" s="25">
        <f t="shared" si="76"/>
        <v>128</v>
      </c>
      <c r="AK991" s="25">
        <v>1</v>
      </c>
      <c r="AM991" s="25">
        <v>1350</v>
      </c>
      <c r="AN991" s="25">
        <v>100</v>
      </c>
      <c r="AP991" s="25">
        <f t="shared" si="75"/>
        <v>1</v>
      </c>
      <c r="AQ991" s="25" t="str">
        <f>VLOOKUP(C991,'시스템이펙트 참고자료'!$A:$B,2,FALSE)</f>
        <v>ACTIVE_POISON_DEFENCE</v>
      </c>
      <c r="AS991" s="25">
        <v>1</v>
      </c>
      <c r="BD991" s="25">
        <v>1</v>
      </c>
    </row>
    <row r="992" spans="1:56" hidden="1">
      <c r="A992" s="25">
        <v>987</v>
      </c>
      <c r="B992" s="25" t="str">
        <f>VLOOKUP(C992,'시스템이펙트 참고자료'!$A:$C,2,FALSE)</f>
        <v>ACTIVE_BLEED_DEFENCE</v>
      </c>
      <c r="C992" s="25">
        <v>681</v>
      </c>
      <c r="D992" s="25">
        <f>VLOOKUP(C992,'시스템이펙트 참고자료'!$A:$D,4,FALSE)</f>
        <v>0</v>
      </c>
      <c r="E992" s="25">
        <v>0</v>
      </c>
      <c r="F992" s="25">
        <v>0</v>
      </c>
      <c r="G992" s="25">
        <f t="shared" si="74"/>
        <v>1</v>
      </c>
      <c r="H992" s="25" t="s">
        <v>395</v>
      </c>
      <c r="I992" s="25">
        <v>1</v>
      </c>
      <c r="J992" s="25" t="str">
        <f>VLOOKUP(C992,'시스템이펙트 참고자료'!$A:$C,3,FALSE)</f>
        <v>절대값/상대값(%) 가능</v>
      </c>
      <c r="K992" s="25">
        <v>19</v>
      </c>
      <c r="M992" s="25">
        <v>7</v>
      </c>
      <c r="N992" s="25">
        <f t="shared" si="73"/>
        <v>1350</v>
      </c>
      <c r="O992" s="25">
        <v>1</v>
      </c>
      <c r="P992" s="25">
        <v>1</v>
      </c>
      <c r="Q992" s="25">
        <v>1</v>
      </c>
      <c r="R992" s="25">
        <v>1</v>
      </c>
      <c r="T992" s="25">
        <v>1</v>
      </c>
      <c r="AA992" s="25">
        <f t="shared" si="76"/>
        <v>128</v>
      </c>
      <c r="AK992" s="25">
        <v>1</v>
      </c>
      <c r="AM992" s="25">
        <v>1350</v>
      </c>
      <c r="AN992" s="25">
        <v>100</v>
      </c>
      <c r="AP992" s="25">
        <f t="shared" si="75"/>
        <v>1</v>
      </c>
      <c r="AQ992" s="25" t="str">
        <f>VLOOKUP(C992,'시스템이펙트 참고자료'!$A:$B,2,FALSE)</f>
        <v>ACTIVE_BLEED_DEFENCE</v>
      </c>
      <c r="AS992" s="25">
        <v>1</v>
      </c>
      <c r="BD992" s="25">
        <v>1</v>
      </c>
    </row>
    <row r="993" spans="1:56" hidden="1">
      <c r="A993" s="25">
        <v>988</v>
      </c>
      <c r="B993" s="25" t="str">
        <f>VLOOKUP(C993,'시스템이펙트 참고자료'!$A:$C,2,FALSE)</f>
        <v>ACTIVE_BURN_DEFENCE</v>
      </c>
      <c r="C993" s="25">
        <v>682</v>
      </c>
      <c r="D993" s="25">
        <f>VLOOKUP(C993,'시스템이펙트 참고자료'!$A:$D,4,FALSE)</f>
        <v>0</v>
      </c>
      <c r="E993" s="25">
        <v>0</v>
      </c>
      <c r="F993" s="25">
        <v>0</v>
      </c>
      <c r="G993" s="25">
        <f t="shared" si="74"/>
        <v>1</v>
      </c>
      <c r="H993" s="25" t="s">
        <v>395</v>
      </c>
      <c r="I993" s="25">
        <v>1</v>
      </c>
      <c r="J993" s="25" t="str">
        <f>VLOOKUP(C993,'시스템이펙트 참고자료'!$A:$C,3,FALSE)</f>
        <v>절대값/상대값(%) 가능</v>
      </c>
      <c r="K993" s="25">
        <v>19</v>
      </c>
      <c r="M993" s="25">
        <v>7</v>
      </c>
      <c r="N993" s="25">
        <f t="shared" si="73"/>
        <v>1350</v>
      </c>
      <c r="O993" s="25">
        <v>1</v>
      </c>
      <c r="P993" s="25">
        <v>1</v>
      </c>
      <c r="Q993" s="25">
        <v>1</v>
      </c>
      <c r="R993" s="25">
        <v>1</v>
      </c>
      <c r="T993" s="25">
        <v>1</v>
      </c>
      <c r="AA993" s="25">
        <f t="shared" si="76"/>
        <v>128</v>
      </c>
      <c r="AK993" s="25">
        <v>1</v>
      </c>
      <c r="AM993" s="25">
        <v>1350</v>
      </c>
      <c r="AN993" s="25">
        <v>100</v>
      </c>
      <c r="AP993" s="25">
        <f t="shared" si="75"/>
        <v>1</v>
      </c>
      <c r="AQ993" s="25" t="str">
        <f>VLOOKUP(C993,'시스템이펙트 참고자료'!$A:$B,2,FALSE)</f>
        <v>ACTIVE_BURN_DEFENCE</v>
      </c>
      <c r="AS993" s="25">
        <v>1</v>
      </c>
      <c r="BD993" s="25">
        <v>1</v>
      </c>
    </row>
    <row r="994" spans="1:56" hidden="1">
      <c r="A994" s="25">
        <v>989</v>
      </c>
      <c r="B994" s="25" t="str">
        <f>VLOOKUP(C994,'시스템이펙트 참고자료'!$A:$C,2,FALSE)</f>
        <v>ACTIVE_PHYSICAL_DEFENCE_UP</v>
      </c>
      <c r="C994" s="25">
        <v>608</v>
      </c>
      <c r="D994" s="25">
        <f>VLOOKUP(C994,'시스템이펙트 참고자료'!$A:$D,4,FALSE)</f>
        <v>0</v>
      </c>
      <c r="E994" s="25">
        <v>0</v>
      </c>
      <c r="F994" s="25">
        <v>0</v>
      </c>
      <c r="G994" s="25">
        <f t="shared" si="74"/>
        <v>1</v>
      </c>
      <c r="H994" s="25" t="s">
        <v>395</v>
      </c>
      <c r="I994" s="25">
        <v>1</v>
      </c>
      <c r="J994" s="25" t="str">
        <f>VLOOKUP(C994,'시스템이펙트 참고자료'!$A:$C,3,FALSE)</f>
        <v>절대값/상대값(%) 가능</v>
      </c>
      <c r="K994" s="25">
        <v>19</v>
      </c>
      <c r="M994" s="25">
        <v>8</v>
      </c>
      <c r="N994" s="25">
        <f t="shared" si="73"/>
        <v>1350</v>
      </c>
      <c r="O994" s="25">
        <v>1</v>
      </c>
      <c r="P994" s="25">
        <v>1</v>
      </c>
      <c r="Q994" s="25">
        <v>1</v>
      </c>
      <c r="R994" s="25">
        <v>1</v>
      </c>
      <c r="T994" s="25">
        <v>1</v>
      </c>
      <c r="AA994" s="25">
        <f t="shared" si="76"/>
        <v>128</v>
      </c>
      <c r="AK994" s="25">
        <v>1</v>
      </c>
      <c r="AM994" s="25">
        <v>1350</v>
      </c>
      <c r="AN994" s="25">
        <v>100</v>
      </c>
      <c r="AP994" s="25">
        <f t="shared" si="75"/>
        <v>1</v>
      </c>
      <c r="AQ994" s="25" t="str">
        <f>VLOOKUP(C994,'시스템이펙트 참고자료'!$A:$B,2,FALSE)</f>
        <v>ACTIVE_PHYSICAL_DEFENCE_UP</v>
      </c>
      <c r="AS994" s="25">
        <v>1</v>
      </c>
      <c r="BD994" s="25">
        <v>1</v>
      </c>
    </row>
    <row r="995" spans="1:56" hidden="1">
      <c r="A995" s="25">
        <v>990</v>
      </c>
      <c r="B995" s="25" t="str">
        <f>VLOOKUP(C995,'시스템이펙트 참고자료'!$A:$C,2,FALSE)</f>
        <v>ACTIVE_ENERGY_DEFENCE_UP</v>
      </c>
      <c r="C995" s="25">
        <v>609</v>
      </c>
      <c r="D995" s="25">
        <f>VLOOKUP(C995,'시스템이펙트 참고자료'!$A:$D,4,FALSE)</f>
        <v>0</v>
      </c>
      <c r="E995" s="25">
        <v>0</v>
      </c>
      <c r="F995" s="25">
        <v>0</v>
      </c>
      <c r="G995" s="25">
        <f t="shared" si="74"/>
        <v>1</v>
      </c>
      <c r="H995" s="25" t="s">
        <v>395</v>
      </c>
      <c r="I995" s="25">
        <v>1</v>
      </c>
      <c r="J995" s="25" t="str">
        <f>VLOOKUP(C995,'시스템이펙트 참고자료'!$A:$C,3,FALSE)</f>
        <v>절대값/상대값(%) 가능</v>
      </c>
      <c r="K995" s="25">
        <v>19</v>
      </c>
      <c r="M995" s="25">
        <v>8</v>
      </c>
      <c r="N995" s="25">
        <f t="shared" si="73"/>
        <v>1350</v>
      </c>
      <c r="O995" s="25">
        <v>1</v>
      </c>
      <c r="P995" s="25">
        <v>1</v>
      </c>
      <c r="Q995" s="25">
        <v>1</v>
      </c>
      <c r="R995" s="25">
        <v>1</v>
      </c>
      <c r="T995" s="25">
        <v>1</v>
      </c>
      <c r="AA995" s="25">
        <f t="shared" si="76"/>
        <v>128</v>
      </c>
      <c r="AK995" s="25">
        <v>1</v>
      </c>
      <c r="AM995" s="25">
        <v>1350</v>
      </c>
      <c r="AN995" s="25">
        <v>100</v>
      </c>
      <c r="AP995" s="25">
        <f t="shared" si="75"/>
        <v>1</v>
      </c>
      <c r="AQ995" s="25" t="str">
        <f>VLOOKUP(C995,'시스템이펙트 참고자료'!$A:$B,2,FALSE)</f>
        <v>ACTIVE_ENERGY_DEFENCE_UP</v>
      </c>
      <c r="AS995" s="25">
        <v>1</v>
      </c>
      <c r="BD995" s="25">
        <v>1</v>
      </c>
    </row>
    <row r="996" spans="1:56" hidden="1">
      <c r="A996" s="25">
        <v>991</v>
      </c>
      <c r="B996" s="25" t="str">
        <f>VLOOKUP(C996,'시스템이펙트 참고자료'!$A:$C,2,FALSE)</f>
        <v>ACTIVE_BLOCK_RATE_UP</v>
      </c>
      <c r="C996" s="25">
        <v>620</v>
      </c>
      <c r="D996" s="25">
        <f>VLOOKUP(C996,'시스템이펙트 참고자료'!$A:$D,4,FALSE)</f>
        <v>0</v>
      </c>
      <c r="E996" s="25">
        <v>0</v>
      </c>
      <c r="F996" s="25">
        <v>0</v>
      </c>
      <c r="G996" s="25">
        <f t="shared" si="74"/>
        <v>1</v>
      </c>
      <c r="H996" s="25" t="s">
        <v>395</v>
      </c>
      <c r="I996" s="25">
        <v>1</v>
      </c>
      <c r="J996" s="25" t="str">
        <f>VLOOKUP(C996,'시스템이펙트 참고자료'!$A:$C,3,FALSE)</f>
        <v>절대값/상대값(%) 가능</v>
      </c>
      <c r="K996" s="25">
        <v>19</v>
      </c>
      <c r="M996" s="25">
        <v>8</v>
      </c>
      <c r="N996" s="25">
        <f t="shared" si="73"/>
        <v>352</v>
      </c>
      <c r="O996" s="25">
        <v>1</v>
      </c>
      <c r="P996" s="25">
        <v>1</v>
      </c>
      <c r="Q996" s="25">
        <v>1</v>
      </c>
      <c r="R996" s="25">
        <v>1</v>
      </c>
      <c r="T996" s="25">
        <v>1</v>
      </c>
      <c r="AA996" s="25">
        <f t="shared" si="76"/>
        <v>128</v>
      </c>
      <c r="AK996" s="25">
        <v>1</v>
      </c>
      <c r="AM996" s="25">
        <v>352</v>
      </c>
      <c r="AN996" s="25">
        <v>100</v>
      </c>
      <c r="AP996" s="25">
        <f t="shared" si="75"/>
        <v>1</v>
      </c>
      <c r="AQ996" s="25" t="str">
        <f>VLOOKUP(C996,'시스템이펙트 참고자료'!$A:$B,2,FALSE)</f>
        <v>ACTIVE_BLOCK_RATE_UP</v>
      </c>
      <c r="AS996" s="25">
        <v>1</v>
      </c>
      <c r="BD996" s="25">
        <v>1</v>
      </c>
    </row>
    <row r="997" spans="1:56" hidden="1">
      <c r="A997" s="25">
        <v>992</v>
      </c>
      <c r="B997" s="25" t="str">
        <f>VLOOKUP(C997,'시스템이펙트 참고자료'!$A:$C,2,FALSE)</f>
        <v>ACTIVE_HONEST_DEFENCE_UP</v>
      </c>
      <c r="C997" s="25">
        <v>621</v>
      </c>
      <c r="D997" s="25">
        <f>VLOOKUP(C997,'시스템이펙트 참고자료'!$A:$D,4,FALSE)</f>
        <v>0</v>
      </c>
      <c r="E997" s="25">
        <v>0</v>
      </c>
      <c r="F997" s="25">
        <v>0</v>
      </c>
      <c r="G997" s="25">
        <f t="shared" si="74"/>
        <v>5</v>
      </c>
      <c r="H997" s="25" t="s">
        <v>395</v>
      </c>
      <c r="I997" s="25">
        <v>1</v>
      </c>
      <c r="J997" s="25" t="str">
        <f>VLOOKUP(C997,'시스템이펙트 참고자료'!$A:$C,3,FALSE)</f>
        <v>절대값만 가능</v>
      </c>
      <c r="K997" s="25">
        <v>19</v>
      </c>
      <c r="M997" s="25">
        <v>8</v>
      </c>
      <c r="N997" s="25">
        <f t="shared" si="73"/>
        <v>20</v>
      </c>
      <c r="O997" s="25">
        <v>1</v>
      </c>
      <c r="P997" s="25">
        <v>1</v>
      </c>
      <c r="Q997" s="25">
        <v>1</v>
      </c>
      <c r="R997" s="25">
        <v>1</v>
      </c>
      <c r="T997" s="25">
        <v>1</v>
      </c>
      <c r="AA997" s="25">
        <f t="shared" si="76"/>
        <v>128</v>
      </c>
      <c r="AK997" s="25">
        <v>1</v>
      </c>
      <c r="AM997" s="25">
        <v>20</v>
      </c>
      <c r="AN997" s="25">
        <v>100</v>
      </c>
      <c r="AP997" s="25">
        <f t="shared" si="75"/>
        <v>5</v>
      </c>
      <c r="AQ997" s="25" t="str">
        <f>VLOOKUP(C997,'시스템이펙트 참고자료'!$A:$B,2,FALSE)</f>
        <v>ACTIVE_HONEST_DEFENCE_UP</v>
      </c>
      <c r="AS997" s="25">
        <v>1</v>
      </c>
      <c r="BD997" s="25">
        <v>1</v>
      </c>
    </row>
    <row r="998" spans="1:56" hidden="1">
      <c r="A998" s="25">
        <v>993</v>
      </c>
      <c r="B998" s="25" t="str">
        <f>VLOOKUP(C998,'시스템이펙트 참고자료'!$A:$C,2,FALSE)</f>
        <v>ACTIVE_STRANGE_DEFENCE_UP</v>
      </c>
      <c r="C998" s="25">
        <v>622</v>
      </c>
      <c r="D998" s="25">
        <f>VLOOKUP(C998,'시스템이펙트 참고자료'!$A:$D,4,FALSE)</f>
        <v>0</v>
      </c>
      <c r="E998" s="25">
        <v>0</v>
      </c>
      <c r="F998" s="25">
        <v>0</v>
      </c>
      <c r="G998" s="25">
        <f t="shared" si="74"/>
        <v>5</v>
      </c>
      <c r="H998" s="25" t="s">
        <v>395</v>
      </c>
      <c r="I998" s="25">
        <v>1</v>
      </c>
      <c r="J998" s="25" t="str">
        <f>VLOOKUP(C998,'시스템이펙트 참고자료'!$A:$C,3,FALSE)</f>
        <v>절대값만 가능</v>
      </c>
      <c r="K998" s="25">
        <v>19</v>
      </c>
      <c r="M998" s="25">
        <v>8</v>
      </c>
      <c r="N998" s="25">
        <f t="shared" si="73"/>
        <v>20</v>
      </c>
      <c r="O998" s="25">
        <v>1</v>
      </c>
      <c r="P998" s="25">
        <v>1</v>
      </c>
      <c r="Q998" s="25">
        <v>1</v>
      </c>
      <c r="R998" s="25">
        <v>1</v>
      </c>
      <c r="T998" s="25">
        <v>1</v>
      </c>
      <c r="AA998" s="25">
        <f t="shared" si="76"/>
        <v>128</v>
      </c>
      <c r="AK998" s="25">
        <v>1</v>
      </c>
      <c r="AM998" s="25">
        <v>20</v>
      </c>
      <c r="AN998" s="25">
        <v>100</v>
      </c>
      <c r="AP998" s="25">
        <f t="shared" si="75"/>
        <v>5</v>
      </c>
      <c r="AQ998" s="25" t="str">
        <f>VLOOKUP(C998,'시스템이펙트 참고자료'!$A:$B,2,FALSE)</f>
        <v>ACTIVE_STRANGE_DEFENCE_UP</v>
      </c>
      <c r="AS998" s="25">
        <v>1</v>
      </c>
      <c r="BD998" s="25">
        <v>1</v>
      </c>
    </row>
    <row r="999" spans="1:56" hidden="1">
      <c r="A999" s="25">
        <v>994</v>
      </c>
      <c r="B999" s="25" t="str">
        <f>VLOOKUP(C999,'시스템이펙트 참고자료'!$A:$C,2,FALSE)</f>
        <v>ACTIVE_WILD_DEFENCE_UP</v>
      </c>
      <c r="C999" s="25">
        <v>623</v>
      </c>
      <c r="D999" s="25">
        <f>VLOOKUP(C999,'시스템이펙트 참고자료'!$A:$D,4,FALSE)</f>
        <v>0</v>
      </c>
      <c r="E999" s="25">
        <v>0</v>
      </c>
      <c r="F999" s="25">
        <v>0</v>
      </c>
      <c r="G999" s="25">
        <f t="shared" si="74"/>
        <v>5</v>
      </c>
      <c r="H999" s="25" t="s">
        <v>395</v>
      </c>
      <c r="I999" s="25">
        <v>1</v>
      </c>
      <c r="J999" s="25" t="str">
        <f>VLOOKUP(C999,'시스템이펙트 참고자료'!$A:$C,3,FALSE)</f>
        <v>절대값만 가능</v>
      </c>
      <c r="K999" s="25">
        <v>19</v>
      </c>
      <c r="M999" s="25">
        <v>8</v>
      </c>
      <c r="N999" s="25">
        <f t="shared" si="73"/>
        <v>20</v>
      </c>
      <c r="O999" s="25">
        <v>1</v>
      </c>
      <c r="P999" s="25">
        <v>1</v>
      </c>
      <c r="Q999" s="25">
        <v>1</v>
      </c>
      <c r="R999" s="25">
        <v>1</v>
      </c>
      <c r="T999" s="25">
        <v>1</v>
      </c>
      <c r="AA999" s="25">
        <f t="shared" si="76"/>
        <v>128</v>
      </c>
      <c r="AK999" s="25">
        <v>1</v>
      </c>
      <c r="AM999" s="25">
        <v>20</v>
      </c>
      <c r="AN999" s="25">
        <v>100</v>
      </c>
      <c r="AP999" s="25">
        <f t="shared" si="75"/>
        <v>5</v>
      </c>
      <c r="AQ999" s="25" t="str">
        <f>VLOOKUP(C999,'시스템이펙트 참고자료'!$A:$B,2,FALSE)</f>
        <v>ACTIVE_WILD_DEFENCE_UP</v>
      </c>
      <c r="AS999" s="25">
        <v>1</v>
      </c>
      <c r="BD999" s="25">
        <v>1</v>
      </c>
    </row>
    <row r="1000" spans="1:56" hidden="1">
      <c r="A1000" s="25">
        <v>995</v>
      </c>
      <c r="B1000" s="25" t="str">
        <f>VLOOKUP(C1000,'시스템이펙트 참고자료'!$A:$C,2,FALSE)</f>
        <v>ACTIVE_ELEGANCE_DEFENCE_UP</v>
      </c>
      <c r="C1000" s="25">
        <v>624</v>
      </c>
      <c r="D1000" s="25">
        <f>VLOOKUP(C1000,'시스템이펙트 참고자료'!$A:$D,4,FALSE)</f>
        <v>0</v>
      </c>
      <c r="E1000" s="25">
        <v>0</v>
      </c>
      <c r="F1000" s="25">
        <v>0</v>
      </c>
      <c r="G1000" s="25">
        <f t="shared" si="74"/>
        <v>5</v>
      </c>
      <c r="H1000" s="25" t="s">
        <v>395</v>
      </c>
      <c r="I1000" s="25">
        <v>1</v>
      </c>
      <c r="J1000" s="25" t="str">
        <f>VLOOKUP(C1000,'시스템이펙트 참고자료'!$A:$C,3,FALSE)</f>
        <v>절대값만 가능</v>
      </c>
      <c r="K1000" s="25">
        <v>19</v>
      </c>
      <c r="M1000" s="25">
        <v>8</v>
      </c>
      <c r="N1000" s="25">
        <f t="shared" si="73"/>
        <v>20</v>
      </c>
      <c r="O1000" s="25">
        <v>1</v>
      </c>
      <c r="P1000" s="25">
        <v>1</v>
      </c>
      <c r="Q1000" s="25">
        <v>1</v>
      </c>
      <c r="R1000" s="25">
        <v>1</v>
      </c>
      <c r="T1000" s="25">
        <v>1</v>
      </c>
      <c r="AA1000" s="25">
        <f t="shared" si="76"/>
        <v>128</v>
      </c>
      <c r="AK1000" s="25">
        <v>1</v>
      </c>
      <c r="AM1000" s="25">
        <v>20</v>
      </c>
      <c r="AN1000" s="25">
        <v>100</v>
      </c>
      <c r="AP1000" s="25">
        <f t="shared" si="75"/>
        <v>5</v>
      </c>
      <c r="AQ1000" s="25" t="str">
        <f>VLOOKUP(C1000,'시스템이펙트 참고자료'!$A:$B,2,FALSE)</f>
        <v>ACTIVE_ELEGANCE_DEFENCE_UP</v>
      </c>
      <c r="AS1000" s="25">
        <v>1</v>
      </c>
      <c r="BD1000" s="25">
        <v>1</v>
      </c>
    </row>
    <row r="1001" spans="1:56" hidden="1">
      <c r="A1001" s="25">
        <v>996</v>
      </c>
      <c r="B1001" s="25" t="str">
        <f>VLOOKUP(C1001,'시스템이펙트 참고자료'!$A:$C,2,FALSE)</f>
        <v>ACTIVE_FUNNY_DEFENCE_UP</v>
      </c>
      <c r="C1001" s="25">
        <v>625</v>
      </c>
      <c r="D1001" s="25">
        <f>VLOOKUP(C1001,'시스템이펙트 참고자료'!$A:$D,4,FALSE)</f>
        <v>0</v>
      </c>
      <c r="E1001" s="25">
        <v>0</v>
      </c>
      <c r="F1001" s="25">
        <v>0</v>
      </c>
      <c r="G1001" s="25">
        <f t="shared" si="74"/>
        <v>5</v>
      </c>
      <c r="H1001" s="25" t="s">
        <v>395</v>
      </c>
      <c r="I1001" s="25">
        <v>1</v>
      </c>
      <c r="J1001" s="25" t="str">
        <f>VLOOKUP(C1001,'시스템이펙트 참고자료'!$A:$C,3,FALSE)</f>
        <v>절대값만 가능</v>
      </c>
      <c r="K1001" s="25">
        <v>19</v>
      </c>
      <c r="M1001" s="25">
        <v>8</v>
      </c>
      <c r="N1001" s="25">
        <f t="shared" si="73"/>
        <v>20</v>
      </c>
      <c r="O1001" s="25">
        <v>1</v>
      </c>
      <c r="P1001" s="25">
        <v>1</v>
      </c>
      <c r="Q1001" s="25">
        <v>1</v>
      </c>
      <c r="R1001" s="25">
        <v>1</v>
      </c>
      <c r="T1001" s="25">
        <v>1</v>
      </c>
      <c r="AA1001" s="25">
        <f t="shared" si="76"/>
        <v>128</v>
      </c>
      <c r="AK1001" s="25">
        <v>1</v>
      </c>
      <c r="AM1001" s="25">
        <v>20</v>
      </c>
      <c r="AN1001" s="25">
        <v>100</v>
      </c>
      <c r="AP1001" s="25">
        <f t="shared" si="75"/>
        <v>5</v>
      </c>
      <c r="AQ1001" s="25" t="str">
        <f>VLOOKUP(C1001,'시스템이펙트 참고자료'!$A:$B,2,FALSE)</f>
        <v>ACTIVE_FUNNY_DEFENCE_UP</v>
      </c>
      <c r="AS1001" s="25">
        <v>1</v>
      </c>
      <c r="BD1001" s="25">
        <v>1</v>
      </c>
    </row>
    <row r="1002" spans="1:56" hidden="1">
      <c r="A1002" s="25">
        <v>997</v>
      </c>
      <c r="B1002" s="25" t="str">
        <f>VLOOKUP(C1002,'시스템이펙트 참고자료'!$A:$C,2,FALSE)</f>
        <v>ACTIVE_PHYSICAL_DEFENCE_UP</v>
      </c>
      <c r="C1002" s="25">
        <v>608</v>
      </c>
      <c r="D1002" s="25">
        <f>VLOOKUP(C1002,'시스템이펙트 참고자료'!$A:$D,4,FALSE)</f>
        <v>0</v>
      </c>
      <c r="E1002" s="25">
        <v>0</v>
      </c>
      <c r="F1002" s="25">
        <v>0</v>
      </c>
      <c r="G1002" s="25">
        <f t="shared" si="74"/>
        <v>1</v>
      </c>
      <c r="H1002" s="25" t="s">
        <v>395</v>
      </c>
      <c r="I1002" s="25">
        <v>1</v>
      </c>
      <c r="J1002" s="25" t="str">
        <f>VLOOKUP(C1002,'시스템이펙트 참고자료'!$A:$C,3,FALSE)</f>
        <v>절대값/상대값(%) 가능</v>
      </c>
      <c r="K1002" s="25">
        <v>20</v>
      </c>
      <c r="M1002" s="25">
        <v>1</v>
      </c>
      <c r="N1002" s="25">
        <f t="shared" si="73"/>
        <v>1350</v>
      </c>
      <c r="O1002" s="25">
        <v>1</v>
      </c>
      <c r="P1002" s="25">
        <v>1</v>
      </c>
      <c r="Q1002" s="25">
        <v>1</v>
      </c>
      <c r="R1002" s="25">
        <v>1</v>
      </c>
      <c r="T1002" s="25">
        <v>1</v>
      </c>
      <c r="AA1002" s="25">
        <f t="shared" si="76"/>
        <v>128</v>
      </c>
      <c r="AK1002" s="25">
        <v>1</v>
      </c>
      <c r="AM1002" s="25">
        <v>1350</v>
      </c>
      <c r="AN1002" s="25">
        <v>100</v>
      </c>
      <c r="AP1002" s="25">
        <f t="shared" si="75"/>
        <v>1</v>
      </c>
      <c r="AQ1002" s="25" t="str">
        <f>VLOOKUP(C1002,'시스템이펙트 참고자료'!$A:$B,2,FALSE)</f>
        <v>ACTIVE_PHYSICAL_DEFENCE_UP</v>
      </c>
      <c r="AS1002" s="25">
        <v>1</v>
      </c>
      <c r="BD1002" s="25">
        <v>1</v>
      </c>
    </row>
    <row r="1003" spans="1:56" hidden="1">
      <c r="A1003" s="25">
        <v>998</v>
      </c>
      <c r="B1003" s="25" t="str">
        <f>VLOOKUP(C1003,'시스템이펙트 참고자료'!$A:$C,2,FALSE)</f>
        <v>ACTIVE_BLOCK_RATE_UP</v>
      </c>
      <c r="C1003" s="25">
        <v>620</v>
      </c>
      <c r="D1003" s="25">
        <f>VLOOKUP(C1003,'시스템이펙트 참고자료'!$A:$D,4,FALSE)</f>
        <v>0</v>
      </c>
      <c r="E1003" s="25">
        <v>0</v>
      </c>
      <c r="F1003" s="25">
        <v>0</v>
      </c>
      <c r="G1003" s="25">
        <f t="shared" si="74"/>
        <v>1</v>
      </c>
      <c r="H1003" s="25" t="s">
        <v>395</v>
      </c>
      <c r="I1003" s="25">
        <v>1</v>
      </c>
      <c r="J1003" s="25" t="str">
        <f>VLOOKUP(C1003,'시스템이펙트 참고자료'!$A:$C,3,FALSE)</f>
        <v>절대값/상대값(%) 가능</v>
      </c>
      <c r="K1003" s="25">
        <v>20</v>
      </c>
      <c r="M1003" s="25">
        <v>1</v>
      </c>
      <c r="N1003" s="25">
        <f t="shared" si="73"/>
        <v>352</v>
      </c>
      <c r="O1003" s="25">
        <v>1</v>
      </c>
      <c r="P1003" s="25">
        <v>1</v>
      </c>
      <c r="Q1003" s="25">
        <v>1</v>
      </c>
      <c r="R1003" s="25">
        <v>1</v>
      </c>
      <c r="T1003" s="25">
        <v>1</v>
      </c>
      <c r="AA1003" s="25">
        <f t="shared" si="76"/>
        <v>128</v>
      </c>
      <c r="AK1003" s="25">
        <v>1</v>
      </c>
      <c r="AM1003" s="25">
        <v>352</v>
      </c>
      <c r="AN1003" s="25">
        <v>100</v>
      </c>
      <c r="AP1003" s="25">
        <f t="shared" si="75"/>
        <v>1</v>
      </c>
      <c r="AQ1003" s="25" t="str">
        <f>VLOOKUP(C1003,'시스템이펙트 참고자료'!$A:$B,2,FALSE)</f>
        <v>ACTIVE_BLOCK_RATE_UP</v>
      </c>
      <c r="AS1003" s="25">
        <v>1</v>
      </c>
      <c r="BD1003" s="25">
        <v>1</v>
      </c>
    </row>
    <row r="1004" spans="1:56" hidden="1">
      <c r="A1004" s="25">
        <v>999</v>
      </c>
      <c r="B1004" s="25" t="str">
        <f>VLOOKUP(C1004,'시스템이펙트 참고자료'!$A:$C,2,FALSE)</f>
        <v>ACTIVE_CON_UP</v>
      </c>
      <c r="C1004" s="25">
        <v>611</v>
      </c>
      <c r="D1004" s="25">
        <f>VLOOKUP(C1004,'시스템이펙트 참고자료'!$A:$D,4,FALSE)</f>
        <v>0</v>
      </c>
      <c r="E1004" s="25">
        <v>0</v>
      </c>
      <c r="F1004" s="25">
        <v>0</v>
      </c>
      <c r="G1004" s="25">
        <f t="shared" si="74"/>
        <v>3</v>
      </c>
      <c r="H1004" s="25" t="s">
        <v>395</v>
      </c>
      <c r="I1004" s="25">
        <v>1</v>
      </c>
      <c r="J1004" s="25" t="str">
        <f>VLOOKUP(C1004,'시스템이펙트 참고자료'!$A:$C,3,FALSE)</f>
        <v>절대값/상대값(%) 가능</v>
      </c>
      <c r="K1004" s="25">
        <v>20</v>
      </c>
      <c r="M1004" s="25">
        <v>1</v>
      </c>
      <c r="N1004" s="25">
        <f t="shared" si="73"/>
        <v>48</v>
      </c>
      <c r="O1004" s="25">
        <v>1</v>
      </c>
      <c r="P1004" s="25">
        <v>1</v>
      </c>
      <c r="Q1004" s="25">
        <v>1</v>
      </c>
      <c r="R1004" s="25">
        <v>1</v>
      </c>
      <c r="T1004" s="25">
        <v>1</v>
      </c>
      <c r="AA1004" s="25">
        <f t="shared" si="76"/>
        <v>128</v>
      </c>
      <c r="AK1004" s="25">
        <v>1</v>
      </c>
      <c r="AM1004" s="25">
        <v>48</v>
      </c>
      <c r="AN1004" s="25">
        <v>100</v>
      </c>
      <c r="AP1004" s="25">
        <f t="shared" si="75"/>
        <v>3</v>
      </c>
      <c r="AQ1004" s="25" t="str">
        <f>VLOOKUP(C1004,'시스템이펙트 참고자료'!$A:$B,2,FALSE)</f>
        <v>ACTIVE_CON_UP</v>
      </c>
      <c r="AS1004" s="25">
        <v>1</v>
      </c>
      <c r="BD1004" s="25">
        <v>1</v>
      </c>
    </row>
    <row r="1005" spans="1:56" hidden="1">
      <c r="A1005" s="25">
        <v>1000</v>
      </c>
      <c r="B1005" s="25" t="str">
        <f>VLOOKUP(C1005,'시스템이펙트 참고자료'!$A:$C,2,FALSE)</f>
        <v>ACTIVE_BLEED_DEFENCE</v>
      </c>
      <c r="C1005" s="25">
        <v>681</v>
      </c>
      <c r="D1005" s="25">
        <f>VLOOKUP(C1005,'시스템이펙트 참고자료'!$A:$D,4,FALSE)</f>
        <v>0</v>
      </c>
      <c r="E1005" s="25">
        <v>0</v>
      </c>
      <c r="F1005" s="25">
        <v>0</v>
      </c>
      <c r="G1005" s="25">
        <f t="shared" si="74"/>
        <v>1</v>
      </c>
      <c r="H1005" s="25" t="s">
        <v>395</v>
      </c>
      <c r="I1005" s="25">
        <v>1</v>
      </c>
      <c r="J1005" s="25" t="str">
        <f>VLOOKUP(C1005,'시스템이펙트 참고자료'!$A:$C,3,FALSE)</f>
        <v>절대값/상대값(%) 가능</v>
      </c>
      <c r="K1005" s="25">
        <v>20</v>
      </c>
      <c r="M1005" s="25">
        <v>1</v>
      </c>
      <c r="N1005" s="25">
        <f t="shared" si="73"/>
        <v>1350</v>
      </c>
      <c r="O1005" s="25">
        <v>1</v>
      </c>
      <c r="P1005" s="25">
        <v>1</v>
      </c>
      <c r="Q1005" s="25">
        <v>1</v>
      </c>
      <c r="R1005" s="25">
        <v>1</v>
      </c>
      <c r="T1005" s="25">
        <v>1</v>
      </c>
      <c r="AA1005" s="25">
        <f t="shared" si="76"/>
        <v>128</v>
      </c>
      <c r="AK1005" s="25">
        <v>1</v>
      </c>
      <c r="AM1005" s="25">
        <v>1350</v>
      </c>
      <c r="AN1005" s="25">
        <v>100</v>
      </c>
      <c r="AP1005" s="25">
        <f t="shared" si="75"/>
        <v>1</v>
      </c>
      <c r="AQ1005" s="25" t="str">
        <f>VLOOKUP(C1005,'시스템이펙트 참고자료'!$A:$B,2,FALSE)</f>
        <v>ACTIVE_BLEED_DEFENCE</v>
      </c>
      <c r="AS1005" s="25">
        <v>1</v>
      </c>
      <c r="BD1005" s="25">
        <v>1</v>
      </c>
    </row>
    <row r="1006" spans="1:56" hidden="1">
      <c r="A1006" s="25">
        <v>1001</v>
      </c>
      <c r="B1006" s="25" t="str">
        <f>VLOOKUP(C1006,'시스템이펙트 참고자료'!$A:$C,2,FALSE)</f>
        <v>ACTIVE_BURN_DEFENCE</v>
      </c>
      <c r="C1006" s="25">
        <v>682</v>
      </c>
      <c r="D1006" s="25">
        <f>VLOOKUP(C1006,'시스템이펙트 참고자료'!$A:$D,4,FALSE)</f>
        <v>0</v>
      </c>
      <c r="E1006" s="25">
        <v>0</v>
      </c>
      <c r="F1006" s="25">
        <v>0</v>
      </c>
      <c r="G1006" s="25">
        <f t="shared" si="74"/>
        <v>1</v>
      </c>
      <c r="H1006" s="25" t="s">
        <v>395</v>
      </c>
      <c r="I1006" s="25">
        <v>1</v>
      </c>
      <c r="J1006" s="25" t="str">
        <f>VLOOKUP(C1006,'시스템이펙트 참고자료'!$A:$C,3,FALSE)</f>
        <v>절대값/상대값(%) 가능</v>
      </c>
      <c r="K1006" s="25">
        <v>20</v>
      </c>
      <c r="M1006" s="25">
        <v>1</v>
      </c>
      <c r="N1006" s="25">
        <f t="shared" si="73"/>
        <v>1350</v>
      </c>
      <c r="O1006" s="25">
        <v>1</v>
      </c>
      <c r="P1006" s="25">
        <v>1</v>
      </c>
      <c r="Q1006" s="25">
        <v>1</v>
      </c>
      <c r="R1006" s="25">
        <v>1</v>
      </c>
      <c r="T1006" s="25">
        <v>1</v>
      </c>
      <c r="AA1006" s="25">
        <f t="shared" si="76"/>
        <v>128</v>
      </c>
      <c r="AK1006" s="25">
        <v>1</v>
      </c>
      <c r="AM1006" s="25">
        <v>1350</v>
      </c>
      <c r="AN1006" s="25">
        <v>100</v>
      </c>
      <c r="AP1006" s="25">
        <f t="shared" si="75"/>
        <v>1</v>
      </c>
      <c r="AQ1006" s="25" t="str">
        <f>VLOOKUP(C1006,'시스템이펙트 참고자료'!$A:$B,2,FALSE)</f>
        <v>ACTIVE_BURN_DEFENCE</v>
      </c>
      <c r="AS1006" s="25">
        <v>1</v>
      </c>
      <c r="BD1006" s="25">
        <v>1</v>
      </c>
    </row>
    <row r="1007" spans="1:56" hidden="1">
      <c r="A1007" s="25">
        <v>1002</v>
      </c>
      <c r="B1007" s="25" t="str">
        <f>VLOOKUP(C1007,'시스템이펙트 참고자료'!$A:$C,2,FALSE)</f>
        <v>ACTIVE_ENERGY_DEFENCE_UP</v>
      </c>
      <c r="C1007" s="25">
        <v>609</v>
      </c>
      <c r="D1007" s="25">
        <f>VLOOKUP(C1007,'시스템이펙트 참고자료'!$A:$D,4,FALSE)</f>
        <v>0</v>
      </c>
      <c r="E1007" s="25">
        <v>0</v>
      </c>
      <c r="F1007" s="25">
        <v>0</v>
      </c>
      <c r="G1007" s="25">
        <f t="shared" si="74"/>
        <v>1</v>
      </c>
      <c r="H1007" s="25" t="s">
        <v>395</v>
      </c>
      <c r="I1007" s="25">
        <v>1</v>
      </c>
      <c r="J1007" s="25" t="str">
        <f>VLOOKUP(C1007,'시스템이펙트 참고자료'!$A:$C,3,FALSE)</f>
        <v>절대값/상대값(%) 가능</v>
      </c>
      <c r="K1007" s="25">
        <v>20</v>
      </c>
      <c r="M1007" s="25">
        <v>2</v>
      </c>
      <c r="N1007" s="25">
        <f t="shared" si="73"/>
        <v>1350</v>
      </c>
      <c r="O1007" s="25">
        <v>1</v>
      </c>
      <c r="P1007" s="25">
        <v>1</v>
      </c>
      <c r="Q1007" s="25">
        <v>1</v>
      </c>
      <c r="R1007" s="25">
        <v>1</v>
      </c>
      <c r="T1007" s="25">
        <v>1</v>
      </c>
      <c r="AA1007" s="25">
        <f t="shared" si="76"/>
        <v>128</v>
      </c>
      <c r="AK1007" s="25">
        <v>1</v>
      </c>
      <c r="AM1007" s="25">
        <v>1350</v>
      </c>
      <c r="AN1007" s="25">
        <v>100</v>
      </c>
      <c r="AP1007" s="25">
        <f t="shared" si="75"/>
        <v>1</v>
      </c>
      <c r="AQ1007" s="25" t="str">
        <f>VLOOKUP(C1007,'시스템이펙트 참고자료'!$A:$B,2,FALSE)</f>
        <v>ACTIVE_ENERGY_DEFENCE_UP</v>
      </c>
      <c r="AS1007" s="25">
        <v>1</v>
      </c>
      <c r="BD1007" s="25">
        <v>1</v>
      </c>
    </row>
    <row r="1008" spans="1:56" hidden="1">
      <c r="A1008" s="25">
        <v>1003</v>
      </c>
      <c r="B1008" s="25" t="str">
        <f>VLOOKUP(C1008,'시스템이펙트 참고자료'!$A:$C,2,FALSE)</f>
        <v>ACTIVE_BLOCK_RATE_UP</v>
      </c>
      <c r="C1008" s="25">
        <v>620</v>
      </c>
      <c r="D1008" s="25">
        <f>VLOOKUP(C1008,'시스템이펙트 참고자료'!$A:$D,4,FALSE)</f>
        <v>0</v>
      </c>
      <c r="E1008" s="25">
        <v>0</v>
      </c>
      <c r="F1008" s="25">
        <v>0</v>
      </c>
      <c r="G1008" s="25">
        <f t="shared" si="74"/>
        <v>1</v>
      </c>
      <c r="H1008" s="25" t="s">
        <v>395</v>
      </c>
      <c r="I1008" s="25">
        <v>1</v>
      </c>
      <c r="J1008" s="25" t="str">
        <f>VLOOKUP(C1008,'시스템이펙트 참고자료'!$A:$C,3,FALSE)</f>
        <v>절대값/상대값(%) 가능</v>
      </c>
      <c r="K1008" s="25">
        <v>20</v>
      </c>
      <c r="M1008" s="25">
        <v>2</v>
      </c>
      <c r="N1008" s="25">
        <f t="shared" si="73"/>
        <v>352</v>
      </c>
      <c r="O1008" s="25">
        <v>1</v>
      </c>
      <c r="P1008" s="25">
        <v>1</v>
      </c>
      <c r="Q1008" s="25">
        <v>1</v>
      </c>
      <c r="R1008" s="25">
        <v>1</v>
      </c>
      <c r="T1008" s="25">
        <v>1</v>
      </c>
      <c r="AA1008" s="25">
        <f t="shared" si="76"/>
        <v>128</v>
      </c>
      <c r="AK1008" s="25">
        <v>1</v>
      </c>
      <c r="AM1008" s="25">
        <v>352</v>
      </c>
      <c r="AN1008" s="25">
        <v>100</v>
      </c>
      <c r="AP1008" s="25">
        <f t="shared" si="75"/>
        <v>1</v>
      </c>
      <c r="AQ1008" s="25" t="str">
        <f>VLOOKUP(C1008,'시스템이펙트 참고자료'!$A:$B,2,FALSE)</f>
        <v>ACTIVE_BLOCK_RATE_UP</v>
      </c>
      <c r="AS1008" s="25">
        <v>1</v>
      </c>
      <c r="BD1008" s="25">
        <v>1</v>
      </c>
    </row>
    <row r="1009" spans="1:56" hidden="1">
      <c r="A1009" s="25">
        <v>1004</v>
      </c>
      <c r="B1009" s="25" t="str">
        <f>VLOOKUP(C1009,'시스템이펙트 참고자료'!$A:$C,2,FALSE)</f>
        <v>ACTIVE_ENG_UP</v>
      </c>
      <c r="C1009" s="25">
        <v>615</v>
      </c>
      <c r="D1009" s="25">
        <f>VLOOKUP(C1009,'시스템이펙트 참고자료'!$A:$D,4,FALSE)</f>
        <v>0</v>
      </c>
      <c r="E1009" s="25">
        <v>0</v>
      </c>
      <c r="F1009" s="25">
        <v>0</v>
      </c>
      <c r="G1009" s="25">
        <f t="shared" si="74"/>
        <v>2</v>
      </c>
      <c r="H1009" s="25" t="s">
        <v>395</v>
      </c>
      <c r="I1009" s="25">
        <v>1</v>
      </c>
      <c r="J1009" s="25" t="str">
        <f>VLOOKUP(C1009,'시스템이펙트 참고자료'!$A:$C,3,FALSE)</f>
        <v>절대값/상대값(%) 가능</v>
      </c>
      <c r="K1009" s="25">
        <v>20</v>
      </c>
      <c r="M1009" s="25">
        <v>2</v>
      </c>
      <c r="N1009" s="25">
        <f t="shared" si="73"/>
        <v>62</v>
      </c>
      <c r="O1009" s="25">
        <v>1</v>
      </c>
      <c r="P1009" s="25">
        <v>1</v>
      </c>
      <c r="Q1009" s="25">
        <v>1</v>
      </c>
      <c r="R1009" s="25">
        <v>1</v>
      </c>
      <c r="T1009" s="25">
        <v>1</v>
      </c>
      <c r="AA1009" s="25">
        <f t="shared" si="76"/>
        <v>128</v>
      </c>
      <c r="AK1009" s="25">
        <v>1</v>
      </c>
      <c r="AM1009" s="25">
        <v>62</v>
      </c>
      <c r="AN1009" s="25">
        <v>100</v>
      </c>
      <c r="AP1009" s="25">
        <f t="shared" si="75"/>
        <v>2</v>
      </c>
      <c r="AQ1009" s="25" t="str">
        <f>VLOOKUP(C1009,'시스템이펙트 참고자료'!$A:$B,2,FALSE)</f>
        <v>ACTIVE_ENG_UP</v>
      </c>
      <c r="AS1009" s="25">
        <v>1</v>
      </c>
      <c r="BD1009" s="25">
        <v>1</v>
      </c>
    </row>
    <row r="1010" spans="1:56" hidden="1">
      <c r="A1010" s="25">
        <v>1005</v>
      </c>
      <c r="B1010" s="25" t="str">
        <f>VLOOKUP(C1010,'시스템이펙트 참고자료'!$A:$C,2,FALSE)</f>
        <v>ACTIVE_STOMACHACHE_DEFENCE</v>
      </c>
      <c r="C1010" s="25">
        <v>679</v>
      </c>
      <c r="D1010" s="25">
        <f>VLOOKUP(C1010,'시스템이펙트 참고자료'!$A:$D,4,FALSE)</f>
        <v>0</v>
      </c>
      <c r="E1010" s="25">
        <v>0</v>
      </c>
      <c r="F1010" s="25">
        <v>0</v>
      </c>
      <c r="G1010" s="25">
        <f t="shared" si="74"/>
        <v>1</v>
      </c>
      <c r="H1010" s="25" t="s">
        <v>395</v>
      </c>
      <c r="I1010" s="25">
        <v>1</v>
      </c>
      <c r="J1010" s="25" t="str">
        <f>VLOOKUP(C1010,'시스템이펙트 참고자료'!$A:$C,3,FALSE)</f>
        <v>절대값/상대값(%) 가능</v>
      </c>
      <c r="K1010" s="25">
        <v>20</v>
      </c>
      <c r="M1010" s="25">
        <v>2</v>
      </c>
      <c r="N1010" s="25">
        <f t="shared" si="73"/>
        <v>1350</v>
      </c>
      <c r="O1010" s="25">
        <v>1</v>
      </c>
      <c r="P1010" s="25">
        <v>1</v>
      </c>
      <c r="Q1010" s="25">
        <v>1</v>
      </c>
      <c r="R1010" s="25">
        <v>1</v>
      </c>
      <c r="T1010" s="25">
        <v>1</v>
      </c>
      <c r="AA1010" s="25">
        <f t="shared" si="76"/>
        <v>128</v>
      </c>
      <c r="AK1010" s="25">
        <v>1</v>
      </c>
      <c r="AM1010" s="25">
        <v>1350</v>
      </c>
      <c r="AN1010" s="25">
        <v>100</v>
      </c>
      <c r="AP1010" s="25">
        <f t="shared" si="75"/>
        <v>1</v>
      </c>
      <c r="AQ1010" s="25" t="str">
        <f>VLOOKUP(C1010,'시스템이펙트 참고자료'!$A:$B,2,FALSE)</f>
        <v>ACTIVE_STOMACHACHE_DEFENCE</v>
      </c>
      <c r="AS1010" s="25">
        <v>1</v>
      </c>
      <c r="BD1010" s="25">
        <v>1</v>
      </c>
    </row>
    <row r="1011" spans="1:56" hidden="1">
      <c r="A1011" s="25">
        <v>1006</v>
      </c>
      <c r="B1011" s="25" t="str">
        <f>VLOOKUP(C1011,'시스템이펙트 참고자료'!$A:$C,2,FALSE)</f>
        <v>ACTIVE_POISON_DEFENCE</v>
      </c>
      <c r="C1011" s="25">
        <v>680</v>
      </c>
      <c r="D1011" s="25">
        <f>VLOOKUP(C1011,'시스템이펙트 참고자료'!$A:$D,4,FALSE)</f>
        <v>0</v>
      </c>
      <c r="E1011" s="25">
        <v>0</v>
      </c>
      <c r="F1011" s="25">
        <v>0</v>
      </c>
      <c r="G1011" s="25">
        <f t="shared" si="74"/>
        <v>1</v>
      </c>
      <c r="H1011" s="25" t="s">
        <v>395</v>
      </c>
      <c r="I1011" s="25">
        <v>1</v>
      </c>
      <c r="J1011" s="25" t="str">
        <f>VLOOKUP(C1011,'시스템이펙트 참고자료'!$A:$C,3,FALSE)</f>
        <v>절대값/상대값(%) 가능</v>
      </c>
      <c r="K1011" s="25">
        <v>20</v>
      </c>
      <c r="M1011" s="25">
        <v>2</v>
      </c>
      <c r="N1011" s="25">
        <f t="shared" si="73"/>
        <v>1350</v>
      </c>
      <c r="O1011" s="25">
        <v>1</v>
      </c>
      <c r="P1011" s="25">
        <v>1</v>
      </c>
      <c r="Q1011" s="25">
        <v>1</v>
      </c>
      <c r="R1011" s="25">
        <v>1</v>
      </c>
      <c r="T1011" s="25">
        <v>1</v>
      </c>
      <c r="AA1011" s="25">
        <f t="shared" si="76"/>
        <v>128</v>
      </c>
      <c r="AK1011" s="25">
        <v>1</v>
      </c>
      <c r="AM1011" s="25">
        <v>1350</v>
      </c>
      <c r="AN1011" s="25">
        <v>100</v>
      </c>
      <c r="AP1011" s="25">
        <f t="shared" si="75"/>
        <v>1</v>
      </c>
      <c r="AQ1011" s="25" t="str">
        <f>VLOOKUP(C1011,'시스템이펙트 참고자료'!$A:$B,2,FALSE)</f>
        <v>ACTIVE_POISON_DEFENCE</v>
      </c>
      <c r="AS1011" s="25">
        <v>1</v>
      </c>
      <c r="BD1011" s="25">
        <v>1</v>
      </c>
    </row>
    <row r="1012" spans="1:56" hidden="1">
      <c r="A1012" s="25">
        <v>1007</v>
      </c>
      <c r="B1012" s="25" t="str">
        <f>VLOOKUP(C1012,'시스템이펙트 참고자료'!$A:$C,2,FALSE)</f>
        <v>ACTIVE_DODGE_RATE_UP</v>
      </c>
      <c r="C1012" s="25">
        <v>619</v>
      </c>
      <c r="D1012" s="25">
        <f>VLOOKUP(C1012,'시스템이펙트 참고자료'!$A:$D,4,FALSE)</f>
        <v>0</v>
      </c>
      <c r="E1012" s="25">
        <v>0</v>
      </c>
      <c r="F1012" s="25">
        <v>0</v>
      </c>
      <c r="G1012" s="25">
        <f t="shared" si="74"/>
        <v>1</v>
      </c>
      <c r="H1012" s="25" t="s">
        <v>395</v>
      </c>
      <c r="I1012" s="25">
        <v>1</v>
      </c>
      <c r="J1012" s="25" t="str">
        <f>VLOOKUP(C1012,'시스템이펙트 참고자료'!$A:$C,3,FALSE)</f>
        <v>절대값/상대값(%) 가능</v>
      </c>
      <c r="K1012" s="25">
        <v>20</v>
      </c>
      <c r="M1012" s="25">
        <v>3</v>
      </c>
      <c r="N1012" s="25">
        <f t="shared" si="73"/>
        <v>275</v>
      </c>
      <c r="O1012" s="25">
        <v>1</v>
      </c>
      <c r="P1012" s="25">
        <v>1</v>
      </c>
      <c r="Q1012" s="25">
        <v>1</v>
      </c>
      <c r="R1012" s="25">
        <v>1</v>
      </c>
      <c r="T1012" s="25">
        <v>1</v>
      </c>
      <c r="AA1012" s="25">
        <f t="shared" si="76"/>
        <v>128</v>
      </c>
      <c r="AK1012" s="25">
        <v>1</v>
      </c>
      <c r="AM1012" s="25">
        <v>275</v>
      </c>
      <c r="AN1012" s="25">
        <v>100</v>
      </c>
      <c r="AP1012" s="25">
        <f t="shared" si="75"/>
        <v>1</v>
      </c>
      <c r="AQ1012" s="25" t="str">
        <f>VLOOKUP(C1012,'시스템이펙트 참고자료'!$A:$B,2,FALSE)</f>
        <v>ACTIVE_DODGE_RATE_UP</v>
      </c>
      <c r="AS1012" s="25">
        <v>1</v>
      </c>
      <c r="BD1012" s="25">
        <v>1</v>
      </c>
    </row>
    <row r="1013" spans="1:56" hidden="1">
      <c r="A1013" s="25">
        <v>1008</v>
      </c>
      <c r="B1013" s="25" t="str">
        <f>VLOOKUP(C1013,'시스템이펙트 참고자료'!$A:$C,2,FALSE)</f>
        <v>ACTIVE_DEX_UP</v>
      </c>
      <c r="C1013" s="25">
        <v>613</v>
      </c>
      <c r="D1013" s="25">
        <f>VLOOKUP(C1013,'시스템이펙트 참고자료'!$A:$D,4,FALSE)</f>
        <v>0</v>
      </c>
      <c r="E1013" s="25">
        <v>0</v>
      </c>
      <c r="F1013" s="25">
        <v>0</v>
      </c>
      <c r="G1013" s="25">
        <f t="shared" si="74"/>
        <v>3</v>
      </c>
      <c r="H1013" s="25" t="s">
        <v>395</v>
      </c>
      <c r="I1013" s="25">
        <v>1</v>
      </c>
      <c r="J1013" s="25" t="str">
        <f>VLOOKUP(C1013,'시스템이펙트 참고자료'!$A:$C,3,FALSE)</f>
        <v>절대값/상대값(%) 가능</v>
      </c>
      <c r="K1013" s="25">
        <v>20</v>
      </c>
      <c r="M1013" s="25">
        <v>3</v>
      </c>
      <c r="N1013" s="25">
        <f t="shared" si="73"/>
        <v>44</v>
      </c>
      <c r="O1013" s="25">
        <v>1</v>
      </c>
      <c r="P1013" s="25">
        <v>1</v>
      </c>
      <c r="Q1013" s="25">
        <v>1</v>
      </c>
      <c r="R1013" s="25">
        <v>1</v>
      </c>
      <c r="T1013" s="25">
        <v>1</v>
      </c>
      <c r="AA1013" s="25">
        <f t="shared" si="76"/>
        <v>128</v>
      </c>
      <c r="AK1013" s="25">
        <v>1</v>
      </c>
      <c r="AM1013" s="25">
        <v>44</v>
      </c>
      <c r="AN1013" s="25">
        <v>100</v>
      </c>
      <c r="AP1013" s="25">
        <f t="shared" si="75"/>
        <v>3</v>
      </c>
      <c r="AQ1013" s="25" t="str">
        <f>VLOOKUP(C1013,'시스템이펙트 참고자료'!$A:$B,2,FALSE)</f>
        <v>ACTIVE_DEX_UP</v>
      </c>
      <c r="AS1013" s="25">
        <v>1</v>
      </c>
      <c r="BD1013" s="25">
        <v>1</v>
      </c>
    </row>
    <row r="1014" spans="1:56" hidden="1">
      <c r="A1014" s="25">
        <v>1009</v>
      </c>
      <c r="B1014" s="25" t="str">
        <f>VLOOKUP(C1014,'시스템이펙트 참고자료'!$A:$C,2,FALSE)</f>
        <v>ACTIVE_FOC_UP</v>
      </c>
      <c r="C1014" s="25">
        <v>612</v>
      </c>
      <c r="D1014" s="25">
        <f>VLOOKUP(C1014,'시스템이펙트 참고자료'!$A:$D,4,FALSE)</f>
        <v>0</v>
      </c>
      <c r="E1014" s="25">
        <v>0</v>
      </c>
      <c r="F1014" s="25">
        <v>0</v>
      </c>
      <c r="G1014" s="25">
        <f t="shared" si="74"/>
        <v>2</v>
      </c>
      <c r="H1014" s="25" t="s">
        <v>395</v>
      </c>
      <c r="I1014" s="25">
        <v>1</v>
      </c>
      <c r="J1014" s="25" t="str">
        <f>VLOOKUP(C1014,'시스템이펙트 참고자료'!$A:$C,3,FALSE)</f>
        <v>절대값/상대값(%) 가능</v>
      </c>
      <c r="K1014" s="25">
        <v>20</v>
      </c>
      <c r="M1014" s="25">
        <v>3</v>
      </c>
      <c r="N1014" s="25">
        <f t="shared" si="73"/>
        <v>53</v>
      </c>
      <c r="O1014" s="25">
        <v>1</v>
      </c>
      <c r="P1014" s="25">
        <v>1</v>
      </c>
      <c r="Q1014" s="25">
        <v>1</v>
      </c>
      <c r="R1014" s="25">
        <v>1</v>
      </c>
      <c r="T1014" s="25">
        <v>1</v>
      </c>
      <c r="AA1014" s="25">
        <f t="shared" si="76"/>
        <v>128</v>
      </c>
      <c r="AK1014" s="25">
        <v>1</v>
      </c>
      <c r="AM1014" s="25">
        <v>53</v>
      </c>
      <c r="AN1014" s="25">
        <v>100</v>
      </c>
      <c r="AP1014" s="25">
        <f t="shared" si="75"/>
        <v>2</v>
      </c>
      <c r="AQ1014" s="25" t="str">
        <f>VLOOKUP(C1014,'시스템이펙트 참고자료'!$A:$B,2,FALSE)</f>
        <v>ACTIVE_FOC_UP</v>
      </c>
      <c r="AS1014" s="25">
        <v>1</v>
      </c>
      <c r="BD1014" s="25">
        <v>1</v>
      </c>
    </row>
    <row r="1015" spans="1:56" hidden="1">
      <c r="A1015" s="25">
        <v>1010</v>
      </c>
      <c r="B1015" s="25" t="str">
        <f>VLOOKUP(C1015,'시스템이펙트 참고자료'!$A:$C,2,FALSE)</f>
        <v>ACTIVE_BLEEDING_KEEPTIME_DOWN</v>
      </c>
      <c r="C1015" s="25">
        <v>648</v>
      </c>
      <c r="D1015" s="25">
        <f>VLOOKUP(C1015,'시스템이펙트 참고자료'!$A:$D,4,FALSE)</f>
        <v>1</v>
      </c>
      <c r="E1015" s="25">
        <v>0</v>
      </c>
      <c r="F1015" s="25">
        <v>0</v>
      </c>
      <c r="G1015" s="25">
        <f t="shared" si="74"/>
        <v>5</v>
      </c>
      <c r="H1015" s="25" t="s">
        <v>395</v>
      </c>
      <c r="I1015" s="25">
        <v>1</v>
      </c>
      <c r="J1015" s="25" t="str">
        <f>VLOOKUP(C1015,'시스템이펙트 참고자료'!$A:$C,3,FALSE)</f>
        <v>상대값(%)값만 가능</v>
      </c>
      <c r="K1015" s="25">
        <v>20</v>
      </c>
      <c r="M1015" s="25">
        <v>3</v>
      </c>
      <c r="N1015" s="25">
        <f t="shared" si="73"/>
        <v>20</v>
      </c>
      <c r="O1015" s="25">
        <v>1</v>
      </c>
      <c r="P1015" s="25">
        <v>1</v>
      </c>
      <c r="Q1015" s="25">
        <v>1</v>
      </c>
      <c r="R1015" s="25">
        <v>1</v>
      </c>
      <c r="T1015" s="25">
        <v>1</v>
      </c>
      <c r="AA1015" s="25">
        <f t="shared" si="76"/>
        <v>128</v>
      </c>
      <c r="AK1015" s="25">
        <v>1</v>
      </c>
      <c r="AM1015" s="25">
        <v>20</v>
      </c>
      <c r="AN1015" s="25">
        <v>100</v>
      </c>
      <c r="AP1015" s="25">
        <f t="shared" si="75"/>
        <v>5</v>
      </c>
      <c r="AQ1015" s="25" t="str">
        <f>VLOOKUP(C1015,'시스템이펙트 참고자료'!$A:$B,2,FALSE)</f>
        <v>ACTIVE_BLEEDING_KEEPTIME_DOWN</v>
      </c>
      <c r="AS1015" s="25">
        <v>1</v>
      </c>
      <c r="BD1015" s="25">
        <v>1</v>
      </c>
    </row>
    <row r="1016" spans="1:56" hidden="1">
      <c r="A1016" s="25">
        <v>1011</v>
      </c>
      <c r="B1016" s="25" t="str">
        <f>VLOOKUP(C1016,'시스템이펙트 참고자료'!$A:$C,2,FALSE)</f>
        <v>ACTIVE_POISON_KEEPTIME_DOWN</v>
      </c>
      <c r="C1016" s="25">
        <v>649</v>
      </c>
      <c r="D1016" s="25">
        <f>VLOOKUP(C1016,'시스템이펙트 참고자료'!$A:$D,4,FALSE)</f>
        <v>1</v>
      </c>
      <c r="E1016" s="25">
        <v>0</v>
      </c>
      <c r="F1016" s="25">
        <v>0</v>
      </c>
      <c r="G1016" s="25">
        <f t="shared" si="74"/>
        <v>5</v>
      </c>
      <c r="H1016" s="25" t="s">
        <v>395</v>
      </c>
      <c r="I1016" s="25">
        <v>1</v>
      </c>
      <c r="J1016" s="25" t="str">
        <f>VLOOKUP(C1016,'시스템이펙트 참고자료'!$A:$C,3,FALSE)</f>
        <v>상대값(%)값만 가능</v>
      </c>
      <c r="K1016" s="25">
        <v>20</v>
      </c>
      <c r="M1016" s="25">
        <v>3</v>
      </c>
      <c r="N1016" s="25">
        <f t="shared" si="73"/>
        <v>20</v>
      </c>
      <c r="O1016" s="25">
        <v>1</v>
      </c>
      <c r="P1016" s="25">
        <v>1</v>
      </c>
      <c r="Q1016" s="25">
        <v>1</v>
      </c>
      <c r="R1016" s="25">
        <v>1</v>
      </c>
      <c r="T1016" s="25">
        <v>1</v>
      </c>
      <c r="AA1016" s="25">
        <f t="shared" si="76"/>
        <v>128</v>
      </c>
      <c r="AK1016" s="25">
        <v>1</v>
      </c>
      <c r="AM1016" s="25">
        <v>20</v>
      </c>
      <c r="AN1016" s="25">
        <v>100</v>
      </c>
      <c r="AP1016" s="25">
        <f t="shared" si="75"/>
        <v>5</v>
      </c>
      <c r="AQ1016" s="25" t="str">
        <f>VLOOKUP(C1016,'시스템이펙트 참고자료'!$A:$B,2,FALSE)</f>
        <v>ACTIVE_POISON_KEEPTIME_DOWN</v>
      </c>
      <c r="AS1016" s="25">
        <v>1</v>
      </c>
      <c r="BD1016" s="25">
        <v>1</v>
      </c>
    </row>
    <row r="1017" spans="1:56" hidden="1">
      <c r="A1017" s="25">
        <v>1012</v>
      </c>
      <c r="B1017" s="25" t="str">
        <f>VLOOKUP(C1017,'시스템이펙트 참고자료'!$A:$C,2,FALSE)</f>
        <v>ACTIVE_STOMACHACHE_KEEPTIME_DOWN</v>
      </c>
      <c r="C1017" s="25">
        <v>650</v>
      </c>
      <c r="D1017" s="25">
        <f>VLOOKUP(C1017,'시스템이펙트 참고자료'!$A:$D,4,FALSE)</f>
        <v>1</v>
      </c>
      <c r="E1017" s="25">
        <v>0</v>
      </c>
      <c r="F1017" s="25">
        <v>0</v>
      </c>
      <c r="G1017" s="25">
        <f t="shared" si="74"/>
        <v>5</v>
      </c>
      <c r="H1017" s="25" t="s">
        <v>395</v>
      </c>
      <c r="I1017" s="25">
        <v>1</v>
      </c>
      <c r="J1017" s="25" t="str">
        <f>VLOOKUP(C1017,'시스템이펙트 참고자료'!$A:$C,3,FALSE)</f>
        <v>상대값(%)값만 가능</v>
      </c>
      <c r="K1017" s="25">
        <v>20</v>
      </c>
      <c r="M1017" s="25">
        <v>3</v>
      </c>
      <c r="N1017" s="25">
        <f t="shared" si="73"/>
        <v>20</v>
      </c>
      <c r="O1017" s="25">
        <v>1</v>
      </c>
      <c r="P1017" s="25">
        <v>1</v>
      </c>
      <c r="Q1017" s="25">
        <v>1</v>
      </c>
      <c r="R1017" s="25">
        <v>1</v>
      </c>
      <c r="T1017" s="25">
        <v>1</v>
      </c>
      <c r="AA1017" s="25">
        <f t="shared" si="76"/>
        <v>128</v>
      </c>
      <c r="AK1017" s="25">
        <v>1</v>
      </c>
      <c r="AM1017" s="25">
        <v>20</v>
      </c>
      <c r="AN1017" s="25">
        <v>100</v>
      </c>
      <c r="AP1017" s="25">
        <f t="shared" si="75"/>
        <v>5</v>
      </c>
      <c r="AQ1017" s="25" t="str">
        <f>VLOOKUP(C1017,'시스템이펙트 참고자료'!$A:$B,2,FALSE)</f>
        <v>ACTIVE_STOMACHACHE_KEEPTIME_DOWN</v>
      </c>
      <c r="AS1017" s="25">
        <v>1</v>
      </c>
      <c r="BD1017" s="25">
        <v>1</v>
      </c>
    </row>
    <row r="1018" spans="1:56" hidden="1">
      <c r="A1018" s="25">
        <v>1013</v>
      </c>
      <c r="B1018" s="25" t="str">
        <f>VLOOKUP(C1018,'시스템이펙트 참고자료'!$A:$C,2,FALSE)</f>
        <v>ACTIVE_CURSE_TOLERANCE</v>
      </c>
      <c r="C1018" s="25">
        <v>631</v>
      </c>
      <c r="D1018" s="25">
        <f>VLOOKUP(C1018,'시스템이펙트 참고자료'!$A:$D,4,FALSE)</f>
        <v>0</v>
      </c>
      <c r="E1018" s="25">
        <v>0</v>
      </c>
      <c r="F1018" s="25">
        <v>0</v>
      </c>
      <c r="G1018" s="25">
        <f t="shared" si="74"/>
        <v>1</v>
      </c>
      <c r="H1018" s="25" t="s">
        <v>395</v>
      </c>
      <c r="I1018" s="25">
        <v>1</v>
      </c>
      <c r="J1018" s="25" t="str">
        <f>VLOOKUP(C1018,'시스템이펙트 참고자료'!$A:$C,3,FALSE)</f>
        <v>절대값/상대값(%) 가능</v>
      </c>
      <c r="K1018" s="25">
        <v>20</v>
      </c>
      <c r="M1018" s="25">
        <v>4</v>
      </c>
      <c r="N1018" s="25">
        <f t="shared" si="73"/>
        <v>220</v>
      </c>
      <c r="O1018" s="25">
        <v>1</v>
      </c>
      <c r="P1018" s="25">
        <v>1</v>
      </c>
      <c r="Q1018" s="25">
        <v>1</v>
      </c>
      <c r="R1018" s="25">
        <v>1</v>
      </c>
      <c r="T1018" s="25">
        <v>1</v>
      </c>
      <c r="AA1018" s="25">
        <f t="shared" si="76"/>
        <v>128</v>
      </c>
      <c r="AK1018" s="25">
        <v>1</v>
      </c>
      <c r="AM1018" s="25">
        <v>220</v>
      </c>
      <c r="AN1018" s="25">
        <v>100</v>
      </c>
      <c r="AP1018" s="25">
        <f t="shared" si="75"/>
        <v>1</v>
      </c>
      <c r="AQ1018" s="25" t="str">
        <f>VLOOKUP(C1018,'시스템이펙트 참고자료'!$A:$B,2,FALSE)</f>
        <v>ACTIVE_CURSE_TOLERANCE</v>
      </c>
      <c r="AS1018" s="25">
        <v>1</v>
      </c>
      <c r="BD1018" s="25">
        <v>1</v>
      </c>
    </row>
    <row r="1019" spans="1:56" hidden="1">
      <c r="A1019" s="25">
        <v>1014</v>
      </c>
      <c r="B1019" s="25" t="str">
        <f>VLOOKUP(C1019,'시스템이펙트 참고자료'!$A:$C,2,FALSE)</f>
        <v>ACTIVE_PARALYZE_KEEPTIME_DOWN</v>
      </c>
      <c r="C1019" s="25">
        <v>643</v>
      </c>
      <c r="D1019" s="25">
        <f>VLOOKUP(C1019,'시스템이펙트 참고자료'!$A:$D,4,FALSE)</f>
        <v>1</v>
      </c>
      <c r="E1019" s="25">
        <v>0</v>
      </c>
      <c r="F1019" s="25">
        <v>0</v>
      </c>
      <c r="G1019" s="25">
        <f t="shared" si="74"/>
        <v>5</v>
      </c>
      <c r="H1019" s="25" t="s">
        <v>395</v>
      </c>
      <c r="I1019" s="25">
        <v>1</v>
      </c>
      <c r="J1019" s="25" t="str">
        <f>VLOOKUP(C1019,'시스템이펙트 참고자료'!$A:$C,3,FALSE)</f>
        <v>상대값(%)값만 가능</v>
      </c>
      <c r="K1019" s="25">
        <v>20</v>
      </c>
      <c r="M1019" s="25">
        <v>4</v>
      </c>
      <c r="N1019" s="25">
        <f t="shared" si="73"/>
        <v>20</v>
      </c>
      <c r="O1019" s="25">
        <v>1</v>
      </c>
      <c r="P1019" s="25">
        <v>1</v>
      </c>
      <c r="Q1019" s="25">
        <v>1</v>
      </c>
      <c r="R1019" s="25">
        <v>1</v>
      </c>
      <c r="T1019" s="25">
        <v>1</v>
      </c>
      <c r="AA1019" s="25">
        <f t="shared" si="76"/>
        <v>128</v>
      </c>
      <c r="AK1019" s="25">
        <v>1</v>
      </c>
      <c r="AM1019" s="25">
        <v>20</v>
      </c>
      <c r="AN1019" s="25">
        <v>100</v>
      </c>
      <c r="AP1019" s="25">
        <f t="shared" si="75"/>
        <v>5</v>
      </c>
      <c r="AQ1019" s="25" t="str">
        <f>VLOOKUP(C1019,'시스템이펙트 참고자료'!$A:$B,2,FALSE)</f>
        <v>ACTIVE_PARALYZE_KEEPTIME_DOWN</v>
      </c>
      <c r="AS1019" s="25">
        <v>1</v>
      </c>
      <c r="BD1019" s="25">
        <v>1</v>
      </c>
    </row>
    <row r="1020" spans="1:56" hidden="1">
      <c r="A1020" s="25">
        <v>1015</v>
      </c>
      <c r="B1020" s="25" t="str">
        <f>VLOOKUP(C1020,'시스템이펙트 참고자료'!$A:$C,2,FALSE)</f>
        <v>ACTIVE_TERROR_KEEPTIME_DOWN</v>
      </c>
      <c r="C1020" s="25">
        <v>644</v>
      </c>
      <c r="D1020" s="25">
        <f>VLOOKUP(C1020,'시스템이펙트 참고자료'!$A:$D,4,FALSE)</f>
        <v>1</v>
      </c>
      <c r="E1020" s="25">
        <v>0</v>
      </c>
      <c r="F1020" s="25">
        <v>0</v>
      </c>
      <c r="G1020" s="25">
        <f t="shared" si="74"/>
        <v>5</v>
      </c>
      <c r="H1020" s="25" t="s">
        <v>395</v>
      </c>
      <c r="I1020" s="25">
        <v>1</v>
      </c>
      <c r="J1020" s="25" t="str">
        <f>VLOOKUP(C1020,'시스템이펙트 참고자료'!$A:$C,3,FALSE)</f>
        <v>상대값(%)값만 가능</v>
      </c>
      <c r="K1020" s="25">
        <v>20</v>
      </c>
      <c r="M1020" s="25">
        <v>4</v>
      </c>
      <c r="N1020" s="25">
        <f t="shared" si="73"/>
        <v>20</v>
      </c>
      <c r="O1020" s="25">
        <v>1</v>
      </c>
      <c r="P1020" s="25">
        <v>1</v>
      </c>
      <c r="Q1020" s="25">
        <v>1</v>
      </c>
      <c r="R1020" s="25">
        <v>1</v>
      </c>
      <c r="T1020" s="25">
        <v>1</v>
      </c>
      <c r="AA1020" s="25">
        <f t="shared" si="76"/>
        <v>128</v>
      </c>
      <c r="AK1020" s="25">
        <v>1</v>
      </c>
      <c r="AM1020" s="25">
        <v>20</v>
      </c>
      <c r="AN1020" s="25">
        <v>100</v>
      </c>
      <c r="AP1020" s="25">
        <f t="shared" si="75"/>
        <v>5</v>
      </c>
      <c r="AQ1020" s="25" t="str">
        <f>VLOOKUP(C1020,'시스템이펙트 참고자료'!$A:$B,2,FALSE)</f>
        <v>ACTIVE_TERROR_KEEPTIME_DOWN</v>
      </c>
      <c r="AS1020" s="25">
        <v>1</v>
      </c>
      <c r="BD1020" s="25">
        <v>1</v>
      </c>
    </row>
    <row r="1021" spans="1:56" hidden="1">
      <c r="A1021" s="25">
        <v>1016</v>
      </c>
      <c r="B1021" s="25" t="str">
        <f>VLOOKUP(C1021,'시스템이펙트 참고자료'!$A:$C,2,FALSE)</f>
        <v>ACTIVE_CONFUSE_KEEPTIME_DOWN</v>
      </c>
      <c r="C1021" s="25">
        <v>645</v>
      </c>
      <c r="D1021" s="25">
        <f>VLOOKUP(C1021,'시스템이펙트 참고자료'!$A:$D,4,FALSE)</f>
        <v>1</v>
      </c>
      <c r="E1021" s="25">
        <v>0</v>
      </c>
      <c r="F1021" s="25">
        <v>0</v>
      </c>
      <c r="G1021" s="25">
        <f t="shared" si="74"/>
        <v>5</v>
      </c>
      <c r="H1021" s="25" t="s">
        <v>395</v>
      </c>
      <c r="I1021" s="25">
        <v>1</v>
      </c>
      <c r="J1021" s="25" t="str">
        <f>VLOOKUP(C1021,'시스템이펙트 참고자료'!$A:$C,3,FALSE)</f>
        <v>상대값(%)값만 가능</v>
      </c>
      <c r="K1021" s="25">
        <v>20</v>
      </c>
      <c r="M1021" s="25">
        <v>4</v>
      </c>
      <c r="N1021" s="25">
        <f t="shared" si="73"/>
        <v>20</v>
      </c>
      <c r="O1021" s="25">
        <v>1</v>
      </c>
      <c r="P1021" s="25">
        <v>1</v>
      </c>
      <c r="Q1021" s="25">
        <v>1</v>
      </c>
      <c r="R1021" s="25">
        <v>1</v>
      </c>
      <c r="T1021" s="25">
        <v>1</v>
      </c>
      <c r="AA1021" s="25">
        <f t="shared" si="76"/>
        <v>128</v>
      </c>
      <c r="AK1021" s="25">
        <v>1</v>
      </c>
      <c r="AM1021" s="25">
        <v>20</v>
      </c>
      <c r="AN1021" s="25">
        <v>100</v>
      </c>
      <c r="AP1021" s="25">
        <f t="shared" si="75"/>
        <v>5</v>
      </c>
      <c r="AQ1021" s="25" t="str">
        <f>VLOOKUP(C1021,'시스템이펙트 참고자료'!$A:$B,2,FALSE)</f>
        <v>ACTIVE_CONFUSE_KEEPTIME_DOWN</v>
      </c>
      <c r="AS1021" s="25">
        <v>1</v>
      </c>
      <c r="BD1021" s="25">
        <v>1</v>
      </c>
    </row>
    <row r="1022" spans="1:56" hidden="1">
      <c r="A1022" s="25">
        <v>1017</v>
      </c>
      <c r="B1022" s="25" t="str">
        <f>VLOOKUP(C1022,'시스템이펙트 참고자료'!$A:$C,2,FALSE)</f>
        <v>ACTIVE_STONE_KEEPTIME_DOWN</v>
      </c>
      <c r="C1022" s="25">
        <v>646</v>
      </c>
      <c r="D1022" s="25">
        <f>VLOOKUP(C1022,'시스템이펙트 참고자료'!$A:$D,4,FALSE)</f>
        <v>1</v>
      </c>
      <c r="E1022" s="25">
        <v>0</v>
      </c>
      <c r="F1022" s="25">
        <v>0</v>
      </c>
      <c r="G1022" s="25">
        <f t="shared" si="74"/>
        <v>5</v>
      </c>
      <c r="H1022" s="25" t="s">
        <v>395</v>
      </c>
      <c r="I1022" s="25">
        <v>1</v>
      </c>
      <c r="J1022" s="25" t="str">
        <f>VLOOKUP(C1022,'시스템이펙트 참고자료'!$A:$C,3,FALSE)</f>
        <v>상대값(%)값만 가능</v>
      </c>
      <c r="K1022" s="25">
        <v>20</v>
      </c>
      <c r="M1022" s="25">
        <v>4</v>
      </c>
      <c r="N1022" s="25">
        <f t="shared" si="73"/>
        <v>20</v>
      </c>
      <c r="O1022" s="25">
        <v>1</v>
      </c>
      <c r="P1022" s="25">
        <v>1</v>
      </c>
      <c r="Q1022" s="25">
        <v>1</v>
      </c>
      <c r="R1022" s="25">
        <v>1</v>
      </c>
      <c r="T1022" s="25">
        <v>1</v>
      </c>
      <c r="AA1022" s="25">
        <f t="shared" si="76"/>
        <v>128</v>
      </c>
      <c r="AK1022" s="25">
        <v>1</v>
      </c>
      <c r="AM1022" s="25">
        <v>20</v>
      </c>
      <c r="AN1022" s="25">
        <v>100</v>
      </c>
      <c r="AP1022" s="25">
        <f t="shared" si="75"/>
        <v>5</v>
      </c>
      <c r="AQ1022" s="25" t="str">
        <f>VLOOKUP(C1022,'시스템이펙트 참고자료'!$A:$B,2,FALSE)</f>
        <v>ACTIVE_STONE_KEEPTIME_DOWN</v>
      </c>
      <c r="AS1022" s="25">
        <v>1</v>
      </c>
      <c r="BD1022" s="25">
        <v>1</v>
      </c>
    </row>
    <row r="1023" spans="1:56" hidden="1">
      <c r="A1023" s="25">
        <v>1018</v>
      </c>
      <c r="B1023" s="25" t="str">
        <f>VLOOKUP(C1023,'시스템이펙트 참고자료'!$A:$C,2,FALSE)</f>
        <v>ACTIVE_CANDY_KEEPTIME_DOWN</v>
      </c>
      <c r="C1023" s="25">
        <v>647</v>
      </c>
      <c r="D1023" s="25">
        <f>VLOOKUP(C1023,'시스템이펙트 참고자료'!$A:$D,4,FALSE)</f>
        <v>1</v>
      </c>
      <c r="E1023" s="25">
        <v>0</v>
      </c>
      <c r="F1023" s="25">
        <v>0</v>
      </c>
      <c r="G1023" s="25">
        <f t="shared" si="74"/>
        <v>5</v>
      </c>
      <c r="H1023" s="25" t="s">
        <v>395</v>
      </c>
      <c r="I1023" s="25">
        <v>1</v>
      </c>
      <c r="J1023" s="25" t="str">
        <f>VLOOKUP(C1023,'시스템이펙트 참고자료'!$A:$C,3,FALSE)</f>
        <v>상대값(%)값만 가능</v>
      </c>
      <c r="K1023" s="25">
        <v>20</v>
      </c>
      <c r="M1023" s="25">
        <v>4</v>
      </c>
      <c r="N1023" s="25">
        <f t="shared" si="73"/>
        <v>20</v>
      </c>
      <c r="O1023" s="25">
        <v>1</v>
      </c>
      <c r="P1023" s="25">
        <v>1</v>
      </c>
      <c r="Q1023" s="25">
        <v>1</v>
      </c>
      <c r="R1023" s="25">
        <v>1</v>
      </c>
      <c r="T1023" s="25">
        <v>1</v>
      </c>
      <c r="AA1023" s="25">
        <f t="shared" si="76"/>
        <v>128</v>
      </c>
      <c r="AK1023" s="25">
        <v>1</v>
      </c>
      <c r="AM1023" s="25">
        <v>20</v>
      </c>
      <c r="AN1023" s="25">
        <v>100</v>
      </c>
      <c r="AP1023" s="25">
        <f t="shared" si="75"/>
        <v>5</v>
      </c>
      <c r="AQ1023" s="25" t="str">
        <f>VLOOKUP(C1023,'시스템이펙트 참고자료'!$A:$B,2,FALSE)</f>
        <v>ACTIVE_CANDY_KEEPTIME_DOWN</v>
      </c>
      <c r="AS1023" s="25">
        <v>1</v>
      </c>
      <c r="BD1023" s="25">
        <v>1</v>
      </c>
    </row>
    <row r="1024" spans="1:56" hidden="1">
      <c r="A1024" s="25">
        <v>1019</v>
      </c>
      <c r="B1024" s="25" t="str">
        <f>VLOOKUP(C1024,'시스템이펙트 참고자료'!$A:$C,2,FALSE)</f>
        <v>ACTIVE_BLEEDING_KEEPTIME_DOWN</v>
      </c>
      <c r="C1024" s="25">
        <v>648</v>
      </c>
      <c r="D1024" s="25">
        <f>VLOOKUP(C1024,'시스템이펙트 참고자료'!$A:$D,4,FALSE)</f>
        <v>1</v>
      </c>
      <c r="E1024" s="25">
        <v>0</v>
      </c>
      <c r="F1024" s="25">
        <v>0</v>
      </c>
      <c r="G1024" s="25">
        <f t="shared" si="74"/>
        <v>5</v>
      </c>
      <c r="H1024" s="25" t="s">
        <v>395</v>
      </c>
      <c r="I1024" s="25">
        <v>1</v>
      </c>
      <c r="J1024" s="25" t="str">
        <f>VLOOKUP(C1024,'시스템이펙트 참고자료'!$A:$C,3,FALSE)</f>
        <v>상대값(%)값만 가능</v>
      </c>
      <c r="K1024" s="25">
        <v>20</v>
      </c>
      <c r="M1024" s="25">
        <v>4</v>
      </c>
      <c r="N1024" s="25">
        <f t="shared" si="73"/>
        <v>20</v>
      </c>
      <c r="O1024" s="25">
        <v>1</v>
      </c>
      <c r="P1024" s="25">
        <v>1</v>
      </c>
      <c r="Q1024" s="25">
        <v>1</v>
      </c>
      <c r="R1024" s="25">
        <v>1</v>
      </c>
      <c r="T1024" s="25">
        <v>1</v>
      </c>
      <c r="AA1024" s="25">
        <f t="shared" si="76"/>
        <v>128</v>
      </c>
      <c r="AK1024" s="25">
        <v>1</v>
      </c>
      <c r="AM1024" s="25">
        <v>20</v>
      </c>
      <c r="AN1024" s="25">
        <v>100</v>
      </c>
      <c r="AP1024" s="25">
        <f t="shared" si="75"/>
        <v>5</v>
      </c>
      <c r="AQ1024" s="25" t="str">
        <f>VLOOKUP(C1024,'시스템이펙트 참고자료'!$A:$B,2,FALSE)</f>
        <v>ACTIVE_BLEEDING_KEEPTIME_DOWN</v>
      </c>
      <c r="AS1024" s="25">
        <v>1</v>
      </c>
      <c r="BD1024" s="25">
        <v>1</v>
      </c>
    </row>
    <row r="1025" spans="1:56" hidden="1">
      <c r="A1025" s="25">
        <v>1020</v>
      </c>
      <c r="B1025" s="25" t="str">
        <f>VLOOKUP(C1025,'시스템이펙트 참고자료'!$A:$C,2,FALSE)</f>
        <v>ACTIVE_POISON_KEEPTIME_DOWN</v>
      </c>
      <c r="C1025" s="25">
        <v>649</v>
      </c>
      <c r="D1025" s="25">
        <f>VLOOKUP(C1025,'시스템이펙트 참고자료'!$A:$D,4,FALSE)</f>
        <v>1</v>
      </c>
      <c r="E1025" s="25">
        <v>0</v>
      </c>
      <c r="F1025" s="25">
        <v>0</v>
      </c>
      <c r="G1025" s="25">
        <f t="shared" si="74"/>
        <v>5</v>
      </c>
      <c r="H1025" s="25" t="s">
        <v>395</v>
      </c>
      <c r="I1025" s="25">
        <v>1</v>
      </c>
      <c r="J1025" s="25" t="str">
        <f>VLOOKUP(C1025,'시스템이펙트 참고자료'!$A:$C,3,FALSE)</f>
        <v>상대값(%)값만 가능</v>
      </c>
      <c r="K1025" s="25">
        <v>20</v>
      </c>
      <c r="M1025" s="25">
        <v>4</v>
      </c>
      <c r="N1025" s="25">
        <f t="shared" si="73"/>
        <v>20</v>
      </c>
      <c r="O1025" s="25">
        <v>1</v>
      </c>
      <c r="P1025" s="25">
        <v>1</v>
      </c>
      <c r="Q1025" s="25">
        <v>1</v>
      </c>
      <c r="R1025" s="25">
        <v>1</v>
      </c>
      <c r="T1025" s="25">
        <v>1</v>
      </c>
      <c r="AA1025" s="25">
        <f t="shared" si="76"/>
        <v>128</v>
      </c>
      <c r="AK1025" s="25">
        <v>1</v>
      </c>
      <c r="AM1025" s="25">
        <v>20</v>
      </c>
      <c r="AN1025" s="25">
        <v>100</v>
      </c>
      <c r="AP1025" s="25">
        <f t="shared" si="75"/>
        <v>5</v>
      </c>
      <c r="AQ1025" s="25" t="str">
        <f>VLOOKUP(C1025,'시스템이펙트 참고자료'!$A:$B,2,FALSE)</f>
        <v>ACTIVE_POISON_KEEPTIME_DOWN</v>
      </c>
      <c r="AS1025" s="25">
        <v>1</v>
      </c>
      <c r="BD1025" s="25">
        <v>1</v>
      </c>
    </row>
    <row r="1026" spans="1:56" hidden="1">
      <c r="A1026" s="25">
        <v>1021</v>
      </c>
      <c r="B1026" s="25" t="str">
        <f>VLOOKUP(C1026,'시스템이펙트 참고자료'!$A:$C,2,FALSE)</f>
        <v>ACTIVE_STOMACHACHE_KEEPTIME_DOWN</v>
      </c>
      <c r="C1026" s="25">
        <v>650</v>
      </c>
      <c r="D1026" s="25">
        <f>VLOOKUP(C1026,'시스템이펙트 참고자료'!$A:$D,4,FALSE)</f>
        <v>1</v>
      </c>
      <c r="E1026" s="25">
        <v>0</v>
      </c>
      <c r="F1026" s="25">
        <v>0</v>
      </c>
      <c r="G1026" s="25">
        <f t="shared" si="74"/>
        <v>5</v>
      </c>
      <c r="H1026" s="25" t="s">
        <v>395</v>
      </c>
      <c r="I1026" s="25">
        <v>1</v>
      </c>
      <c r="J1026" s="25" t="str">
        <f>VLOOKUP(C1026,'시스템이펙트 참고자료'!$A:$C,3,FALSE)</f>
        <v>상대값(%)값만 가능</v>
      </c>
      <c r="K1026" s="25">
        <v>20</v>
      </c>
      <c r="M1026" s="25">
        <v>4</v>
      </c>
      <c r="N1026" s="25">
        <f t="shared" si="73"/>
        <v>20</v>
      </c>
      <c r="O1026" s="25">
        <v>1</v>
      </c>
      <c r="P1026" s="25">
        <v>1</v>
      </c>
      <c r="Q1026" s="25">
        <v>1</v>
      </c>
      <c r="R1026" s="25">
        <v>1</v>
      </c>
      <c r="T1026" s="25">
        <v>1</v>
      </c>
      <c r="AA1026" s="25">
        <f t="shared" si="76"/>
        <v>128</v>
      </c>
      <c r="AK1026" s="25">
        <v>1</v>
      </c>
      <c r="AM1026" s="25">
        <v>20</v>
      </c>
      <c r="AN1026" s="25">
        <v>100</v>
      </c>
      <c r="AP1026" s="25">
        <f t="shared" si="75"/>
        <v>5</v>
      </c>
      <c r="AQ1026" s="25" t="str">
        <f>VLOOKUP(C1026,'시스템이펙트 참고자료'!$A:$B,2,FALSE)</f>
        <v>ACTIVE_STOMACHACHE_KEEPTIME_DOWN</v>
      </c>
      <c r="AS1026" s="25">
        <v>1</v>
      </c>
      <c r="BD1026" s="25">
        <v>1</v>
      </c>
    </row>
    <row r="1027" spans="1:56" hidden="1">
      <c r="A1027" s="25">
        <v>1022</v>
      </c>
      <c r="B1027" s="25" t="str">
        <f>VLOOKUP(C1027,'시스템이펙트 참고자료'!$A:$C,2,FALSE)</f>
        <v>ACTIVE_MAX_LP_UP</v>
      </c>
      <c r="C1027" s="25">
        <v>603</v>
      </c>
      <c r="D1027" s="25">
        <f>VLOOKUP(C1027,'시스템이펙트 참고자료'!$A:$D,4,FALSE)</f>
        <v>0</v>
      </c>
      <c r="E1027" s="25">
        <v>0</v>
      </c>
      <c r="F1027" s="25">
        <v>0</v>
      </c>
      <c r="G1027" s="25">
        <f t="shared" si="74"/>
        <v>1</v>
      </c>
      <c r="H1027" s="25" t="s">
        <v>395</v>
      </c>
      <c r="I1027" s="25">
        <v>1</v>
      </c>
      <c r="J1027" s="25" t="str">
        <f>VLOOKUP(C1027,'시스템이펙트 참고자료'!$A:$C,3,FALSE)</f>
        <v>절대값/상대값(%) 가능</v>
      </c>
      <c r="K1027" s="25">
        <v>20</v>
      </c>
      <c r="M1027" s="25">
        <v>5</v>
      </c>
      <c r="N1027" s="25">
        <f t="shared" si="73"/>
        <v>2762</v>
      </c>
      <c r="O1027" s="25">
        <v>1</v>
      </c>
      <c r="P1027" s="25">
        <v>1</v>
      </c>
      <c r="Q1027" s="25">
        <v>1</v>
      </c>
      <c r="R1027" s="25">
        <v>1</v>
      </c>
      <c r="T1027" s="25">
        <v>1</v>
      </c>
      <c r="AA1027" s="25">
        <f t="shared" si="76"/>
        <v>128</v>
      </c>
      <c r="AK1027" s="25">
        <v>1</v>
      </c>
      <c r="AM1027" s="25">
        <v>2762</v>
      </c>
      <c r="AN1027" s="25">
        <v>100</v>
      </c>
      <c r="AP1027" s="25">
        <f t="shared" si="75"/>
        <v>1</v>
      </c>
      <c r="AQ1027" s="25" t="str">
        <f>VLOOKUP(C1027,'시스템이펙트 참고자료'!$A:$B,2,FALSE)</f>
        <v>ACTIVE_MAX_LP_UP</v>
      </c>
      <c r="AS1027" s="25">
        <v>1</v>
      </c>
      <c r="BD1027" s="25">
        <v>1</v>
      </c>
    </row>
    <row r="1028" spans="1:56" hidden="1">
      <c r="A1028" s="25">
        <v>1023</v>
      </c>
      <c r="B1028" s="25" t="str">
        <f>VLOOKUP(C1028,'시스템이펙트 참고자료'!$A:$C,2,FALSE)</f>
        <v>ACTIVE_CON_UP</v>
      </c>
      <c r="C1028" s="25">
        <v>611</v>
      </c>
      <c r="D1028" s="25">
        <f>VLOOKUP(C1028,'시스템이펙트 참고자료'!$A:$D,4,FALSE)</f>
        <v>0</v>
      </c>
      <c r="E1028" s="25">
        <v>0</v>
      </c>
      <c r="F1028" s="25">
        <v>0</v>
      </c>
      <c r="G1028" s="25">
        <f t="shared" si="74"/>
        <v>3</v>
      </c>
      <c r="H1028" s="25" t="s">
        <v>395</v>
      </c>
      <c r="I1028" s="25">
        <v>1</v>
      </c>
      <c r="J1028" s="25" t="str">
        <f>VLOOKUP(C1028,'시스템이펙트 참고자료'!$A:$C,3,FALSE)</f>
        <v>절대값/상대값(%) 가능</v>
      </c>
      <c r="K1028" s="25">
        <v>20</v>
      </c>
      <c r="M1028" s="25">
        <v>5</v>
      </c>
      <c r="N1028" s="25">
        <f t="shared" si="73"/>
        <v>48</v>
      </c>
      <c r="O1028" s="25">
        <v>1</v>
      </c>
      <c r="P1028" s="25">
        <v>1</v>
      </c>
      <c r="Q1028" s="25">
        <v>1</v>
      </c>
      <c r="R1028" s="25">
        <v>1</v>
      </c>
      <c r="T1028" s="25">
        <v>1</v>
      </c>
      <c r="AA1028" s="25">
        <f t="shared" si="76"/>
        <v>128</v>
      </c>
      <c r="AK1028" s="25">
        <v>1</v>
      </c>
      <c r="AM1028" s="25">
        <v>48</v>
      </c>
      <c r="AN1028" s="25">
        <v>100</v>
      </c>
      <c r="AP1028" s="25">
        <f t="shared" si="75"/>
        <v>3</v>
      </c>
      <c r="AQ1028" s="25" t="str">
        <f>VLOOKUP(C1028,'시스템이펙트 참고자료'!$A:$B,2,FALSE)</f>
        <v>ACTIVE_CON_UP</v>
      </c>
      <c r="AS1028" s="25">
        <v>1</v>
      </c>
      <c r="BD1028" s="25">
        <v>1</v>
      </c>
    </row>
    <row r="1029" spans="1:56" hidden="1">
      <c r="A1029" s="25">
        <v>1024</v>
      </c>
      <c r="B1029" s="25" t="str">
        <f>VLOOKUP(C1029,'시스템이펙트 참고자료'!$A:$C,2,FALSE)</f>
        <v>ACTIVE_LP_REGENERATION</v>
      </c>
      <c r="C1029" s="25">
        <v>627</v>
      </c>
      <c r="D1029" s="25">
        <f>VLOOKUP(C1029,'시스템이펙트 참고자료'!$A:$D,4,FALSE)</f>
        <v>0</v>
      </c>
      <c r="E1029" s="25">
        <v>0</v>
      </c>
      <c r="F1029" s="25">
        <v>0</v>
      </c>
      <c r="G1029" s="25">
        <f t="shared" si="74"/>
        <v>1</v>
      </c>
      <c r="H1029" s="25" t="s">
        <v>395</v>
      </c>
      <c r="I1029" s="25">
        <v>1</v>
      </c>
      <c r="J1029" s="25" t="str">
        <f>VLOOKUP(C1029,'시스템이펙트 참고자료'!$A:$C,3,FALSE)</f>
        <v>절대값/상대값(%) 가능</v>
      </c>
      <c r="K1029" s="25">
        <v>20</v>
      </c>
      <c r="M1029" s="25">
        <v>5</v>
      </c>
      <c r="N1029" s="25">
        <f t="shared" si="73"/>
        <v>126</v>
      </c>
      <c r="O1029" s="25">
        <v>1</v>
      </c>
      <c r="P1029" s="25">
        <v>1</v>
      </c>
      <c r="Q1029" s="25">
        <v>1</v>
      </c>
      <c r="R1029" s="25">
        <v>1</v>
      </c>
      <c r="U1029" s="25">
        <v>1</v>
      </c>
      <c r="AA1029" s="25">
        <f t="shared" si="76"/>
        <v>128</v>
      </c>
      <c r="AK1029" s="25">
        <v>1</v>
      </c>
      <c r="AM1029" s="25">
        <v>126</v>
      </c>
      <c r="AN1029" s="25">
        <v>100</v>
      </c>
      <c r="AP1029" s="25">
        <f t="shared" si="75"/>
        <v>1</v>
      </c>
      <c r="AQ1029" s="25" t="str">
        <f>VLOOKUP(C1029,'시스템이펙트 참고자료'!$A:$B,2,FALSE)</f>
        <v>ACTIVE_LP_REGENERATION</v>
      </c>
      <c r="AT1029" s="25">
        <v>1</v>
      </c>
      <c r="BD1029" s="25">
        <v>1</v>
      </c>
    </row>
    <row r="1030" spans="1:56" hidden="1">
      <c r="A1030" s="25">
        <v>1025</v>
      </c>
      <c r="B1030" s="25" t="str">
        <f>VLOOKUP(C1030,'시스템이펙트 참고자료'!$A:$C,2,FALSE)</f>
        <v>ACTIVE_STOMACHACHE_DEFENCE</v>
      </c>
      <c r="C1030" s="25">
        <v>679</v>
      </c>
      <c r="D1030" s="25">
        <f>VLOOKUP(C1030,'시스템이펙트 참고자료'!$A:$D,4,FALSE)</f>
        <v>0</v>
      </c>
      <c r="E1030" s="25">
        <v>0</v>
      </c>
      <c r="F1030" s="25">
        <v>0</v>
      </c>
      <c r="G1030" s="25">
        <f t="shared" si="74"/>
        <v>1</v>
      </c>
      <c r="H1030" s="25" t="s">
        <v>395</v>
      </c>
      <c r="I1030" s="25">
        <v>1</v>
      </c>
      <c r="J1030" s="25" t="str">
        <f>VLOOKUP(C1030,'시스템이펙트 참고자료'!$A:$C,3,FALSE)</f>
        <v>절대값/상대값(%) 가능</v>
      </c>
      <c r="K1030" s="25">
        <v>20</v>
      </c>
      <c r="M1030" s="25">
        <v>5</v>
      </c>
      <c r="N1030" s="25">
        <f t="shared" si="73"/>
        <v>1350</v>
      </c>
      <c r="O1030" s="25">
        <v>1</v>
      </c>
      <c r="P1030" s="25">
        <v>1</v>
      </c>
      <c r="Q1030" s="25">
        <v>1</v>
      </c>
      <c r="R1030" s="25">
        <v>1</v>
      </c>
      <c r="U1030" s="25">
        <v>1</v>
      </c>
      <c r="AA1030" s="25">
        <f t="shared" si="76"/>
        <v>128</v>
      </c>
      <c r="AK1030" s="25">
        <v>1</v>
      </c>
      <c r="AM1030" s="25">
        <v>1350</v>
      </c>
      <c r="AN1030" s="25">
        <v>100</v>
      </c>
      <c r="AP1030" s="25">
        <f t="shared" si="75"/>
        <v>1</v>
      </c>
      <c r="AQ1030" s="25" t="str">
        <f>VLOOKUP(C1030,'시스템이펙트 참고자료'!$A:$B,2,FALSE)</f>
        <v>ACTIVE_STOMACHACHE_DEFENCE</v>
      </c>
      <c r="AT1030" s="25">
        <v>1</v>
      </c>
      <c r="BD1030" s="25">
        <v>1</v>
      </c>
    </row>
    <row r="1031" spans="1:56" hidden="1">
      <c r="A1031" s="25">
        <v>1026</v>
      </c>
      <c r="B1031" s="25" t="str">
        <f>VLOOKUP(C1031,'시스템이펙트 참고자료'!$A:$C,2,FALSE)</f>
        <v>ACTIVE_POISON_DEFENCE</v>
      </c>
      <c r="C1031" s="25">
        <v>680</v>
      </c>
      <c r="D1031" s="25">
        <f>VLOOKUP(C1031,'시스템이펙트 참고자료'!$A:$D,4,FALSE)</f>
        <v>0</v>
      </c>
      <c r="E1031" s="25">
        <v>0</v>
      </c>
      <c r="F1031" s="25">
        <v>0</v>
      </c>
      <c r="G1031" s="25">
        <f t="shared" si="74"/>
        <v>1</v>
      </c>
      <c r="H1031" s="25" t="s">
        <v>395</v>
      </c>
      <c r="I1031" s="25">
        <v>1</v>
      </c>
      <c r="J1031" s="25" t="str">
        <f>VLOOKUP(C1031,'시스템이펙트 참고자료'!$A:$C,3,FALSE)</f>
        <v>절대값/상대값(%) 가능</v>
      </c>
      <c r="K1031" s="25">
        <v>20</v>
      </c>
      <c r="M1031" s="25">
        <v>5</v>
      </c>
      <c r="N1031" s="25">
        <f t="shared" ref="N1031:N1094" si="77">IF(BD1031&gt;0,INT(AM1031/AK1031),0)</f>
        <v>1350</v>
      </c>
      <c r="O1031" s="25">
        <v>1</v>
      </c>
      <c r="P1031" s="25">
        <v>1</v>
      </c>
      <c r="Q1031" s="25">
        <v>1</v>
      </c>
      <c r="R1031" s="25">
        <v>1</v>
      </c>
      <c r="U1031" s="25">
        <v>1</v>
      </c>
      <c r="AA1031" s="25">
        <f t="shared" si="76"/>
        <v>128</v>
      </c>
      <c r="AK1031" s="25">
        <v>1</v>
      </c>
      <c r="AM1031" s="25">
        <v>1350</v>
      </c>
      <c r="AN1031" s="25">
        <v>100</v>
      </c>
      <c r="AP1031" s="25">
        <f t="shared" si="75"/>
        <v>1</v>
      </c>
      <c r="AQ1031" s="25" t="str">
        <f>VLOOKUP(C1031,'시스템이펙트 참고자료'!$A:$B,2,FALSE)</f>
        <v>ACTIVE_POISON_DEFENCE</v>
      </c>
      <c r="AT1031" s="25">
        <v>1</v>
      </c>
      <c r="BD1031" s="25">
        <v>1</v>
      </c>
    </row>
    <row r="1032" spans="1:56" hidden="1">
      <c r="A1032" s="25">
        <v>1027</v>
      </c>
      <c r="B1032" s="25" t="str">
        <f>VLOOKUP(C1032,'시스템이펙트 참고자료'!$A:$C,2,FALSE)</f>
        <v>ACTIVE_MAX_EP_UP</v>
      </c>
      <c r="C1032" s="25">
        <v>604</v>
      </c>
      <c r="D1032" s="25">
        <f>VLOOKUP(C1032,'시스템이펙트 참고자료'!$A:$D,4,FALSE)</f>
        <v>0</v>
      </c>
      <c r="E1032" s="25">
        <v>0</v>
      </c>
      <c r="F1032" s="25">
        <v>0</v>
      </c>
      <c r="G1032" s="25">
        <f t="shared" si="74"/>
        <v>1</v>
      </c>
      <c r="H1032" s="25" t="s">
        <v>395</v>
      </c>
      <c r="I1032" s="25">
        <v>1</v>
      </c>
      <c r="J1032" s="25" t="str">
        <f>VLOOKUP(C1032,'시스템이펙트 참고자료'!$A:$C,3,FALSE)</f>
        <v>절대값/상대값(%) 가능</v>
      </c>
      <c r="K1032" s="25">
        <v>20</v>
      </c>
      <c r="M1032" s="25">
        <v>6</v>
      </c>
      <c r="N1032" s="25">
        <f t="shared" si="77"/>
        <v>2812</v>
      </c>
      <c r="O1032" s="25">
        <v>1</v>
      </c>
      <c r="P1032" s="25">
        <v>1</v>
      </c>
      <c r="Q1032" s="25">
        <v>1</v>
      </c>
      <c r="R1032" s="25">
        <v>1</v>
      </c>
      <c r="U1032" s="25">
        <v>1</v>
      </c>
      <c r="AA1032" s="25">
        <f t="shared" si="76"/>
        <v>128</v>
      </c>
      <c r="AK1032" s="25">
        <v>1</v>
      </c>
      <c r="AM1032" s="25">
        <v>2812</v>
      </c>
      <c r="AN1032" s="25">
        <v>100</v>
      </c>
      <c r="AP1032" s="25">
        <f t="shared" si="75"/>
        <v>1</v>
      </c>
      <c r="AQ1032" s="25" t="str">
        <f>VLOOKUP(C1032,'시스템이펙트 참고자료'!$A:$B,2,FALSE)</f>
        <v>ACTIVE_MAX_EP_UP</v>
      </c>
      <c r="AT1032" s="25">
        <v>1</v>
      </c>
      <c r="BD1032" s="25">
        <v>1</v>
      </c>
    </row>
    <row r="1033" spans="1:56" hidden="1">
      <c r="A1033" s="25">
        <v>1028</v>
      </c>
      <c r="B1033" s="25" t="str">
        <f>VLOOKUP(C1033,'시스템이펙트 참고자료'!$A:$C,2,FALSE)</f>
        <v>ACTIVE_EP_REGENERATION</v>
      </c>
      <c r="C1033" s="25">
        <v>628</v>
      </c>
      <c r="D1033" s="25">
        <f>VLOOKUP(C1033,'시스템이펙트 참고자료'!$A:$D,4,FALSE)</f>
        <v>0</v>
      </c>
      <c r="E1033" s="25">
        <v>0</v>
      </c>
      <c r="F1033" s="25">
        <v>0</v>
      </c>
      <c r="G1033" s="25">
        <f t="shared" si="74"/>
        <v>1</v>
      </c>
      <c r="H1033" s="25" t="s">
        <v>395</v>
      </c>
      <c r="I1033" s="25">
        <v>1</v>
      </c>
      <c r="J1033" s="25" t="str">
        <f>VLOOKUP(C1033,'시스템이펙트 참고자료'!$A:$C,3,FALSE)</f>
        <v>절대값/상대값(%) 가능</v>
      </c>
      <c r="K1033" s="25">
        <v>20</v>
      </c>
      <c r="M1033" s="25">
        <v>6</v>
      </c>
      <c r="N1033" s="25">
        <f t="shared" si="77"/>
        <v>156</v>
      </c>
      <c r="O1033" s="25">
        <v>1</v>
      </c>
      <c r="P1033" s="25">
        <v>1</v>
      </c>
      <c r="Q1033" s="25">
        <v>1</v>
      </c>
      <c r="R1033" s="25">
        <v>1</v>
      </c>
      <c r="U1033" s="25">
        <v>1</v>
      </c>
      <c r="AA1033" s="25">
        <f t="shared" si="76"/>
        <v>128</v>
      </c>
      <c r="AK1033" s="25">
        <v>1</v>
      </c>
      <c r="AM1033" s="25">
        <v>156</v>
      </c>
      <c r="AN1033" s="25">
        <v>100</v>
      </c>
      <c r="AP1033" s="25">
        <f t="shared" si="75"/>
        <v>1</v>
      </c>
      <c r="AQ1033" s="25" t="str">
        <f>VLOOKUP(C1033,'시스템이펙트 참고자료'!$A:$B,2,FALSE)</f>
        <v>ACTIVE_EP_REGENERATION</v>
      </c>
      <c r="AT1033" s="25">
        <v>1</v>
      </c>
      <c r="BD1033" s="25">
        <v>1</v>
      </c>
    </row>
    <row r="1034" spans="1:56" hidden="1">
      <c r="A1034" s="25">
        <v>1029</v>
      </c>
      <c r="B1034" s="25" t="str">
        <f>VLOOKUP(C1034,'시스템이펙트 참고자료'!$A:$C,2,FALSE)</f>
        <v>ACTIVE_ENG_UP</v>
      </c>
      <c r="C1034" s="25">
        <v>615</v>
      </c>
      <c r="D1034" s="25">
        <f>VLOOKUP(C1034,'시스템이펙트 참고자료'!$A:$D,4,FALSE)</f>
        <v>0</v>
      </c>
      <c r="E1034" s="25">
        <v>0</v>
      </c>
      <c r="F1034" s="25">
        <v>0</v>
      </c>
      <c r="G1034" s="25">
        <f t="shared" si="74"/>
        <v>2</v>
      </c>
      <c r="H1034" s="25" t="s">
        <v>395</v>
      </c>
      <c r="I1034" s="25">
        <v>1</v>
      </c>
      <c r="J1034" s="25" t="str">
        <f>VLOOKUP(C1034,'시스템이펙트 참고자료'!$A:$C,3,FALSE)</f>
        <v>절대값/상대값(%) 가능</v>
      </c>
      <c r="K1034" s="25">
        <v>20</v>
      </c>
      <c r="M1034" s="25">
        <v>6</v>
      </c>
      <c r="N1034" s="25">
        <f t="shared" si="77"/>
        <v>62</v>
      </c>
      <c r="O1034" s="25">
        <v>1</v>
      </c>
      <c r="P1034" s="25">
        <v>1</v>
      </c>
      <c r="Q1034" s="25">
        <v>1</v>
      </c>
      <c r="R1034" s="25">
        <v>1</v>
      </c>
      <c r="U1034" s="25">
        <v>1</v>
      </c>
      <c r="AA1034" s="25">
        <f t="shared" si="76"/>
        <v>128</v>
      </c>
      <c r="AK1034" s="25">
        <v>1</v>
      </c>
      <c r="AM1034" s="25">
        <v>62</v>
      </c>
      <c r="AN1034" s="25">
        <v>100</v>
      </c>
      <c r="AP1034" s="25">
        <f t="shared" si="75"/>
        <v>2</v>
      </c>
      <c r="AQ1034" s="25" t="str">
        <f>VLOOKUP(C1034,'시스템이펙트 참고자료'!$A:$B,2,FALSE)</f>
        <v>ACTIVE_ENG_UP</v>
      </c>
      <c r="AT1034" s="25">
        <v>1</v>
      </c>
      <c r="BD1034" s="25">
        <v>1</v>
      </c>
    </row>
    <row r="1035" spans="1:56" hidden="1">
      <c r="A1035" s="25">
        <v>1030</v>
      </c>
      <c r="B1035" s="25" t="str">
        <f>VLOOKUP(C1035,'시스템이펙트 참고자료'!$A:$C,2,FALSE)</f>
        <v>ACTIVE_BLEED_DEFENCE</v>
      </c>
      <c r="C1035" s="25">
        <v>681</v>
      </c>
      <c r="D1035" s="25">
        <f>VLOOKUP(C1035,'시스템이펙트 참고자료'!$A:$D,4,FALSE)</f>
        <v>0</v>
      </c>
      <c r="E1035" s="25">
        <v>0</v>
      </c>
      <c r="F1035" s="25">
        <v>0</v>
      </c>
      <c r="G1035" s="25">
        <f t="shared" si="74"/>
        <v>1</v>
      </c>
      <c r="H1035" s="25" t="s">
        <v>395</v>
      </c>
      <c r="I1035" s="25">
        <v>1</v>
      </c>
      <c r="J1035" s="25" t="str">
        <f>VLOOKUP(C1035,'시스템이펙트 참고자료'!$A:$C,3,FALSE)</f>
        <v>절대값/상대값(%) 가능</v>
      </c>
      <c r="K1035" s="25">
        <v>20</v>
      </c>
      <c r="M1035" s="25">
        <v>6</v>
      </c>
      <c r="N1035" s="25">
        <f t="shared" si="77"/>
        <v>1350</v>
      </c>
      <c r="O1035" s="25">
        <v>1</v>
      </c>
      <c r="P1035" s="25">
        <v>1</v>
      </c>
      <c r="Q1035" s="25">
        <v>1</v>
      </c>
      <c r="R1035" s="25">
        <v>1</v>
      </c>
      <c r="U1035" s="25">
        <v>1</v>
      </c>
      <c r="AA1035" s="25">
        <f t="shared" si="76"/>
        <v>128</v>
      </c>
      <c r="AK1035" s="25">
        <v>1</v>
      </c>
      <c r="AM1035" s="25">
        <v>1350</v>
      </c>
      <c r="AN1035" s="25">
        <v>100</v>
      </c>
      <c r="AP1035" s="25">
        <f t="shared" si="75"/>
        <v>1</v>
      </c>
      <c r="AQ1035" s="25" t="str">
        <f>VLOOKUP(C1035,'시스템이펙트 참고자료'!$A:$B,2,FALSE)</f>
        <v>ACTIVE_BLEED_DEFENCE</v>
      </c>
      <c r="AT1035" s="25">
        <v>1</v>
      </c>
      <c r="BD1035" s="25">
        <v>1</v>
      </c>
    </row>
    <row r="1036" spans="1:56" hidden="1">
      <c r="A1036" s="25">
        <v>1031</v>
      </c>
      <c r="B1036" s="25" t="str">
        <f>VLOOKUP(C1036,'시스템이펙트 참고자료'!$A:$C,2,FALSE)</f>
        <v>ACTIVE_BURN_DEFENCE</v>
      </c>
      <c r="C1036" s="25">
        <v>682</v>
      </c>
      <c r="D1036" s="25">
        <f>VLOOKUP(C1036,'시스템이펙트 참고자료'!$A:$D,4,FALSE)</f>
        <v>0</v>
      </c>
      <c r="E1036" s="25">
        <v>0</v>
      </c>
      <c r="F1036" s="25">
        <v>0</v>
      </c>
      <c r="G1036" s="25">
        <f t="shared" si="74"/>
        <v>1</v>
      </c>
      <c r="H1036" s="25" t="s">
        <v>395</v>
      </c>
      <c r="I1036" s="25">
        <v>1</v>
      </c>
      <c r="J1036" s="25" t="str">
        <f>VLOOKUP(C1036,'시스템이펙트 참고자료'!$A:$C,3,FALSE)</f>
        <v>절대값/상대값(%) 가능</v>
      </c>
      <c r="K1036" s="25">
        <v>20</v>
      </c>
      <c r="M1036" s="25">
        <v>6</v>
      </c>
      <c r="N1036" s="25">
        <f t="shared" si="77"/>
        <v>1350</v>
      </c>
      <c r="O1036" s="25">
        <v>1</v>
      </c>
      <c r="P1036" s="25">
        <v>1</v>
      </c>
      <c r="Q1036" s="25">
        <v>1</v>
      </c>
      <c r="R1036" s="25">
        <v>1</v>
      </c>
      <c r="U1036" s="25">
        <v>1</v>
      </c>
      <c r="AA1036" s="25">
        <f t="shared" si="76"/>
        <v>128</v>
      </c>
      <c r="AK1036" s="25">
        <v>1</v>
      </c>
      <c r="AM1036" s="25">
        <v>1350</v>
      </c>
      <c r="AN1036" s="25">
        <v>100</v>
      </c>
      <c r="AP1036" s="25">
        <f t="shared" si="75"/>
        <v>1</v>
      </c>
      <c r="AQ1036" s="25" t="str">
        <f>VLOOKUP(C1036,'시스템이펙트 참고자료'!$A:$B,2,FALSE)</f>
        <v>ACTIVE_BURN_DEFENCE</v>
      </c>
      <c r="AT1036" s="25">
        <v>1</v>
      </c>
      <c r="BD1036" s="25">
        <v>1</v>
      </c>
    </row>
    <row r="1037" spans="1:56" hidden="1">
      <c r="A1037" s="25">
        <v>1032</v>
      </c>
      <c r="B1037" s="25" t="str">
        <f>VLOOKUP(C1037,'시스템이펙트 참고자료'!$A:$C,2,FALSE)</f>
        <v>ACTIVE_CRITICAL_BLOCK_UP</v>
      </c>
      <c r="C1037" s="25">
        <v>651</v>
      </c>
      <c r="D1037" s="25">
        <f>VLOOKUP(C1037,'시스템이펙트 참고자료'!$A:$D,4,FALSE)</f>
        <v>0</v>
      </c>
      <c r="E1037" s="25">
        <v>0</v>
      </c>
      <c r="F1037" s="25">
        <v>0</v>
      </c>
      <c r="G1037" s="25">
        <f t="shared" si="74"/>
        <v>5</v>
      </c>
      <c r="H1037" s="25" t="s">
        <v>395</v>
      </c>
      <c r="I1037" s="25">
        <v>1</v>
      </c>
      <c r="J1037" s="25" t="str">
        <f>VLOOKUP(C1037,'시스템이펙트 참고자료'!$A:$C,3,FALSE)</f>
        <v>절대값만 가능</v>
      </c>
      <c r="K1037" s="25">
        <v>20</v>
      </c>
      <c r="M1037" s="25">
        <v>7</v>
      </c>
      <c r="N1037" s="25">
        <f t="shared" si="77"/>
        <v>20</v>
      </c>
      <c r="O1037" s="25">
        <v>1</v>
      </c>
      <c r="P1037" s="25">
        <v>1</v>
      </c>
      <c r="Q1037" s="25">
        <v>1</v>
      </c>
      <c r="R1037" s="25">
        <v>1</v>
      </c>
      <c r="U1037" s="25">
        <v>1</v>
      </c>
      <c r="AA1037" s="25">
        <f t="shared" si="76"/>
        <v>128</v>
      </c>
      <c r="AK1037" s="25">
        <v>1</v>
      </c>
      <c r="AM1037" s="25">
        <v>20</v>
      </c>
      <c r="AN1037" s="25">
        <v>100</v>
      </c>
      <c r="AP1037" s="25">
        <f t="shared" si="75"/>
        <v>5</v>
      </c>
      <c r="AQ1037" s="25" t="str">
        <f>VLOOKUP(C1037,'시스템이펙트 참고자료'!$A:$B,2,FALSE)</f>
        <v>ACTIVE_CRITICAL_BLOCK_UP</v>
      </c>
      <c r="AT1037" s="25">
        <v>1</v>
      </c>
      <c r="BD1037" s="25">
        <v>1</v>
      </c>
    </row>
    <row r="1038" spans="1:56" hidden="1">
      <c r="A1038" s="25">
        <v>1033</v>
      </c>
      <c r="B1038" s="25" t="str">
        <f>VLOOKUP(C1038,'시스템이펙트 참고자료'!$A:$C,2,FALSE)</f>
        <v>ACTIVE_BLOCK_RATE_UP</v>
      </c>
      <c r="C1038" s="25">
        <v>620</v>
      </c>
      <c r="D1038" s="25">
        <f>VLOOKUP(C1038,'시스템이펙트 참고자료'!$A:$D,4,FALSE)</f>
        <v>0</v>
      </c>
      <c r="E1038" s="25">
        <v>0</v>
      </c>
      <c r="F1038" s="25">
        <v>0</v>
      </c>
      <c r="G1038" s="25">
        <f t="shared" si="74"/>
        <v>1</v>
      </c>
      <c r="H1038" s="25" t="s">
        <v>395</v>
      </c>
      <c r="I1038" s="25">
        <v>1</v>
      </c>
      <c r="J1038" s="25" t="str">
        <f>VLOOKUP(C1038,'시스템이펙트 참고자료'!$A:$C,3,FALSE)</f>
        <v>절대값/상대값(%) 가능</v>
      </c>
      <c r="K1038" s="25">
        <v>20</v>
      </c>
      <c r="M1038" s="25">
        <v>7</v>
      </c>
      <c r="N1038" s="25">
        <f t="shared" si="77"/>
        <v>352</v>
      </c>
      <c r="O1038" s="25">
        <v>1</v>
      </c>
      <c r="P1038" s="25">
        <v>1</v>
      </c>
      <c r="Q1038" s="25">
        <v>1</v>
      </c>
      <c r="R1038" s="25">
        <v>1</v>
      </c>
      <c r="U1038" s="25">
        <v>1</v>
      </c>
      <c r="AA1038" s="25">
        <f t="shared" si="76"/>
        <v>128</v>
      </c>
      <c r="AK1038" s="25">
        <v>1</v>
      </c>
      <c r="AM1038" s="25">
        <v>352</v>
      </c>
      <c r="AN1038" s="25">
        <v>100</v>
      </c>
      <c r="AP1038" s="25">
        <f t="shared" si="75"/>
        <v>1</v>
      </c>
      <c r="AQ1038" s="25" t="str">
        <f>VLOOKUP(C1038,'시스템이펙트 참고자료'!$A:$B,2,FALSE)</f>
        <v>ACTIVE_BLOCK_RATE_UP</v>
      </c>
      <c r="AT1038" s="25">
        <v>1</v>
      </c>
      <c r="BD1038" s="25">
        <v>1</v>
      </c>
    </row>
    <row r="1039" spans="1:56" hidden="1">
      <c r="A1039" s="25">
        <v>1034</v>
      </c>
      <c r="B1039" s="25" t="str">
        <f>VLOOKUP(C1039,'시스템이펙트 참고자료'!$A:$C,2,FALSE)</f>
        <v>ACTIVE_DODGE_RATE_UP</v>
      </c>
      <c r="C1039" s="25">
        <v>619</v>
      </c>
      <c r="D1039" s="25">
        <f>VLOOKUP(C1039,'시스템이펙트 참고자료'!$A:$D,4,FALSE)</f>
        <v>0</v>
      </c>
      <c r="E1039" s="25">
        <v>0</v>
      </c>
      <c r="F1039" s="25">
        <v>0</v>
      </c>
      <c r="G1039" s="25">
        <f t="shared" si="74"/>
        <v>1</v>
      </c>
      <c r="H1039" s="25" t="s">
        <v>395</v>
      </c>
      <c r="I1039" s="25">
        <v>1</v>
      </c>
      <c r="J1039" s="25" t="str">
        <f>VLOOKUP(C1039,'시스템이펙트 참고자료'!$A:$C,3,FALSE)</f>
        <v>절대값/상대값(%) 가능</v>
      </c>
      <c r="K1039" s="25">
        <v>20</v>
      </c>
      <c r="M1039" s="25">
        <v>7</v>
      </c>
      <c r="N1039" s="25">
        <f t="shared" si="77"/>
        <v>275</v>
      </c>
      <c r="O1039" s="25">
        <v>1</v>
      </c>
      <c r="P1039" s="25">
        <v>1</v>
      </c>
      <c r="Q1039" s="25">
        <v>1</v>
      </c>
      <c r="R1039" s="25">
        <v>1</v>
      </c>
      <c r="U1039" s="25">
        <v>1</v>
      </c>
      <c r="AA1039" s="25">
        <f t="shared" si="76"/>
        <v>128</v>
      </c>
      <c r="AK1039" s="25">
        <v>1</v>
      </c>
      <c r="AM1039" s="25">
        <v>275</v>
      </c>
      <c r="AN1039" s="25">
        <v>100</v>
      </c>
      <c r="AP1039" s="25">
        <f t="shared" si="75"/>
        <v>1</v>
      </c>
      <c r="AQ1039" s="25" t="str">
        <f>VLOOKUP(C1039,'시스템이펙트 참고자료'!$A:$B,2,FALSE)</f>
        <v>ACTIVE_DODGE_RATE_UP</v>
      </c>
      <c r="AT1039" s="25">
        <v>1</v>
      </c>
      <c r="BD1039" s="25">
        <v>1</v>
      </c>
    </row>
    <row r="1040" spans="1:56" hidden="1">
      <c r="A1040" s="25">
        <v>1035</v>
      </c>
      <c r="B1040" s="25" t="str">
        <f>VLOOKUP(C1040,'시스템이펙트 참고자료'!$A:$C,2,FALSE)</f>
        <v>ACTIVE_STOMACHACHE_DEFENCE</v>
      </c>
      <c r="C1040" s="25">
        <v>679</v>
      </c>
      <c r="D1040" s="25">
        <f>VLOOKUP(C1040,'시스템이펙트 참고자료'!$A:$D,4,FALSE)</f>
        <v>0</v>
      </c>
      <c r="E1040" s="25">
        <v>0</v>
      </c>
      <c r="F1040" s="25">
        <v>0</v>
      </c>
      <c r="G1040" s="25">
        <f t="shared" ref="G1040:G1065" si="78">IF(N1040&gt;0,INT(100/N1040+0.99),0)</f>
        <v>1</v>
      </c>
      <c r="H1040" s="25" t="s">
        <v>395</v>
      </c>
      <c r="I1040" s="25">
        <v>1</v>
      </c>
      <c r="J1040" s="25" t="str">
        <f>VLOOKUP(C1040,'시스템이펙트 참고자료'!$A:$C,3,FALSE)</f>
        <v>절대값/상대값(%) 가능</v>
      </c>
      <c r="K1040" s="25">
        <v>20</v>
      </c>
      <c r="M1040" s="25">
        <v>7</v>
      </c>
      <c r="N1040" s="25">
        <f t="shared" si="77"/>
        <v>1350</v>
      </c>
      <c r="O1040" s="25">
        <v>1</v>
      </c>
      <c r="P1040" s="25">
        <v>1</v>
      </c>
      <c r="Q1040" s="25">
        <v>1</v>
      </c>
      <c r="R1040" s="25">
        <v>1</v>
      </c>
      <c r="U1040" s="25">
        <v>1</v>
      </c>
      <c r="AA1040" s="25">
        <f t="shared" si="76"/>
        <v>128</v>
      </c>
      <c r="AK1040" s="25">
        <v>1</v>
      </c>
      <c r="AM1040" s="25">
        <v>1350</v>
      </c>
      <c r="AN1040" s="25">
        <v>100</v>
      </c>
      <c r="AP1040" s="25">
        <f t="shared" ref="AP1040:AP1065" si="79">INT(100/N1040+0.99)</f>
        <v>1</v>
      </c>
      <c r="AQ1040" s="25" t="str">
        <f>VLOOKUP(C1040,'시스템이펙트 참고자료'!$A:$B,2,FALSE)</f>
        <v>ACTIVE_STOMACHACHE_DEFENCE</v>
      </c>
      <c r="AT1040" s="25">
        <v>1</v>
      </c>
      <c r="BD1040" s="25">
        <v>1</v>
      </c>
    </row>
    <row r="1041" spans="1:56" hidden="1">
      <c r="A1041" s="25">
        <v>1036</v>
      </c>
      <c r="B1041" s="25" t="str">
        <f>VLOOKUP(C1041,'시스템이펙트 참고자료'!$A:$C,2,FALSE)</f>
        <v>ACTIVE_POISON_DEFENCE</v>
      </c>
      <c r="C1041" s="25">
        <v>680</v>
      </c>
      <c r="D1041" s="25">
        <f>VLOOKUP(C1041,'시스템이펙트 참고자료'!$A:$D,4,FALSE)</f>
        <v>0</v>
      </c>
      <c r="E1041" s="25">
        <v>0</v>
      </c>
      <c r="F1041" s="25">
        <v>0</v>
      </c>
      <c r="G1041" s="25">
        <f t="shared" si="78"/>
        <v>1</v>
      </c>
      <c r="H1041" s="25" t="s">
        <v>395</v>
      </c>
      <c r="I1041" s="25">
        <v>1</v>
      </c>
      <c r="J1041" s="25" t="str">
        <f>VLOOKUP(C1041,'시스템이펙트 참고자료'!$A:$C,3,FALSE)</f>
        <v>절대값/상대값(%) 가능</v>
      </c>
      <c r="K1041" s="25">
        <v>20</v>
      </c>
      <c r="M1041" s="25">
        <v>7</v>
      </c>
      <c r="N1041" s="25">
        <f t="shared" si="77"/>
        <v>1350</v>
      </c>
      <c r="O1041" s="25">
        <v>1</v>
      </c>
      <c r="P1041" s="25">
        <v>1</v>
      </c>
      <c r="Q1041" s="25">
        <v>1</v>
      </c>
      <c r="R1041" s="25">
        <v>1</v>
      </c>
      <c r="U1041" s="25">
        <v>1</v>
      </c>
      <c r="AA1041" s="25">
        <f t="shared" si="76"/>
        <v>128</v>
      </c>
      <c r="AK1041" s="25">
        <v>1</v>
      </c>
      <c r="AM1041" s="25">
        <v>1350</v>
      </c>
      <c r="AN1041" s="25">
        <v>100</v>
      </c>
      <c r="AP1041" s="25">
        <f t="shared" si="79"/>
        <v>1</v>
      </c>
      <c r="AQ1041" s="25" t="str">
        <f>VLOOKUP(C1041,'시스템이펙트 참고자료'!$A:$B,2,FALSE)</f>
        <v>ACTIVE_POISON_DEFENCE</v>
      </c>
      <c r="AT1041" s="25">
        <v>1</v>
      </c>
      <c r="BD1041" s="25">
        <v>1</v>
      </c>
    </row>
    <row r="1042" spans="1:56" hidden="1">
      <c r="A1042" s="25">
        <v>1037</v>
      </c>
      <c r="B1042" s="25" t="str">
        <f>VLOOKUP(C1042,'시스템이펙트 참고자료'!$A:$C,2,FALSE)</f>
        <v>ACTIVE_BLEED_DEFENCE</v>
      </c>
      <c r="C1042" s="25">
        <v>681</v>
      </c>
      <c r="D1042" s="25">
        <f>VLOOKUP(C1042,'시스템이펙트 참고자료'!$A:$D,4,FALSE)</f>
        <v>0</v>
      </c>
      <c r="E1042" s="25">
        <v>0</v>
      </c>
      <c r="F1042" s="25">
        <v>0</v>
      </c>
      <c r="G1042" s="25">
        <f t="shared" si="78"/>
        <v>1</v>
      </c>
      <c r="H1042" s="25" t="s">
        <v>395</v>
      </c>
      <c r="I1042" s="25">
        <v>1</v>
      </c>
      <c r="J1042" s="25" t="str">
        <f>VLOOKUP(C1042,'시스템이펙트 참고자료'!$A:$C,3,FALSE)</f>
        <v>절대값/상대값(%) 가능</v>
      </c>
      <c r="K1042" s="25">
        <v>20</v>
      </c>
      <c r="M1042" s="25">
        <v>7</v>
      </c>
      <c r="N1042" s="25">
        <f t="shared" si="77"/>
        <v>1350</v>
      </c>
      <c r="O1042" s="25">
        <v>1</v>
      </c>
      <c r="P1042" s="25">
        <v>1</v>
      </c>
      <c r="Q1042" s="25">
        <v>1</v>
      </c>
      <c r="R1042" s="25">
        <v>1</v>
      </c>
      <c r="U1042" s="25">
        <v>1</v>
      </c>
      <c r="AA1042" s="25">
        <f t="shared" si="76"/>
        <v>128</v>
      </c>
      <c r="AK1042" s="25">
        <v>1</v>
      </c>
      <c r="AM1042" s="25">
        <v>1350</v>
      </c>
      <c r="AN1042" s="25">
        <v>100</v>
      </c>
      <c r="AP1042" s="25">
        <f t="shared" si="79"/>
        <v>1</v>
      </c>
      <c r="AQ1042" s="25" t="str">
        <f>VLOOKUP(C1042,'시스템이펙트 참고자료'!$A:$B,2,FALSE)</f>
        <v>ACTIVE_BLEED_DEFENCE</v>
      </c>
      <c r="AT1042" s="25">
        <v>1</v>
      </c>
      <c r="BD1042" s="25">
        <v>1</v>
      </c>
    </row>
    <row r="1043" spans="1:56" hidden="1">
      <c r="A1043" s="25">
        <v>1038</v>
      </c>
      <c r="B1043" s="25" t="str">
        <f>VLOOKUP(C1043,'시스템이펙트 참고자료'!$A:$C,2,FALSE)</f>
        <v>ACTIVE_BURN_DEFENCE</v>
      </c>
      <c r="C1043" s="25">
        <v>682</v>
      </c>
      <c r="D1043" s="25">
        <f>VLOOKUP(C1043,'시스템이펙트 참고자료'!$A:$D,4,FALSE)</f>
        <v>0</v>
      </c>
      <c r="E1043" s="25">
        <v>0</v>
      </c>
      <c r="F1043" s="25">
        <v>0</v>
      </c>
      <c r="G1043" s="25">
        <f t="shared" si="78"/>
        <v>1</v>
      </c>
      <c r="H1043" s="25" t="s">
        <v>395</v>
      </c>
      <c r="I1043" s="25">
        <v>1</v>
      </c>
      <c r="J1043" s="25" t="str">
        <f>VLOOKUP(C1043,'시스템이펙트 참고자료'!$A:$C,3,FALSE)</f>
        <v>절대값/상대값(%) 가능</v>
      </c>
      <c r="K1043" s="25">
        <v>20</v>
      </c>
      <c r="M1043" s="25">
        <v>7</v>
      </c>
      <c r="N1043" s="25">
        <f t="shared" si="77"/>
        <v>1350</v>
      </c>
      <c r="O1043" s="25">
        <v>1</v>
      </c>
      <c r="P1043" s="25">
        <v>1</v>
      </c>
      <c r="Q1043" s="25">
        <v>1</v>
      </c>
      <c r="R1043" s="25">
        <v>1</v>
      </c>
      <c r="U1043" s="25">
        <v>1</v>
      </c>
      <c r="AA1043" s="25">
        <f t="shared" ref="AA1043:AA1106" si="80">2^AA$1</f>
        <v>128</v>
      </c>
      <c r="AK1043" s="25">
        <v>1</v>
      </c>
      <c r="AM1043" s="25">
        <v>1350</v>
      </c>
      <c r="AN1043" s="25">
        <v>100</v>
      </c>
      <c r="AP1043" s="25">
        <f t="shared" si="79"/>
        <v>1</v>
      </c>
      <c r="AQ1043" s="25" t="str">
        <f>VLOOKUP(C1043,'시스템이펙트 참고자료'!$A:$B,2,FALSE)</f>
        <v>ACTIVE_BURN_DEFENCE</v>
      </c>
      <c r="AT1043" s="25">
        <v>1</v>
      </c>
      <c r="BD1043" s="25">
        <v>1</v>
      </c>
    </row>
    <row r="1044" spans="1:56" hidden="1">
      <c r="A1044" s="25">
        <v>1039</v>
      </c>
      <c r="B1044" s="25" t="str">
        <f>VLOOKUP(C1044,'시스템이펙트 참고자료'!$A:$C,2,FALSE)</f>
        <v>ACTIVE_PHYSICAL_DEFENCE_UP</v>
      </c>
      <c r="C1044" s="25">
        <v>608</v>
      </c>
      <c r="D1044" s="25">
        <f>VLOOKUP(C1044,'시스템이펙트 참고자료'!$A:$D,4,FALSE)</f>
        <v>0</v>
      </c>
      <c r="E1044" s="25">
        <v>0</v>
      </c>
      <c r="F1044" s="25">
        <v>0</v>
      </c>
      <c r="G1044" s="25">
        <f t="shared" si="78"/>
        <v>1</v>
      </c>
      <c r="H1044" s="25" t="s">
        <v>395</v>
      </c>
      <c r="I1044" s="25">
        <v>1</v>
      </c>
      <c r="J1044" s="25" t="str">
        <f>VLOOKUP(C1044,'시스템이펙트 참고자료'!$A:$C,3,FALSE)</f>
        <v>절대값/상대값(%) 가능</v>
      </c>
      <c r="K1044" s="25">
        <v>20</v>
      </c>
      <c r="M1044" s="25">
        <v>8</v>
      </c>
      <c r="N1044" s="25">
        <f t="shared" si="77"/>
        <v>1350</v>
      </c>
      <c r="O1044" s="25">
        <v>1</v>
      </c>
      <c r="P1044" s="25">
        <v>1</v>
      </c>
      <c r="Q1044" s="25">
        <v>1</v>
      </c>
      <c r="R1044" s="25">
        <v>1</v>
      </c>
      <c r="U1044" s="25">
        <v>1</v>
      </c>
      <c r="AA1044" s="25">
        <f t="shared" si="80"/>
        <v>128</v>
      </c>
      <c r="AK1044" s="25">
        <v>1</v>
      </c>
      <c r="AM1044" s="25">
        <v>1350</v>
      </c>
      <c r="AN1044" s="25">
        <v>100</v>
      </c>
      <c r="AP1044" s="25">
        <f t="shared" si="79"/>
        <v>1</v>
      </c>
      <c r="AQ1044" s="25" t="str">
        <f>VLOOKUP(C1044,'시스템이펙트 참고자료'!$A:$B,2,FALSE)</f>
        <v>ACTIVE_PHYSICAL_DEFENCE_UP</v>
      </c>
      <c r="AT1044" s="25">
        <v>1</v>
      </c>
      <c r="BD1044" s="25">
        <v>1</v>
      </c>
    </row>
    <row r="1045" spans="1:56" hidden="1">
      <c r="A1045" s="25">
        <v>1040</v>
      </c>
      <c r="B1045" s="25" t="str">
        <f>VLOOKUP(C1045,'시스템이펙트 참고자료'!$A:$C,2,FALSE)</f>
        <v>ACTIVE_ENERGY_DEFENCE_UP</v>
      </c>
      <c r="C1045" s="25">
        <v>609</v>
      </c>
      <c r="D1045" s="25">
        <f>VLOOKUP(C1045,'시스템이펙트 참고자료'!$A:$D,4,FALSE)</f>
        <v>0</v>
      </c>
      <c r="E1045" s="25">
        <v>0</v>
      </c>
      <c r="F1045" s="25">
        <v>0</v>
      </c>
      <c r="G1045" s="25">
        <f t="shared" si="78"/>
        <v>1</v>
      </c>
      <c r="H1045" s="25" t="s">
        <v>395</v>
      </c>
      <c r="I1045" s="25">
        <v>1</v>
      </c>
      <c r="J1045" s="25" t="str">
        <f>VLOOKUP(C1045,'시스템이펙트 참고자료'!$A:$C,3,FALSE)</f>
        <v>절대값/상대값(%) 가능</v>
      </c>
      <c r="K1045" s="25">
        <v>20</v>
      </c>
      <c r="M1045" s="25">
        <v>8</v>
      </c>
      <c r="N1045" s="25">
        <f t="shared" si="77"/>
        <v>1350</v>
      </c>
      <c r="O1045" s="25">
        <v>1</v>
      </c>
      <c r="P1045" s="25">
        <v>1</v>
      </c>
      <c r="Q1045" s="25">
        <v>1</v>
      </c>
      <c r="R1045" s="25">
        <v>1</v>
      </c>
      <c r="U1045" s="25">
        <v>1</v>
      </c>
      <c r="AA1045" s="25">
        <f t="shared" si="80"/>
        <v>128</v>
      </c>
      <c r="AK1045" s="25">
        <v>1</v>
      </c>
      <c r="AM1045" s="25">
        <v>1350</v>
      </c>
      <c r="AN1045" s="25">
        <v>100</v>
      </c>
      <c r="AP1045" s="25">
        <f t="shared" si="79"/>
        <v>1</v>
      </c>
      <c r="AQ1045" s="25" t="str">
        <f>VLOOKUP(C1045,'시스템이펙트 참고자료'!$A:$B,2,FALSE)</f>
        <v>ACTIVE_ENERGY_DEFENCE_UP</v>
      </c>
      <c r="AT1045" s="25">
        <v>1</v>
      </c>
      <c r="BD1045" s="25">
        <v>1</v>
      </c>
    </row>
    <row r="1046" spans="1:56" hidden="1">
      <c r="A1046" s="25">
        <v>1041</v>
      </c>
      <c r="B1046" s="25" t="str">
        <f>VLOOKUP(C1046,'시스템이펙트 참고자료'!$A:$C,2,FALSE)</f>
        <v>ACTIVE_BLOCK_RATE_UP</v>
      </c>
      <c r="C1046" s="25">
        <v>620</v>
      </c>
      <c r="D1046" s="25">
        <f>VLOOKUP(C1046,'시스템이펙트 참고자료'!$A:$D,4,FALSE)</f>
        <v>0</v>
      </c>
      <c r="E1046" s="25">
        <v>0</v>
      </c>
      <c r="F1046" s="25">
        <v>0</v>
      </c>
      <c r="G1046" s="25">
        <f t="shared" si="78"/>
        <v>1</v>
      </c>
      <c r="H1046" s="25" t="s">
        <v>395</v>
      </c>
      <c r="I1046" s="25">
        <v>1</v>
      </c>
      <c r="J1046" s="25" t="str">
        <f>VLOOKUP(C1046,'시스템이펙트 참고자료'!$A:$C,3,FALSE)</f>
        <v>절대값/상대값(%) 가능</v>
      </c>
      <c r="K1046" s="25">
        <v>20</v>
      </c>
      <c r="M1046" s="25">
        <v>8</v>
      </c>
      <c r="N1046" s="25">
        <f t="shared" si="77"/>
        <v>352</v>
      </c>
      <c r="O1046" s="25">
        <v>1</v>
      </c>
      <c r="P1046" s="25">
        <v>1</v>
      </c>
      <c r="Q1046" s="25">
        <v>1</v>
      </c>
      <c r="R1046" s="25">
        <v>1</v>
      </c>
      <c r="U1046" s="25">
        <v>1</v>
      </c>
      <c r="AA1046" s="25">
        <f t="shared" si="80"/>
        <v>128</v>
      </c>
      <c r="AK1046" s="25">
        <v>1</v>
      </c>
      <c r="AM1046" s="25">
        <v>352</v>
      </c>
      <c r="AN1046" s="25">
        <v>100</v>
      </c>
      <c r="AP1046" s="25">
        <f t="shared" si="79"/>
        <v>1</v>
      </c>
      <c r="AQ1046" s="25" t="str">
        <f>VLOOKUP(C1046,'시스템이펙트 참고자료'!$A:$B,2,FALSE)</f>
        <v>ACTIVE_BLOCK_RATE_UP</v>
      </c>
      <c r="AT1046" s="25">
        <v>1</v>
      </c>
      <c r="BD1046" s="25">
        <v>1</v>
      </c>
    </row>
    <row r="1047" spans="1:56" hidden="1">
      <c r="A1047" s="25">
        <v>1042</v>
      </c>
      <c r="B1047" s="25" t="str">
        <f>VLOOKUP(C1047,'시스템이펙트 참고자료'!$A:$C,2,FALSE)</f>
        <v>ACTIVE_HONEST_DEFENCE_UP</v>
      </c>
      <c r="C1047" s="25">
        <v>621</v>
      </c>
      <c r="D1047" s="25">
        <f>VLOOKUP(C1047,'시스템이펙트 참고자료'!$A:$D,4,FALSE)</f>
        <v>0</v>
      </c>
      <c r="E1047" s="25">
        <v>0</v>
      </c>
      <c r="F1047" s="25">
        <v>0</v>
      </c>
      <c r="G1047" s="25">
        <f t="shared" si="78"/>
        <v>5</v>
      </c>
      <c r="H1047" s="25" t="s">
        <v>395</v>
      </c>
      <c r="I1047" s="25">
        <v>1</v>
      </c>
      <c r="J1047" s="25" t="str">
        <f>VLOOKUP(C1047,'시스템이펙트 참고자료'!$A:$C,3,FALSE)</f>
        <v>절대값만 가능</v>
      </c>
      <c r="K1047" s="25">
        <v>20</v>
      </c>
      <c r="M1047" s="25">
        <v>8</v>
      </c>
      <c r="N1047" s="25">
        <f t="shared" si="77"/>
        <v>20</v>
      </c>
      <c r="O1047" s="25">
        <v>1</v>
      </c>
      <c r="P1047" s="25">
        <v>1</v>
      </c>
      <c r="Q1047" s="25">
        <v>1</v>
      </c>
      <c r="R1047" s="25">
        <v>1</v>
      </c>
      <c r="U1047" s="25">
        <v>1</v>
      </c>
      <c r="AA1047" s="25">
        <f t="shared" si="80"/>
        <v>128</v>
      </c>
      <c r="AK1047" s="25">
        <v>1</v>
      </c>
      <c r="AM1047" s="25">
        <v>20</v>
      </c>
      <c r="AN1047" s="25">
        <v>100</v>
      </c>
      <c r="AP1047" s="25">
        <f t="shared" si="79"/>
        <v>5</v>
      </c>
      <c r="AQ1047" s="25" t="str">
        <f>VLOOKUP(C1047,'시스템이펙트 참고자료'!$A:$B,2,FALSE)</f>
        <v>ACTIVE_HONEST_DEFENCE_UP</v>
      </c>
      <c r="AT1047" s="25">
        <v>1</v>
      </c>
      <c r="BD1047" s="25">
        <v>1</v>
      </c>
    </row>
    <row r="1048" spans="1:56" hidden="1">
      <c r="A1048" s="25">
        <v>1043</v>
      </c>
      <c r="B1048" s="25" t="str">
        <f>VLOOKUP(C1048,'시스템이펙트 참고자료'!$A:$C,2,FALSE)</f>
        <v>ACTIVE_STRANGE_DEFENCE_UP</v>
      </c>
      <c r="C1048" s="25">
        <v>622</v>
      </c>
      <c r="D1048" s="25">
        <f>VLOOKUP(C1048,'시스템이펙트 참고자료'!$A:$D,4,FALSE)</f>
        <v>0</v>
      </c>
      <c r="E1048" s="25">
        <v>0</v>
      </c>
      <c r="F1048" s="25">
        <v>0</v>
      </c>
      <c r="G1048" s="25">
        <f t="shared" si="78"/>
        <v>5</v>
      </c>
      <c r="H1048" s="25" t="s">
        <v>395</v>
      </c>
      <c r="I1048" s="25">
        <v>1</v>
      </c>
      <c r="J1048" s="25" t="str">
        <f>VLOOKUP(C1048,'시스템이펙트 참고자료'!$A:$C,3,FALSE)</f>
        <v>절대값만 가능</v>
      </c>
      <c r="K1048" s="25">
        <v>20</v>
      </c>
      <c r="M1048" s="25">
        <v>8</v>
      </c>
      <c r="N1048" s="25">
        <f t="shared" si="77"/>
        <v>20</v>
      </c>
      <c r="O1048" s="25">
        <v>1</v>
      </c>
      <c r="P1048" s="25">
        <v>1</v>
      </c>
      <c r="Q1048" s="25">
        <v>1</v>
      </c>
      <c r="R1048" s="25">
        <v>1</v>
      </c>
      <c r="U1048" s="25">
        <v>1</v>
      </c>
      <c r="AA1048" s="25">
        <f t="shared" si="80"/>
        <v>128</v>
      </c>
      <c r="AK1048" s="25">
        <v>1</v>
      </c>
      <c r="AM1048" s="25">
        <v>20</v>
      </c>
      <c r="AN1048" s="25">
        <v>100</v>
      </c>
      <c r="AP1048" s="25">
        <f t="shared" si="79"/>
        <v>5</v>
      </c>
      <c r="AQ1048" s="25" t="str">
        <f>VLOOKUP(C1048,'시스템이펙트 참고자료'!$A:$B,2,FALSE)</f>
        <v>ACTIVE_STRANGE_DEFENCE_UP</v>
      </c>
      <c r="AT1048" s="25">
        <v>1</v>
      </c>
      <c r="BD1048" s="25">
        <v>1</v>
      </c>
    </row>
    <row r="1049" spans="1:56" hidden="1">
      <c r="A1049" s="25">
        <v>1044</v>
      </c>
      <c r="B1049" s="25" t="str">
        <f>VLOOKUP(C1049,'시스템이펙트 참고자료'!$A:$C,2,FALSE)</f>
        <v>ACTIVE_WILD_DEFENCE_UP</v>
      </c>
      <c r="C1049" s="25">
        <v>623</v>
      </c>
      <c r="D1049" s="25">
        <f>VLOOKUP(C1049,'시스템이펙트 참고자료'!$A:$D,4,FALSE)</f>
        <v>0</v>
      </c>
      <c r="E1049" s="25">
        <v>0</v>
      </c>
      <c r="F1049" s="25">
        <v>0</v>
      </c>
      <c r="G1049" s="25">
        <f t="shared" si="78"/>
        <v>5</v>
      </c>
      <c r="H1049" s="25" t="s">
        <v>395</v>
      </c>
      <c r="I1049" s="25">
        <v>1</v>
      </c>
      <c r="J1049" s="25" t="str">
        <f>VLOOKUP(C1049,'시스템이펙트 참고자료'!$A:$C,3,FALSE)</f>
        <v>절대값만 가능</v>
      </c>
      <c r="K1049" s="25">
        <v>20</v>
      </c>
      <c r="M1049" s="25">
        <v>8</v>
      </c>
      <c r="N1049" s="25">
        <f t="shared" si="77"/>
        <v>20</v>
      </c>
      <c r="O1049" s="25">
        <v>1</v>
      </c>
      <c r="P1049" s="25">
        <v>1</v>
      </c>
      <c r="Q1049" s="25">
        <v>1</v>
      </c>
      <c r="R1049" s="25">
        <v>1</v>
      </c>
      <c r="U1049" s="25">
        <v>1</v>
      </c>
      <c r="AA1049" s="25">
        <f t="shared" si="80"/>
        <v>128</v>
      </c>
      <c r="AK1049" s="25">
        <v>1</v>
      </c>
      <c r="AM1049" s="25">
        <v>20</v>
      </c>
      <c r="AN1049" s="25">
        <v>100</v>
      </c>
      <c r="AP1049" s="25">
        <f t="shared" si="79"/>
        <v>5</v>
      </c>
      <c r="AQ1049" s="25" t="str">
        <f>VLOOKUP(C1049,'시스템이펙트 참고자료'!$A:$B,2,FALSE)</f>
        <v>ACTIVE_WILD_DEFENCE_UP</v>
      </c>
      <c r="AT1049" s="25">
        <v>1</v>
      </c>
      <c r="BD1049" s="25">
        <v>1</v>
      </c>
    </row>
    <row r="1050" spans="1:56" hidden="1">
      <c r="A1050" s="25">
        <v>1045</v>
      </c>
      <c r="B1050" s="25" t="str">
        <f>VLOOKUP(C1050,'시스템이펙트 참고자료'!$A:$C,2,FALSE)</f>
        <v>ACTIVE_ELEGANCE_DEFENCE_UP</v>
      </c>
      <c r="C1050" s="25">
        <v>624</v>
      </c>
      <c r="D1050" s="25">
        <f>VLOOKUP(C1050,'시스템이펙트 참고자료'!$A:$D,4,FALSE)</f>
        <v>0</v>
      </c>
      <c r="E1050" s="25">
        <v>0</v>
      </c>
      <c r="F1050" s="25">
        <v>0</v>
      </c>
      <c r="G1050" s="25">
        <f t="shared" si="78"/>
        <v>5</v>
      </c>
      <c r="H1050" s="25" t="s">
        <v>395</v>
      </c>
      <c r="I1050" s="25">
        <v>1</v>
      </c>
      <c r="J1050" s="25" t="str">
        <f>VLOOKUP(C1050,'시스템이펙트 참고자료'!$A:$C,3,FALSE)</f>
        <v>절대값만 가능</v>
      </c>
      <c r="K1050" s="25">
        <v>20</v>
      </c>
      <c r="M1050" s="25">
        <v>8</v>
      </c>
      <c r="N1050" s="25">
        <f t="shared" si="77"/>
        <v>20</v>
      </c>
      <c r="O1050" s="25">
        <v>1</v>
      </c>
      <c r="P1050" s="25">
        <v>1</v>
      </c>
      <c r="Q1050" s="25">
        <v>1</v>
      </c>
      <c r="R1050" s="25">
        <v>1</v>
      </c>
      <c r="U1050" s="25">
        <v>1</v>
      </c>
      <c r="AA1050" s="25">
        <f t="shared" si="80"/>
        <v>128</v>
      </c>
      <c r="AK1050" s="25">
        <v>1</v>
      </c>
      <c r="AM1050" s="25">
        <v>20</v>
      </c>
      <c r="AN1050" s="25">
        <v>100</v>
      </c>
      <c r="AP1050" s="25">
        <f t="shared" si="79"/>
        <v>5</v>
      </c>
      <c r="AQ1050" s="25" t="str">
        <f>VLOOKUP(C1050,'시스템이펙트 참고자료'!$A:$B,2,FALSE)</f>
        <v>ACTIVE_ELEGANCE_DEFENCE_UP</v>
      </c>
      <c r="AT1050" s="25">
        <v>1</v>
      </c>
      <c r="BD1050" s="25">
        <v>1</v>
      </c>
    </row>
    <row r="1051" spans="1:56" hidden="1">
      <c r="A1051" s="25">
        <v>1046</v>
      </c>
      <c r="B1051" s="25" t="str">
        <f>VLOOKUP(C1051,'시스템이펙트 참고자료'!$A:$C,2,FALSE)</f>
        <v>ACTIVE_FUNNY_DEFENCE_UP</v>
      </c>
      <c r="C1051" s="25">
        <v>625</v>
      </c>
      <c r="D1051" s="25">
        <f>VLOOKUP(C1051,'시스템이펙트 참고자료'!$A:$D,4,FALSE)</f>
        <v>0</v>
      </c>
      <c r="E1051" s="25">
        <v>0</v>
      </c>
      <c r="F1051" s="25">
        <v>0</v>
      </c>
      <c r="G1051" s="25">
        <f t="shared" si="78"/>
        <v>5</v>
      </c>
      <c r="H1051" s="25" t="s">
        <v>395</v>
      </c>
      <c r="I1051" s="25">
        <v>1</v>
      </c>
      <c r="J1051" s="25" t="str">
        <f>VLOOKUP(C1051,'시스템이펙트 참고자료'!$A:$C,3,FALSE)</f>
        <v>절대값만 가능</v>
      </c>
      <c r="K1051" s="25">
        <v>20</v>
      </c>
      <c r="M1051" s="25">
        <v>8</v>
      </c>
      <c r="N1051" s="25">
        <f t="shared" si="77"/>
        <v>20</v>
      </c>
      <c r="O1051" s="25">
        <v>1</v>
      </c>
      <c r="P1051" s="25">
        <v>1</v>
      </c>
      <c r="Q1051" s="25">
        <v>1</v>
      </c>
      <c r="R1051" s="25">
        <v>1</v>
      </c>
      <c r="U1051" s="25">
        <v>1</v>
      </c>
      <c r="AA1051" s="25">
        <f t="shared" si="80"/>
        <v>128</v>
      </c>
      <c r="AK1051" s="25">
        <v>1</v>
      </c>
      <c r="AM1051" s="25">
        <v>20</v>
      </c>
      <c r="AN1051" s="25">
        <v>100</v>
      </c>
      <c r="AP1051" s="25">
        <f t="shared" si="79"/>
        <v>5</v>
      </c>
      <c r="AQ1051" s="25" t="str">
        <f>VLOOKUP(C1051,'시스템이펙트 참고자료'!$A:$B,2,FALSE)</f>
        <v>ACTIVE_FUNNY_DEFENCE_UP</v>
      </c>
      <c r="AT1051" s="25">
        <v>1</v>
      </c>
      <c r="BD1051" s="25">
        <v>1</v>
      </c>
    </row>
    <row r="1052" spans="1:56" hidden="1">
      <c r="A1052" s="25">
        <v>1047</v>
      </c>
      <c r="B1052" s="25" t="str">
        <f>VLOOKUP(C1052,'시스템이펙트 참고자료'!$A:$C,2,FALSE)</f>
        <v>ACTIVE_PHYSICAL_OFFENCE_UP</v>
      </c>
      <c r="C1052" s="25">
        <v>606</v>
      </c>
      <c r="D1052" s="25">
        <f>VLOOKUP(C1052,'시스템이펙트 참고자료'!$A:$D,4,FALSE)</f>
        <v>0</v>
      </c>
      <c r="E1052" s="25">
        <v>0</v>
      </c>
      <c r="F1052" s="25">
        <v>0</v>
      </c>
      <c r="G1052" s="25">
        <f t="shared" si="78"/>
        <v>1</v>
      </c>
      <c r="H1052" s="25" t="s">
        <v>395</v>
      </c>
      <c r="I1052" s="25">
        <v>1</v>
      </c>
      <c r="J1052" s="25" t="str">
        <f>VLOOKUP(C1052,'시스템이펙트 참고자료'!$A:$C,3,FALSE)</f>
        <v>절대값/상대값(%) 가능</v>
      </c>
      <c r="K1052" s="25">
        <v>20</v>
      </c>
      <c r="M1052" s="25">
        <v>9</v>
      </c>
      <c r="N1052" s="25">
        <f t="shared" si="77"/>
        <v>125</v>
      </c>
      <c r="O1052" s="25">
        <v>1</v>
      </c>
      <c r="P1052" s="25">
        <v>1</v>
      </c>
      <c r="Q1052" s="25">
        <v>1</v>
      </c>
      <c r="R1052" s="25">
        <v>1</v>
      </c>
      <c r="U1052" s="25">
        <v>1</v>
      </c>
      <c r="AA1052" s="25">
        <f t="shared" si="80"/>
        <v>128</v>
      </c>
      <c r="AK1052" s="25">
        <v>1</v>
      </c>
      <c r="AM1052" s="25">
        <v>125</v>
      </c>
      <c r="AN1052" s="25">
        <v>100</v>
      </c>
      <c r="AP1052" s="25">
        <f t="shared" si="79"/>
        <v>1</v>
      </c>
      <c r="AQ1052" s="25" t="str">
        <f>VLOOKUP(C1052,'시스템이펙트 참고자료'!$A:$B,2,FALSE)</f>
        <v>ACTIVE_PHYSICAL_OFFENCE_UP</v>
      </c>
      <c r="AT1052" s="25">
        <v>1</v>
      </c>
      <c r="BD1052" s="25">
        <v>1</v>
      </c>
    </row>
    <row r="1053" spans="1:56" hidden="1">
      <c r="A1053" s="25">
        <v>1048</v>
      </c>
      <c r="B1053" s="25" t="str">
        <f>VLOOKUP(C1053,'시스템이펙트 참고자료'!$A:$C,2,FALSE)</f>
        <v>ACTIVE_STR_UP</v>
      </c>
      <c r="C1053" s="25">
        <v>610</v>
      </c>
      <c r="D1053" s="25">
        <f>VLOOKUP(C1053,'시스템이펙트 참고자료'!$A:$D,4,FALSE)</f>
        <v>0</v>
      </c>
      <c r="E1053" s="25">
        <v>0</v>
      </c>
      <c r="F1053" s="25">
        <v>0</v>
      </c>
      <c r="G1053" s="25">
        <f t="shared" si="78"/>
        <v>2</v>
      </c>
      <c r="H1053" s="25" t="s">
        <v>395</v>
      </c>
      <c r="I1053" s="25">
        <v>1</v>
      </c>
      <c r="J1053" s="25" t="str">
        <f>VLOOKUP(C1053,'시스템이펙트 참고자료'!$A:$C,3,FALSE)</f>
        <v>절대값/상대값(%) 가능</v>
      </c>
      <c r="K1053" s="25">
        <v>20</v>
      </c>
      <c r="M1053" s="25">
        <v>9</v>
      </c>
      <c r="N1053" s="25">
        <f t="shared" si="77"/>
        <v>57</v>
      </c>
      <c r="O1053" s="25">
        <v>1</v>
      </c>
      <c r="P1053" s="25">
        <v>1</v>
      </c>
      <c r="Q1053" s="25">
        <v>1</v>
      </c>
      <c r="R1053" s="25">
        <v>1</v>
      </c>
      <c r="U1053" s="25">
        <v>1</v>
      </c>
      <c r="AA1053" s="25">
        <f t="shared" si="80"/>
        <v>128</v>
      </c>
      <c r="AK1053" s="25">
        <v>1</v>
      </c>
      <c r="AM1053" s="25">
        <v>57</v>
      </c>
      <c r="AN1053" s="25">
        <v>100</v>
      </c>
      <c r="AP1053" s="25">
        <f t="shared" si="79"/>
        <v>2</v>
      </c>
      <c r="AQ1053" s="25" t="str">
        <f>VLOOKUP(C1053,'시스템이펙트 참고자료'!$A:$B,2,FALSE)</f>
        <v>ACTIVE_STR_UP</v>
      </c>
      <c r="AT1053" s="25">
        <v>1</v>
      </c>
      <c r="BD1053" s="25">
        <v>1</v>
      </c>
    </row>
    <row r="1054" spans="1:56" hidden="1">
      <c r="A1054" s="25">
        <v>1049</v>
      </c>
      <c r="B1054" s="25" t="str">
        <f>VLOOKUP(C1054,'시스템이펙트 참고자료'!$A:$C,2,FALSE)</f>
        <v>ACTIVE_CON_UP</v>
      </c>
      <c r="C1054" s="25">
        <v>611</v>
      </c>
      <c r="D1054" s="25">
        <f>VLOOKUP(C1054,'시스템이펙트 참고자료'!$A:$D,4,FALSE)</f>
        <v>0</v>
      </c>
      <c r="E1054" s="25">
        <v>0</v>
      </c>
      <c r="F1054" s="25">
        <v>0</v>
      </c>
      <c r="G1054" s="25">
        <f t="shared" si="78"/>
        <v>3</v>
      </c>
      <c r="H1054" s="25" t="s">
        <v>395</v>
      </c>
      <c r="I1054" s="25">
        <v>1</v>
      </c>
      <c r="J1054" s="25" t="str">
        <f>VLOOKUP(C1054,'시스템이펙트 참고자료'!$A:$C,3,FALSE)</f>
        <v>절대값/상대값(%) 가능</v>
      </c>
      <c r="K1054" s="25">
        <v>20</v>
      </c>
      <c r="M1054" s="25">
        <v>9</v>
      </c>
      <c r="N1054" s="25">
        <f t="shared" si="77"/>
        <v>48</v>
      </c>
      <c r="O1054" s="25">
        <v>1</v>
      </c>
      <c r="P1054" s="25">
        <v>1</v>
      </c>
      <c r="Q1054" s="25">
        <v>1</v>
      </c>
      <c r="R1054" s="25">
        <v>1</v>
      </c>
      <c r="U1054" s="25">
        <v>1</v>
      </c>
      <c r="AA1054" s="25">
        <f t="shared" si="80"/>
        <v>128</v>
      </c>
      <c r="AK1054" s="25">
        <v>1</v>
      </c>
      <c r="AM1054" s="25">
        <v>48</v>
      </c>
      <c r="AN1054" s="25">
        <v>100</v>
      </c>
      <c r="AP1054" s="25">
        <f t="shared" si="79"/>
        <v>3</v>
      </c>
      <c r="AQ1054" s="25" t="str">
        <f>VLOOKUP(C1054,'시스템이펙트 참고자료'!$A:$B,2,FALSE)</f>
        <v>ACTIVE_CON_UP</v>
      </c>
      <c r="AT1054" s="25">
        <v>1</v>
      </c>
      <c r="BD1054" s="25">
        <v>1</v>
      </c>
    </row>
    <row r="1055" spans="1:56" hidden="1">
      <c r="A1055" s="25">
        <v>1050</v>
      </c>
      <c r="B1055" s="25" t="str">
        <f>VLOOKUP(C1055,'시스템이펙트 참고자료'!$A:$C,2,FALSE)</f>
        <v>ACTIVE_FOC_UP</v>
      </c>
      <c r="C1055" s="25">
        <v>612</v>
      </c>
      <c r="D1055" s="25">
        <f>VLOOKUP(C1055,'시스템이펙트 참고자료'!$A:$D,4,FALSE)</f>
        <v>0</v>
      </c>
      <c r="E1055" s="25">
        <v>0</v>
      </c>
      <c r="F1055" s="25">
        <v>0</v>
      </c>
      <c r="G1055" s="25">
        <f t="shared" si="78"/>
        <v>2</v>
      </c>
      <c r="H1055" s="25" t="s">
        <v>395</v>
      </c>
      <c r="I1055" s="25">
        <v>1</v>
      </c>
      <c r="J1055" s="25" t="str">
        <f>VLOOKUP(C1055,'시스템이펙트 참고자료'!$A:$C,3,FALSE)</f>
        <v>절대값/상대값(%) 가능</v>
      </c>
      <c r="K1055" s="25">
        <v>20</v>
      </c>
      <c r="M1055" s="25">
        <v>9</v>
      </c>
      <c r="N1055" s="25">
        <f t="shared" si="77"/>
        <v>53</v>
      </c>
      <c r="O1055" s="25">
        <v>1</v>
      </c>
      <c r="P1055" s="25">
        <v>1</v>
      </c>
      <c r="Q1055" s="25">
        <v>1</v>
      </c>
      <c r="R1055" s="25">
        <v>1</v>
      </c>
      <c r="U1055" s="25">
        <v>1</v>
      </c>
      <c r="AA1055" s="25">
        <f t="shared" si="80"/>
        <v>128</v>
      </c>
      <c r="AK1055" s="25">
        <v>1</v>
      </c>
      <c r="AM1055" s="25">
        <v>53</v>
      </c>
      <c r="AN1055" s="25">
        <v>100</v>
      </c>
      <c r="AP1055" s="25">
        <f t="shared" si="79"/>
        <v>2</v>
      </c>
      <c r="AQ1055" s="25" t="str">
        <f>VLOOKUP(C1055,'시스템이펙트 참고자료'!$A:$B,2,FALSE)</f>
        <v>ACTIVE_FOC_UP</v>
      </c>
      <c r="AT1055" s="25">
        <v>1</v>
      </c>
      <c r="BD1055" s="25">
        <v>1</v>
      </c>
    </row>
    <row r="1056" spans="1:56" hidden="1">
      <c r="A1056" s="25">
        <v>1051</v>
      </c>
      <c r="B1056" s="25" t="str">
        <f>VLOOKUP(C1056,'시스템이펙트 참고자료'!$A:$C,2,FALSE)</f>
        <v>ACTIVE_DEX_UP</v>
      </c>
      <c r="C1056" s="25">
        <v>613</v>
      </c>
      <c r="D1056" s="25">
        <f>VLOOKUP(C1056,'시스템이펙트 참고자료'!$A:$D,4,FALSE)</f>
        <v>0</v>
      </c>
      <c r="E1056" s="25">
        <v>0</v>
      </c>
      <c r="F1056" s="25">
        <v>0</v>
      </c>
      <c r="G1056" s="25">
        <f t="shared" si="78"/>
        <v>3</v>
      </c>
      <c r="H1056" s="25" t="s">
        <v>395</v>
      </c>
      <c r="I1056" s="25">
        <v>1</v>
      </c>
      <c r="J1056" s="25" t="str">
        <f>VLOOKUP(C1056,'시스템이펙트 참고자료'!$A:$C,3,FALSE)</f>
        <v>절대값/상대값(%) 가능</v>
      </c>
      <c r="K1056" s="25">
        <v>20</v>
      </c>
      <c r="M1056" s="25">
        <v>9</v>
      </c>
      <c r="N1056" s="25">
        <f t="shared" si="77"/>
        <v>44</v>
      </c>
      <c r="O1056" s="25">
        <v>1</v>
      </c>
      <c r="P1056" s="25">
        <v>1</v>
      </c>
      <c r="Q1056" s="25">
        <v>1</v>
      </c>
      <c r="R1056" s="25">
        <v>1</v>
      </c>
      <c r="U1056" s="25">
        <v>1</v>
      </c>
      <c r="AA1056" s="25">
        <f t="shared" si="80"/>
        <v>128</v>
      </c>
      <c r="AK1056" s="25">
        <v>1</v>
      </c>
      <c r="AM1056" s="25">
        <v>44</v>
      </c>
      <c r="AN1056" s="25">
        <v>100</v>
      </c>
      <c r="AP1056" s="25">
        <f t="shared" si="79"/>
        <v>3</v>
      </c>
      <c r="AQ1056" s="25" t="str">
        <f>VLOOKUP(C1056,'시스템이펙트 참고자료'!$A:$B,2,FALSE)</f>
        <v>ACTIVE_DEX_UP</v>
      </c>
      <c r="AT1056" s="25">
        <v>1</v>
      </c>
      <c r="BD1056" s="25">
        <v>1</v>
      </c>
    </row>
    <row r="1057" spans="1:56" hidden="1">
      <c r="A1057" s="25">
        <v>1052</v>
      </c>
      <c r="B1057" s="25" t="str">
        <f>VLOOKUP(C1057,'시스템이펙트 참고자료'!$A:$C,2,FALSE)</f>
        <v>ACTIVE_SOL_UP</v>
      </c>
      <c r="C1057" s="25">
        <v>614</v>
      </c>
      <c r="D1057" s="25">
        <f>VLOOKUP(C1057,'시스템이펙트 참고자료'!$A:$D,4,FALSE)</f>
        <v>0</v>
      </c>
      <c r="E1057" s="25">
        <v>0</v>
      </c>
      <c r="F1057" s="25">
        <v>0</v>
      </c>
      <c r="G1057" s="25">
        <f t="shared" si="78"/>
        <v>2</v>
      </c>
      <c r="H1057" s="25" t="s">
        <v>395</v>
      </c>
      <c r="I1057" s="25">
        <v>1</v>
      </c>
      <c r="J1057" s="25" t="str">
        <f>VLOOKUP(C1057,'시스템이펙트 참고자료'!$A:$C,3,FALSE)</f>
        <v>절대값/상대값(%) 가능</v>
      </c>
      <c r="K1057" s="25">
        <v>20</v>
      </c>
      <c r="M1057" s="25">
        <v>9</v>
      </c>
      <c r="N1057" s="25">
        <f t="shared" si="77"/>
        <v>53</v>
      </c>
      <c r="O1057" s="25">
        <v>1</v>
      </c>
      <c r="P1057" s="25">
        <v>1</v>
      </c>
      <c r="Q1057" s="25">
        <v>1</v>
      </c>
      <c r="R1057" s="25">
        <v>1</v>
      </c>
      <c r="U1057" s="25">
        <v>1</v>
      </c>
      <c r="AA1057" s="25">
        <f t="shared" si="80"/>
        <v>128</v>
      </c>
      <c r="AK1057" s="25">
        <v>1</v>
      </c>
      <c r="AM1057" s="25">
        <v>53</v>
      </c>
      <c r="AN1057" s="25">
        <v>100</v>
      </c>
      <c r="AP1057" s="25">
        <f t="shared" si="79"/>
        <v>2</v>
      </c>
      <c r="AQ1057" s="25" t="str">
        <f>VLOOKUP(C1057,'시스템이펙트 참고자료'!$A:$B,2,FALSE)</f>
        <v>ACTIVE_SOL_UP</v>
      </c>
      <c r="AT1057" s="25">
        <v>1</v>
      </c>
      <c r="BD1057" s="25">
        <v>1</v>
      </c>
    </row>
    <row r="1058" spans="1:56" hidden="1">
      <c r="A1058" s="25">
        <v>1053</v>
      </c>
      <c r="B1058" s="25" t="str">
        <f>VLOOKUP(C1058,'시스템이펙트 참고자료'!$A:$C,2,FALSE)</f>
        <v>ACTIVE_ENG_UP</v>
      </c>
      <c r="C1058" s="25">
        <v>615</v>
      </c>
      <c r="D1058" s="25">
        <f>VLOOKUP(C1058,'시스템이펙트 참고자료'!$A:$D,4,FALSE)</f>
        <v>0</v>
      </c>
      <c r="E1058" s="25">
        <v>0</v>
      </c>
      <c r="F1058" s="25">
        <v>0</v>
      </c>
      <c r="G1058" s="25">
        <f t="shared" si="78"/>
        <v>2</v>
      </c>
      <c r="H1058" s="25" t="s">
        <v>395</v>
      </c>
      <c r="I1058" s="25">
        <v>1</v>
      </c>
      <c r="J1058" s="25" t="str">
        <f>VLOOKUP(C1058,'시스템이펙트 참고자료'!$A:$C,3,FALSE)</f>
        <v>절대값/상대값(%) 가능</v>
      </c>
      <c r="K1058" s="25">
        <v>20</v>
      </c>
      <c r="M1058" s="25">
        <v>9</v>
      </c>
      <c r="N1058" s="25">
        <f t="shared" si="77"/>
        <v>62</v>
      </c>
      <c r="O1058" s="25">
        <v>1</v>
      </c>
      <c r="P1058" s="25">
        <v>1</v>
      </c>
      <c r="Q1058" s="25">
        <v>1</v>
      </c>
      <c r="R1058" s="25">
        <v>1</v>
      </c>
      <c r="U1058" s="25">
        <v>1</v>
      </c>
      <c r="AA1058" s="25">
        <f t="shared" si="80"/>
        <v>128</v>
      </c>
      <c r="AK1058" s="25">
        <v>1</v>
      </c>
      <c r="AM1058" s="25">
        <v>62</v>
      </c>
      <c r="AN1058" s="25">
        <v>100</v>
      </c>
      <c r="AP1058" s="25">
        <f t="shared" si="79"/>
        <v>2</v>
      </c>
      <c r="AQ1058" s="25" t="str">
        <f>VLOOKUP(C1058,'시스템이펙트 참고자료'!$A:$B,2,FALSE)</f>
        <v>ACTIVE_ENG_UP</v>
      </c>
      <c r="AT1058" s="25">
        <v>1</v>
      </c>
      <c r="BD1058" s="25">
        <v>1</v>
      </c>
    </row>
    <row r="1059" spans="1:56" hidden="1">
      <c r="A1059" s="25">
        <v>1054</v>
      </c>
      <c r="B1059" s="25" t="str">
        <f>VLOOKUP(C1059,'시스템이펙트 참고자료'!$A:$C,2,FALSE)</f>
        <v>ACTIVE_MOVE_SPEED_UP</v>
      </c>
      <c r="C1059" s="25">
        <v>616</v>
      </c>
      <c r="D1059" s="25">
        <f>VLOOKUP(C1059,'시스템이펙트 참고자료'!$A:$D,4,FALSE)</f>
        <v>1</v>
      </c>
      <c r="E1059" s="25">
        <v>0</v>
      </c>
      <c r="F1059" s="25">
        <v>0</v>
      </c>
      <c r="G1059" s="25">
        <f t="shared" si="78"/>
        <v>5</v>
      </c>
      <c r="H1059" s="25" t="s">
        <v>395</v>
      </c>
      <c r="I1059" s="25">
        <v>1</v>
      </c>
      <c r="J1059" s="25" t="str">
        <f>VLOOKUP(C1059,'시스템이펙트 참고자료'!$A:$C,3,FALSE)</f>
        <v>절대값/상대값(%) 가능</v>
      </c>
      <c r="K1059" s="25">
        <v>20</v>
      </c>
      <c r="M1059" s="25">
        <v>10</v>
      </c>
      <c r="N1059" s="25">
        <f t="shared" si="77"/>
        <v>20</v>
      </c>
      <c r="O1059" s="25">
        <v>1</v>
      </c>
      <c r="P1059" s="25">
        <v>1</v>
      </c>
      <c r="Q1059" s="25">
        <v>1</v>
      </c>
      <c r="R1059" s="25">
        <v>1</v>
      </c>
      <c r="U1059" s="25">
        <v>1</v>
      </c>
      <c r="AA1059" s="25">
        <f t="shared" si="80"/>
        <v>128</v>
      </c>
      <c r="AK1059" s="25">
        <v>1</v>
      </c>
      <c r="AM1059" s="25">
        <v>20</v>
      </c>
      <c r="AN1059" s="25">
        <v>100</v>
      </c>
      <c r="AP1059" s="25">
        <f t="shared" si="79"/>
        <v>5</v>
      </c>
      <c r="AQ1059" s="25" t="str">
        <f>VLOOKUP(C1059,'시스템이펙트 참고자료'!$A:$B,2,FALSE)</f>
        <v>ACTIVE_MOVE_SPEED_UP</v>
      </c>
      <c r="AT1059" s="25">
        <v>1</v>
      </c>
      <c r="BD1059" s="25">
        <v>1</v>
      </c>
    </row>
    <row r="1060" spans="1:56" hidden="1">
      <c r="A1060" s="25">
        <v>1055</v>
      </c>
      <c r="B1060" s="25" t="str">
        <f>VLOOKUP(C1060,'시스템이펙트 참고자료'!$A:$C,2,FALSE)</f>
        <v>ACTIVE_DEX_UP</v>
      </c>
      <c r="C1060" s="25">
        <v>613</v>
      </c>
      <c r="D1060" s="25">
        <f>VLOOKUP(C1060,'시스템이펙트 참고자료'!$A:$D,4,FALSE)</f>
        <v>0</v>
      </c>
      <c r="E1060" s="25">
        <v>0</v>
      </c>
      <c r="F1060" s="25">
        <v>0</v>
      </c>
      <c r="G1060" s="25">
        <f t="shared" si="78"/>
        <v>3</v>
      </c>
      <c r="H1060" s="25" t="s">
        <v>395</v>
      </c>
      <c r="I1060" s="25">
        <v>1</v>
      </c>
      <c r="J1060" s="25" t="str">
        <f>VLOOKUP(C1060,'시스템이펙트 참고자료'!$A:$C,3,FALSE)</f>
        <v>절대값/상대값(%) 가능</v>
      </c>
      <c r="K1060" s="25">
        <v>20</v>
      </c>
      <c r="M1060" s="25">
        <v>10</v>
      </c>
      <c r="N1060" s="25">
        <f t="shared" si="77"/>
        <v>44</v>
      </c>
      <c r="O1060" s="25">
        <v>1</v>
      </c>
      <c r="P1060" s="25">
        <v>1</v>
      </c>
      <c r="Q1060" s="25">
        <v>1</v>
      </c>
      <c r="R1060" s="25">
        <v>1</v>
      </c>
      <c r="U1060" s="25">
        <v>1</v>
      </c>
      <c r="AA1060" s="25">
        <f t="shared" si="80"/>
        <v>128</v>
      </c>
      <c r="AK1060" s="25">
        <v>1</v>
      </c>
      <c r="AM1060" s="25">
        <v>44</v>
      </c>
      <c r="AN1060" s="25">
        <v>100</v>
      </c>
      <c r="AP1060" s="25">
        <f t="shared" si="79"/>
        <v>3</v>
      </c>
      <c r="AQ1060" s="25" t="str">
        <f>VLOOKUP(C1060,'시스템이펙트 참고자료'!$A:$B,2,FALSE)</f>
        <v>ACTIVE_DEX_UP</v>
      </c>
      <c r="AT1060" s="25">
        <v>1</v>
      </c>
      <c r="BD1060" s="25">
        <v>1</v>
      </c>
    </row>
    <row r="1061" spans="1:56" hidden="1">
      <c r="A1061" s="25">
        <v>1056</v>
      </c>
      <c r="B1061" s="25" t="str">
        <f>VLOOKUP(C1061,'시스템이펙트 참고자료'!$A:$C,2,FALSE)</f>
        <v>ACTIVE_PARALYZE_TOLERANCE_UP</v>
      </c>
      <c r="C1061" s="25">
        <v>638</v>
      </c>
      <c r="D1061" s="25">
        <f>VLOOKUP(C1061,'시스템이펙트 참고자료'!$A:$D,4,FALSE)</f>
        <v>1</v>
      </c>
      <c r="E1061" s="25">
        <v>0</v>
      </c>
      <c r="F1061" s="25">
        <v>0</v>
      </c>
      <c r="G1061" s="25">
        <f t="shared" si="78"/>
        <v>1</v>
      </c>
      <c r="H1061" s="25" t="s">
        <v>395</v>
      </c>
      <c r="I1061" s="25">
        <v>1</v>
      </c>
      <c r="J1061" s="25" t="str">
        <f>VLOOKUP(C1061,'시스템이펙트 참고자료'!$A:$C,3,FALSE)</f>
        <v>절대값/상대값(%) 가능</v>
      </c>
      <c r="K1061" s="25">
        <v>20</v>
      </c>
      <c r="M1061" s="25">
        <v>10</v>
      </c>
      <c r="N1061" s="25">
        <f t="shared" si="77"/>
        <v>220</v>
      </c>
      <c r="O1061" s="25">
        <v>1</v>
      </c>
      <c r="P1061" s="25">
        <v>1</v>
      </c>
      <c r="Q1061" s="25">
        <v>1</v>
      </c>
      <c r="R1061" s="25">
        <v>1</v>
      </c>
      <c r="U1061" s="25">
        <v>1</v>
      </c>
      <c r="AA1061" s="25">
        <f t="shared" si="80"/>
        <v>128</v>
      </c>
      <c r="AK1061" s="25">
        <v>1</v>
      </c>
      <c r="AM1061" s="25">
        <v>220</v>
      </c>
      <c r="AN1061" s="25">
        <v>100</v>
      </c>
      <c r="AP1061" s="25">
        <f t="shared" si="79"/>
        <v>1</v>
      </c>
      <c r="AQ1061" s="25" t="str">
        <f>VLOOKUP(C1061,'시스템이펙트 참고자료'!$A:$B,2,FALSE)</f>
        <v>ACTIVE_PARALYZE_TOLERANCE_UP</v>
      </c>
      <c r="AT1061" s="25">
        <v>1</v>
      </c>
      <c r="BD1061" s="25">
        <v>1</v>
      </c>
    </row>
    <row r="1062" spans="1:56" hidden="1">
      <c r="A1062" s="25">
        <v>1057</v>
      </c>
      <c r="B1062" s="25" t="str">
        <f>VLOOKUP(C1062,'시스템이펙트 참고자료'!$A:$C,2,FALSE)</f>
        <v>ACTIVE_TERROR_TOLERANCE_UP</v>
      </c>
      <c r="C1062" s="25">
        <v>639</v>
      </c>
      <c r="D1062" s="25">
        <f>VLOOKUP(C1062,'시스템이펙트 참고자료'!$A:$D,4,FALSE)</f>
        <v>1</v>
      </c>
      <c r="E1062" s="25">
        <v>0</v>
      </c>
      <c r="F1062" s="25">
        <v>0</v>
      </c>
      <c r="G1062" s="25">
        <f t="shared" si="78"/>
        <v>1</v>
      </c>
      <c r="H1062" s="25" t="s">
        <v>395</v>
      </c>
      <c r="I1062" s="25">
        <v>1</v>
      </c>
      <c r="J1062" s="25" t="str">
        <f>VLOOKUP(C1062,'시스템이펙트 참고자료'!$A:$C,3,FALSE)</f>
        <v>절대값/상대값(%) 가능</v>
      </c>
      <c r="K1062" s="25">
        <v>20</v>
      </c>
      <c r="M1062" s="25">
        <v>10</v>
      </c>
      <c r="N1062" s="25">
        <f t="shared" si="77"/>
        <v>220</v>
      </c>
      <c r="O1062" s="25">
        <v>1</v>
      </c>
      <c r="P1062" s="25">
        <v>1</v>
      </c>
      <c r="Q1062" s="25">
        <v>1</v>
      </c>
      <c r="R1062" s="25">
        <v>1</v>
      </c>
      <c r="U1062" s="25">
        <v>1</v>
      </c>
      <c r="AA1062" s="25">
        <f t="shared" si="80"/>
        <v>128</v>
      </c>
      <c r="AK1062" s="25">
        <v>1</v>
      </c>
      <c r="AM1062" s="25">
        <v>220</v>
      </c>
      <c r="AN1062" s="25">
        <v>100</v>
      </c>
      <c r="AP1062" s="25">
        <f t="shared" si="79"/>
        <v>1</v>
      </c>
      <c r="AQ1062" s="25" t="str">
        <f>VLOOKUP(C1062,'시스템이펙트 참고자료'!$A:$B,2,FALSE)</f>
        <v>ACTIVE_TERROR_TOLERANCE_UP</v>
      </c>
      <c r="AT1062" s="25">
        <v>1</v>
      </c>
      <c r="BD1062" s="25">
        <v>1</v>
      </c>
    </row>
    <row r="1063" spans="1:56" hidden="1">
      <c r="A1063" s="25">
        <v>1058</v>
      </c>
      <c r="B1063" s="25" t="str">
        <f>VLOOKUP(C1063,'시스템이펙트 참고자료'!$A:$C,2,FALSE)</f>
        <v>ACTIVE_CONFUSE_TOLERANCE_UP</v>
      </c>
      <c r="C1063" s="25">
        <v>640</v>
      </c>
      <c r="D1063" s="25">
        <f>VLOOKUP(C1063,'시스템이펙트 참고자료'!$A:$D,4,FALSE)</f>
        <v>1</v>
      </c>
      <c r="E1063" s="25">
        <v>0</v>
      </c>
      <c r="F1063" s="25">
        <v>0</v>
      </c>
      <c r="G1063" s="25">
        <f t="shared" si="78"/>
        <v>1</v>
      </c>
      <c r="H1063" s="25" t="s">
        <v>395</v>
      </c>
      <c r="I1063" s="25">
        <v>1</v>
      </c>
      <c r="J1063" s="25" t="str">
        <f>VLOOKUP(C1063,'시스템이펙트 참고자료'!$A:$C,3,FALSE)</f>
        <v>절대값/상대값(%) 가능</v>
      </c>
      <c r="K1063" s="25">
        <v>20</v>
      </c>
      <c r="M1063" s="25">
        <v>10</v>
      </c>
      <c r="N1063" s="25">
        <f t="shared" si="77"/>
        <v>220</v>
      </c>
      <c r="O1063" s="25">
        <v>1</v>
      </c>
      <c r="P1063" s="25">
        <v>1</v>
      </c>
      <c r="Q1063" s="25">
        <v>1</v>
      </c>
      <c r="R1063" s="25">
        <v>1</v>
      </c>
      <c r="U1063" s="25">
        <v>1</v>
      </c>
      <c r="AA1063" s="25">
        <f t="shared" si="80"/>
        <v>128</v>
      </c>
      <c r="AK1063" s="25">
        <v>1</v>
      </c>
      <c r="AM1063" s="25">
        <v>220</v>
      </c>
      <c r="AN1063" s="25">
        <v>100</v>
      </c>
      <c r="AP1063" s="25">
        <f t="shared" si="79"/>
        <v>1</v>
      </c>
      <c r="AQ1063" s="25" t="str">
        <f>VLOOKUP(C1063,'시스템이펙트 참고자료'!$A:$B,2,FALSE)</f>
        <v>ACTIVE_CONFUSE_TOLERANCE_UP</v>
      </c>
      <c r="AT1063" s="25">
        <v>1</v>
      </c>
      <c r="BD1063" s="25">
        <v>1</v>
      </c>
    </row>
    <row r="1064" spans="1:56" hidden="1">
      <c r="A1064" s="25">
        <v>1059</v>
      </c>
      <c r="B1064" s="25" t="str">
        <f>VLOOKUP(C1064,'시스템이펙트 참고자료'!$A:$C,2,FALSE)</f>
        <v>ACTIVE_STONE_TOLERANCE_UP</v>
      </c>
      <c r="C1064" s="25">
        <v>641</v>
      </c>
      <c r="D1064" s="25">
        <f>VLOOKUP(C1064,'시스템이펙트 참고자료'!$A:$D,4,FALSE)</f>
        <v>1</v>
      </c>
      <c r="E1064" s="25">
        <v>0</v>
      </c>
      <c r="F1064" s="25">
        <v>0</v>
      </c>
      <c r="G1064" s="25">
        <f t="shared" si="78"/>
        <v>1</v>
      </c>
      <c r="H1064" s="25" t="s">
        <v>395</v>
      </c>
      <c r="I1064" s="25">
        <v>1</v>
      </c>
      <c r="J1064" s="25" t="str">
        <f>VLOOKUP(C1064,'시스템이펙트 참고자료'!$A:$C,3,FALSE)</f>
        <v>절대값/상대값(%) 가능</v>
      </c>
      <c r="K1064" s="25">
        <v>20</v>
      </c>
      <c r="M1064" s="25">
        <v>10</v>
      </c>
      <c r="N1064" s="25">
        <f t="shared" si="77"/>
        <v>220</v>
      </c>
      <c r="O1064" s="25">
        <v>1</v>
      </c>
      <c r="P1064" s="25">
        <v>1</v>
      </c>
      <c r="Q1064" s="25">
        <v>1</v>
      </c>
      <c r="R1064" s="25">
        <v>1</v>
      </c>
      <c r="U1064" s="25">
        <v>1</v>
      </c>
      <c r="AA1064" s="25">
        <f t="shared" si="80"/>
        <v>128</v>
      </c>
      <c r="AK1064" s="25">
        <v>1</v>
      </c>
      <c r="AM1064" s="25">
        <v>220</v>
      </c>
      <c r="AN1064" s="25">
        <v>100</v>
      </c>
      <c r="AP1064" s="25">
        <f t="shared" si="79"/>
        <v>1</v>
      </c>
      <c r="AQ1064" s="25" t="str">
        <f>VLOOKUP(C1064,'시스템이펙트 참고자료'!$A:$B,2,FALSE)</f>
        <v>ACTIVE_STONE_TOLERANCE_UP</v>
      </c>
      <c r="AT1064" s="25">
        <v>1</v>
      </c>
      <c r="BD1064" s="25">
        <v>1</v>
      </c>
    </row>
    <row r="1065" spans="1:56" hidden="1">
      <c r="A1065" s="25">
        <v>1060</v>
      </c>
      <c r="B1065" s="25" t="str">
        <f>VLOOKUP(C1065,'시스템이펙트 참고자료'!$A:$C,2,FALSE)</f>
        <v>ACTIVE_CANDY_TOLERANCE_UP</v>
      </c>
      <c r="C1065" s="25">
        <v>642</v>
      </c>
      <c r="D1065" s="25">
        <f>VLOOKUP(C1065,'시스템이펙트 참고자료'!$A:$D,4,FALSE)</f>
        <v>1</v>
      </c>
      <c r="E1065" s="25">
        <v>0</v>
      </c>
      <c r="F1065" s="25">
        <v>0</v>
      </c>
      <c r="G1065" s="25">
        <f t="shared" si="78"/>
        <v>1</v>
      </c>
      <c r="H1065" s="25" t="s">
        <v>395</v>
      </c>
      <c r="I1065" s="25">
        <v>1</v>
      </c>
      <c r="J1065" s="25" t="str">
        <f>VLOOKUP(C1065,'시스템이펙트 참고자료'!$A:$C,3,FALSE)</f>
        <v>절대값/상대값(%) 가능</v>
      </c>
      <c r="K1065" s="25">
        <v>20</v>
      </c>
      <c r="M1065" s="25">
        <v>10</v>
      </c>
      <c r="N1065" s="25">
        <f t="shared" si="77"/>
        <v>220</v>
      </c>
      <c r="O1065" s="25">
        <v>1</v>
      </c>
      <c r="P1065" s="25">
        <v>1</v>
      </c>
      <c r="Q1065" s="25">
        <v>1</v>
      </c>
      <c r="R1065" s="25">
        <v>1</v>
      </c>
      <c r="U1065" s="25">
        <v>1</v>
      </c>
      <c r="AA1065" s="25">
        <f t="shared" si="80"/>
        <v>128</v>
      </c>
      <c r="AK1065" s="25">
        <v>1</v>
      </c>
      <c r="AM1065" s="25">
        <v>220</v>
      </c>
      <c r="AN1065" s="25">
        <v>100</v>
      </c>
      <c r="AP1065" s="25">
        <f t="shared" si="79"/>
        <v>1</v>
      </c>
      <c r="AQ1065" s="25" t="str">
        <f>VLOOKUP(C1065,'시스템이펙트 참고자료'!$A:$B,2,FALSE)</f>
        <v>ACTIVE_CANDY_TOLERANCE_UP</v>
      </c>
      <c r="AT1065" s="25">
        <v>1</v>
      </c>
      <c r="BD1065" s="25">
        <v>1</v>
      </c>
    </row>
    <row r="1066" spans="1:56" hidden="1">
      <c r="A1066" s="25">
        <v>1061</v>
      </c>
      <c r="B1066" s="25" t="str">
        <f>VLOOKUP(C1066,'시스템이펙트 참고자료'!$A:$C,2,FALSE)</f>
        <v>ACTIVE_STR_UP</v>
      </c>
      <c r="C1066" s="25">
        <v>610</v>
      </c>
      <c r="D1066" s="25">
        <f>VLOOKUP(C1066,'시스템이펙트 참고자료'!$A:$D,4,FALSE)</f>
        <v>0</v>
      </c>
      <c r="E1066" s="25">
        <v>0</v>
      </c>
      <c r="F1066" s="25">
        <v>0</v>
      </c>
      <c r="G1066" s="25">
        <f t="shared" ref="G1066:G1110" si="81">IF(N1066&gt;0,INT(100/N1066+0.99),0)</f>
        <v>2</v>
      </c>
      <c r="H1066" s="25" t="s">
        <v>395</v>
      </c>
      <c r="I1066" s="25">
        <v>1</v>
      </c>
      <c r="J1066" s="25" t="str">
        <f>VLOOKUP(C1066,'시스템이펙트 참고자료'!$A:$C,3,FALSE)</f>
        <v>절대값/상대값(%) 가능</v>
      </c>
      <c r="K1066" s="25">
        <v>21</v>
      </c>
      <c r="M1066" s="25">
        <v>1</v>
      </c>
      <c r="N1066" s="25">
        <f t="shared" si="77"/>
        <v>57</v>
      </c>
      <c r="O1066" s="25">
        <v>1</v>
      </c>
      <c r="P1066" s="25">
        <v>1</v>
      </c>
      <c r="Q1066" s="25">
        <v>1</v>
      </c>
      <c r="R1066" s="25">
        <v>1</v>
      </c>
      <c r="AA1066" s="25">
        <f t="shared" si="80"/>
        <v>128</v>
      </c>
      <c r="AK1066" s="25">
        <v>1</v>
      </c>
      <c r="AM1066" s="25">
        <v>57</v>
      </c>
      <c r="AN1066" s="25">
        <v>100</v>
      </c>
      <c r="AP1066" s="25">
        <f t="shared" ref="AP1066:AP1110" si="82">INT(100/N1066+0.99)</f>
        <v>2</v>
      </c>
      <c r="AQ1066" s="25" t="str">
        <f>VLOOKUP(C1066,'시스템이펙트 참고자료'!$A:$B,2,FALSE)</f>
        <v>ACTIVE_STR_UP</v>
      </c>
      <c r="AZ1066" s="25">
        <v>1</v>
      </c>
      <c r="BD1066" s="25">
        <v>1</v>
      </c>
    </row>
    <row r="1067" spans="1:56" hidden="1">
      <c r="A1067" s="25">
        <v>1062</v>
      </c>
      <c r="B1067" s="25" t="str">
        <f>VLOOKUP(C1067,'시스템이펙트 참고자료'!$A:$C,2,FALSE)</f>
        <v>ACTIVE_CON_UP</v>
      </c>
      <c r="C1067" s="25">
        <v>611</v>
      </c>
      <c r="D1067" s="25">
        <f>VLOOKUP(C1067,'시스템이펙트 참고자료'!$A:$D,4,FALSE)</f>
        <v>0</v>
      </c>
      <c r="E1067" s="25">
        <v>0</v>
      </c>
      <c r="F1067" s="25">
        <v>0</v>
      </c>
      <c r="G1067" s="25">
        <f t="shared" si="81"/>
        <v>3</v>
      </c>
      <c r="H1067" s="25" t="s">
        <v>395</v>
      </c>
      <c r="I1067" s="25">
        <v>1</v>
      </c>
      <c r="J1067" s="25" t="str">
        <f>VLOOKUP(C1067,'시스템이펙트 참고자료'!$A:$C,3,FALSE)</f>
        <v>절대값/상대값(%) 가능</v>
      </c>
      <c r="K1067" s="25">
        <v>21</v>
      </c>
      <c r="M1067" s="25">
        <v>1</v>
      </c>
      <c r="N1067" s="25">
        <f t="shared" si="77"/>
        <v>48</v>
      </c>
      <c r="O1067" s="25">
        <v>1</v>
      </c>
      <c r="P1067" s="25">
        <v>1</v>
      </c>
      <c r="Q1067" s="25">
        <v>1</v>
      </c>
      <c r="R1067" s="25">
        <v>1</v>
      </c>
      <c r="AA1067" s="25">
        <f t="shared" si="80"/>
        <v>128</v>
      </c>
      <c r="AK1067" s="25">
        <v>1</v>
      </c>
      <c r="AM1067" s="25">
        <v>48</v>
      </c>
      <c r="AN1067" s="25">
        <v>100</v>
      </c>
      <c r="AP1067" s="25">
        <f t="shared" si="82"/>
        <v>3</v>
      </c>
      <c r="AQ1067" s="25" t="str">
        <f>VLOOKUP(C1067,'시스템이펙트 참고자료'!$A:$B,2,FALSE)</f>
        <v>ACTIVE_CON_UP</v>
      </c>
      <c r="AZ1067" s="25">
        <v>1</v>
      </c>
      <c r="BD1067" s="25">
        <v>1</v>
      </c>
    </row>
    <row r="1068" spans="1:56" hidden="1">
      <c r="A1068" s="25">
        <v>1063</v>
      </c>
      <c r="B1068" s="25" t="str">
        <f>VLOOKUP(C1068,'시스템이펙트 참고자료'!$A:$C,2,FALSE)</f>
        <v>ACTIVE_FOC_UP</v>
      </c>
      <c r="C1068" s="25">
        <v>612</v>
      </c>
      <c r="D1068" s="25">
        <f>VLOOKUP(C1068,'시스템이펙트 참고자료'!$A:$D,4,FALSE)</f>
        <v>0</v>
      </c>
      <c r="E1068" s="25">
        <v>0</v>
      </c>
      <c r="F1068" s="25">
        <v>0</v>
      </c>
      <c r="G1068" s="25">
        <f t="shared" si="81"/>
        <v>2</v>
      </c>
      <c r="H1068" s="25" t="s">
        <v>395</v>
      </c>
      <c r="I1068" s="25">
        <v>1</v>
      </c>
      <c r="J1068" s="25" t="str">
        <f>VLOOKUP(C1068,'시스템이펙트 참고자료'!$A:$C,3,FALSE)</f>
        <v>절대값/상대값(%) 가능</v>
      </c>
      <c r="K1068" s="25">
        <v>21</v>
      </c>
      <c r="M1068" s="25">
        <v>1</v>
      </c>
      <c r="N1068" s="25">
        <f t="shared" si="77"/>
        <v>53</v>
      </c>
      <c r="O1068" s="25">
        <v>1</v>
      </c>
      <c r="P1068" s="25">
        <v>1</v>
      </c>
      <c r="Q1068" s="25">
        <v>1</v>
      </c>
      <c r="R1068" s="25">
        <v>1</v>
      </c>
      <c r="AA1068" s="25">
        <f t="shared" si="80"/>
        <v>128</v>
      </c>
      <c r="AK1068" s="25">
        <v>1</v>
      </c>
      <c r="AM1068" s="25">
        <v>53</v>
      </c>
      <c r="AN1068" s="25">
        <v>100</v>
      </c>
      <c r="AP1068" s="25">
        <f t="shared" si="82"/>
        <v>2</v>
      </c>
      <c r="AQ1068" s="25" t="str">
        <f>VLOOKUP(C1068,'시스템이펙트 참고자료'!$A:$B,2,FALSE)</f>
        <v>ACTIVE_FOC_UP</v>
      </c>
      <c r="AZ1068" s="25">
        <v>1</v>
      </c>
      <c r="BD1068" s="25">
        <v>1</v>
      </c>
    </row>
    <row r="1069" spans="1:56" hidden="1">
      <c r="A1069" s="25">
        <v>1064</v>
      </c>
      <c r="B1069" s="25" t="str">
        <f>VLOOKUP(C1069,'시스템이펙트 참고자료'!$A:$C,2,FALSE)</f>
        <v>ACTIVE_DEX_UP</v>
      </c>
      <c r="C1069" s="25">
        <v>613</v>
      </c>
      <c r="D1069" s="25">
        <f>VLOOKUP(C1069,'시스템이펙트 참고자료'!$A:$D,4,FALSE)</f>
        <v>0</v>
      </c>
      <c r="E1069" s="25">
        <v>0</v>
      </c>
      <c r="F1069" s="25">
        <v>0</v>
      </c>
      <c r="G1069" s="25">
        <f t="shared" si="81"/>
        <v>3</v>
      </c>
      <c r="H1069" s="25" t="s">
        <v>395</v>
      </c>
      <c r="I1069" s="25">
        <v>1</v>
      </c>
      <c r="J1069" s="25" t="str">
        <f>VLOOKUP(C1069,'시스템이펙트 참고자료'!$A:$C,3,FALSE)</f>
        <v>절대값/상대값(%) 가능</v>
      </c>
      <c r="K1069" s="25">
        <v>21</v>
      </c>
      <c r="M1069" s="25">
        <v>1</v>
      </c>
      <c r="N1069" s="25">
        <f t="shared" si="77"/>
        <v>44</v>
      </c>
      <c r="O1069" s="25">
        <v>1</v>
      </c>
      <c r="P1069" s="25">
        <v>1</v>
      </c>
      <c r="Q1069" s="25">
        <v>1</v>
      </c>
      <c r="R1069" s="25">
        <v>1</v>
      </c>
      <c r="AA1069" s="25">
        <f t="shared" si="80"/>
        <v>128</v>
      </c>
      <c r="AK1069" s="25">
        <v>1</v>
      </c>
      <c r="AM1069" s="25">
        <v>44</v>
      </c>
      <c r="AN1069" s="25">
        <v>100</v>
      </c>
      <c r="AP1069" s="25">
        <f t="shared" si="82"/>
        <v>3</v>
      </c>
      <c r="AQ1069" s="25" t="str">
        <f>VLOOKUP(C1069,'시스템이펙트 참고자료'!$A:$B,2,FALSE)</f>
        <v>ACTIVE_DEX_UP</v>
      </c>
      <c r="AZ1069" s="25">
        <v>1</v>
      </c>
      <c r="BD1069" s="25">
        <v>1</v>
      </c>
    </row>
    <row r="1070" spans="1:56" hidden="1">
      <c r="A1070" s="25">
        <v>1065</v>
      </c>
      <c r="B1070" s="25" t="str">
        <f>VLOOKUP(C1070,'시스템이펙트 참고자료'!$A:$C,2,FALSE)</f>
        <v>ACTIVE_SOL_UP</v>
      </c>
      <c r="C1070" s="25">
        <v>614</v>
      </c>
      <c r="D1070" s="25">
        <f>VLOOKUP(C1070,'시스템이펙트 참고자료'!$A:$D,4,FALSE)</f>
        <v>0</v>
      </c>
      <c r="E1070" s="25">
        <v>0</v>
      </c>
      <c r="F1070" s="25">
        <v>0</v>
      </c>
      <c r="G1070" s="25">
        <f t="shared" si="81"/>
        <v>2</v>
      </c>
      <c r="H1070" s="25" t="s">
        <v>395</v>
      </c>
      <c r="I1070" s="25">
        <v>1</v>
      </c>
      <c r="J1070" s="25" t="str">
        <f>VLOOKUP(C1070,'시스템이펙트 참고자료'!$A:$C,3,FALSE)</f>
        <v>절대값/상대값(%) 가능</v>
      </c>
      <c r="K1070" s="25">
        <v>21</v>
      </c>
      <c r="M1070" s="25">
        <v>1</v>
      </c>
      <c r="N1070" s="25">
        <f t="shared" si="77"/>
        <v>53</v>
      </c>
      <c r="O1070" s="25">
        <v>1</v>
      </c>
      <c r="P1070" s="25">
        <v>1</v>
      </c>
      <c r="Q1070" s="25">
        <v>1</v>
      </c>
      <c r="R1070" s="25">
        <v>1</v>
      </c>
      <c r="AA1070" s="25">
        <f t="shared" si="80"/>
        <v>128</v>
      </c>
      <c r="AK1070" s="25">
        <v>1</v>
      </c>
      <c r="AM1070" s="25">
        <v>53</v>
      </c>
      <c r="AN1070" s="25">
        <v>100</v>
      </c>
      <c r="AP1070" s="25">
        <f t="shared" si="82"/>
        <v>2</v>
      </c>
      <c r="AQ1070" s="25" t="str">
        <f>VLOOKUP(C1070,'시스템이펙트 참고자료'!$A:$B,2,FALSE)</f>
        <v>ACTIVE_SOL_UP</v>
      </c>
      <c r="AZ1070" s="25">
        <v>1</v>
      </c>
      <c r="BD1070" s="25">
        <v>1</v>
      </c>
    </row>
    <row r="1071" spans="1:56" hidden="1">
      <c r="A1071" s="25">
        <v>1066</v>
      </c>
      <c r="B1071" s="25" t="str">
        <f>VLOOKUP(C1071,'시스템이펙트 참고자료'!$A:$C,2,FALSE)</f>
        <v>ACTIVE_ENG_UP</v>
      </c>
      <c r="C1071" s="25">
        <v>615</v>
      </c>
      <c r="D1071" s="25">
        <f>VLOOKUP(C1071,'시스템이펙트 참고자료'!$A:$D,4,FALSE)</f>
        <v>0</v>
      </c>
      <c r="E1071" s="25">
        <v>0</v>
      </c>
      <c r="F1071" s="25">
        <v>0</v>
      </c>
      <c r="G1071" s="25">
        <f t="shared" si="81"/>
        <v>2</v>
      </c>
      <c r="H1071" s="25" t="s">
        <v>395</v>
      </c>
      <c r="I1071" s="25">
        <v>1</v>
      </c>
      <c r="J1071" s="25" t="str">
        <f>VLOOKUP(C1071,'시스템이펙트 참고자료'!$A:$C,3,FALSE)</f>
        <v>절대값/상대값(%) 가능</v>
      </c>
      <c r="K1071" s="25">
        <v>21</v>
      </c>
      <c r="M1071" s="25">
        <v>1</v>
      </c>
      <c r="N1071" s="25">
        <f t="shared" si="77"/>
        <v>62</v>
      </c>
      <c r="O1071" s="25">
        <v>1</v>
      </c>
      <c r="P1071" s="25">
        <v>1</v>
      </c>
      <c r="Q1071" s="25">
        <v>1</v>
      </c>
      <c r="R1071" s="25">
        <v>1</v>
      </c>
      <c r="AA1071" s="25">
        <f t="shared" si="80"/>
        <v>128</v>
      </c>
      <c r="AK1071" s="25">
        <v>1</v>
      </c>
      <c r="AM1071" s="25">
        <v>62</v>
      </c>
      <c r="AN1071" s="25">
        <v>100</v>
      </c>
      <c r="AP1071" s="25">
        <f t="shared" si="82"/>
        <v>2</v>
      </c>
      <c r="AQ1071" s="25" t="str">
        <f>VLOOKUP(C1071,'시스템이펙트 참고자료'!$A:$B,2,FALSE)</f>
        <v>ACTIVE_ENG_UP</v>
      </c>
      <c r="AZ1071" s="25">
        <v>1</v>
      </c>
      <c r="BD1071" s="25">
        <v>1</v>
      </c>
    </row>
    <row r="1072" spans="1:56" hidden="1">
      <c r="A1072" s="25">
        <v>1067</v>
      </c>
      <c r="B1072" s="25" t="str">
        <f>VLOOKUP(C1072,'시스템이펙트 참고자료'!$A:$C,2,FALSE)</f>
        <v>ACTIVE_HONEST_OFFENCE_UP</v>
      </c>
      <c r="C1072" s="25">
        <v>672</v>
      </c>
      <c r="D1072" s="25">
        <f>VLOOKUP(C1072,'시스템이펙트 참고자료'!$A:$D,4,FALSE)</f>
        <v>0</v>
      </c>
      <c r="E1072" s="25">
        <v>0</v>
      </c>
      <c r="F1072" s="25">
        <v>0</v>
      </c>
      <c r="G1072" s="25">
        <f t="shared" si="81"/>
        <v>3</v>
      </c>
      <c r="H1072" s="25" t="s">
        <v>395</v>
      </c>
      <c r="I1072" s="25">
        <v>1</v>
      </c>
      <c r="J1072" s="25" t="str">
        <f>VLOOKUP(C1072,'시스템이펙트 참고자료'!$A:$C,3,FALSE)</f>
        <v>절대값만 가능</v>
      </c>
      <c r="K1072" s="25">
        <v>21</v>
      </c>
      <c r="M1072" s="25">
        <v>1</v>
      </c>
      <c r="N1072" s="25">
        <f t="shared" si="77"/>
        <v>41</v>
      </c>
      <c r="O1072" s="25">
        <v>1</v>
      </c>
      <c r="P1072" s="25">
        <v>1</v>
      </c>
      <c r="Q1072" s="25">
        <v>1</v>
      </c>
      <c r="R1072" s="25">
        <v>1</v>
      </c>
      <c r="AA1072" s="25">
        <f t="shared" si="80"/>
        <v>128</v>
      </c>
      <c r="AK1072" s="25">
        <v>1</v>
      </c>
      <c r="AM1072" s="25">
        <v>41</v>
      </c>
      <c r="AN1072" s="25">
        <v>100</v>
      </c>
      <c r="AP1072" s="25">
        <f t="shared" si="82"/>
        <v>3</v>
      </c>
      <c r="AQ1072" s="25" t="str">
        <f>VLOOKUP(C1072,'시스템이펙트 참고자료'!$A:$B,2,FALSE)</f>
        <v>ACTIVE_HONEST_OFFENCE_UP</v>
      </c>
      <c r="AZ1072" s="25">
        <v>1</v>
      </c>
      <c r="BD1072" s="25">
        <v>1</v>
      </c>
    </row>
    <row r="1073" spans="1:56" hidden="1">
      <c r="A1073" s="25">
        <v>1068</v>
      </c>
      <c r="B1073" s="25" t="str">
        <f>VLOOKUP(C1073,'시스템이펙트 참고자료'!$A:$C,2,FALSE)</f>
        <v>ACTIVE_STRANGE_OFFENCE_UP</v>
      </c>
      <c r="C1073" s="25">
        <v>673</v>
      </c>
      <c r="D1073" s="25">
        <f>VLOOKUP(C1073,'시스템이펙트 참고자료'!$A:$D,4,FALSE)</f>
        <v>0</v>
      </c>
      <c r="E1073" s="25">
        <v>0</v>
      </c>
      <c r="F1073" s="25">
        <v>0</v>
      </c>
      <c r="G1073" s="25">
        <f t="shared" si="81"/>
        <v>3</v>
      </c>
      <c r="H1073" s="25" t="s">
        <v>395</v>
      </c>
      <c r="I1073" s="25">
        <v>1</v>
      </c>
      <c r="J1073" s="25" t="str">
        <f>VLOOKUP(C1073,'시스템이펙트 참고자료'!$A:$C,3,FALSE)</f>
        <v>절대값만 가능</v>
      </c>
      <c r="K1073" s="25">
        <v>21</v>
      </c>
      <c r="M1073" s="25">
        <v>1</v>
      </c>
      <c r="N1073" s="25">
        <f t="shared" si="77"/>
        <v>41</v>
      </c>
      <c r="O1073" s="25">
        <v>1</v>
      </c>
      <c r="P1073" s="25">
        <v>1</v>
      </c>
      <c r="Q1073" s="25">
        <v>1</v>
      </c>
      <c r="R1073" s="25">
        <v>1</v>
      </c>
      <c r="AA1073" s="25">
        <f t="shared" si="80"/>
        <v>128</v>
      </c>
      <c r="AK1073" s="25">
        <v>1</v>
      </c>
      <c r="AM1073" s="25">
        <v>41</v>
      </c>
      <c r="AN1073" s="25">
        <v>100</v>
      </c>
      <c r="AP1073" s="25">
        <f t="shared" si="82"/>
        <v>3</v>
      </c>
      <c r="AQ1073" s="25" t="str">
        <f>VLOOKUP(C1073,'시스템이펙트 참고자료'!$A:$B,2,FALSE)</f>
        <v>ACTIVE_STRANGE_OFFENCE_UP</v>
      </c>
      <c r="AZ1073" s="25">
        <v>1</v>
      </c>
      <c r="BD1073" s="25">
        <v>1</v>
      </c>
    </row>
    <row r="1074" spans="1:56" hidden="1">
      <c r="A1074" s="25">
        <v>1069</v>
      </c>
      <c r="B1074" s="25" t="str">
        <f>VLOOKUP(C1074,'시스템이펙트 참고자료'!$A:$C,2,FALSE)</f>
        <v>ACTIVE_WILD_OFFENCE_UP</v>
      </c>
      <c r="C1074" s="25">
        <v>674</v>
      </c>
      <c r="D1074" s="25">
        <f>VLOOKUP(C1074,'시스템이펙트 참고자료'!$A:$D,4,FALSE)</f>
        <v>0</v>
      </c>
      <c r="E1074" s="25">
        <v>0</v>
      </c>
      <c r="F1074" s="25">
        <v>0</v>
      </c>
      <c r="G1074" s="25">
        <f t="shared" si="81"/>
        <v>3</v>
      </c>
      <c r="H1074" s="25" t="s">
        <v>395</v>
      </c>
      <c r="I1074" s="25">
        <v>1</v>
      </c>
      <c r="J1074" s="25" t="str">
        <f>VLOOKUP(C1074,'시스템이펙트 참고자료'!$A:$C,3,FALSE)</f>
        <v>절대값만 가능</v>
      </c>
      <c r="K1074" s="25">
        <v>21</v>
      </c>
      <c r="M1074" s="25">
        <v>1</v>
      </c>
      <c r="N1074" s="25">
        <f t="shared" si="77"/>
        <v>41</v>
      </c>
      <c r="O1074" s="25">
        <v>1</v>
      </c>
      <c r="P1074" s="25">
        <v>1</v>
      </c>
      <c r="Q1074" s="25">
        <v>1</v>
      </c>
      <c r="R1074" s="25">
        <v>1</v>
      </c>
      <c r="AA1074" s="25">
        <f t="shared" si="80"/>
        <v>128</v>
      </c>
      <c r="AK1074" s="25">
        <v>1</v>
      </c>
      <c r="AM1074" s="25">
        <v>41</v>
      </c>
      <c r="AN1074" s="25">
        <v>100</v>
      </c>
      <c r="AP1074" s="25">
        <f t="shared" si="82"/>
        <v>3</v>
      </c>
      <c r="AQ1074" s="25" t="str">
        <f>VLOOKUP(C1074,'시스템이펙트 참고자료'!$A:$B,2,FALSE)</f>
        <v>ACTIVE_WILD_OFFENCE_UP</v>
      </c>
      <c r="AZ1074" s="25">
        <v>1</v>
      </c>
      <c r="BD1074" s="25">
        <v>1</v>
      </c>
    </row>
    <row r="1075" spans="1:56" hidden="1">
      <c r="A1075" s="25">
        <v>1070</v>
      </c>
      <c r="B1075" s="25" t="str">
        <f>VLOOKUP(C1075,'시스템이펙트 참고자료'!$A:$C,2,FALSE)</f>
        <v>ACTIVE_ELEGANCE_OFFENCE_UP</v>
      </c>
      <c r="C1075" s="25">
        <v>675</v>
      </c>
      <c r="D1075" s="25">
        <f>VLOOKUP(C1075,'시스템이펙트 참고자료'!$A:$D,4,FALSE)</f>
        <v>0</v>
      </c>
      <c r="E1075" s="25">
        <v>0</v>
      </c>
      <c r="F1075" s="25">
        <v>0</v>
      </c>
      <c r="G1075" s="25">
        <f t="shared" si="81"/>
        <v>3</v>
      </c>
      <c r="H1075" s="25" t="s">
        <v>395</v>
      </c>
      <c r="I1075" s="25">
        <v>1</v>
      </c>
      <c r="J1075" s="25" t="str">
        <f>VLOOKUP(C1075,'시스템이펙트 참고자료'!$A:$C,3,FALSE)</f>
        <v>절대값만 가능</v>
      </c>
      <c r="K1075" s="25">
        <v>21</v>
      </c>
      <c r="M1075" s="25">
        <v>1</v>
      </c>
      <c r="N1075" s="25">
        <f t="shared" si="77"/>
        <v>41</v>
      </c>
      <c r="O1075" s="25">
        <v>1</v>
      </c>
      <c r="P1075" s="25">
        <v>1</v>
      </c>
      <c r="Q1075" s="25">
        <v>1</v>
      </c>
      <c r="R1075" s="25">
        <v>1</v>
      </c>
      <c r="AA1075" s="25">
        <f t="shared" si="80"/>
        <v>128</v>
      </c>
      <c r="AK1075" s="25">
        <v>1</v>
      </c>
      <c r="AM1075" s="25">
        <v>41</v>
      </c>
      <c r="AN1075" s="25">
        <v>100</v>
      </c>
      <c r="AP1075" s="25">
        <f t="shared" si="82"/>
        <v>3</v>
      </c>
      <c r="AQ1075" s="25" t="str">
        <f>VLOOKUP(C1075,'시스템이펙트 참고자료'!$A:$B,2,FALSE)</f>
        <v>ACTIVE_ELEGANCE_OFFENCE_UP</v>
      </c>
      <c r="AZ1075" s="25">
        <v>1</v>
      </c>
      <c r="BD1075" s="25">
        <v>1</v>
      </c>
    </row>
    <row r="1076" spans="1:56" hidden="1">
      <c r="A1076" s="25">
        <v>1071</v>
      </c>
      <c r="B1076" s="25" t="str">
        <f>VLOOKUP(C1076,'시스템이펙트 참고자료'!$A:$C,2,FALSE)</f>
        <v>ACTIVE_FUNNY_OFFENCE_UP</v>
      </c>
      <c r="C1076" s="25">
        <v>676</v>
      </c>
      <c r="D1076" s="25">
        <f>VLOOKUP(C1076,'시스템이펙트 참고자료'!$A:$D,4,FALSE)</f>
        <v>0</v>
      </c>
      <c r="E1076" s="25">
        <v>0</v>
      </c>
      <c r="F1076" s="25">
        <v>0</v>
      </c>
      <c r="G1076" s="25">
        <f t="shared" si="81"/>
        <v>3</v>
      </c>
      <c r="H1076" s="25" t="s">
        <v>395</v>
      </c>
      <c r="I1076" s="25">
        <v>1</v>
      </c>
      <c r="J1076" s="25" t="str">
        <f>VLOOKUP(C1076,'시스템이펙트 참고자료'!$A:$C,3,FALSE)</f>
        <v>절대값만 가능</v>
      </c>
      <c r="K1076" s="25">
        <v>21</v>
      </c>
      <c r="M1076" s="25">
        <v>1</v>
      </c>
      <c r="N1076" s="25">
        <f t="shared" si="77"/>
        <v>41</v>
      </c>
      <c r="O1076" s="25">
        <v>1</v>
      </c>
      <c r="P1076" s="25">
        <v>1</v>
      </c>
      <c r="Q1076" s="25">
        <v>1</v>
      </c>
      <c r="R1076" s="25">
        <v>1</v>
      </c>
      <c r="AA1076" s="25">
        <f t="shared" si="80"/>
        <v>128</v>
      </c>
      <c r="AK1076" s="25">
        <v>1</v>
      </c>
      <c r="AM1076" s="25">
        <v>41</v>
      </c>
      <c r="AN1076" s="25">
        <v>100</v>
      </c>
      <c r="AP1076" s="25">
        <f t="shared" si="82"/>
        <v>3</v>
      </c>
      <c r="AQ1076" s="25" t="str">
        <f>VLOOKUP(C1076,'시스템이펙트 참고자료'!$A:$B,2,FALSE)</f>
        <v>ACTIVE_FUNNY_OFFENCE_UP</v>
      </c>
      <c r="AZ1076" s="25">
        <v>1</v>
      </c>
      <c r="BD1076" s="25">
        <v>1</v>
      </c>
    </row>
    <row r="1077" spans="1:56" hidden="1">
      <c r="A1077" s="25">
        <v>1072</v>
      </c>
      <c r="B1077" s="25" t="str">
        <f>VLOOKUP(C1077,'시스템이펙트 참고자료'!$A:$C,2,FALSE)</f>
        <v>ACTIVE_PHYSICAL_OFFENCE_UP</v>
      </c>
      <c r="C1077" s="25">
        <v>606</v>
      </c>
      <c r="D1077" s="25">
        <f>VLOOKUP(C1077,'시스템이펙트 참고자료'!$A:$D,4,FALSE)</f>
        <v>0</v>
      </c>
      <c r="E1077" s="25">
        <v>0</v>
      </c>
      <c r="F1077" s="25">
        <v>0</v>
      </c>
      <c r="G1077" s="25">
        <f t="shared" si="81"/>
        <v>1</v>
      </c>
      <c r="H1077" s="25" t="s">
        <v>395</v>
      </c>
      <c r="I1077" s="25">
        <v>1</v>
      </c>
      <c r="J1077" s="25" t="str">
        <f>VLOOKUP(C1077,'시스템이펙트 참고자료'!$A:$C,3,FALSE)</f>
        <v>절대값/상대값(%) 가능</v>
      </c>
      <c r="K1077" s="25">
        <v>21</v>
      </c>
      <c r="M1077" s="25">
        <v>2</v>
      </c>
      <c r="N1077" s="25">
        <f t="shared" si="77"/>
        <v>125</v>
      </c>
      <c r="O1077" s="25">
        <v>1</v>
      </c>
      <c r="P1077" s="25">
        <v>1</v>
      </c>
      <c r="Q1077" s="25">
        <v>1</v>
      </c>
      <c r="R1077" s="25">
        <v>1</v>
      </c>
      <c r="AA1077" s="25">
        <f t="shared" si="80"/>
        <v>128</v>
      </c>
      <c r="AK1077" s="25">
        <v>1</v>
      </c>
      <c r="AM1077" s="25">
        <v>125</v>
      </c>
      <c r="AN1077" s="25">
        <v>100</v>
      </c>
      <c r="AP1077" s="25">
        <f t="shared" si="82"/>
        <v>1</v>
      </c>
      <c r="AQ1077" s="25" t="str">
        <f>VLOOKUP(C1077,'시스템이펙트 참고자료'!$A:$B,2,FALSE)</f>
        <v>ACTIVE_PHYSICAL_OFFENCE_UP</v>
      </c>
      <c r="AZ1077" s="25">
        <v>1</v>
      </c>
      <c r="BD1077" s="25">
        <v>1</v>
      </c>
    </row>
    <row r="1078" spans="1:56" hidden="1">
      <c r="A1078" s="25">
        <v>1073</v>
      </c>
      <c r="B1078" s="25" t="str">
        <f>VLOOKUP(C1078,'시스템이펙트 참고자료'!$A:$C,2,FALSE)</f>
        <v>ACTIVE_ENERGY_OFFENCE_UP</v>
      </c>
      <c r="C1078" s="25">
        <v>607</v>
      </c>
      <c r="D1078" s="25">
        <f>VLOOKUP(C1078,'시스템이펙트 참고자료'!$A:$D,4,FALSE)</f>
        <v>0</v>
      </c>
      <c r="E1078" s="25">
        <v>0</v>
      </c>
      <c r="F1078" s="25">
        <v>0</v>
      </c>
      <c r="G1078" s="25">
        <f t="shared" si="81"/>
        <v>1</v>
      </c>
      <c r="H1078" s="25" t="s">
        <v>395</v>
      </c>
      <c r="I1078" s="25">
        <v>1</v>
      </c>
      <c r="J1078" s="25" t="str">
        <f>VLOOKUP(C1078,'시스템이펙트 참고자료'!$A:$C,3,FALSE)</f>
        <v>절대값/상대값(%) 가능</v>
      </c>
      <c r="K1078" s="25">
        <v>21</v>
      </c>
      <c r="M1078" s="25">
        <v>2</v>
      </c>
      <c r="N1078" s="25">
        <f t="shared" si="77"/>
        <v>104</v>
      </c>
      <c r="O1078" s="25">
        <v>1</v>
      </c>
      <c r="P1078" s="25">
        <v>1</v>
      </c>
      <c r="Q1078" s="25">
        <v>1</v>
      </c>
      <c r="R1078" s="25">
        <v>1</v>
      </c>
      <c r="AA1078" s="25">
        <f t="shared" si="80"/>
        <v>128</v>
      </c>
      <c r="AK1078" s="25">
        <v>1</v>
      </c>
      <c r="AM1078" s="25">
        <v>104</v>
      </c>
      <c r="AN1078" s="25">
        <v>100</v>
      </c>
      <c r="AP1078" s="25">
        <f t="shared" si="82"/>
        <v>1</v>
      </c>
      <c r="AQ1078" s="25" t="str">
        <f>VLOOKUP(C1078,'시스템이펙트 참고자료'!$A:$B,2,FALSE)</f>
        <v>ACTIVE_ENERGY_OFFENCE_UP</v>
      </c>
      <c r="AZ1078" s="25">
        <v>1</v>
      </c>
      <c r="BD1078" s="25">
        <v>1</v>
      </c>
    </row>
    <row r="1079" spans="1:56" hidden="1">
      <c r="A1079" s="25">
        <v>1074</v>
      </c>
      <c r="B1079" s="25" t="str">
        <f>VLOOKUP(C1079,'시스템이펙트 참고자료'!$A:$C,2,FALSE)</f>
        <v>ACTIVE_PHYSICAL_DEFENCE_UP</v>
      </c>
      <c r="C1079" s="25">
        <v>608</v>
      </c>
      <c r="D1079" s="25">
        <f>VLOOKUP(C1079,'시스템이펙트 참고자료'!$A:$D,4,FALSE)</f>
        <v>0</v>
      </c>
      <c r="E1079" s="25">
        <v>0</v>
      </c>
      <c r="F1079" s="25">
        <v>0</v>
      </c>
      <c r="G1079" s="25">
        <f t="shared" si="81"/>
        <v>1</v>
      </c>
      <c r="H1079" s="25" t="s">
        <v>395</v>
      </c>
      <c r="I1079" s="25">
        <v>1</v>
      </c>
      <c r="J1079" s="25" t="str">
        <f>VLOOKUP(C1079,'시스템이펙트 참고자료'!$A:$C,3,FALSE)</f>
        <v>절대값/상대값(%) 가능</v>
      </c>
      <c r="K1079" s="25">
        <v>21</v>
      </c>
      <c r="M1079" s="25">
        <v>2</v>
      </c>
      <c r="N1079" s="25">
        <f t="shared" si="77"/>
        <v>1350</v>
      </c>
      <c r="O1079" s="25">
        <v>1</v>
      </c>
      <c r="P1079" s="25">
        <v>1</v>
      </c>
      <c r="Q1079" s="25">
        <v>1</v>
      </c>
      <c r="R1079" s="25">
        <v>1</v>
      </c>
      <c r="AA1079" s="25">
        <f t="shared" si="80"/>
        <v>128</v>
      </c>
      <c r="AK1079" s="25">
        <v>1</v>
      </c>
      <c r="AM1079" s="25">
        <v>1350</v>
      </c>
      <c r="AN1079" s="25">
        <v>100</v>
      </c>
      <c r="AP1079" s="25">
        <f t="shared" si="82"/>
        <v>1</v>
      </c>
      <c r="AQ1079" s="25" t="str">
        <f>VLOOKUP(C1079,'시스템이펙트 참고자료'!$A:$B,2,FALSE)</f>
        <v>ACTIVE_PHYSICAL_DEFENCE_UP</v>
      </c>
      <c r="AZ1079" s="25">
        <v>1</v>
      </c>
      <c r="BD1079" s="25">
        <v>1</v>
      </c>
    </row>
    <row r="1080" spans="1:56" hidden="1">
      <c r="A1080" s="25">
        <v>1075</v>
      </c>
      <c r="B1080" s="25" t="str">
        <f>VLOOKUP(C1080,'시스템이펙트 참고자료'!$A:$C,2,FALSE)</f>
        <v>ACTIVE_ENERGY_DEFENCE_UP</v>
      </c>
      <c r="C1080" s="25">
        <v>609</v>
      </c>
      <c r="D1080" s="25">
        <f>VLOOKUP(C1080,'시스템이펙트 참고자료'!$A:$D,4,FALSE)</f>
        <v>0</v>
      </c>
      <c r="E1080" s="25">
        <v>0</v>
      </c>
      <c r="F1080" s="25">
        <v>0</v>
      </c>
      <c r="G1080" s="25">
        <f t="shared" si="81"/>
        <v>1</v>
      </c>
      <c r="H1080" s="25" t="s">
        <v>395</v>
      </c>
      <c r="I1080" s="25">
        <v>1</v>
      </c>
      <c r="J1080" s="25" t="str">
        <f>VLOOKUP(C1080,'시스템이펙트 참고자료'!$A:$C,3,FALSE)</f>
        <v>절대값/상대값(%) 가능</v>
      </c>
      <c r="K1080" s="25">
        <v>21</v>
      </c>
      <c r="M1080" s="25">
        <v>2</v>
      </c>
      <c r="N1080" s="25">
        <f t="shared" si="77"/>
        <v>1350</v>
      </c>
      <c r="O1080" s="25">
        <v>1</v>
      </c>
      <c r="P1080" s="25">
        <v>1</v>
      </c>
      <c r="Q1080" s="25">
        <v>1</v>
      </c>
      <c r="R1080" s="25">
        <v>1</v>
      </c>
      <c r="AA1080" s="25">
        <f t="shared" si="80"/>
        <v>128</v>
      </c>
      <c r="AK1080" s="25">
        <v>1</v>
      </c>
      <c r="AM1080" s="25">
        <v>1350</v>
      </c>
      <c r="AN1080" s="25">
        <v>100</v>
      </c>
      <c r="AP1080" s="25">
        <f t="shared" si="82"/>
        <v>1</v>
      </c>
      <c r="AQ1080" s="25" t="str">
        <f>VLOOKUP(C1080,'시스템이펙트 참고자료'!$A:$B,2,FALSE)</f>
        <v>ACTIVE_ENERGY_DEFENCE_UP</v>
      </c>
      <c r="AZ1080" s="25">
        <v>1</v>
      </c>
      <c r="BD1080" s="25">
        <v>1</v>
      </c>
    </row>
    <row r="1081" spans="1:56" hidden="1">
      <c r="A1081" s="25">
        <v>1076</v>
      </c>
      <c r="B1081" s="25" t="str">
        <f>VLOOKUP(C1081,'시스템이펙트 참고자료'!$A:$C,2,FALSE)</f>
        <v>ACTIVE_ATTACK_RATE_UP</v>
      </c>
      <c r="C1081" s="25">
        <v>618</v>
      </c>
      <c r="D1081" s="25">
        <f>VLOOKUP(C1081,'시스템이펙트 참고자료'!$A:$D,4,FALSE)</f>
        <v>0</v>
      </c>
      <c r="E1081" s="25">
        <v>0</v>
      </c>
      <c r="F1081" s="25">
        <v>0</v>
      </c>
      <c r="G1081" s="25">
        <f t="shared" si="81"/>
        <v>1</v>
      </c>
      <c r="H1081" s="25" t="s">
        <v>395</v>
      </c>
      <c r="I1081" s="25">
        <v>1</v>
      </c>
      <c r="J1081" s="25" t="str">
        <f>VLOOKUP(C1081,'시스템이펙트 참고자료'!$A:$C,3,FALSE)</f>
        <v>절대값/상대값(%) 가능</v>
      </c>
      <c r="K1081" s="25">
        <v>21</v>
      </c>
      <c r="M1081" s="25">
        <v>2</v>
      </c>
      <c r="N1081" s="25">
        <f t="shared" si="77"/>
        <v>528</v>
      </c>
      <c r="O1081" s="25">
        <v>1</v>
      </c>
      <c r="P1081" s="25">
        <v>1</v>
      </c>
      <c r="Q1081" s="25">
        <v>1</v>
      </c>
      <c r="R1081" s="25">
        <v>1</v>
      </c>
      <c r="AA1081" s="25">
        <f t="shared" si="80"/>
        <v>128</v>
      </c>
      <c r="AK1081" s="25">
        <v>1</v>
      </c>
      <c r="AM1081" s="25">
        <v>528</v>
      </c>
      <c r="AN1081" s="25">
        <v>100</v>
      </c>
      <c r="AP1081" s="25">
        <f t="shared" si="82"/>
        <v>1</v>
      </c>
      <c r="AQ1081" s="25" t="str">
        <f>VLOOKUP(C1081,'시스템이펙트 참고자료'!$A:$B,2,FALSE)</f>
        <v>ACTIVE_ATTACK_RATE_UP</v>
      </c>
      <c r="AZ1081" s="25">
        <v>1</v>
      </c>
      <c r="BD1081" s="25">
        <v>1</v>
      </c>
    </row>
    <row r="1082" spans="1:56" hidden="1">
      <c r="A1082" s="25">
        <v>1077</v>
      </c>
      <c r="B1082" s="25" t="str">
        <f>VLOOKUP(C1082,'시스템이펙트 참고자료'!$A:$C,2,FALSE)</f>
        <v>ACTIVE_DODGE_RATE_UP</v>
      </c>
      <c r="C1082" s="25">
        <v>619</v>
      </c>
      <c r="D1082" s="25">
        <f>VLOOKUP(C1082,'시스템이펙트 참고자료'!$A:$D,4,FALSE)</f>
        <v>0</v>
      </c>
      <c r="E1082" s="25">
        <v>0</v>
      </c>
      <c r="F1082" s="25">
        <v>0</v>
      </c>
      <c r="G1082" s="25">
        <f t="shared" si="81"/>
        <v>1</v>
      </c>
      <c r="H1082" s="25" t="s">
        <v>395</v>
      </c>
      <c r="I1082" s="25">
        <v>1</v>
      </c>
      <c r="J1082" s="25" t="str">
        <f>VLOOKUP(C1082,'시스템이펙트 참고자료'!$A:$C,3,FALSE)</f>
        <v>절대값/상대값(%) 가능</v>
      </c>
      <c r="K1082" s="25">
        <v>21</v>
      </c>
      <c r="M1082" s="25">
        <v>2</v>
      </c>
      <c r="N1082" s="25">
        <f t="shared" si="77"/>
        <v>275</v>
      </c>
      <c r="O1082" s="25">
        <v>1</v>
      </c>
      <c r="P1082" s="25">
        <v>1</v>
      </c>
      <c r="Q1082" s="25">
        <v>1</v>
      </c>
      <c r="R1082" s="25">
        <v>1</v>
      </c>
      <c r="AA1082" s="25">
        <f t="shared" si="80"/>
        <v>128</v>
      </c>
      <c r="AK1082" s="25">
        <v>1</v>
      </c>
      <c r="AM1082" s="25">
        <v>275</v>
      </c>
      <c r="AN1082" s="25">
        <v>100</v>
      </c>
      <c r="AP1082" s="25">
        <f t="shared" si="82"/>
        <v>1</v>
      </c>
      <c r="AQ1082" s="25" t="str">
        <f>VLOOKUP(C1082,'시스템이펙트 참고자료'!$A:$B,2,FALSE)</f>
        <v>ACTIVE_DODGE_RATE_UP</v>
      </c>
      <c r="AZ1082" s="25">
        <v>1</v>
      </c>
      <c r="BD1082" s="25">
        <v>1</v>
      </c>
    </row>
    <row r="1083" spans="1:56" hidden="1">
      <c r="A1083" s="25">
        <v>1078</v>
      </c>
      <c r="B1083" s="25" t="str">
        <f>VLOOKUP(C1083,'시스템이펙트 참고자료'!$A:$C,2,FALSE)</f>
        <v>ACTIVE_BLOCK_RATE_UP</v>
      </c>
      <c r="C1083" s="25">
        <v>620</v>
      </c>
      <c r="D1083" s="25">
        <f>VLOOKUP(C1083,'시스템이펙트 참고자료'!$A:$D,4,FALSE)</f>
        <v>0</v>
      </c>
      <c r="E1083" s="25">
        <v>0</v>
      </c>
      <c r="F1083" s="25">
        <v>0</v>
      </c>
      <c r="G1083" s="25">
        <f t="shared" si="81"/>
        <v>1</v>
      </c>
      <c r="H1083" s="25" t="s">
        <v>395</v>
      </c>
      <c r="I1083" s="25">
        <v>1</v>
      </c>
      <c r="J1083" s="25" t="str">
        <f>VLOOKUP(C1083,'시스템이펙트 참고자료'!$A:$C,3,FALSE)</f>
        <v>절대값/상대값(%) 가능</v>
      </c>
      <c r="K1083" s="25">
        <v>21</v>
      </c>
      <c r="M1083" s="25">
        <v>2</v>
      </c>
      <c r="N1083" s="25">
        <f t="shared" si="77"/>
        <v>352</v>
      </c>
      <c r="O1083" s="25">
        <v>1</v>
      </c>
      <c r="P1083" s="25">
        <v>1</v>
      </c>
      <c r="Q1083" s="25">
        <v>1</v>
      </c>
      <c r="R1083" s="25">
        <v>1</v>
      </c>
      <c r="AA1083" s="25">
        <f t="shared" si="80"/>
        <v>128</v>
      </c>
      <c r="AK1083" s="25">
        <v>1</v>
      </c>
      <c r="AM1083" s="25">
        <v>352</v>
      </c>
      <c r="AN1083" s="25">
        <v>100</v>
      </c>
      <c r="AP1083" s="25">
        <f t="shared" si="82"/>
        <v>1</v>
      </c>
      <c r="AQ1083" s="25" t="str">
        <f>VLOOKUP(C1083,'시스템이펙트 참고자료'!$A:$B,2,FALSE)</f>
        <v>ACTIVE_BLOCK_RATE_UP</v>
      </c>
      <c r="AZ1083" s="25">
        <v>1</v>
      </c>
      <c r="BD1083" s="25">
        <v>1</v>
      </c>
    </row>
    <row r="1084" spans="1:56" hidden="1">
      <c r="A1084" s="25">
        <v>1079</v>
      </c>
      <c r="B1084" s="25" t="str">
        <f>VLOOKUP(C1084,'시스템이펙트 참고자료'!$A:$C,2,FALSE)</f>
        <v>ACTIVE_HONEST_OFFENCE_UP</v>
      </c>
      <c r="C1084" s="25">
        <v>672</v>
      </c>
      <c r="D1084" s="25">
        <f>VLOOKUP(C1084,'시스템이펙트 참고자료'!$A:$D,4,FALSE)</f>
        <v>0</v>
      </c>
      <c r="E1084" s="25">
        <v>0</v>
      </c>
      <c r="F1084" s="25">
        <v>0</v>
      </c>
      <c r="G1084" s="25">
        <f t="shared" si="81"/>
        <v>3</v>
      </c>
      <c r="H1084" s="25" t="s">
        <v>395</v>
      </c>
      <c r="I1084" s="25">
        <v>1</v>
      </c>
      <c r="J1084" s="25" t="str">
        <f>VLOOKUP(C1084,'시스템이펙트 참고자료'!$A:$C,3,FALSE)</f>
        <v>절대값만 가능</v>
      </c>
      <c r="K1084" s="25">
        <v>21</v>
      </c>
      <c r="M1084" s="25">
        <v>2</v>
      </c>
      <c r="N1084" s="25">
        <f t="shared" si="77"/>
        <v>41</v>
      </c>
      <c r="O1084" s="25">
        <v>1</v>
      </c>
      <c r="P1084" s="25">
        <v>1</v>
      </c>
      <c r="Q1084" s="25">
        <v>1</v>
      </c>
      <c r="R1084" s="25">
        <v>1</v>
      </c>
      <c r="AA1084" s="25">
        <f t="shared" si="80"/>
        <v>128</v>
      </c>
      <c r="AK1084" s="25">
        <v>1</v>
      </c>
      <c r="AM1084" s="25">
        <v>41</v>
      </c>
      <c r="AN1084" s="25">
        <v>100</v>
      </c>
      <c r="AP1084" s="25">
        <f t="shared" si="82"/>
        <v>3</v>
      </c>
      <c r="AQ1084" s="25" t="str">
        <f>VLOOKUP(C1084,'시스템이펙트 참고자료'!$A:$B,2,FALSE)</f>
        <v>ACTIVE_HONEST_OFFENCE_UP</v>
      </c>
      <c r="AZ1084" s="25">
        <v>1</v>
      </c>
      <c r="BD1084" s="25">
        <v>1</v>
      </c>
    </row>
    <row r="1085" spans="1:56" hidden="1">
      <c r="A1085" s="25">
        <v>1080</v>
      </c>
      <c r="B1085" s="25" t="str">
        <f>VLOOKUP(C1085,'시스템이펙트 참고자료'!$A:$C,2,FALSE)</f>
        <v>ACTIVE_STRANGE_OFFENCE_UP</v>
      </c>
      <c r="C1085" s="25">
        <v>673</v>
      </c>
      <c r="D1085" s="25">
        <f>VLOOKUP(C1085,'시스템이펙트 참고자료'!$A:$D,4,FALSE)</f>
        <v>0</v>
      </c>
      <c r="E1085" s="25">
        <v>0</v>
      </c>
      <c r="F1085" s="25">
        <v>0</v>
      </c>
      <c r="G1085" s="25">
        <f t="shared" si="81"/>
        <v>3</v>
      </c>
      <c r="H1085" s="25" t="s">
        <v>395</v>
      </c>
      <c r="I1085" s="25">
        <v>1</v>
      </c>
      <c r="J1085" s="25" t="str">
        <f>VLOOKUP(C1085,'시스템이펙트 참고자료'!$A:$C,3,FALSE)</f>
        <v>절대값만 가능</v>
      </c>
      <c r="K1085" s="25">
        <v>21</v>
      </c>
      <c r="M1085" s="25">
        <v>2</v>
      </c>
      <c r="N1085" s="25">
        <f t="shared" si="77"/>
        <v>41</v>
      </c>
      <c r="O1085" s="25">
        <v>1</v>
      </c>
      <c r="P1085" s="25">
        <v>1</v>
      </c>
      <c r="Q1085" s="25">
        <v>1</v>
      </c>
      <c r="R1085" s="25">
        <v>1</v>
      </c>
      <c r="AA1085" s="25">
        <f t="shared" si="80"/>
        <v>128</v>
      </c>
      <c r="AK1085" s="25">
        <v>1</v>
      </c>
      <c r="AM1085" s="25">
        <v>41</v>
      </c>
      <c r="AN1085" s="25">
        <v>100</v>
      </c>
      <c r="AP1085" s="25">
        <f t="shared" si="82"/>
        <v>3</v>
      </c>
      <c r="AQ1085" s="25" t="str">
        <f>VLOOKUP(C1085,'시스템이펙트 참고자료'!$A:$B,2,FALSE)</f>
        <v>ACTIVE_STRANGE_OFFENCE_UP</v>
      </c>
      <c r="AZ1085" s="25">
        <v>1</v>
      </c>
      <c r="BD1085" s="25">
        <v>1</v>
      </c>
    </row>
    <row r="1086" spans="1:56" hidden="1">
      <c r="A1086" s="25">
        <v>1081</v>
      </c>
      <c r="B1086" s="25" t="str">
        <f>VLOOKUP(C1086,'시스템이펙트 참고자료'!$A:$C,2,FALSE)</f>
        <v>ACTIVE_WILD_OFFENCE_UP</v>
      </c>
      <c r="C1086" s="25">
        <v>674</v>
      </c>
      <c r="D1086" s="25">
        <f>VLOOKUP(C1086,'시스템이펙트 참고자료'!$A:$D,4,FALSE)</f>
        <v>0</v>
      </c>
      <c r="E1086" s="25">
        <v>0</v>
      </c>
      <c r="F1086" s="25">
        <v>0</v>
      </c>
      <c r="G1086" s="25">
        <f t="shared" si="81"/>
        <v>3</v>
      </c>
      <c r="H1086" s="25" t="s">
        <v>395</v>
      </c>
      <c r="I1086" s="25">
        <v>1</v>
      </c>
      <c r="J1086" s="25" t="str">
        <f>VLOOKUP(C1086,'시스템이펙트 참고자료'!$A:$C,3,FALSE)</f>
        <v>절대값만 가능</v>
      </c>
      <c r="K1086" s="25">
        <v>21</v>
      </c>
      <c r="M1086" s="25">
        <v>2</v>
      </c>
      <c r="N1086" s="25">
        <f t="shared" si="77"/>
        <v>41</v>
      </c>
      <c r="O1086" s="25">
        <v>1</v>
      </c>
      <c r="P1086" s="25">
        <v>1</v>
      </c>
      <c r="Q1086" s="25">
        <v>1</v>
      </c>
      <c r="R1086" s="25">
        <v>1</v>
      </c>
      <c r="AA1086" s="25">
        <f t="shared" si="80"/>
        <v>128</v>
      </c>
      <c r="AK1086" s="25">
        <v>1</v>
      </c>
      <c r="AM1086" s="25">
        <v>41</v>
      </c>
      <c r="AN1086" s="25">
        <v>100</v>
      </c>
      <c r="AP1086" s="25">
        <f t="shared" si="82"/>
        <v>3</v>
      </c>
      <c r="AQ1086" s="25" t="str">
        <f>VLOOKUP(C1086,'시스템이펙트 참고자료'!$A:$B,2,FALSE)</f>
        <v>ACTIVE_WILD_OFFENCE_UP</v>
      </c>
      <c r="AZ1086" s="25">
        <v>1</v>
      </c>
      <c r="BD1086" s="25">
        <v>1</v>
      </c>
    </row>
    <row r="1087" spans="1:56" hidden="1">
      <c r="A1087" s="25">
        <v>1082</v>
      </c>
      <c r="B1087" s="25" t="str">
        <f>VLOOKUP(C1087,'시스템이펙트 참고자료'!$A:$C,2,FALSE)</f>
        <v>ACTIVE_ELEGANCE_OFFENCE_UP</v>
      </c>
      <c r="C1087" s="25">
        <v>675</v>
      </c>
      <c r="D1087" s="25">
        <f>VLOOKUP(C1087,'시스템이펙트 참고자료'!$A:$D,4,FALSE)</f>
        <v>0</v>
      </c>
      <c r="E1087" s="25">
        <v>0</v>
      </c>
      <c r="F1087" s="25">
        <v>0</v>
      </c>
      <c r="G1087" s="25">
        <f t="shared" si="81"/>
        <v>3</v>
      </c>
      <c r="H1087" s="25" t="s">
        <v>395</v>
      </c>
      <c r="I1087" s="25">
        <v>1</v>
      </c>
      <c r="J1087" s="25" t="str">
        <f>VLOOKUP(C1087,'시스템이펙트 참고자료'!$A:$C,3,FALSE)</f>
        <v>절대값만 가능</v>
      </c>
      <c r="K1087" s="25">
        <v>21</v>
      </c>
      <c r="M1087" s="25">
        <v>2</v>
      </c>
      <c r="N1087" s="25">
        <f t="shared" si="77"/>
        <v>41</v>
      </c>
      <c r="O1087" s="25">
        <v>1</v>
      </c>
      <c r="P1087" s="25">
        <v>1</v>
      </c>
      <c r="Q1087" s="25">
        <v>1</v>
      </c>
      <c r="R1087" s="25">
        <v>1</v>
      </c>
      <c r="AA1087" s="25">
        <f t="shared" si="80"/>
        <v>128</v>
      </c>
      <c r="AK1087" s="25">
        <v>1</v>
      </c>
      <c r="AM1087" s="25">
        <v>41</v>
      </c>
      <c r="AN1087" s="25">
        <v>100</v>
      </c>
      <c r="AP1087" s="25">
        <f t="shared" si="82"/>
        <v>3</v>
      </c>
      <c r="AQ1087" s="25" t="str">
        <f>VLOOKUP(C1087,'시스템이펙트 참고자료'!$A:$B,2,FALSE)</f>
        <v>ACTIVE_ELEGANCE_OFFENCE_UP</v>
      </c>
      <c r="AZ1087" s="25">
        <v>1</v>
      </c>
      <c r="BD1087" s="25">
        <v>1</v>
      </c>
    </row>
    <row r="1088" spans="1:56" hidden="1">
      <c r="A1088" s="25">
        <v>1083</v>
      </c>
      <c r="B1088" s="25" t="str">
        <f>VLOOKUP(C1088,'시스템이펙트 참고자료'!$A:$C,2,FALSE)</f>
        <v>ACTIVE_FUNNY_OFFENCE_UP</v>
      </c>
      <c r="C1088" s="25">
        <v>676</v>
      </c>
      <c r="D1088" s="25">
        <f>VLOOKUP(C1088,'시스템이펙트 참고자료'!$A:$D,4,FALSE)</f>
        <v>0</v>
      </c>
      <c r="E1088" s="25">
        <v>0</v>
      </c>
      <c r="F1088" s="25">
        <v>0</v>
      </c>
      <c r="G1088" s="25">
        <f t="shared" si="81"/>
        <v>3</v>
      </c>
      <c r="H1088" s="25" t="s">
        <v>395</v>
      </c>
      <c r="I1088" s="25">
        <v>1</v>
      </c>
      <c r="J1088" s="25" t="str">
        <f>VLOOKUP(C1088,'시스템이펙트 참고자료'!$A:$C,3,FALSE)</f>
        <v>절대값만 가능</v>
      </c>
      <c r="K1088" s="25">
        <v>21</v>
      </c>
      <c r="M1088" s="25">
        <v>2</v>
      </c>
      <c r="N1088" s="25">
        <f t="shared" si="77"/>
        <v>41</v>
      </c>
      <c r="O1088" s="25">
        <v>1</v>
      </c>
      <c r="P1088" s="25">
        <v>1</v>
      </c>
      <c r="Q1088" s="25">
        <v>1</v>
      </c>
      <c r="R1088" s="25">
        <v>1</v>
      </c>
      <c r="AA1088" s="25">
        <f t="shared" si="80"/>
        <v>128</v>
      </c>
      <c r="AK1088" s="25">
        <v>1</v>
      </c>
      <c r="AM1088" s="25">
        <v>41</v>
      </c>
      <c r="AN1088" s="25">
        <v>100</v>
      </c>
      <c r="AP1088" s="25">
        <f t="shared" si="82"/>
        <v>3</v>
      </c>
      <c r="AQ1088" s="25" t="str">
        <f>VLOOKUP(C1088,'시스템이펙트 참고자료'!$A:$B,2,FALSE)</f>
        <v>ACTIVE_FUNNY_OFFENCE_UP</v>
      </c>
      <c r="AZ1088" s="25">
        <v>1</v>
      </c>
      <c r="BD1088" s="25">
        <v>1</v>
      </c>
    </row>
    <row r="1089" spans="1:56" hidden="1">
      <c r="A1089" s="25">
        <v>1084</v>
      </c>
      <c r="B1089" s="25" t="str">
        <f>VLOOKUP(C1089,'시스템이펙트 참고자료'!$A:$C,2,FALSE)</f>
        <v>ACTIVE_PARALYZE_TOLERANCE_UP</v>
      </c>
      <c r="C1089" s="25">
        <v>638</v>
      </c>
      <c r="D1089" s="25">
        <f>VLOOKUP(C1089,'시스템이펙트 참고자료'!$A:$D,4,FALSE)</f>
        <v>1</v>
      </c>
      <c r="E1089" s="25">
        <v>0</v>
      </c>
      <c r="F1089" s="25">
        <v>0</v>
      </c>
      <c r="G1089" s="25">
        <f t="shared" si="81"/>
        <v>1</v>
      </c>
      <c r="H1089" s="25" t="s">
        <v>395</v>
      </c>
      <c r="I1089" s="25">
        <v>1</v>
      </c>
      <c r="J1089" s="25" t="str">
        <f>VLOOKUP(C1089,'시스템이펙트 참고자료'!$A:$C,3,FALSE)</f>
        <v>절대값/상대값(%) 가능</v>
      </c>
      <c r="K1089" s="25">
        <v>22</v>
      </c>
      <c r="M1089" s="25">
        <v>1</v>
      </c>
      <c r="N1089" s="25">
        <f t="shared" si="77"/>
        <v>220</v>
      </c>
      <c r="O1089" s="25">
        <v>1</v>
      </c>
      <c r="P1089" s="25">
        <v>1</v>
      </c>
      <c r="Q1089" s="25">
        <v>1</v>
      </c>
      <c r="R1089" s="25">
        <v>1</v>
      </c>
      <c r="AA1089" s="25">
        <f t="shared" si="80"/>
        <v>128</v>
      </c>
      <c r="AK1089" s="25">
        <v>1</v>
      </c>
      <c r="AM1089" s="25">
        <v>220</v>
      </c>
      <c r="AN1089" s="25">
        <v>100</v>
      </c>
      <c r="AP1089" s="25">
        <f t="shared" si="82"/>
        <v>1</v>
      </c>
      <c r="AQ1089" s="25" t="str">
        <f>VLOOKUP(C1089,'시스템이펙트 참고자료'!$A:$B,2,FALSE)</f>
        <v>ACTIVE_PARALYZE_TOLERANCE_UP</v>
      </c>
      <c r="BD1089" s="25">
        <v>1</v>
      </c>
    </row>
    <row r="1090" spans="1:56" hidden="1">
      <c r="A1090" s="25">
        <v>1085</v>
      </c>
      <c r="B1090" s="25" t="str">
        <f>VLOOKUP(C1090,'시스템이펙트 참고자료'!$A:$C,2,FALSE)</f>
        <v>ACTIVE_TERROR_TOLERANCE_UP</v>
      </c>
      <c r="C1090" s="25">
        <v>639</v>
      </c>
      <c r="D1090" s="25">
        <f>VLOOKUP(C1090,'시스템이펙트 참고자료'!$A:$D,4,FALSE)</f>
        <v>1</v>
      </c>
      <c r="E1090" s="25">
        <v>0</v>
      </c>
      <c r="F1090" s="25">
        <v>0</v>
      </c>
      <c r="G1090" s="25">
        <f t="shared" si="81"/>
        <v>1</v>
      </c>
      <c r="H1090" s="25" t="s">
        <v>395</v>
      </c>
      <c r="I1090" s="25">
        <v>1</v>
      </c>
      <c r="J1090" s="25" t="str">
        <f>VLOOKUP(C1090,'시스템이펙트 참고자료'!$A:$C,3,FALSE)</f>
        <v>절대값/상대값(%) 가능</v>
      </c>
      <c r="K1090" s="25">
        <v>22</v>
      </c>
      <c r="M1090" s="25">
        <v>1</v>
      </c>
      <c r="N1090" s="25">
        <f t="shared" si="77"/>
        <v>220</v>
      </c>
      <c r="O1090" s="25">
        <v>1</v>
      </c>
      <c r="P1090" s="25">
        <v>1</v>
      </c>
      <c r="Q1090" s="25">
        <v>1</v>
      </c>
      <c r="R1090" s="25">
        <v>1</v>
      </c>
      <c r="AA1090" s="25">
        <f t="shared" si="80"/>
        <v>128</v>
      </c>
      <c r="AK1090" s="25">
        <v>1</v>
      </c>
      <c r="AM1090" s="25">
        <v>220</v>
      </c>
      <c r="AN1090" s="25">
        <v>100</v>
      </c>
      <c r="AP1090" s="25">
        <f t="shared" si="82"/>
        <v>1</v>
      </c>
      <c r="AQ1090" s="25" t="str">
        <f>VLOOKUP(C1090,'시스템이펙트 참고자료'!$A:$B,2,FALSE)</f>
        <v>ACTIVE_TERROR_TOLERANCE_UP</v>
      </c>
      <c r="BD1090" s="25">
        <v>1</v>
      </c>
    </row>
    <row r="1091" spans="1:56" hidden="1">
      <c r="A1091" s="25">
        <v>1086</v>
      </c>
      <c r="B1091" s="25" t="str">
        <f>VLOOKUP(C1091,'시스템이펙트 참고자료'!$A:$C,2,FALSE)</f>
        <v>ACTIVE_CONFUSE_TOLERANCE_UP</v>
      </c>
      <c r="C1091" s="25">
        <v>640</v>
      </c>
      <c r="D1091" s="25">
        <f>VLOOKUP(C1091,'시스템이펙트 참고자료'!$A:$D,4,FALSE)</f>
        <v>1</v>
      </c>
      <c r="E1091" s="25">
        <v>0</v>
      </c>
      <c r="F1091" s="25">
        <v>0</v>
      </c>
      <c r="G1091" s="25">
        <f t="shared" si="81"/>
        <v>1</v>
      </c>
      <c r="H1091" s="25" t="s">
        <v>395</v>
      </c>
      <c r="I1091" s="25">
        <v>1</v>
      </c>
      <c r="J1091" s="25" t="str">
        <f>VLOOKUP(C1091,'시스템이펙트 참고자료'!$A:$C,3,FALSE)</f>
        <v>절대값/상대값(%) 가능</v>
      </c>
      <c r="K1091" s="25">
        <v>22</v>
      </c>
      <c r="M1091" s="25">
        <v>1</v>
      </c>
      <c r="N1091" s="25">
        <f t="shared" si="77"/>
        <v>220</v>
      </c>
      <c r="O1091" s="25">
        <v>1</v>
      </c>
      <c r="P1091" s="25">
        <v>1</v>
      </c>
      <c r="Q1091" s="25">
        <v>1</v>
      </c>
      <c r="R1091" s="25">
        <v>1</v>
      </c>
      <c r="AA1091" s="25">
        <f t="shared" si="80"/>
        <v>128</v>
      </c>
      <c r="AK1091" s="25">
        <v>1</v>
      </c>
      <c r="AM1091" s="25">
        <v>220</v>
      </c>
      <c r="AN1091" s="25">
        <v>100</v>
      </c>
      <c r="AP1091" s="25">
        <f t="shared" si="82"/>
        <v>1</v>
      </c>
      <c r="AQ1091" s="25" t="str">
        <f>VLOOKUP(C1091,'시스템이펙트 참고자료'!$A:$B,2,FALSE)</f>
        <v>ACTIVE_CONFUSE_TOLERANCE_UP</v>
      </c>
      <c r="BD1091" s="25">
        <v>1</v>
      </c>
    </row>
    <row r="1092" spans="1:56" hidden="1">
      <c r="A1092" s="25">
        <v>1087</v>
      </c>
      <c r="B1092" s="25" t="str">
        <f>VLOOKUP(C1092,'시스템이펙트 참고자료'!$A:$C,2,FALSE)</f>
        <v>ACTIVE_STONE_TOLERANCE_UP</v>
      </c>
      <c r="C1092" s="25">
        <v>641</v>
      </c>
      <c r="D1092" s="25">
        <f>VLOOKUP(C1092,'시스템이펙트 참고자료'!$A:$D,4,FALSE)</f>
        <v>1</v>
      </c>
      <c r="E1092" s="25">
        <v>0</v>
      </c>
      <c r="F1092" s="25">
        <v>0</v>
      </c>
      <c r="G1092" s="25">
        <f t="shared" si="81"/>
        <v>1</v>
      </c>
      <c r="H1092" s="25" t="s">
        <v>395</v>
      </c>
      <c r="I1092" s="25">
        <v>1</v>
      </c>
      <c r="J1092" s="25" t="str">
        <f>VLOOKUP(C1092,'시스템이펙트 참고자료'!$A:$C,3,FALSE)</f>
        <v>절대값/상대값(%) 가능</v>
      </c>
      <c r="K1092" s="25">
        <v>22</v>
      </c>
      <c r="M1092" s="25">
        <v>1</v>
      </c>
      <c r="N1092" s="25">
        <f t="shared" si="77"/>
        <v>220</v>
      </c>
      <c r="O1092" s="25">
        <v>1</v>
      </c>
      <c r="P1092" s="25">
        <v>1</v>
      </c>
      <c r="Q1092" s="25">
        <v>1</v>
      </c>
      <c r="R1092" s="25">
        <v>1</v>
      </c>
      <c r="AA1092" s="25">
        <f t="shared" si="80"/>
        <v>128</v>
      </c>
      <c r="AK1092" s="25">
        <v>1</v>
      </c>
      <c r="AM1092" s="25">
        <v>220</v>
      </c>
      <c r="AN1092" s="25">
        <v>100</v>
      </c>
      <c r="AP1092" s="25">
        <f t="shared" si="82"/>
        <v>1</v>
      </c>
      <c r="AQ1092" s="25" t="str">
        <f>VLOOKUP(C1092,'시스템이펙트 참고자료'!$A:$B,2,FALSE)</f>
        <v>ACTIVE_STONE_TOLERANCE_UP</v>
      </c>
      <c r="BD1092" s="25">
        <v>1</v>
      </c>
    </row>
    <row r="1093" spans="1:56" hidden="1">
      <c r="A1093" s="25">
        <v>1088</v>
      </c>
      <c r="B1093" s="25" t="str">
        <f>VLOOKUP(C1093,'시스템이펙트 참고자료'!$A:$C,2,FALSE)</f>
        <v>ACTIVE_CANDY_TOLERANCE_UP</v>
      </c>
      <c r="C1093" s="25">
        <v>642</v>
      </c>
      <c r="D1093" s="25">
        <f>VLOOKUP(C1093,'시스템이펙트 참고자료'!$A:$D,4,FALSE)</f>
        <v>1</v>
      </c>
      <c r="E1093" s="25">
        <v>0</v>
      </c>
      <c r="F1093" s="25">
        <v>0</v>
      </c>
      <c r="G1093" s="25">
        <f t="shared" si="81"/>
        <v>1</v>
      </c>
      <c r="H1093" s="25" t="s">
        <v>395</v>
      </c>
      <c r="I1093" s="25">
        <v>1</v>
      </c>
      <c r="J1093" s="25" t="str">
        <f>VLOOKUP(C1093,'시스템이펙트 참고자료'!$A:$C,3,FALSE)</f>
        <v>절대값/상대값(%) 가능</v>
      </c>
      <c r="K1093" s="25">
        <v>22</v>
      </c>
      <c r="M1093" s="25">
        <v>1</v>
      </c>
      <c r="N1093" s="25">
        <f t="shared" si="77"/>
        <v>220</v>
      </c>
      <c r="O1093" s="25">
        <v>1</v>
      </c>
      <c r="P1093" s="25">
        <v>1</v>
      </c>
      <c r="Q1093" s="25">
        <v>1</v>
      </c>
      <c r="R1093" s="25">
        <v>1</v>
      </c>
      <c r="AA1093" s="25">
        <f t="shared" si="80"/>
        <v>128</v>
      </c>
      <c r="AK1093" s="25">
        <v>1</v>
      </c>
      <c r="AM1093" s="25">
        <v>220</v>
      </c>
      <c r="AN1093" s="25">
        <v>100</v>
      </c>
      <c r="AP1093" s="25">
        <f t="shared" si="82"/>
        <v>1</v>
      </c>
      <c r="AQ1093" s="25" t="str">
        <f>VLOOKUP(C1093,'시스템이펙트 참고자료'!$A:$B,2,FALSE)</f>
        <v>ACTIVE_CANDY_TOLERANCE_UP</v>
      </c>
      <c r="BD1093" s="25">
        <v>1</v>
      </c>
    </row>
    <row r="1094" spans="1:56" hidden="1">
      <c r="A1094" s="25">
        <v>1089</v>
      </c>
      <c r="B1094" s="25" t="str">
        <f>VLOOKUP(C1094,'시스템이펙트 참고자료'!$A:$C,2,FALSE)</f>
        <v>ACTIVE_HONEST_OFFENCE_UP</v>
      </c>
      <c r="C1094" s="25">
        <v>672</v>
      </c>
      <c r="D1094" s="25">
        <f>VLOOKUP(C1094,'시스템이펙트 참고자료'!$A:$D,4,FALSE)</f>
        <v>0</v>
      </c>
      <c r="E1094" s="25">
        <v>0</v>
      </c>
      <c r="F1094" s="25">
        <v>0</v>
      </c>
      <c r="G1094" s="25">
        <f t="shared" si="81"/>
        <v>3</v>
      </c>
      <c r="H1094" s="25" t="s">
        <v>395</v>
      </c>
      <c r="I1094" s="25">
        <v>1</v>
      </c>
      <c r="J1094" s="25" t="str">
        <f>VLOOKUP(C1094,'시스템이펙트 참고자료'!$A:$C,3,FALSE)</f>
        <v>절대값만 가능</v>
      </c>
      <c r="K1094" s="25">
        <v>22</v>
      </c>
      <c r="M1094" s="25">
        <v>1</v>
      </c>
      <c r="N1094" s="25">
        <f t="shared" si="77"/>
        <v>41</v>
      </c>
      <c r="O1094" s="25">
        <v>1</v>
      </c>
      <c r="P1094" s="25">
        <v>1</v>
      </c>
      <c r="Q1094" s="25">
        <v>1</v>
      </c>
      <c r="R1094" s="25">
        <v>1</v>
      </c>
      <c r="AA1094" s="25">
        <f t="shared" si="80"/>
        <v>128</v>
      </c>
      <c r="AK1094" s="25">
        <v>1</v>
      </c>
      <c r="AM1094" s="25">
        <v>41</v>
      </c>
      <c r="AN1094" s="25">
        <v>100</v>
      </c>
      <c r="AP1094" s="25">
        <f t="shared" si="82"/>
        <v>3</v>
      </c>
      <c r="AQ1094" s="25" t="str">
        <f>VLOOKUP(C1094,'시스템이펙트 참고자료'!$A:$B,2,FALSE)</f>
        <v>ACTIVE_HONEST_OFFENCE_UP</v>
      </c>
      <c r="BD1094" s="25">
        <v>1</v>
      </c>
    </row>
    <row r="1095" spans="1:56" hidden="1">
      <c r="A1095" s="25">
        <v>1090</v>
      </c>
      <c r="B1095" s="25" t="str">
        <f>VLOOKUP(C1095,'시스템이펙트 참고자료'!$A:$C,2,FALSE)</f>
        <v>ACTIVE_PARALYZE_KEEPTIME_DOWN</v>
      </c>
      <c r="C1095" s="25">
        <v>643</v>
      </c>
      <c r="D1095" s="25">
        <f>VLOOKUP(C1095,'시스템이펙트 참고자료'!$A:$D,4,FALSE)</f>
        <v>1</v>
      </c>
      <c r="E1095" s="25">
        <v>0</v>
      </c>
      <c r="F1095" s="25">
        <v>0</v>
      </c>
      <c r="G1095" s="25">
        <f t="shared" si="81"/>
        <v>5</v>
      </c>
      <c r="H1095" s="25" t="s">
        <v>395</v>
      </c>
      <c r="I1095" s="25">
        <v>1</v>
      </c>
      <c r="J1095" s="25" t="str">
        <f>VLOOKUP(C1095,'시스템이펙트 참고자료'!$A:$C,3,FALSE)</f>
        <v>상대값(%)값만 가능</v>
      </c>
      <c r="K1095" s="25">
        <v>22</v>
      </c>
      <c r="M1095" s="25">
        <v>2</v>
      </c>
      <c r="N1095" s="25">
        <f t="shared" ref="N1095:N1158" si="83">IF(BD1095&gt;0,INT(AM1095/AK1095),0)</f>
        <v>20</v>
      </c>
      <c r="O1095" s="25">
        <v>1</v>
      </c>
      <c r="P1095" s="25">
        <v>1</v>
      </c>
      <c r="Q1095" s="25">
        <v>1</v>
      </c>
      <c r="R1095" s="25">
        <v>1</v>
      </c>
      <c r="AA1095" s="25">
        <f t="shared" si="80"/>
        <v>128</v>
      </c>
      <c r="AK1095" s="25">
        <v>1</v>
      </c>
      <c r="AM1095" s="25">
        <v>20</v>
      </c>
      <c r="AN1095" s="25">
        <v>100</v>
      </c>
      <c r="AP1095" s="25">
        <f t="shared" si="82"/>
        <v>5</v>
      </c>
      <c r="AQ1095" s="25" t="str">
        <f>VLOOKUP(C1095,'시스템이펙트 참고자료'!$A:$B,2,FALSE)</f>
        <v>ACTIVE_PARALYZE_KEEPTIME_DOWN</v>
      </c>
      <c r="BD1095" s="25">
        <v>1</v>
      </c>
    </row>
    <row r="1096" spans="1:56" hidden="1">
      <c r="A1096" s="25">
        <v>1091</v>
      </c>
      <c r="B1096" s="25" t="str">
        <f>VLOOKUP(C1096,'시스템이펙트 참고자료'!$A:$C,2,FALSE)</f>
        <v>ACTIVE_TERROR_KEEPTIME_DOWN</v>
      </c>
      <c r="C1096" s="25">
        <v>644</v>
      </c>
      <c r="D1096" s="25">
        <f>VLOOKUP(C1096,'시스템이펙트 참고자료'!$A:$D,4,FALSE)</f>
        <v>1</v>
      </c>
      <c r="E1096" s="25">
        <v>0</v>
      </c>
      <c r="F1096" s="25">
        <v>0</v>
      </c>
      <c r="G1096" s="25">
        <f t="shared" si="81"/>
        <v>5</v>
      </c>
      <c r="H1096" s="25" t="s">
        <v>395</v>
      </c>
      <c r="I1096" s="25">
        <v>1</v>
      </c>
      <c r="J1096" s="25" t="str">
        <f>VLOOKUP(C1096,'시스템이펙트 참고자료'!$A:$C,3,FALSE)</f>
        <v>상대값(%)값만 가능</v>
      </c>
      <c r="K1096" s="25">
        <v>22</v>
      </c>
      <c r="M1096" s="25">
        <v>2</v>
      </c>
      <c r="N1096" s="25">
        <f t="shared" si="83"/>
        <v>20</v>
      </c>
      <c r="O1096" s="25">
        <v>1</v>
      </c>
      <c r="P1096" s="25">
        <v>1</v>
      </c>
      <c r="Q1096" s="25">
        <v>1</v>
      </c>
      <c r="R1096" s="25">
        <v>1</v>
      </c>
      <c r="AA1096" s="25">
        <f t="shared" si="80"/>
        <v>128</v>
      </c>
      <c r="AK1096" s="25">
        <v>1</v>
      </c>
      <c r="AM1096" s="25">
        <v>20</v>
      </c>
      <c r="AN1096" s="25">
        <v>100</v>
      </c>
      <c r="AP1096" s="25">
        <f t="shared" si="82"/>
        <v>5</v>
      </c>
      <c r="AQ1096" s="25" t="str">
        <f>VLOOKUP(C1096,'시스템이펙트 참고자료'!$A:$B,2,FALSE)</f>
        <v>ACTIVE_TERROR_KEEPTIME_DOWN</v>
      </c>
      <c r="BD1096" s="25">
        <v>1</v>
      </c>
    </row>
    <row r="1097" spans="1:56" hidden="1">
      <c r="A1097" s="25">
        <v>1092</v>
      </c>
      <c r="B1097" s="25" t="str">
        <f>VLOOKUP(C1097,'시스템이펙트 참고자료'!$A:$C,2,FALSE)</f>
        <v>ACTIVE_CONFUSE_KEEPTIME_DOWN</v>
      </c>
      <c r="C1097" s="25">
        <v>645</v>
      </c>
      <c r="D1097" s="25">
        <f>VLOOKUP(C1097,'시스템이펙트 참고자료'!$A:$D,4,FALSE)</f>
        <v>1</v>
      </c>
      <c r="E1097" s="25">
        <v>0</v>
      </c>
      <c r="F1097" s="25">
        <v>0</v>
      </c>
      <c r="G1097" s="25">
        <f t="shared" si="81"/>
        <v>5</v>
      </c>
      <c r="H1097" s="25" t="s">
        <v>395</v>
      </c>
      <c r="I1097" s="25">
        <v>1</v>
      </c>
      <c r="J1097" s="25" t="str">
        <f>VLOOKUP(C1097,'시스템이펙트 참고자료'!$A:$C,3,FALSE)</f>
        <v>상대값(%)값만 가능</v>
      </c>
      <c r="K1097" s="25">
        <v>22</v>
      </c>
      <c r="M1097" s="25">
        <v>2</v>
      </c>
      <c r="N1097" s="25">
        <f t="shared" si="83"/>
        <v>20</v>
      </c>
      <c r="O1097" s="25">
        <v>1</v>
      </c>
      <c r="P1097" s="25">
        <v>1</v>
      </c>
      <c r="Q1097" s="25">
        <v>1</v>
      </c>
      <c r="R1097" s="25">
        <v>1</v>
      </c>
      <c r="AA1097" s="25">
        <f t="shared" si="80"/>
        <v>128</v>
      </c>
      <c r="AK1097" s="25">
        <v>1</v>
      </c>
      <c r="AM1097" s="25">
        <v>20</v>
      </c>
      <c r="AN1097" s="25">
        <v>100</v>
      </c>
      <c r="AP1097" s="25">
        <f t="shared" si="82"/>
        <v>5</v>
      </c>
      <c r="AQ1097" s="25" t="str">
        <f>VLOOKUP(C1097,'시스템이펙트 참고자료'!$A:$B,2,FALSE)</f>
        <v>ACTIVE_CONFUSE_KEEPTIME_DOWN</v>
      </c>
      <c r="BD1097" s="25">
        <v>1</v>
      </c>
    </row>
    <row r="1098" spans="1:56" hidden="1">
      <c r="A1098" s="25">
        <v>1093</v>
      </c>
      <c r="B1098" s="25" t="str">
        <f>VLOOKUP(C1098,'시스템이펙트 참고자료'!$A:$C,2,FALSE)</f>
        <v>ACTIVE_STONE_KEEPTIME_DOWN</v>
      </c>
      <c r="C1098" s="25">
        <v>646</v>
      </c>
      <c r="D1098" s="25">
        <f>VLOOKUP(C1098,'시스템이펙트 참고자료'!$A:$D,4,FALSE)</f>
        <v>1</v>
      </c>
      <c r="E1098" s="25">
        <v>0</v>
      </c>
      <c r="F1098" s="25">
        <v>0</v>
      </c>
      <c r="G1098" s="25">
        <f t="shared" si="81"/>
        <v>5</v>
      </c>
      <c r="H1098" s="25" t="s">
        <v>395</v>
      </c>
      <c r="I1098" s="25">
        <v>1</v>
      </c>
      <c r="J1098" s="25" t="str">
        <f>VLOOKUP(C1098,'시스템이펙트 참고자료'!$A:$C,3,FALSE)</f>
        <v>상대값(%)값만 가능</v>
      </c>
      <c r="K1098" s="25">
        <v>22</v>
      </c>
      <c r="M1098" s="25">
        <v>2</v>
      </c>
      <c r="N1098" s="25">
        <f t="shared" si="83"/>
        <v>20</v>
      </c>
      <c r="O1098" s="25">
        <v>1</v>
      </c>
      <c r="P1098" s="25">
        <v>1</v>
      </c>
      <c r="Q1098" s="25">
        <v>1</v>
      </c>
      <c r="R1098" s="25">
        <v>1</v>
      </c>
      <c r="AA1098" s="25">
        <f t="shared" si="80"/>
        <v>128</v>
      </c>
      <c r="AK1098" s="25">
        <v>1</v>
      </c>
      <c r="AM1098" s="25">
        <v>20</v>
      </c>
      <c r="AN1098" s="25">
        <v>100</v>
      </c>
      <c r="AP1098" s="25">
        <f t="shared" si="82"/>
        <v>5</v>
      </c>
      <c r="AQ1098" s="25" t="str">
        <f>VLOOKUP(C1098,'시스템이펙트 참고자료'!$A:$B,2,FALSE)</f>
        <v>ACTIVE_STONE_KEEPTIME_DOWN</v>
      </c>
      <c r="BD1098" s="25">
        <v>1</v>
      </c>
    </row>
    <row r="1099" spans="1:56" hidden="1">
      <c r="A1099" s="25">
        <v>1094</v>
      </c>
      <c r="B1099" s="25" t="str">
        <f>VLOOKUP(C1099,'시스템이펙트 참고자료'!$A:$C,2,FALSE)</f>
        <v>ACTIVE_CANDY_KEEPTIME_DOWN</v>
      </c>
      <c r="C1099" s="25">
        <v>647</v>
      </c>
      <c r="D1099" s="25">
        <f>VLOOKUP(C1099,'시스템이펙트 참고자료'!$A:$D,4,FALSE)</f>
        <v>1</v>
      </c>
      <c r="E1099" s="25">
        <v>0</v>
      </c>
      <c r="F1099" s="25">
        <v>0</v>
      </c>
      <c r="G1099" s="25">
        <f t="shared" si="81"/>
        <v>5</v>
      </c>
      <c r="H1099" s="25" t="s">
        <v>395</v>
      </c>
      <c r="I1099" s="25">
        <v>1</v>
      </c>
      <c r="J1099" s="25" t="str">
        <f>VLOOKUP(C1099,'시스템이펙트 참고자료'!$A:$C,3,FALSE)</f>
        <v>상대값(%)값만 가능</v>
      </c>
      <c r="K1099" s="25">
        <v>22</v>
      </c>
      <c r="M1099" s="25">
        <v>2</v>
      </c>
      <c r="N1099" s="25">
        <f t="shared" si="83"/>
        <v>20</v>
      </c>
      <c r="O1099" s="25">
        <v>1</v>
      </c>
      <c r="P1099" s="25">
        <v>1</v>
      </c>
      <c r="Q1099" s="25">
        <v>1</v>
      </c>
      <c r="R1099" s="25">
        <v>1</v>
      </c>
      <c r="AA1099" s="25">
        <f t="shared" si="80"/>
        <v>128</v>
      </c>
      <c r="AK1099" s="25">
        <v>1</v>
      </c>
      <c r="AM1099" s="25">
        <v>20</v>
      </c>
      <c r="AN1099" s="25">
        <v>100</v>
      </c>
      <c r="AP1099" s="25">
        <f t="shared" si="82"/>
        <v>5</v>
      </c>
      <c r="AQ1099" s="25" t="str">
        <f>VLOOKUP(C1099,'시스템이펙트 참고자료'!$A:$B,2,FALSE)</f>
        <v>ACTIVE_CANDY_KEEPTIME_DOWN</v>
      </c>
      <c r="BD1099" s="25">
        <v>1</v>
      </c>
    </row>
    <row r="1100" spans="1:56" hidden="1">
      <c r="A1100" s="25">
        <v>1095</v>
      </c>
      <c r="B1100" s="25" t="str">
        <f>VLOOKUP(C1100,'시스템이펙트 참고자료'!$A:$C,2,FALSE)</f>
        <v>ACTIVE_STRANGE_OFFENCE_UP</v>
      </c>
      <c r="C1100" s="25">
        <v>673</v>
      </c>
      <c r="D1100" s="25">
        <f>VLOOKUP(C1100,'시스템이펙트 참고자료'!$A:$D,4,FALSE)</f>
        <v>0</v>
      </c>
      <c r="E1100" s="25">
        <v>0</v>
      </c>
      <c r="F1100" s="25">
        <v>0</v>
      </c>
      <c r="G1100" s="25">
        <f t="shared" si="81"/>
        <v>3</v>
      </c>
      <c r="H1100" s="25" t="s">
        <v>395</v>
      </c>
      <c r="I1100" s="25">
        <v>1</v>
      </c>
      <c r="J1100" s="25" t="str">
        <f>VLOOKUP(C1100,'시스템이펙트 참고자료'!$A:$C,3,FALSE)</f>
        <v>절대값만 가능</v>
      </c>
      <c r="K1100" s="25">
        <v>22</v>
      </c>
      <c r="M1100" s="25">
        <v>2</v>
      </c>
      <c r="N1100" s="25">
        <f t="shared" si="83"/>
        <v>41</v>
      </c>
      <c r="O1100" s="25">
        <v>1</v>
      </c>
      <c r="P1100" s="25">
        <v>1</v>
      </c>
      <c r="Q1100" s="25">
        <v>1</v>
      </c>
      <c r="R1100" s="25">
        <v>1</v>
      </c>
      <c r="AA1100" s="25">
        <f t="shared" si="80"/>
        <v>128</v>
      </c>
      <c r="AK1100" s="25">
        <v>1</v>
      </c>
      <c r="AM1100" s="25">
        <v>41</v>
      </c>
      <c r="AN1100" s="25">
        <v>100</v>
      </c>
      <c r="AP1100" s="25">
        <f t="shared" si="82"/>
        <v>3</v>
      </c>
      <c r="AQ1100" s="25" t="str">
        <f>VLOOKUP(C1100,'시스템이펙트 참고자료'!$A:$B,2,FALSE)</f>
        <v>ACTIVE_STRANGE_OFFENCE_UP</v>
      </c>
      <c r="BD1100" s="25">
        <v>1</v>
      </c>
    </row>
    <row r="1101" spans="1:56" hidden="1">
      <c r="A1101" s="25">
        <v>1096</v>
      </c>
      <c r="B1101" s="25" t="str">
        <f>VLOOKUP(C1101,'시스템이펙트 참고자료'!$A:$C,2,FALSE)</f>
        <v>ACTIVE_BLEEDING_KEEPTIME_DOWN</v>
      </c>
      <c r="C1101" s="25">
        <v>648</v>
      </c>
      <c r="D1101" s="25">
        <f>VLOOKUP(C1101,'시스템이펙트 참고자료'!$A:$D,4,FALSE)</f>
        <v>1</v>
      </c>
      <c r="E1101" s="25">
        <v>0</v>
      </c>
      <c r="F1101" s="25">
        <v>0</v>
      </c>
      <c r="G1101" s="25">
        <f t="shared" si="81"/>
        <v>5</v>
      </c>
      <c r="H1101" s="25" t="s">
        <v>395</v>
      </c>
      <c r="I1101" s="25">
        <v>1</v>
      </c>
      <c r="J1101" s="25" t="str">
        <f>VLOOKUP(C1101,'시스템이펙트 참고자료'!$A:$C,3,FALSE)</f>
        <v>상대값(%)값만 가능</v>
      </c>
      <c r="K1101" s="25">
        <v>22</v>
      </c>
      <c r="M1101" s="25">
        <v>3</v>
      </c>
      <c r="N1101" s="25">
        <f t="shared" si="83"/>
        <v>20</v>
      </c>
      <c r="O1101" s="25">
        <v>1</v>
      </c>
      <c r="P1101" s="25">
        <v>1</v>
      </c>
      <c r="Q1101" s="25">
        <v>1</v>
      </c>
      <c r="R1101" s="25">
        <v>1</v>
      </c>
      <c r="AA1101" s="25">
        <f t="shared" si="80"/>
        <v>128</v>
      </c>
      <c r="AK1101" s="25">
        <v>1</v>
      </c>
      <c r="AM1101" s="25">
        <v>20</v>
      </c>
      <c r="AN1101" s="25">
        <v>100</v>
      </c>
      <c r="AP1101" s="25">
        <f t="shared" si="82"/>
        <v>5</v>
      </c>
      <c r="AQ1101" s="25" t="str">
        <f>VLOOKUP(C1101,'시스템이펙트 참고자료'!$A:$B,2,FALSE)</f>
        <v>ACTIVE_BLEEDING_KEEPTIME_DOWN</v>
      </c>
      <c r="BD1101" s="25">
        <v>1</v>
      </c>
    </row>
    <row r="1102" spans="1:56" hidden="1">
      <c r="A1102" s="25">
        <v>1097</v>
      </c>
      <c r="B1102" s="25" t="str">
        <f>VLOOKUP(C1102,'시스템이펙트 참고자료'!$A:$C,2,FALSE)</f>
        <v>ACTIVE_POISON_KEEPTIME_DOWN</v>
      </c>
      <c r="C1102" s="25">
        <v>649</v>
      </c>
      <c r="D1102" s="25">
        <f>VLOOKUP(C1102,'시스템이펙트 참고자료'!$A:$D,4,FALSE)</f>
        <v>1</v>
      </c>
      <c r="E1102" s="25">
        <v>0</v>
      </c>
      <c r="F1102" s="25">
        <v>0</v>
      </c>
      <c r="G1102" s="25">
        <f t="shared" si="81"/>
        <v>5</v>
      </c>
      <c r="H1102" s="25" t="s">
        <v>395</v>
      </c>
      <c r="I1102" s="25">
        <v>1</v>
      </c>
      <c r="J1102" s="25" t="str">
        <f>VLOOKUP(C1102,'시스템이펙트 참고자료'!$A:$C,3,FALSE)</f>
        <v>상대값(%)값만 가능</v>
      </c>
      <c r="K1102" s="25">
        <v>22</v>
      </c>
      <c r="M1102" s="25">
        <v>3</v>
      </c>
      <c r="N1102" s="25">
        <f t="shared" si="83"/>
        <v>20</v>
      </c>
      <c r="O1102" s="25">
        <v>1</v>
      </c>
      <c r="P1102" s="25">
        <v>1</v>
      </c>
      <c r="Q1102" s="25">
        <v>1</v>
      </c>
      <c r="R1102" s="25">
        <v>1</v>
      </c>
      <c r="AA1102" s="25">
        <f t="shared" si="80"/>
        <v>128</v>
      </c>
      <c r="AK1102" s="25">
        <v>1</v>
      </c>
      <c r="AM1102" s="25">
        <v>20</v>
      </c>
      <c r="AN1102" s="25">
        <v>100</v>
      </c>
      <c r="AP1102" s="25">
        <f t="shared" si="82"/>
        <v>5</v>
      </c>
      <c r="AQ1102" s="25" t="str">
        <f>VLOOKUP(C1102,'시스템이펙트 참고자료'!$A:$B,2,FALSE)</f>
        <v>ACTIVE_POISON_KEEPTIME_DOWN</v>
      </c>
      <c r="BD1102" s="25">
        <v>1</v>
      </c>
    </row>
    <row r="1103" spans="1:56" hidden="1">
      <c r="A1103" s="25">
        <v>1098</v>
      </c>
      <c r="B1103" s="25" t="str">
        <f>VLOOKUP(C1103,'시스템이펙트 참고자료'!$A:$C,2,FALSE)</f>
        <v>ACTIVE_STOMACHACHE_KEEPTIME_DOWN</v>
      </c>
      <c r="C1103" s="25">
        <v>650</v>
      </c>
      <c r="D1103" s="25">
        <f>VLOOKUP(C1103,'시스템이펙트 참고자료'!$A:$D,4,FALSE)</f>
        <v>1</v>
      </c>
      <c r="E1103" s="25">
        <v>0</v>
      </c>
      <c r="F1103" s="25">
        <v>0</v>
      </c>
      <c r="G1103" s="25">
        <f t="shared" si="81"/>
        <v>5</v>
      </c>
      <c r="H1103" s="25" t="s">
        <v>395</v>
      </c>
      <c r="I1103" s="25">
        <v>1</v>
      </c>
      <c r="J1103" s="25" t="str">
        <f>VLOOKUP(C1103,'시스템이펙트 참고자료'!$A:$C,3,FALSE)</f>
        <v>상대값(%)값만 가능</v>
      </c>
      <c r="K1103" s="25">
        <v>22</v>
      </c>
      <c r="M1103" s="25">
        <v>3</v>
      </c>
      <c r="N1103" s="25">
        <f t="shared" si="83"/>
        <v>20</v>
      </c>
      <c r="O1103" s="25">
        <v>1</v>
      </c>
      <c r="P1103" s="25">
        <v>1</v>
      </c>
      <c r="Q1103" s="25">
        <v>1</v>
      </c>
      <c r="R1103" s="25">
        <v>1</v>
      </c>
      <c r="AA1103" s="25">
        <f t="shared" si="80"/>
        <v>128</v>
      </c>
      <c r="AK1103" s="25">
        <v>1</v>
      </c>
      <c r="AM1103" s="25">
        <v>20</v>
      </c>
      <c r="AN1103" s="25">
        <v>100</v>
      </c>
      <c r="AP1103" s="25">
        <f t="shared" si="82"/>
        <v>5</v>
      </c>
      <c r="AQ1103" s="25" t="str">
        <f>VLOOKUP(C1103,'시스템이펙트 참고자료'!$A:$B,2,FALSE)</f>
        <v>ACTIVE_STOMACHACHE_KEEPTIME_DOWN</v>
      </c>
      <c r="BD1103" s="25">
        <v>1</v>
      </c>
    </row>
    <row r="1104" spans="1:56" hidden="1">
      <c r="A1104" s="25">
        <v>1099</v>
      </c>
      <c r="B1104" s="25" t="str">
        <f>VLOOKUP(C1104,'시스템이펙트 참고자료'!$A:$C,2,FALSE)</f>
        <v>ACTIVE_WILD_OFFENCE_UP</v>
      </c>
      <c r="C1104" s="25">
        <v>674</v>
      </c>
      <c r="D1104" s="25">
        <f>VLOOKUP(C1104,'시스템이펙트 참고자료'!$A:$D,4,FALSE)</f>
        <v>0</v>
      </c>
      <c r="E1104" s="25">
        <v>0</v>
      </c>
      <c r="F1104" s="25">
        <v>0</v>
      </c>
      <c r="G1104" s="25">
        <f t="shared" si="81"/>
        <v>3</v>
      </c>
      <c r="H1104" s="25" t="s">
        <v>395</v>
      </c>
      <c r="I1104" s="25">
        <v>1</v>
      </c>
      <c r="J1104" s="25" t="str">
        <f>VLOOKUP(C1104,'시스템이펙트 참고자료'!$A:$C,3,FALSE)</f>
        <v>절대값만 가능</v>
      </c>
      <c r="K1104" s="25">
        <v>22</v>
      </c>
      <c r="M1104" s="25">
        <v>3</v>
      </c>
      <c r="N1104" s="25">
        <f t="shared" si="83"/>
        <v>41</v>
      </c>
      <c r="O1104" s="25">
        <v>1</v>
      </c>
      <c r="P1104" s="25">
        <v>1</v>
      </c>
      <c r="Q1104" s="25">
        <v>1</v>
      </c>
      <c r="R1104" s="25">
        <v>1</v>
      </c>
      <c r="AA1104" s="25">
        <f t="shared" si="80"/>
        <v>128</v>
      </c>
      <c r="AK1104" s="25">
        <v>1</v>
      </c>
      <c r="AM1104" s="25">
        <v>41</v>
      </c>
      <c r="AN1104" s="25">
        <v>100</v>
      </c>
      <c r="AP1104" s="25">
        <f t="shared" si="82"/>
        <v>3</v>
      </c>
      <c r="AQ1104" s="25" t="str">
        <f>VLOOKUP(C1104,'시스템이펙트 참고자료'!$A:$B,2,FALSE)</f>
        <v>ACTIVE_WILD_OFFENCE_UP</v>
      </c>
      <c r="BD1104" s="25">
        <v>1</v>
      </c>
    </row>
    <row r="1105" spans="1:56" hidden="1">
      <c r="A1105" s="25">
        <v>1100</v>
      </c>
      <c r="B1105" s="25" t="str">
        <f>VLOOKUP(C1105,'시스템이펙트 참고자료'!$A:$C,2,FALSE)</f>
        <v>ACTIVE_ELEGANCE_OFFENCE_UP</v>
      </c>
      <c r="C1105" s="25">
        <v>675</v>
      </c>
      <c r="D1105" s="25">
        <f>VLOOKUP(C1105,'시스템이펙트 참고자료'!$A:$D,4,FALSE)</f>
        <v>0</v>
      </c>
      <c r="E1105" s="25">
        <v>0</v>
      </c>
      <c r="F1105" s="25">
        <v>0</v>
      </c>
      <c r="G1105" s="25">
        <f t="shared" si="81"/>
        <v>3</v>
      </c>
      <c r="H1105" s="25" t="s">
        <v>395</v>
      </c>
      <c r="I1105" s="25">
        <v>1</v>
      </c>
      <c r="J1105" s="25" t="str">
        <f>VLOOKUP(C1105,'시스템이펙트 참고자료'!$A:$C,3,FALSE)</f>
        <v>절대값만 가능</v>
      </c>
      <c r="K1105" s="25">
        <v>22</v>
      </c>
      <c r="M1105" s="25">
        <v>3</v>
      </c>
      <c r="N1105" s="25">
        <f t="shared" si="83"/>
        <v>41</v>
      </c>
      <c r="O1105" s="25">
        <v>1</v>
      </c>
      <c r="P1105" s="25">
        <v>1</v>
      </c>
      <c r="Q1105" s="25">
        <v>1</v>
      </c>
      <c r="R1105" s="25">
        <v>1</v>
      </c>
      <c r="AA1105" s="25">
        <f t="shared" si="80"/>
        <v>128</v>
      </c>
      <c r="AK1105" s="25">
        <v>1</v>
      </c>
      <c r="AM1105" s="25">
        <v>41</v>
      </c>
      <c r="AN1105" s="25">
        <v>100</v>
      </c>
      <c r="AP1105" s="25">
        <f t="shared" si="82"/>
        <v>3</v>
      </c>
      <c r="AQ1105" s="25" t="str">
        <f>VLOOKUP(C1105,'시스템이펙트 참고자료'!$A:$B,2,FALSE)</f>
        <v>ACTIVE_ELEGANCE_OFFENCE_UP</v>
      </c>
      <c r="BD1105" s="25">
        <v>1</v>
      </c>
    </row>
    <row r="1106" spans="1:56" hidden="1">
      <c r="A1106" s="25">
        <v>1101</v>
      </c>
      <c r="B1106" s="25" t="str">
        <f>VLOOKUP(C1106,'시스템이펙트 참고자료'!$A:$C,2,FALSE)</f>
        <v>ACTIVE_STOMACHACHE_DEFENCE</v>
      </c>
      <c r="C1106" s="25">
        <v>679</v>
      </c>
      <c r="D1106" s="25">
        <f>VLOOKUP(C1106,'시스템이펙트 참고자료'!$A:$D,4,FALSE)</f>
        <v>0</v>
      </c>
      <c r="E1106" s="25">
        <v>0</v>
      </c>
      <c r="F1106" s="25">
        <v>0</v>
      </c>
      <c r="G1106" s="25">
        <f t="shared" si="81"/>
        <v>1</v>
      </c>
      <c r="H1106" s="25" t="s">
        <v>395</v>
      </c>
      <c r="I1106" s="25">
        <v>1</v>
      </c>
      <c r="J1106" s="25" t="str">
        <f>VLOOKUP(C1106,'시스템이펙트 참고자료'!$A:$C,3,FALSE)</f>
        <v>절대값/상대값(%) 가능</v>
      </c>
      <c r="K1106" s="25">
        <v>22</v>
      </c>
      <c r="M1106" s="25">
        <v>4</v>
      </c>
      <c r="N1106" s="25">
        <f t="shared" si="83"/>
        <v>1350</v>
      </c>
      <c r="O1106" s="25">
        <v>1</v>
      </c>
      <c r="P1106" s="25">
        <v>1</v>
      </c>
      <c r="Q1106" s="25">
        <v>1</v>
      </c>
      <c r="R1106" s="25">
        <v>1</v>
      </c>
      <c r="AA1106" s="25">
        <f t="shared" si="80"/>
        <v>128</v>
      </c>
      <c r="AK1106" s="25">
        <v>1</v>
      </c>
      <c r="AM1106" s="25">
        <v>1350</v>
      </c>
      <c r="AN1106" s="25">
        <v>100</v>
      </c>
      <c r="AP1106" s="25">
        <f t="shared" si="82"/>
        <v>1</v>
      </c>
      <c r="AQ1106" s="25" t="str">
        <f>VLOOKUP(C1106,'시스템이펙트 참고자료'!$A:$B,2,FALSE)</f>
        <v>ACTIVE_STOMACHACHE_DEFENCE</v>
      </c>
      <c r="BD1106" s="25">
        <v>1</v>
      </c>
    </row>
    <row r="1107" spans="1:56" hidden="1">
      <c r="A1107" s="25">
        <v>1102</v>
      </c>
      <c r="B1107" s="25" t="str">
        <f>VLOOKUP(C1107,'시스템이펙트 참고자료'!$A:$C,2,FALSE)</f>
        <v>ACTIVE_POISON_DEFENCE</v>
      </c>
      <c r="C1107" s="25">
        <v>680</v>
      </c>
      <c r="D1107" s="25">
        <f>VLOOKUP(C1107,'시스템이펙트 참고자료'!$A:$D,4,FALSE)</f>
        <v>0</v>
      </c>
      <c r="E1107" s="25">
        <v>0</v>
      </c>
      <c r="F1107" s="25">
        <v>0</v>
      </c>
      <c r="G1107" s="25">
        <f t="shared" si="81"/>
        <v>1</v>
      </c>
      <c r="H1107" s="25" t="s">
        <v>395</v>
      </c>
      <c r="I1107" s="25">
        <v>1</v>
      </c>
      <c r="J1107" s="25" t="str">
        <f>VLOOKUP(C1107,'시스템이펙트 참고자료'!$A:$C,3,FALSE)</f>
        <v>절대값/상대값(%) 가능</v>
      </c>
      <c r="K1107" s="25">
        <v>22</v>
      </c>
      <c r="M1107" s="25">
        <v>4</v>
      </c>
      <c r="N1107" s="25">
        <f t="shared" si="83"/>
        <v>1350</v>
      </c>
      <c r="O1107" s="25">
        <v>1</v>
      </c>
      <c r="P1107" s="25">
        <v>1</v>
      </c>
      <c r="Q1107" s="25">
        <v>1</v>
      </c>
      <c r="R1107" s="25">
        <v>1</v>
      </c>
      <c r="AA1107" s="25">
        <f t="shared" ref="AA1107:AA1110" si="84">2^AA$1</f>
        <v>128</v>
      </c>
      <c r="AK1107" s="25">
        <v>1</v>
      </c>
      <c r="AM1107" s="25">
        <v>1350</v>
      </c>
      <c r="AN1107" s="25">
        <v>100</v>
      </c>
      <c r="AP1107" s="25">
        <f t="shared" si="82"/>
        <v>1</v>
      </c>
      <c r="AQ1107" s="25" t="str">
        <f>VLOOKUP(C1107,'시스템이펙트 참고자료'!$A:$B,2,FALSE)</f>
        <v>ACTIVE_POISON_DEFENCE</v>
      </c>
      <c r="BD1107" s="25">
        <v>1</v>
      </c>
    </row>
    <row r="1108" spans="1:56" hidden="1">
      <c r="A1108" s="25">
        <v>1103</v>
      </c>
      <c r="B1108" s="25" t="str">
        <f>VLOOKUP(C1108,'시스템이펙트 참고자료'!$A:$C,2,FALSE)</f>
        <v>ACTIVE_BLEED_DEFENCE</v>
      </c>
      <c r="C1108" s="25">
        <v>681</v>
      </c>
      <c r="D1108" s="25">
        <f>VLOOKUP(C1108,'시스템이펙트 참고자료'!$A:$D,4,FALSE)</f>
        <v>0</v>
      </c>
      <c r="E1108" s="25">
        <v>0</v>
      </c>
      <c r="F1108" s="25">
        <v>0</v>
      </c>
      <c r="G1108" s="25">
        <f t="shared" si="81"/>
        <v>1</v>
      </c>
      <c r="H1108" s="25" t="s">
        <v>395</v>
      </c>
      <c r="I1108" s="25">
        <v>1</v>
      </c>
      <c r="J1108" s="25" t="str">
        <f>VLOOKUP(C1108,'시스템이펙트 참고자료'!$A:$C,3,FALSE)</f>
        <v>절대값/상대값(%) 가능</v>
      </c>
      <c r="K1108" s="25">
        <v>22</v>
      </c>
      <c r="M1108" s="25">
        <v>4</v>
      </c>
      <c r="N1108" s="25">
        <f t="shared" si="83"/>
        <v>1350</v>
      </c>
      <c r="O1108" s="25">
        <v>1</v>
      </c>
      <c r="P1108" s="25">
        <v>1</v>
      </c>
      <c r="Q1108" s="25">
        <v>1</v>
      </c>
      <c r="R1108" s="25">
        <v>1</v>
      </c>
      <c r="AA1108" s="25">
        <f t="shared" si="84"/>
        <v>128</v>
      </c>
      <c r="AK1108" s="25">
        <v>1</v>
      </c>
      <c r="AM1108" s="25">
        <v>1350</v>
      </c>
      <c r="AN1108" s="25">
        <v>100</v>
      </c>
      <c r="AP1108" s="25">
        <f t="shared" si="82"/>
        <v>1</v>
      </c>
      <c r="AQ1108" s="25" t="str">
        <f>VLOOKUP(C1108,'시스템이펙트 참고자료'!$A:$B,2,FALSE)</f>
        <v>ACTIVE_BLEED_DEFENCE</v>
      </c>
      <c r="BD1108" s="25">
        <v>1</v>
      </c>
    </row>
    <row r="1109" spans="1:56" hidden="1">
      <c r="A1109" s="25">
        <v>1104</v>
      </c>
      <c r="B1109" s="25" t="str">
        <f>VLOOKUP(C1109,'시스템이펙트 참고자료'!$A:$C,2,FALSE)</f>
        <v>ACTIVE_BURN_DEFENCE</v>
      </c>
      <c r="C1109" s="25">
        <v>682</v>
      </c>
      <c r="D1109" s="25">
        <f>VLOOKUP(C1109,'시스템이펙트 참고자료'!$A:$D,4,FALSE)</f>
        <v>0</v>
      </c>
      <c r="E1109" s="25">
        <v>0</v>
      </c>
      <c r="F1109" s="25">
        <v>0</v>
      </c>
      <c r="G1109" s="25">
        <f t="shared" si="81"/>
        <v>1</v>
      </c>
      <c r="H1109" s="25" t="s">
        <v>395</v>
      </c>
      <c r="I1109" s="25">
        <v>1</v>
      </c>
      <c r="J1109" s="25" t="str">
        <f>VLOOKUP(C1109,'시스템이펙트 참고자료'!$A:$C,3,FALSE)</f>
        <v>절대값/상대값(%) 가능</v>
      </c>
      <c r="K1109" s="25">
        <v>22</v>
      </c>
      <c r="M1109" s="25">
        <v>4</v>
      </c>
      <c r="N1109" s="25">
        <f t="shared" si="83"/>
        <v>1350</v>
      </c>
      <c r="O1109" s="25">
        <v>1</v>
      </c>
      <c r="P1109" s="25">
        <v>1</v>
      </c>
      <c r="Q1109" s="25">
        <v>1</v>
      </c>
      <c r="R1109" s="25">
        <v>1</v>
      </c>
      <c r="AA1109" s="25">
        <f t="shared" si="84"/>
        <v>128</v>
      </c>
      <c r="AK1109" s="25">
        <v>1</v>
      </c>
      <c r="AM1109" s="25">
        <v>1350</v>
      </c>
      <c r="AN1109" s="25">
        <v>100</v>
      </c>
      <c r="AP1109" s="25">
        <f t="shared" si="82"/>
        <v>1</v>
      </c>
      <c r="AQ1109" s="25" t="str">
        <f>VLOOKUP(C1109,'시스템이펙트 참고자료'!$A:$B,2,FALSE)</f>
        <v>ACTIVE_BURN_DEFENCE</v>
      </c>
      <c r="BD1109" s="25">
        <v>1</v>
      </c>
    </row>
    <row r="1110" spans="1:56" hidden="1">
      <c r="A1110" s="25">
        <v>1105</v>
      </c>
      <c r="B1110" s="25" t="str">
        <f>VLOOKUP(C1110,'시스템이펙트 참고자료'!$A:$C,2,FALSE)</f>
        <v>ACTIVE_FUNNY_OFFENCE_UP</v>
      </c>
      <c r="C1110" s="25">
        <v>676</v>
      </c>
      <c r="D1110" s="25">
        <f>VLOOKUP(C1110,'시스템이펙트 참고자료'!$A:$D,4,FALSE)</f>
        <v>0</v>
      </c>
      <c r="E1110" s="25">
        <v>0</v>
      </c>
      <c r="F1110" s="25">
        <v>0</v>
      </c>
      <c r="G1110" s="25">
        <f t="shared" si="81"/>
        <v>3</v>
      </c>
      <c r="H1110" s="25" t="s">
        <v>395</v>
      </c>
      <c r="I1110" s="25">
        <v>1</v>
      </c>
      <c r="J1110" s="25" t="str">
        <f>VLOOKUP(C1110,'시스템이펙트 참고자료'!$A:$C,3,FALSE)</f>
        <v>절대값만 가능</v>
      </c>
      <c r="K1110" s="25">
        <v>22</v>
      </c>
      <c r="M1110" s="25">
        <v>4</v>
      </c>
      <c r="N1110" s="25">
        <f t="shared" si="83"/>
        <v>41</v>
      </c>
      <c r="O1110" s="25">
        <v>1</v>
      </c>
      <c r="P1110" s="25">
        <v>1</v>
      </c>
      <c r="Q1110" s="25">
        <v>1</v>
      </c>
      <c r="R1110" s="25">
        <v>1</v>
      </c>
      <c r="AA1110" s="25">
        <f t="shared" si="84"/>
        <v>128</v>
      </c>
      <c r="AK1110" s="25">
        <v>1</v>
      </c>
      <c r="AM1110" s="25">
        <v>41</v>
      </c>
      <c r="AN1110" s="25">
        <v>100</v>
      </c>
      <c r="AP1110" s="25">
        <f t="shared" si="82"/>
        <v>3</v>
      </c>
      <c r="AQ1110" s="25" t="str">
        <f>VLOOKUP(C1110,'시스템이펙트 참고자료'!$A:$B,2,FALSE)</f>
        <v>ACTIVE_FUNNY_OFFENCE_UP</v>
      </c>
      <c r="BD1110" s="25">
        <v>1</v>
      </c>
    </row>
    <row r="1111" spans="1:56">
      <c r="A1111" s="25">
        <v>2000</v>
      </c>
      <c r="B1111" s="25" t="s">
        <v>257</v>
      </c>
      <c r="C1111" s="25">
        <v>603</v>
      </c>
      <c r="D1111" s="25">
        <f>VLOOKUP(C1111,'시스템이펙트 참고자료'!$A:$D,4,FALSE)</f>
        <v>0</v>
      </c>
      <c r="E1111" s="25">
        <v>0</v>
      </c>
      <c r="F1111" s="25">
        <v>1</v>
      </c>
      <c r="G1111" s="25">
        <v>1</v>
      </c>
      <c r="H1111" s="25" t="s">
        <v>395</v>
      </c>
      <c r="I1111" s="25">
        <v>3</v>
      </c>
      <c r="J1111" s="25">
        <v>20</v>
      </c>
      <c r="K1111" s="25">
        <v>0</v>
      </c>
      <c r="L1111" s="25">
        <f>(T1111*$T$3)+(U1111*$U$3)+(V1111*$V$3)+(W1111*$W$3)+(X1111*$X$3)+(Y1111*$Y$3)+(Z1111*$Z$3)+(AA1111*$AA$3)+(AB1111*$AB$3)+(AC1111*$AC$3)+(AD1111*$AD$3)+(AE1111*$AE$3)+(AF1111*$AF$3)+(AG1111*$AG$3)</f>
        <v>12</v>
      </c>
      <c r="M1111" s="25">
        <v>1</v>
      </c>
      <c r="N1111" s="25">
        <f t="shared" si="83"/>
        <v>0</v>
      </c>
      <c r="O1111" s="25">
        <v>1</v>
      </c>
      <c r="P1111" s="25">
        <v>1</v>
      </c>
      <c r="Q1111" s="25">
        <v>1</v>
      </c>
      <c r="R1111" s="25">
        <v>1</v>
      </c>
      <c r="V1111" s="25">
        <v>1</v>
      </c>
      <c r="W1111" s="25">
        <v>1</v>
      </c>
      <c r="AK1111" s="25">
        <f>COUNT(T1111:AI1111)</f>
        <v>2</v>
      </c>
    </row>
    <row r="1112" spans="1:56">
      <c r="A1112" s="25">
        <v>2001</v>
      </c>
      <c r="B1112" s="25" t="s">
        <v>258</v>
      </c>
      <c r="C1112" s="25">
        <v>604</v>
      </c>
      <c r="D1112" s="25">
        <f>VLOOKUP(C1112,'시스템이펙트 참고자료'!$A:$D,4,FALSE)</f>
        <v>0</v>
      </c>
      <c r="E1112" s="25">
        <v>0</v>
      </c>
      <c r="F1112" s="25">
        <v>2</v>
      </c>
      <c r="G1112" s="25">
        <v>1</v>
      </c>
      <c r="H1112" s="25" t="s">
        <v>395</v>
      </c>
      <c r="I1112" s="25">
        <v>3</v>
      </c>
      <c r="J1112" s="25">
        <v>27</v>
      </c>
      <c r="K1112" s="25">
        <v>0</v>
      </c>
      <c r="L1112" s="25">
        <f t="shared" ref="L1112:L1173" si="85">(T1112*$T$3)+(U1112*$U$3)+(V1112*$V$3)+(W1112*$W$3)+(X1112*$X$3)+(Y1112*$Y$3)+(Z1112*$Z$3)+(AA1112*$AA$3)+(AB1112*$AB$3)+(AC1112*$AC$3)+(AD1112*$AD$3)+(AE1112*$AE$3)+(AF1112*$AF$3)+(AG1112*$AG$3)</f>
        <v>12</v>
      </c>
      <c r="M1112" s="25">
        <v>1</v>
      </c>
      <c r="N1112" s="25">
        <f t="shared" si="83"/>
        <v>0</v>
      </c>
      <c r="O1112" s="25">
        <v>1</v>
      </c>
      <c r="P1112" s="25">
        <v>1</v>
      </c>
      <c r="Q1112" s="25">
        <v>1</v>
      </c>
      <c r="R1112" s="25">
        <v>1</v>
      </c>
      <c r="V1112" s="25">
        <v>1</v>
      </c>
      <c r="W1112" s="25">
        <v>1</v>
      </c>
      <c r="AK1112" s="25">
        <f t="shared" ref="AK1112:AK1173" si="86">COUNT(T1112:AI1112)</f>
        <v>2</v>
      </c>
    </row>
    <row r="1113" spans="1:56">
      <c r="A1113" s="25">
        <v>2002</v>
      </c>
      <c r="B1113" s="25" t="s">
        <v>260</v>
      </c>
      <c r="C1113" s="25">
        <v>606</v>
      </c>
      <c r="D1113" s="25">
        <f>VLOOKUP(C1113,'시스템이펙트 참고자료'!$A:$D,4,FALSE)</f>
        <v>0</v>
      </c>
      <c r="E1113" s="25">
        <v>0</v>
      </c>
      <c r="F1113" s="25">
        <v>3</v>
      </c>
      <c r="G1113" s="25">
        <v>1</v>
      </c>
      <c r="H1113" s="25" t="s">
        <v>395</v>
      </c>
      <c r="I1113" s="25">
        <v>3</v>
      </c>
      <c r="J1113" s="25">
        <v>409</v>
      </c>
      <c r="K1113" s="25">
        <v>0</v>
      </c>
      <c r="L1113" s="25">
        <f t="shared" si="85"/>
        <v>8707</v>
      </c>
      <c r="M1113" s="25">
        <v>1</v>
      </c>
      <c r="N1113" s="25">
        <f t="shared" si="83"/>
        <v>0</v>
      </c>
      <c r="O1113" s="25">
        <v>1</v>
      </c>
      <c r="P1113" s="25">
        <v>1</v>
      </c>
      <c r="Q1113" s="25">
        <v>1</v>
      </c>
      <c r="R1113" s="25">
        <v>1</v>
      </c>
      <c r="T1113" s="25">
        <v>1</v>
      </c>
      <c r="U1113" s="25">
        <v>1</v>
      </c>
      <c r="AC1113" s="25">
        <v>1</v>
      </c>
      <c r="AG1113" s="25">
        <v>1</v>
      </c>
      <c r="AK1113" s="25">
        <f t="shared" si="86"/>
        <v>4</v>
      </c>
    </row>
    <row r="1114" spans="1:56">
      <c r="A1114" s="25">
        <v>2003</v>
      </c>
      <c r="B1114" s="25" t="s">
        <v>261</v>
      </c>
      <c r="C1114" s="25">
        <v>607</v>
      </c>
      <c r="D1114" s="25">
        <f>VLOOKUP(C1114,'시스템이펙트 참고자료'!$A:$D,4,FALSE)</f>
        <v>0</v>
      </c>
      <c r="E1114" s="25">
        <v>0</v>
      </c>
      <c r="F1114" s="25">
        <v>3</v>
      </c>
      <c r="G1114" s="25">
        <v>1</v>
      </c>
      <c r="H1114" s="25" t="s">
        <v>395</v>
      </c>
      <c r="I1114" s="25">
        <v>3</v>
      </c>
      <c r="J1114" s="25">
        <v>409</v>
      </c>
      <c r="K1114" s="25">
        <v>0</v>
      </c>
      <c r="L1114" s="25">
        <f t="shared" si="85"/>
        <v>12291</v>
      </c>
      <c r="M1114" s="25">
        <v>1</v>
      </c>
      <c r="N1114" s="25">
        <f t="shared" si="83"/>
        <v>0</v>
      </c>
      <c r="O1114" s="25">
        <v>1</v>
      </c>
      <c r="P1114" s="25">
        <v>1</v>
      </c>
      <c r="Q1114" s="25">
        <v>1</v>
      </c>
      <c r="R1114" s="25">
        <v>1</v>
      </c>
      <c r="T1114" s="25">
        <v>1</v>
      </c>
      <c r="U1114" s="25">
        <v>1</v>
      </c>
      <c r="AF1114" s="25">
        <v>1</v>
      </c>
      <c r="AG1114" s="25">
        <v>1</v>
      </c>
      <c r="AK1114" s="25">
        <f t="shared" si="86"/>
        <v>4</v>
      </c>
    </row>
    <row r="1115" spans="1:56">
      <c r="A1115" s="25">
        <v>2004</v>
      </c>
      <c r="B1115" s="25" t="s">
        <v>262</v>
      </c>
      <c r="C1115" s="25">
        <v>608</v>
      </c>
      <c r="D1115" s="25">
        <f>VLOOKUP(C1115,'시스템이펙트 참고자료'!$A:$D,4,FALSE)</f>
        <v>0</v>
      </c>
      <c r="E1115" s="25">
        <v>0</v>
      </c>
      <c r="F1115" s="25">
        <v>4</v>
      </c>
      <c r="G1115" s="25">
        <v>1</v>
      </c>
      <c r="H1115" s="25" t="s">
        <v>395</v>
      </c>
      <c r="I1115" s="25">
        <v>3</v>
      </c>
      <c r="J1115" s="25">
        <v>204</v>
      </c>
      <c r="K1115" s="25">
        <v>0</v>
      </c>
      <c r="L1115" s="25">
        <f t="shared" si="85"/>
        <v>29</v>
      </c>
      <c r="M1115" s="25">
        <v>1</v>
      </c>
      <c r="N1115" s="25">
        <f t="shared" si="83"/>
        <v>0</v>
      </c>
      <c r="O1115" s="25">
        <v>1</v>
      </c>
      <c r="P1115" s="25">
        <v>1</v>
      </c>
      <c r="Q1115" s="25">
        <v>1</v>
      </c>
      <c r="R1115" s="25">
        <v>1</v>
      </c>
      <c r="T1115" s="25">
        <v>1</v>
      </c>
      <c r="V1115" s="25">
        <v>1</v>
      </c>
      <c r="W1115" s="25">
        <v>1</v>
      </c>
      <c r="X1115" s="25">
        <v>1</v>
      </c>
      <c r="AK1115" s="25">
        <f t="shared" si="86"/>
        <v>4</v>
      </c>
    </row>
    <row r="1116" spans="1:56">
      <c r="A1116" s="25">
        <v>2005</v>
      </c>
      <c r="B1116" s="25" t="s">
        <v>263</v>
      </c>
      <c r="C1116" s="25">
        <v>609</v>
      </c>
      <c r="D1116" s="25">
        <f>VLOOKUP(C1116,'시스템이펙트 참고자료'!$A:$D,4,FALSE)</f>
        <v>0</v>
      </c>
      <c r="E1116" s="25">
        <v>0</v>
      </c>
      <c r="F1116" s="25">
        <v>4</v>
      </c>
      <c r="G1116" s="25">
        <v>1</v>
      </c>
      <c r="H1116" s="25" t="s">
        <v>395</v>
      </c>
      <c r="I1116" s="25">
        <v>3</v>
      </c>
      <c r="J1116" s="25">
        <v>204</v>
      </c>
      <c r="K1116" s="25">
        <v>0</v>
      </c>
      <c r="L1116" s="25">
        <f t="shared" si="85"/>
        <v>30</v>
      </c>
      <c r="M1116" s="25">
        <v>1</v>
      </c>
      <c r="N1116" s="25">
        <f t="shared" si="83"/>
        <v>0</v>
      </c>
      <c r="O1116" s="25">
        <v>1</v>
      </c>
      <c r="P1116" s="25">
        <v>1</v>
      </c>
      <c r="Q1116" s="25">
        <v>1</v>
      </c>
      <c r="R1116" s="25">
        <v>1</v>
      </c>
      <c r="U1116" s="25">
        <v>1</v>
      </c>
      <c r="V1116" s="25">
        <v>1</v>
      </c>
      <c r="W1116" s="25">
        <v>1</v>
      </c>
      <c r="X1116" s="25">
        <v>1</v>
      </c>
      <c r="AK1116" s="25">
        <f t="shared" si="86"/>
        <v>4</v>
      </c>
    </row>
    <row r="1117" spans="1:56">
      <c r="A1117" s="25">
        <v>2006</v>
      </c>
      <c r="B1117" s="25" t="s">
        <v>383</v>
      </c>
      <c r="C1117" s="25">
        <v>610</v>
      </c>
      <c r="D1117" s="25">
        <f>VLOOKUP(C1117,'시스템이펙트 참고자료'!$A:$D,4,FALSE)</f>
        <v>0</v>
      </c>
      <c r="E1117" s="25">
        <v>0</v>
      </c>
      <c r="F1117" s="25">
        <v>5</v>
      </c>
      <c r="G1117" s="25">
        <v>1</v>
      </c>
      <c r="H1117" s="25" t="s">
        <v>395</v>
      </c>
      <c r="I1117" s="25">
        <v>3</v>
      </c>
      <c r="J1117" s="25">
        <v>800</v>
      </c>
      <c r="K1117" s="25">
        <v>0</v>
      </c>
      <c r="L1117" s="25">
        <f t="shared" si="85"/>
        <v>12329</v>
      </c>
      <c r="M1117" s="25">
        <v>1</v>
      </c>
      <c r="N1117" s="25">
        <f t="shared" si="83"/>
        <v>0</v>
      </c>
      <c r="O1117" s="25">
        <v>1</v>
      </c>
      <c r="P1117" s="25">
        <v>1</v>
      </c>
      <c r="Q1117" s="25">
        <v>1</v>
      </c>
      <c r="R1117" s="25">
        <v>1</v>
      </c>
      <c r="T1117" s="30">
        <v>1</v>
      </c>
      <c r="U1117" s="30"/>
      <c r="V1117" s="30"/>
      <c r="W1117" s="30">
        <v>1</v>
      </c>
      <c r="X1117" s="30"/>
      <c r="Y1117" s="30">
        <v>1</v>
      </c>
      <c r="AF1117" s="25">
        <v>1</v>
      </c>
      <c r="AG1117" s="25">
        <v>1</v>
      </c>
      <c r="AK1117" s="25">
        <f t="shared" si="86"/>
        <v>5</v>
      </c>
    </row>
    <row r="1118" spans="1:56">
      <c r="A1118" s="25">
        <v>2007</v>
      </c>
      <c r="B1118" s="25" t="s">
        <v>265</v>
      </c>
      <c r="C1118" s="25">
        <v>611</v>
      </c>
      <c r="D1118" s="25">
        <f>VLOOKUP(C1118,'시스템이펙트 참고자료'!$A:$D,4,FALSE)</f>
        <v>0</v>
      </c>
      <c r="E1118" s="25">
        <v>0</v>
      </c>
      <c r="F1118" s="25">
        <v>6</v>
      </c>
      <c r="G1118" s="25">
        <v>1</v>
      </c>
      <c r="H1118" s="25" t="s">
        <v>395</v>
      </c>
      <c r="I1118" s="25">
        <v>3</v>
      </c>
      <c r="J1118" s="25">
        <v>800</v>
      </c>
      <c r="K1118" s="25">
        <v>0</v>
      </c>
      <c r="L1118" s="25">
        <f t="shared" si="85"/>
        <v>8476</v>
      </c>
      <c r="M1118" s="25">
        <v>1</v>
      </c>
      <c r="N1118" s="25">
        <f t="shared" si="83"/>
        <v>0</v>
      </c>
      <c r="O1118" s="25">
        <v>1</v>
      </c>
      <c r="P1118" s="25">
        <v>1</v>
      </c>
      <c r="Q1118" s="25">
        <v>1</v>
      </c>
      <c r="R1118" s="25">
        <v>1</v>
      </c>
      <c r="T1118" s="30"/>
      <c r="U1118" s="30"/>
      <c r="V1118" s="30">
        <v>1</v>
      </c>
      <c r="W1118" s="30">
        <v>1</v>
      </c>
      <c r="X1118" s="30">
        <v>1</v>
      </c>
      <c r="Y1118" s="30"/>
      <c r="AB1118" s="25">
        <v>1</v>
      </c>
      <c r="AG1118" s="25">
        <v>1</v>
      </c>
      <c r="AK1118" s="25">
        <f t="shared" si="86"/>
        <v>5</v>
      </c>
    </row>
    <row r="1119" spans="1:56">
      <c r="A1119" s="25">
        <v>2008</v>
      </c>
      <c r="B1119" s="25" t="s">
        <v>266</v>
      </c>
      <c r="C1119" s="25">
        <v>612</v>
      </c>
      <c r="D1119" s="25">
        <f>VLOOKUP(C1119,'시스템이펙트 참고자료'!$A:$D,4,FALSE)</f>
        <v>0</v>
      </c>
      <c r="E1119" s="25">
        <v>0</v>
      </c>
      <c r="F1119" s="25">
        <v>7</v>
      </c>
      <c r="G1119" s="25">
        <v>1</v>
      </c>
      <c r="H1119" s="25" t="s">
        <v>395</v>
      </c>
      <c r="I1119" s="25">
        <v>3</v>
      </c>
      <c r="J1119" s="25">
        <v>800</v>
      </c>
      <c r="K1119" s="25">
        <v>0</v>
      </c>
      <c r="L1119" s="25">
        <f t="shared" si="85"/>
        <v>9229</v>
      </c>
      <c r="M1119" s="25">
        <v>1</v>
      </c>
      <c r="N1119" s="25">
        <f t="shared" si="83"/>
        <v>0</v>
      </c>
      <c r="O1119" s="25">
        <v>1</v>
      </c>
      <c r="P1119" s="25">
        <v>1</v>
      </c>
      <c r="Q1119" s="25">
        <v>1</v>
      </c>
      <c r="R1119" s="25">
        <v>1</v>
      </c>
      <c r="T1119" s="30">
        <v>1</v>
      </c>
      <c r="U1119" s="30"/>
      <c r="V1119" s="30">
        <v>1</v>
      </c>
      <c r="W1119" s="30">
        <v>1</v>
      </c>
      <c r="X1119" s="30"/>
      <c r="Y1119" s="30"/>
      <c r="AD1119" s="25">
        <v>1</v>
      </c>
      <c r="AG1119" s="25">
        <v>1</v>
      </c>
      <c r="AK1119" s="25">
        <f t="shared" si="86"/>
        <v>5</v>
      </c>
    </row>
    <row r="1120" spans="1:56">
      <c r="A1120" s="25">
        <v>2009</v>
      </c>
      <c r="B1120" s="25" t="s">
        <v>267</v>
      </c>
      <c r="C1120" s="25">
        <v>613</v>
      </c>
      <c r="D1120" s="25">
        <f>VLOOKUP(C1120,'시스템이펙트 참고자료'!$A:$D,4,FALSE)</f>
        <v>0</v>
      </c>
      <c r="E1120" s="25">
        <v>0</v>
      </c>
      <c r="F1120" s="25">
        <v>8</v>
      </c>
      <c r="G1120" s="25">
        <v>1</v>
      </c>
      <c r="H1120" s="25" t="s">
        <v>395</v>
      </c>
      <c r="I1120" s="25">
        <v>3</v>
      </c>
      <c r="J1120" s="25">
        <v>800</v>
      </c>
      <c r="K1120" s="25">
        <v>0</v>
      </c>
      <c r="L1120" s="25">
        <f t="shared" si="85"/>
        <v>10292</v>
      </c>
      <c r="M1120" s="25">
        <v>1</v>
      </c>
      <c r="N1120" s="25">
        <f t="shared" si="83"/>
        <v>0</v>
      </c>
      <c r="O1120" s="25">
        <v>1</v>
      </c>
      <c r="P1120" s="25">
        <v>1</v>
      </c>
      <c r="Q1120" s="25">
        <v>1</v>
      </c>
      <c r="R1120" s="25">
        <v>1</v>
      </c>
      <c r="T1120" s="30"/>
      <c r="U1120" s="30"/>
      <c r="V1120" s="30">
        <v>1</v>
      </c>
      <c r="W1120" s="30"/>
      <c r="X1120" s="30">
        <v>1</v>
      </c>
      <c r="Y1120" s="30">
        <v>1</v>
      </c>
      <c r="AE1120" s="25">
        <v>1</v>
      </c>
      <c r="AG1120" s="25">
        <v>1</v>
      </c>
      <c r="AK1120" s="25">
        <f t="shared" si="86"/>
        <v>5</v>
      </c>
    </row>
    <row r="1121" spans="1:37">
      <c r="A1121" s="25">
        <v>2010</v>
      </c>
      <c r="B1121" s="25" t="s">
        <v>268</v>
      </c>
      <c r="C1121" s="25">
        <v>614</v>
      </c>
      <c r="D1121" s="25">
        <f>VLOOKUP(C1121,'시스템이펙트 참고자료'!$A:$D,4,FALSE)</f>
        <v>0</v>
      </c>
      <c r="E1121" s="25">
        <v>0</v>
      </c>
      <c r="F1121" s="25">
        <v>9</v>
      </c>
      <c r="G1121" s="25">
        <v>1</v>
      </c>
      <c r="H1121" s="25" t="s">
        <v>395</v>
      </c>
      <c r="I1121" s="25">
        <v>3</v>
      </c>
      <c r="J1121" s="25">
        <v>800</v>
      </c>
      <c r="K1121" s="25">
        <v>0</v>
      </c>
      <c r="L1121" s="25">
        <f t="shared" si="85"/>
        <v>8729</v>
      </c>
      <c r="M1121" s="25">
        <v>1</v>
      </c>
      <c r="N1121" s="25">
        <f t="shared" si="83"/>
        <v>0</v>
      </c>
      <c r="O1121" s="25">
        <v>1</v>
      </c>
      <c r="P1121" s="25">
        <v>1</v>
      </c>
      <c r="Q1121" s="25">
        <v>1</v>
      </c>
      <c r="R1121" s="25">
        <v>1</v>
      </c>
      <c r="T1121" s="30">
        <v>1</v>
      </c>
      <c r="U1121" s="30"/>
      <c r="V1121" s="30"/>
      <c r="W1121" s="30">
        <v>1</v>
      </c>
      <c r="X1121" s="30">
        <v>1</v>
      </c>
      <c r="Y1121" s="30"/>
      <c r="AC1121" s="25">
        <v>1</v>
      </c>
      <c r="AG1121" s="25">
        <v>1</v>
      </c>
      <c r="AK1121" s="25">
        <f t="shared" si="86"/>
        <v>5</v>
      </c>
    </row>
    <row r="1122" spans="1:37">
      <c r="A1122" s="25">
        <v>2011</v>
      </c>
      <c r="B1122" s="25" t="s">
        <v>269</v>
      </c>
      <c r="C1122" s="25">
        <v>615</v>
      </c>
      <c r="D1122" s="25">
        <f>VLOOKUP(C1122,'시스템이펙트 참고자료'!$A:$D,4,FALSE)</f>
        <v>0</v>
      </c>
      <c r="E1122" s="25">
        <v>0</v>
      </c>
      <c r="F1122" s="25">
        <v>10</v>
      </c>
      <c r="G1122" s="25">
        <v>1</v>
      </c>
      <c r="H1122" s="25" t="s">
        <v>395</v>
      </c>
      <c r="I1122" s="25">
        <v>3</v>
      </c>
      <c r="J1122" s="25">
        <v>800</v>
      </c>
      <c r="K1122" s="25">
        <v>0</v>
      </c>
      <c r="L1122" s="25">
        <f t="shared" si="85"/>
        <v>52</v>
      </c>
      <c r="M1122" s="25">
        <v>1</v>
      </c>
      <c r="N1122" s="25">
        <f t="shared" si="83"/>
        <v>0</v>
      </c>
      <c r="O1122" s="25">
        <v>1</v>
      </c>
      <c r="P1122" s="25">
        <v>1</v>
      </c>
      <c r="Q1122" s="25">
        <v>1</v>
      </c>
      <c r="R1122" s="25">
        <v>1</v>
      </c>
      <c r="T1122" s="30"/>
      <c r="U1122" s="30"/>
      <c r="V1122" s="30">
        <v>1</v>
      </c>
      <c r="W1122" s="30"/>
      <c r="X1122" s="30">
        <v>1</v>
      </c>
      <c r="Y1122" s="30">
        <v>1</v>
      </c>
      <c r="AK1122" s="25">
        <f t="shared" si="86"/>
        <v>3</v>
      </c>
    </row>
    <row r="1123" spans="1:37">
      <c r="A1123" s="25">
        <v>2012</v>
      </c>
      <c r="B1123" s="25" t="s">
        <v>270</v>
      </c>
      <c r="C1123" s="25">
        <v>616</v>
      </c>
      <c r="D1123" s="25">
        <f>VLOOKUP(C1123,'시스템이펙트 참고자료'!$A:$D,4,FALSE)</f>
        <v>1</v>
      </c>
      <c r="E1123" s="25">
        <v>0</v>
      </c>
      <c r="F1123" s="25">
        <v>11</v>
      </c>
      <c r="G1123" s="25">
        <v>1</v>
      </c>
      <c r="H1123" s="25" t="s">
        <v>395</v>
      </c>
      <c r="I1123" s="25">
        <v>3</v>
      </c>
      <c r="J1123" s="25">
        <v>1020</v>
      </c>
      <c r="K1123" s="25">
        <v>0</v>
      </c>
      <c r="L1123" s="25">
        <f t="shared" si="85"/>
        <v>8464</v>
      </c>
      <c r="M1123" s="25">
        <v>1</v>
      </c>
      <c r="N1123" s="25">
        <f t="shared" si="83"/>
        <v>0</v>
      </c>
      <c r="O1123" s="25">
        <v>1</v>
      </c>
      <c r="P1123" s="25">
        <v>1</v>
      </c>
      <c r="Q1123" s="25">
        <v>1</v>
      </c>
      <c r="R1123" s="25">
        <v>1</v>
      </c>
      <c r="X1123" s="25">
        <v>1</v>
      </c>
      <c r="AB1123" s="25">
        <v>1</v>
      </c>
      <c r="AG1123" s="25">
        <v>1</v>
      </c>
      <c r="AK1123" s="25">
        <f t="shared" si="86"/>
        <v>3</v>
      </c>
    </row>
    <row r="1124" spans="1:37">
      <c r="A1124" s="25">
        <v>2013</v>
      </c>
      <c r="B1124" s="25" t="s">
        <v>271</v>
      </c>
      <c r="C1124" s="25">
        <v>617</v>
      </c>
      <c r="D1124" s="25">
        <f>VLOOKUP(C1124,'시스템이펙트 참고자료'!$A:$D,4,FALSE)</f>
        <v>1</v>
      </c>
      <c r="E1124" s="25">
        <v>0</v>
      </c>
      <c r="F1124" s="25">
        <v>12</v>
      </c>
      <c r="G1124" s="25">
        <v>1</v>
      </c>
      <c r="H1124" s="25" t="s">
        <v>395</v>
      </c>
      <c r="I1124" s="25">
        <v>3</v>
      </c>
      <c r="J1124" s="25">
        <v>1020</v>
      </c>
      <c r="K1124" s="25">
        <v>0</v>
      </c>
      <c r="L1124" s="25">
        <f t="shared" si="85"/>
        <v>8707</v>
      </c>
      <c r="M1124" s="25">
        <v>1</v>
      </c>
      <c r="N1124" s="25">
        <f t="shared" si="83"/>
        <v>0</v>
      </c>
      <c r="O1124" s="25">
        <v>1</v>
      </c>
      <c r="P1124" s="25">
        <v>1</v>
      </c>
      <c r="Q1124" s="25">
        <v>1</v>
      </c>
      <c r="R1124" s="25">
        <v>1</v>
      </c>
      <c r="T1124" s="25">
        <v>1</v>
      </c>
      <c r="U1124" s="25">
        <v>1</v>
      </c>
      <c r="AC1124" s="25">
        <v>1</v>
      </c>
      <c r="AG1124" s="25">
        <v>1</v>
      </c>
      <c r="AK1124" s="25">
        <f t="shared" si="86"/>
        <v>4</v>
      </c>
    </row>
    <row r="1125" spans="1:37">
      <c r="A1125" s="25">
        <v>2014</v>
      </c>
      <c r="B1125" s="25" t="s">
        <v>272</v>
      </c>
      <c r="C1125" s="25">
        <v>618</v>
      </c>
      <c r="D1125" s="25">
        <f>VLOOKUP(C1125,'시스템이펙트 참고자료'!$A:$D,4,FALSE)</f>
        <v>0</v>
      </c>
      <c r="E1125" s="25">
        <v>0</v>
      </c>
      <c r="F1125" s="25">
        <v>13</v>
      </c>
      <c r="G1125" s="25">
        <v>1</v>
      </c>
      <c r="H1125" s="25" t="s">
        <v>395</v>
      </c>
      <c r="I1125" s="25">
        <v>3</v>
      </c>
      <c r="J1125" s="25">
        <v>102</v>
      </c>
      <c r="K1125" s="25">
        <v>0</v>
      </c>
      <c r="L1125" s="25">
        <f t="shared" si="85"/>
        <v>10243</v>
      </c>
      <c r="M1125" s="25">
        <v>1</v>
      </c>
      <c r="N1125" s="25">
        <f t="shared" si="83"/>
        <v>0</v>
      </c>
      <c r="O1125" s="25">
        <v>1</v>
      </c>
      <c r="P1125" s="25">
        <v>1</v>
      </c>
      <c r="Q1125" s="25">
        <v>1</v>
      </c>
      <c r="R1125" s="25">
        <v>1</v>
      </c>
      <c r="T1125" s="25">
        <v>1</v>
      </c>
      <c r="U1125" s="25">
        <v>1</v>
      </c>
      <c r="AE1125" s="25">
        <v>1</v>
      </c>
      <c r="AG1125" s="25">
        <v>1</v>
      </c>
      <c r="AK1125" s="25">
        <f t="shared" si="86"/>
        <v>4</v>
      </c>
    </row>
    <row r="1126" spans="1:37">
      <c r="A1126" s="25">
        <v>2015</v>
      </c>
      <c r="B1126" s="25" t="s">
        <v>273</v>
      </c>
      <c r="C1126" s="25">
        <v>619</v>
      </c>
      <c r="D1126" s="25">
        <f>VLOOKUP(C1126,'시스템이펙트 참고자료'!$A:$D,4,FALSE)</f>
        <v>0</v>
      </c>
      <c r="E1126" s="25">
        <v>0</v>
      </c>
      <c r="F1126" s="25">
        <v>14</v>
      </c>
      <c r="G1126" s="25">
        <v>1</v>
      </c>
      <c r="H1126" s="25" t="s">
        <v>395</v>
      </c>
      <c r="I1126" s="25">
        <v>3</v>
      </c>
      <c r="J1126" s="25">
        <v>204</v>
      </c>
      <c r="K1126" s="25">
        <v>0</v>
      </c>
      <c r="L1126" s="25">
        <f t="shared" si="85"/>
        <v>9219</v>
      </c>
      <c r="M1126" s="25">
        <v>1</v>
      </c>
      <c r="N1126" s="25">
        <f t="shared" si="83"/>
        <v>0</v>
      </c>
      <c r="O1126" s="25">
        <v>1</v>
      </c>
      <c r="P1126" s="25">
        <v>1</v>
      </c>
      <c r="Q1126" s="25">
        <v>1</v>
      </c>
      <c r="R1126" s="25">
        <v>1</v>
      </c>
      <c r="T1126" s="25">
        <v>1</v>
      </c>
      <c r="U1126" s="25">
        <v>1</v>
      </c>
      <c r="AD1126" s="25">
        <v>1</v>
      </c>
      <c r="AG1126" s="25">
        <v>1</v>
      </c>
      <c r="AK1126" s="25">
        <f t="shared" si="86"/>
        <v>4</v>
      </c>
    </row>
    <row r="1127" spans="1:37">
      <c r="A1127" s="25">
        <v>2016</v>
      </c>
      <c r="B1127" s="25" t="s">
        <v>274</v>
      </c>
      <c r="C1127" s="25">
        <v>620</v>
      </c>
      <c r="D1127" s="25">
        <f>VLOOKUP(C1127,'시스템이펙트 참고자료'!$A:$D,4,FALSE)</f>
        <v>0</v>
      </c>
      <c r="E1127" s="25">
        <v>0</v>
      </c>
      <c r="F1127" s="25">
        <v>15</v>
      </c>
      <c r="G1127" s="25">
        <v>1</v>
      </c>
      <c r="H1127" s="25" t="s">
        <v>395</v>
      </c>
      <c r="I1127" s="25">
        <v>3</v>
      </c>
      <c r="J1127" s="25">
        <v>51</v>
      </c>
      <c r="K1127" s="25">
        <v>0</v>
      </c>
      <c r="L1127" s="25">
        <f t="shared" si="85"/>
        <v>28</v>
      </c>
      <c r="M1127" s="25">
        <v>1</v>
      </c>
      <c r="N1127" s="25">
        <f t="shared" si="83"/>
        <v>0</v>
      </c>
      <c r="O1127" s="25">
        <v>1</v>
      </c>
      <c r="P1127" s="25">
        <v>1</v>
      </c>
      <c r="Q1127" s="25">
        <v>1</v>
      </c>
      <c r="R1127" s="25">
        <v>1</v>
      </c>
      <c r="V1127" s="25">
        <v>1</v>
      </c>
      <c r="W1127" s="25">
        <v>1</v>
      </c>
      <c r="X1127" s="25">
        <v>1</v>
      </c>
      <c r="AK1127" s="25">
        <f t="shared" si="86"/>
        <v>3</v>
      </c>
    </row>
    <row r="1128" spans="1:37">
      <c r="A1128" s="25">
        <v>2017</v>
      </c>
      <c r="B1128" s="25" t="s">
        <v>275</v>
      </c>
      <c r="C1128" s="25">
        <v>621</v>
      </c>
      <c r="D1128" s="25">
        <f>VLOOKUP(C1128,'시스템이펙트 참고자료'!$A:$D,4,FALSE)</f>
        <v>0</v>
      </c>
      <c r="E1128" s="25">
        <v>0</v>
      </c>
      <c r="F1128" s="25">
        <v>16</v>
      </c>
      <c r="G1128" s="25">
        <v>1</v>
      </c>
      <c r="H1128" s="25" t="s">
        <v>395</v>
      </c>
      <c r="I1128" s="25">
        <v>3</v>
      </c>
      <c r="J1128" s="25">
        <v>2600</v>
      </c>
      <c r="K1128" s="25">
        <v>0</v>
      </c>
      <c r="L1128" s="25">
        <f t="shared" si="85"/>
        <v>12512</v>
      </c>
      <c r="M1128" s="25">
        <v>1</v>
      </c>
      <c r="N1128" s="25">
        <f t="shared" si="83"/>
        <v>0</v>
      </c>
      <c r="O1128" s="25">
        <v>1</v>
      </c>
      <c r="P1128" s="25">
        <v>1</v>
      </c>
      <c r="Q1128" s="25">
        <v>1</v>
      </c>
      <c r="R1128" s="25">
        <v>1</v>
      </c>
      <c r="Y1128" s="25">
        <v>1</v>
      </c>
      <c r="Z1128" s="25">
        <v>1</v>
      </c>
      <c r="AA1128" s="25">
        <v>1</v>
      </c>
      <c r="AF1128" s="25">
        <v>1</v>
      </c>
      <c r="AG1128" s="25">
        <v>1</v>
      </c>
      <c r="AK1128" s="25">
        <f t="shared" si="86"/>
        <v>5</v>
      </c>
    </row>
    <row r="1129" spans="1:37">
      <c r="A1129" s="25">
        <v>2018</v>
      </c>
      <c r="B1129" s="25" t="s">
        <v>276</v>
      </c>
      <c r="C1129" s="25">
        <v>622</v>
      </c>
      <c r="D1129" s="25">
        <f>VLOOKUP(C1129,'시스템이펙트 참고자료'!$A:$D,4,FALSE)</f>
        <v>0</v>
      </c>
      <c r="E1129" s="25">
        <v>0</v>
      </c>
      <c r="F1129" s="25">
        <v>16</v>
      </c>
      <c r="G1129" s="25">
        <v>1</v>
      </c>
      <c r="H1129" s="25" t="s">
        <v>395</v>
      </c>
      <c r="I1129" s="25">
        <v>3</v>
      </c>
      <c r="J1129" s="25">
        <v>2600</v>
      </c>
      <c r="K1129" s="25">
        <v>0</v>
      </c>
      <c r="L1129" s="25">
        <f t="shared" si="85"/>
        <v>8672</v>
      </c>
      <c r="M1129" s="25">
        <v>1</v>
      </c>
      <c r="N1129" s="25">
        <f t="shared" si="83"/>
        <v>0</v>
      </c>
      <c r="O1129" s="25">
        <v>1</v>
      </c>
      <c r="P1129" s="25">
        <v>1</v>
      </c>
      <c r="Q1129" s="25">
        <v>1</v>
      </c>
      <c r="R1129" s="25">
        <v>1</v>
      </c>
      <c r="Y1129" s="25">
        <v>1</v>
      </c>
      <c r="Z1129" s="25">
        <v>1</v>
      </c>
      <c r="AA1129" s="25">
        <v>1</v>
      </c>
      <c r="AB1129" s="25">
        <v>1</v>
      </c>
      <c r="AG1129" s="25">
        <v>1</v>
      </c>
      <c r="AK1129" s="25">
        <f t="shared" si="86"/>
        <v>5</v>
      </c>
    </row>
    <row r="1130" spans="1:37">
      <c r="A1130" s="25">
        <v>2019</v>
      </c>
      <c r="B1130" s="25" t="s">
        <v>277</v>
      </c>
      <c r="C1130" s="25">
        <v>623</v>
      </c>
      <c r="D1130" s="25">
        <f>VLOOKUP(C1130,'시스템이펙트 참고자료'!$A:$D,4,FALSE)</f>
        <v>0</v>
      </c>
      <c r="E1130" s="25">
        <v>0</v>
      </c>
      <c r="F1130" s="25">
        <v>16</v>
      </c>
      <c r="G1130" s="25">
        <v>1</v>
      </c>
      <c r="H1130" s="25" t="s">
        <v>395</v>
      </c>
      <c r="I1130" s="25">
        <v>3</v>
      </c>
      <c r="J1130" s="25">
        <v>2600</v>
      </c>
      <c r="K1130" s="25">
        <v>0</v>
      </c>
      <c r="L1130" s="25">
        <f t="shared" si="85"/>
        <v>9440</v>
      </c>
      <c r="M1130" s="25">
        <v>1</v>
      </c>
      <c r="N1130" s="25">
        <f t="shared" si="83"/>
        <v>0</v>
      </c>
      <c r="O1130" s="25">
        <v>1</v>
      </c>
      <c r="P1130" s="25">
        <v>1</v>
      </c>
      <c r="Q1130" s="25">
        <v>1</v>
      </c>
      <c r="R1130" s="25">
        <v>1</v>
      </c>
      <c r="Y1130" s="25">
        <v>1</v>
      </c>
      <c r="Z1130" s="25">
        <v>1</v>
      </c>
      <c r="AA1130" s="25">
        <v>1</v>
      </c>
      <c r="AD1130" s="25">
        <v>1</v>
      </c>
      <c r="AG1130" s="25">
        <v>1</v>
      </c>
      <c r="AK1130" s="25">
        <f t="shared" si="86"/>
        <v>5</v>
      </c>
    </row>
    <row r="1131" spans="1:37">
      <c r="A1131" s="25">
        <v>2020</v>
      </c>
      <c r="B1131" s="25" t="s">
        <v>278</v>
      </c>
      <c r="C1131" s="25">
        <v>624</v>
      </c>
      <c r="D1131" s="25">
        <f>VLOOKUP(C1131,'시스템이펙트 참고자료'!$A:$D,4,FALSE)</f>
        <v>0</v>
      </c>
      <c r="E1131" s="25">
        <v>0</v>
      </c>
      <c r="F1131" s="25">
        <v>16</v>
      </c>
      <c r="G1131" s="25">
        <v>1</v>
      </c>
      <c r="H1131" s="25" t="s">
        <v>395</v>
      </c>
      <c r="I1131" s="25">
        <v>3</v>
      </c>
      <c r="J1131" s="25">
        <v>2600</v>
      </c>
      <c r="K1131" s="25">
        <v>0</v>
      </c>
      <c r="L1131" s="25">
        <f t="shared" si="85"/>
        <v>10464</v>
      </c>
      <c r="M1131" s="25">
        <v>1</v>
      </c>
      <c r="N1131" s="25">
        <f t="shared" si="83"/>
        <v>0</v>
      </c>
      <c r="O1131" s="25">
        <v>1</v>
      </c>
      <c r="P1131" s="25">
        <v>1</v>
      </c>
      <c r="Q1131" s="25">
        <v>1</v>
      </c>
      <c r="R1131" s="25">
        <v>1</v>
      </c>
      <c r="Y1131" s="25">
        <v>1</v>
      </c>
      <c r="Z1131" s="25">
        <v>1</v>
      </c>
      <c r="AA1131" s="25">
        <v>1</v>
      </c>
      <c r="AE1131" s="25">
        <v>1</v>
      </c>
      <c r="AG1131" s="25">
        <v>1</v>
      </c>
      <c r="AK1131" s="25">
        <f t="shared" si="86"/>
        <v>5</v>
      </c>
    </row>
    <row r="1132" spans="1:37">
      <c r="A1132" s="25">
        <v>2021</v>
      </c>
      <c r="B1132" s="25" t="s">
        <v>279</v>
      </c>
      <c r="C1132" s="25">
        <v>625</v>
      </c>
      <c r="D1132" s="25">
        <f>VLOOKUP(C1132,'시스템이펙트 참고자료'!$A:$D,4,FALSE)</f>
        <v>0</v>
      </c>
      <c r="E1132" s="25">
        <v>0</v>
      </c>
      <c r="F1132" s="25">
        <v>16</v>
      </c>
      <c r="G1132" s="25">
        <v>1</v>
      </c>
      <c r="H1132" s="25" t="s">
        <v>395</v>
      </c>
      <c r="I1132" s="25">
        <v>3</v>
      </c>
      <c r="J1132" s="25">
        <v>2600</v>
      </c>
      <c r="K1132" s="25">
        <v>0</v>
      </c>
      <c r="L1132" s="25">
        <f t="shared" si="85"/>
        <v>8928</v>
      </c>
      <c r="M1132" s="25">
        <v>1</v>
      </c>
      <c r="N1132" s="25">
        <f t="shared" si="83"/>
        <v>0</v>
      </c>
      <c r="O1132" s="25">
        <v>1</v>
      </c>
      <c r="P1132" s="25">
        <v>1</v>
      </c>
      <c r="Q1132" s="25">
        <v>1</v>
      </c>
      <c r="R1132" s="25">
        <v>1</v>
      </c>
      <c r="Y1132" s="25">
        <v>1</v>
      </c>
      <c r="Z1132" s="25">
        <v>1</v>
      </c>
      <c r="AA1132" s="25">
        <v>1</v>
      </c>
      <c r="AC1132" s="25">
        <v>1</v>
      </c>
      <c r="AG1132" s="25">
        <v>1</v>
      </c>
      <c r="AK1132" s="25">
        <f t="shared" si="86"/>
        <v>5</v>
      </c>
    </row>
    <row r="1133" spans="1:37">
      <c r="A1133" s="25">
        <v>2022</v>
      </c>
      <c r="B1133" s="25" t="s">
        <v>280</v>
      </c>
      <c r="C1133" s="25">
        <v>626</v>
      </c>
      <c r="D1133" s="25">
        <f>VLOOKUP(C1133,'시스템이펙트 참고자료'!$A:$D,4,FALSE)</f>
        <v>0</v>
      </c>
      <c r="E1133" s="25">
        <v>0</v>
      </c>
      <c r="F1133" s="25">
        <v>17</v>
      </c>
      <c r="G1133" s="25">
        <v>1</v>
      </c>
      <c r="H1133" s="25" t="s">
        <v>395</v>
      </c>
      <c r="I1133" s="25">
        <v>3</v>
      </c>
      <c r="J1133" s="25">
        <v>1360</v>
      </c>
      <c r="K1133" s="25">
        <v>0</v>
      </c>
      <c r="L1133" s="25">
        <f t="shared" si="85"/>
        <v>144</v>
      </c>
      <c r="M1133" s="25">
        <v>1</v>
      </c>
      <c r="N1133" s="25">
        <f t="shared" si="83"/>
        <v>0</v>
      </c>
      <c r="O1133" s="25">
        <v>1</v>
      </c>
      <c r="P1133" s="25">
        <v>1</v>
      </c>
      <c r="Q1133" s="25">
        <v>1</v>
      </c>
      <c r="R1133" s="25">
        <v>1</v>
      </c>
      <c r="X1133" s="25">
        <v>1</v>
      </c>
      <c r="AA1133" s="25">
        <v>1</v>
      </c>
      <c r="AK1133" s="25">
        <f t="shared" si="86"/>
        <v>2</v>
      </c>
    </row>
    <row r="1134" spans="1:37">
      <c r="A1134" s="25">
        <v>2023</v>
      </c>
      <c r="B1134" s="25" t="s">
        <v>281</v>
      </c>
      <c r="C1134" s="25">
        <v>627</v>
      </c>
      <c r="D1134" s="25">
        <f>VLOOKUP(C1134,'시스템이펙트 참고자료'!$A:$D,4,FALSE)</f>
        <v>0</v>
      </c>
      <c r="E1134" s="25">
        <v>0</v>
      </c>
      <c r="F1134" s="25">
        <v>18</v>
      </c>
      <c r="G1134" s="25">
        <v>1</v>
      </c>
      <c r="H1134" s="25" t="s">
        <v>395</v>
      </c>
      <c r="I1134" s="25">
        <v>3</v>
      </c>
      <c r="J1134" s="25">
        <v>409</v>
      </c>
      <c r="K1134" s="25">
        <v>0</v>
      </c>
      <c r="L1134" s="25">
        <f t="shared" si="85"/>
        <v>44</v>
      </c>
      <c r="M1134" s="25">
        <v>1</v>
      </c>
      <c r="N1134" s="25">
        <f t="shared" si="83"/>
        <v>0</v>
      </c>
      <c r="O1134" s="25">
        <v>1</v>
      </c>
      <c r="P1134" s="25">
        <v>1</v>
      </c>
      <c r="Q1134" s="25">
        <v>1</v>
      </c>
      <c r="R1134" s="25">
        <v>1</v>
      </c>
      <c r="V1134" s="25">
        <v>1</v>
      </c>
      <c r="W1134" s="25">
        <v>1</v>
      </c>
      <c r="Y1134" s="25">
        <v>1</v>
      </c>
      <c r="AK1134" s="25">
        <f t="shared" si="86"/>
        <v>3</v>
      </c>
    </row>
    <row r="1135" spans="1:37">
      <c r="A1135" s="25">
        <v>2024</v>
      </c>
      <c r="B1135" s="25" t="s">
        <v>282</v>
      </c>
      <c r="C1135" s="25">
        <v>628</v>
      </c>
      <c r="D1135" s="25">
        <f>VLOOKUP(C1135,'시스템이펙트 참고자료'!$A:$D,4,FALSE)</f>
        <v>0</v>
      </c>
      <c r="E1135" s="25">
        <v>0</v>
      </c>
      <c r="F1135" s="25">
        <v>19</v>
      </c>
      <c r="G1135" s="25">
        <v>1</v>
      </c>
      <c r="H1135" s="25" t="s">
        <v>395</v>
      </c>
      <c r="I1135" s="25">
        <v>3</v>
      </c>
      <c r="J1135" s="25">
        <v>1020</v>
      </c>
      <c r="K1135" s="25">
        <v>0</v>
      </c>
      <c r="L1135" s="25">
        <f t="shared" si="85"/>
        <v>44</v>
      </c>
      <c r="M1135" s="25">
        <v>1</v>
      </c>
      <c r="N1135" s="25">
        <f t="shared" si="83"/>
        <v>0</v>
      </c>
      <c r="O1135" s="25">
        <v>1</v>
      </c>
      <c r="P1135" s="25">
        <v>1</v>
      </c>
      <c r="Q1135" s="25">
        <v>1</v>
      </c>
      <c r="R1135" s="25">
        <v>1</v>
      </c>
      <c r="V1135" s="25">
        <v>1</v>
      </c>
      <c r="W1135" s="25">
        <v>1</v>
      </c>
      <c r="Y1135" s="25">
        <v>1</v>
      </c>
      <c r="AK1135" s="25">
        <f t="shared" si="86"/>
        <v>3</v>
      </c>
    </row>
    <row r="1136" spans="1:37">
      <c r="A1136" s="25">
        <v>2025</v>
      </c>
      <c r="B1136" s="25" t="s">
        <v>283</v>
      </c>
      <c r="C1136" s="25">
        <v>629</v>
      </c>
      <c r="D1136" s="25">
        <f>VLOOKUP(C1136,'시스템이펙트 참고자료'!$A:$D,4,FALSE)</f>
        <v>0</v>
      </c>
      <c r="E1136" s="25">
        <v>0</v>
      </c>
      <c r="F1136" s="25">
        <v>20</v>
      </c>
      <c r="G1136" s="25">
        <v>1</v>
      </c>
      <c r="H1136" s="25" t="s">
        <v>395</v>
      </c>
      <c r="I1136" s="25">
        <v>3</v>
      </c>
      <c r="J1136" s="25">
        <v>2040</v>
      </c>
      <c r="K1136" s="25">
        <v>0</v>
      </c>
      <c r="L1136" s="25">
        <f t="shared" si="85"/>
        <v>144</v>
      </c>
      <c r="M1136" s="25">
        <v>1</v>
      </c>
      <c r="N1136" s="25">
        <f t="shared" si="83"/>
        <v>0</v>
      </c>
      <c r="O1136" s="25">
        <v>1</v>
      </c>
      <c r="P1136" s="25">
        <v>1</v>
      </c>
      <c r="Q1136" s="25">
        <v>1</v>
      </c>
      <c r="R1136" s="25">
        <v>1</v>
      </c>
      <c r="X1136" s="25">
        <v>1</v>
      </c>
      <c r="AA1136" s="25">
        <v>1</v>
      </c>
      <c r="AK1136" s="25">
        <f t="shared" si="86"/>
        <v>2</v>
      </c>
    </row>
    <row r="1137" spans="1:37">
      <c r="A1137" s="25">
        <v>2026</v>
      </c>
      <c r="B1137" s="25" t="s">
        <v>284</v>
      </c>
      <c r="C1137" s="25">
        <v>630</v>
      </c>
      <c r="D1137" s="25">
        <f>VLOOKUP(C1137,'시스템이펙트 참고자료'!$A:$D,4,FALSE)</f>
        <v>0</v>
      </c>
      <c r="E1137" s="25">
        <v>0</v>
      </c>
      <c r="F1137" s="25">
        <v>21</v>
      </c>
      <c r="G1137" s="25">
        <v>1</v>
      </c>
      <c r="H1137" s="25" t="s">
        <v>395</v>
      </c>
      <c r="I1137" s="25">
        <v>3</v>
      </c>
      <c r="J1137" s="25">
        <v>102</v>
      </c>
      <c r="K1137" s="25">
        <v>0</v>
      </c>
      <c r="L1137" s="25">
        <f t="shared" si="85"/>
        <v>9280</v>
      </c>
      <c r="M1137" s="25">
        <v>1</v>
      </c>
      <c r="N1137" s="25">
        <f t="shared" si="83"/>
        <v>0</v>
      </c>
      <c r="O1137" s="25">
        <v>1</v>
      </c>
      <c r="P1137" s="25">
        <v>1</v>
      </c>
      <c r="Q1137" s="25">
        <v>1</v>
      </c>
      <c r="R1137" s="25">
        <v>1</v>
      </c>
      <c r="Z1137" s="25">
        <v>1</v>
      </c>
      <c r="AD1137" s="25">
        <v>1</v>
      </c>
      <c r="AG1137" s="25">
        <v>1</v>
      </c>
      <c r="AK1137" s="25">
        <f t="shared" si="86"/>
        <v>3</v>
      </c>
    </row>
    <row r="1138" spans="1:37">
      <c r="A1138" s="25">
        <v>2027</v>
      </c>
      <c r="B1138" s="25" t="s">
        <v>285</v>
      </c>
      <c r="C1138" s="25">
        <v>631</v>
      </c>
      <c r="D1138" s="25">
        <v>0</v>
      </c>
      <c r="E1138" s="25">
        <v>0</v>
      </c>
      <c r="F1138" s="25">
        <v>21</v>
      </c>
      <c r="G1138" s="25">
        <v>1</v>
      </c>
      <c r="H1138" s="25" t="s">
        <v>395</v>
      </c>
      <c r="I1138" s="25">
        <v>3</v>
      </c>
      <c r="J1138" s="25">
        <v>204</v>
      </c>
      <c r="K1138" s="25">
        <v>0</v>
      </c>
      <c r="L1138" s="25">
        <f t="shared" si="85"/>
        <v>8512</v>
      </c>
      <c r="M1138" s="25">
        <v>1</v>
      </c>
      <c r="N1138" s="25">
        <f t="shared" si="83"/>
        <v>0</v>
      </c>
      <c r="O1138" s="25">
        <v>1</v>
      </c>
      <c r="P1138" s="25">
        <v>1</v>
      </c>
      <c r="Q1138" s="25">
        <v>1</v>
      </c>
      <c r="R1138" s="25">
        <v>1</v>
      </c>
      <c r="Z1138" s="25">
        <v>1</v>
      </c>
      <c r="AB1138" s="25">
        <v>1</v>
      </c>
      <c r="AG1138" s="25">
        <v>1</v>
      </c>
      <c r="AK1138" s="25">
        <f t="shared" si="86"/>
        <v>3</v>
      </c>
    </row>
    <row r="1139" spans="1:37">
      <c r="A1139" s="25">
        <v>2028</v>
      </c>
      <c r="B1139" s="25" t="s">
        <v>286</v>
      </c>
      <c r="C1139" s="25">
        <v>632</v>
      </c>
      <c r="D1139" s="25">
        <f>VLOOKUP(C1139,'시스템이펙트 참고자료'!$A:$D,4,FALSE)</f>
        <v>0</v>
      </c>
      <c r="E1139" s="25">
        <v>0</v>
      </c>
      <c r="F1139" s="25">
        <v>22</v>
      </c>
      <c r="G1139" s="25">
        <v>1</v>
      </c>
      <c r="H1139" s="25" t="s">
        <v>395</v>
      </c>
      <c r="I1139" s="25">
        <v>3</v>
      </c>
      <c r="J1139" s="25">
        <v>2040</v>
      </c>
      <c r="K1139" s="25">
        <v>0</v>
      </c>
      <c r="L1139" s="25">
        <f t="shared" si="85"/>
        <v>10243</v>
      </c>
      <c r="M1139" s="25">
        <v>1</v>
      </c>
      <c r="N1139" s="25">
        <f t="shared" si="83"/>
        <v>0</v>
      </c>
      <c r="O1139" s="25">
        <v>1</v>
      </c>
      <c r="P1139" s="25">
        <v>1</v>
      </c>
      <c r="Q1139" s="25">
        <v>1</v>
      </c>
      <c r="R1139" s="25">
        <v>1</v>
      </c>
      <c r="T1139" s="25">
        <v>1</v>
      </c>
      <c r="U1139" s="25">
        <v>1</v>
      </c>
      <c r="AE1139" s="25">
        <v>1</v>
      </c>
      <c r="AG1139" s="25">
        <v>1</v>
      </c>
      <c r="AK1139" s="25">
        <f t="shared" si="86"/>
        <v>4</v>
      </c>
    </row>
    <row r="1140" spans="1:37">
      <c r="A1140" s="25">
        <v>2029</v>
      </c>
      <c r="B1140" s="25" t="s">
        <v>287</v>
      </c>
      <c r="C1140" s="25">
        <v>633</v>
      </c>
      <c r="D1140" s="25">
        <f>VLOOKUP(C1140,'시스템이펙트 참고자료'!$A:$D,4,FALSE)</f>
        <v>0</v>
      </c>
      <c r="E1140" s="25">
        <v>0</v>
      </c>
      <c r="F1140" s="25">
        <v>23</v>
      </c>
      <c r="G1140" s="25">
        <v>1</v>
      </c>
      <c r="H1140" s="25" t="s">
        <v>395</v>
      </c>
      <c r="I1140" s="25">
        <v>3</v>
      </c>
      <c r="J1140" s="25">
        <v>2040</v>
      </c>
      <c r="K1140" s="25">
        <v>0</v>
      </c>
      <c r="L1140" s="25">
        <f t="shared" si="85"/>
        <v>10243</v>
      </c>
      <c r="M1140" s="25">
        <v>1</v>
      </c>
      <c r="N1140" s="25">
        <f t="shared" si="83"/>
        <v>0</v>
      </c>
      <c r="O1140" s="25">
        <v>1</v>
      </c>
      <c r="P1140" s="25">
        <v>1</v>
      </c>
      <c r="Q1140" s="25">
        <v>1</v>
      </c>
      <c r="R1140" s="25">
        <v>1</v>
      </c>
      <c r="T1140" s="25">
        <v>1</v>
      </c>
      <c r="U1140" s="25">
        <v>1</v>
      </c>
      <c r="AE1140" s="25">
        <v>1</v>
      </c>
      <c r="AG1140" s="25">
        <v>1</v>
      </c>
      <c r="AK1140" s="25">
        <f>COUNT(T1140:AI1140)</f>
        <v>4</v>
      </c>
    </row>
    <row r="1141" spans="1:37">
      <c r="A1141" s="25">
        <v>2030</v>
      </c>
      <c r="B1141" s="25" t="s">
        <v>289</v>
      </c>
      <c r="C1141" s="25">
        <v>635</v>
      </c>
      <c r="D1141" s="25">
        <f>VLOOKUP(C1141,'시스템이펙트 참고자료'!$A:$D,4,FALSE)</f>
        <v>0</v>
      </c>
      <c r="E1141" s="25">
        <v>0</v>
      </c>
      <c r="F1141" s="25">
        <v>24</v>
      </c>
      <c r="G1141" s="25">
        <v>1</v>
      </c>
      <c r="H1141" s="25" t="s">
        <v>395</v>
      </c>
      <c r="I1141" s="25">
        <v>3</v>
      </c>
      <c r="J1141" s="25">
        <v>1020</v>
      </c>
      <c r="K1141" s="25">
        <v>0</v>
      </c>
      <c r="L1141" s="25">
        <f t="shared" si="85"/>
        <v>9248</v>
      </c>
      <c r="M1141" s="25">
        <v>1</v>
      </c>
      <c r="N1141" s="25">
        <f t="shared" si="83"/>
        <v>0</v>
      </c>
      <c r="O1141" s="25">
        <v>1</v>
      </c>
      <c r="P1141" s="25">
        <v>1</v>
      </c>
      <c r="Q1141" s="25">
        <v>1</v>
      </c>
      <c r="R1141" s="25">
        <v>1</v>
      </c>
      <c r="Y1141" s="25">
        <v>1</v>
      </c>
      <c r="AD1141" s="25">
        <v>1</v>
      </c>
      <c r="AG1141" s="25">
        <v>1</v>
      </c>
      <c r="AK1141" s="25">
        <f t="shared" si="86"/>
        <v>3</v>
      </c>
    </row>
    <row r="1142" spans="1:37">
      <c r="A1142" s="25">
        <v>2031</v>
      </c>
      <c r="B1142" s="25" t="s">
        <v>291</v>
      </c>
      <c r="C1142" s="25">
        <v>638</v>
      </c>
      <c r="D1142" s="25">
        <f>VLOOKUP(C1142,'시스템이펙트 참고자료'!$A:$D,4,FALSE)</f>
        <v>1</v>
      </c>
      <c r="E1142" s="25">
        <v>0</v>
      </c>
      <c r="F1142" s="25">
        <v>25</v>
      </c>
      <c r="G1142" s="25">
        <v>1</v>
      </c>
      <c r="H1142" s="25" t="s">
        <v>395</v>
      </c>
      <c r="I1142" s="25">
        <v>3</v>
      </c>
      <c r="J1142" s="25">
        <v>683</v>
      </c>
      <c r="K1142" s="25">
        <v>0</v>
      </c>
      <c r="L1142" s="25">
        <f t="shared" si="85"/>
        <v>64</v>
      </c>
      <c r="M1142" s="25">
        <v>1</v>
      </c>
      <c r="N1142" s="25">
        <f t="shared" si="83"/>
        <v>0</v>
      </c>
      <c r="O1142" s="25">
        <v>1</v>
      </c>
      <c r="P1142" s="25">
        <v>1</v>
      </c>
      <c r="Q1142" s="25">
        <v>1</v>
      </c>
      <c r="R1142" s="25">
        <v>1</v>
      </c>
      <c r="Z1142" s="25">
        <v>1</v>
      </c>
      <c r="AK1142" s="25">
        <f t="shared" si="86"/>
        <v>1</v>
      </c>
    </row>
    <row r="1143" spans="1:37">
      <c r="A1143" s="25">
        <v>2032</v>
      </c>
      <c r="B1143" s="25" t="s">
        <v>292</v>
      </c>
      <c r="C1143" s="25">
        <v>639</v>
      </c>
      <c r="D1143" s="25">
        <f>VLOOKUP(C1143,'시스템이펙트 참고자료'!$A:$D,4,FALSE)</f>
        <v>1</v>
      </c>
      <c r="E1143" s="25">
        <v>0</v>
      </c>
      <c r="F1143" s="25">
        <v>25</v>
      </c>
      <c r="G1143" s="25">
        <v>1</v>
      </c>
      <c r="H1143" s="25" t="s">
        <v>395</v>
      </c>
      <c r="I1143" s="25">
        <v>3</v>
      </c>
      <c r="J1143" s="25">
        <v>683</v>
      </c>
      <c r="K1143" s="25">
        <v>0</v>
      </c>
      <c r="L1143" s="25">
        <f t="shared" si="85"/>
        <v>64</v>
      </c>
      <c r="M1143" s="25">
        <v>1</v>
      </c>
      <c r="N1143" s="25">
        <f t="shared" si="83"/>
        <v>0</v>
      </c>
      <c r="O1143" s="25">
        <v>1</v>
      </c>
      <c r="P1143" s="25">
        <v>1</v>
      </c>
      <c r="Q1143" s="25">
        <v>1</v>
      </c>
      <c r="R1143" s="25">
        <v>1</v>
      </c>
      <c r="Z1143" s="25">
        <v>1</v>
      </c>
      <c r="AK1143" s="25">
        <f t="shared" si="86"/>
        <v>1</v>
      </c>
    </row>
    <row r="1144" spans="1:37">
      <c r="A1144" s="25">
        <v>2033</v>
      </c>
      <c r="B1144" s="25" t="s">
        <v>293</v>
      </c>
      <c r="C1144" s="25">
        <v>640</v>
      </c>
      <c r="D1144" s="25">
        <f>VLOOKUP(C1144,'시스템이펙트 참고자료'!$A:$D,4,FALSE)</f>
        <v>1</v>
      </c>
      <c r="E1144" s="25">
        <v>0</v>
      </c>
      <c r="F1144" s="25">
        <v>25</v>
      </c>
      <c r="G1144" s="25">
        <v>1</v>
      </c>
      <c r="H1144" s="25" t="s">
        <v>395</v>
      </c>
      <c r="I1144" s="25">
        <v>3</v>
      </c>
      <c r="J1144" s="25">
        <v>683</v>
      </c>
      <c r="K1144" s="25">
        <v>0</v>
      </c>
      <c r="L1144" s="25">
        <f t="shared" si="85"/>
        <v>64</v>
      </c>
      <c r="M1144" s="25">
        <v>1</v>
      </c>
      <c r="N1144" s="25">
        <f t="shared" si="83"/>
        <v>0</v>
      </c>
      <c r="O1144" s="25">
        <v>1</v>
      </c>
      <c r="P1144" s="25">
        <v>1</v>
      </c>
      <c r="Q1144" s="25">
        <v>1</v>
      </c>
      <c r="R1144" s="25">
        <v>1</v>
      </c>
      <c r="Z1144" s="25">
        <v>1</v>
      </c>
      <c r="AK1144" s="25">
        <f t="shared" si="86"/>
        <v>1</v>
      </c>
    </row>
    <row r="1145" spans="1:37">
      <c r="A1145" s="25">
        <v>2034</v>
      </c>
      <c r="B1145" s="25" t="s">
        <v>294</v>
      </c>
      <c r="C1145" s="25">
        <v>641</v>
      </c>
      <c r="D1145" s="25">
        <f>VLOOKUP(C1145,'시스템이펙트 참고자료'!$A:$D,4,FALSE)</f>
        <v>1</v>
      </c>
      <c r="E1145" s="25">
        <v>0</v>
      </c>
      <c r="F1145" s="25">
        <v>25</v>
      </c>
      <c r="G1145" s="25">
        <v>1</v>
      </c>
      <c r="H1145" s="25" t="s">
        <v>395</v>
      </c>
      <c r="I1145" s="25">
        <v>3</v>
      </c>
      <c r="J1145" s="25">
        <v>683</v>
      </c>
      <c r="K1145" s="25">
        <v>0</v>
      </c>
      <c r="L1145" s="25">
        <f t="shared" si="85"/>
        <v>64</v>
      </c>
      <c r="M1145" s="25">
        <v>1</v>
      </c>
      <c r="N1145" s="25">
        <f t="shared" si="83"/>
        <v>0</v>
      </c>
      <c r="O1145" s="25">
        <v>1</v>
      </c>
      <c r="P1145" s="25">
        <v>1</v>
      </c>
      <c r="Q1145" s="25">
        <v>1</v>
      </c>
      <c r="R1145" s="25">
        <v>1</v>
      </c>
      <c r="Z1145" s="25">
        <v>1</v>
      </c>
      <c r="AK1145" s="25">
        <f t="shared" si="86"/>
        <v>1</v>
      </c>
    </row>
    <row r="1146" spans="1:37">
      <c r="A1146" s="25">
        <v>2035</v>
      </c>
      <c r="B1146" s="25" t="s">
        <v>295</v>
      </c>
      <c r="C1146" s="25">
        <v>642</v>
      </c>
      <c r="D1146" s="25">
        <f>VLOOKUP(C1146,'시스템이펙트 참고자료'!$A:$D,4,FALSE)</f>
        <v>1</v>
      </c>
      <c r="E1146" s="25">
        <v>0</v>
      </c>
      <c r="F1146" s="25">
        <v>25</v>
      </c>
      <c r="G1146" s="25">
        <v>1</v>
      </c>
      <c r="H1146" s="25" t="s">
        <v>395</v>
      </c>
      <c r="I1146" s="25">
        <v>3</v>
      </c>
      <c r="J1146" s="25">
        <v>683</v>
      </c>
      <c r="K1146" s="25">
        <v>0</v>
      </c>
      <c r="L1146" s="25">
        <f t="shared" si="85"/>
        <v>64</v>
      </c>
      <c r="M1146" s="25">
        <v>1</v>
      </c>
      <c r="N1146" s="25">
        <f t="shared" si="83"/>
        <v>0</v>
      </c>
      <c r="O1146" s="25">
        <v>1</v>
      </c>
      <c r="P1146" s="25">
        <v>1</v>
      </c>
      <c r="Q1146" s="25">
        <v>1</v>
      </c>
      <c r="R1146" s="25">
        <v>1</v>
      </c>
      <c r="Z1146" s="25">
        <v>1</v>
      </c>
      <c r="AK1146" s="25">
        <f t="shared" si="86"/>
        <v>1</v>
      </c>
    </row>
    <row r="1147" spans="1:37">
      <c r="A1147" s="25">
        <v>2036</v>
      </c>
      <c r="B1147" s="25" t="s">
        <v>296</v>
      </c>
      <c r="C1147" s="25">
        <v>643</v>
      </c>
      <c r="D1147" s="25">
        <f>VLOOKUP(C1147,'시스템이펙트 참고자료'!$A:$D,4,FALSE)</f>
        <v>1</v>
      </c>
      <c r="E1147" s="25">
        <v>0</v>
      </c>
      <c r="F1147" s="25">
        <v>26</v>
      </c>
      <c r="G1147" s="25">
        <v>1</v>
      </c>
      <c r="H1147" s="25" t="s">
        <v>395</v>
      </c>
      <c r="I1147" s="25">
        <v>3</v>
      </c>
      <c r="J1147" s="25">
        <v>408</v>
      </c>
      <c r="K1147" s="25">
        <v>0</v>
      </c>
      <c r="L1147" s="25">
        <f t="shared" si="85"/>
        <v>64</v>
      </c>
      <c r="M1147" s="25">
        <v>1</v>
      </c>
      <c r="N1147" s="25">
        <f t="shared" si="83"/>
        <v>0</v>
      </c>
      <c r="O1147" s="25">
        <v>1</v>
      </c>
      <c r="P1147" s="25">
        <v>1</v>
      </c>
      <c r="Q1147" s="25">
        <v>1</v>
      </c>
      <c r="R1147" s="25">
        <v>1</v>
      </c>
      <c r="Z1147" s="25">
        <v>1</v>
      </c>
      <c r="AK1147" s="25">
        <f t="shared" si="86"/>
        <v>1</v>
      </c>
    </row>
    <row r="1148" spans="1:37">
      <c r="A1148" s="25">
        <v>2037</v>
      </c>
      <c r="B1148" s="25" t="s">
        <v>297</v>
      </c>
      <c r="C1148" s="25">
        <v>644</v>
      </c>
      <c r="D1148" s="25">
        <f>VLOOKUP(C1148,'시스템이펙트 참고자료'!$A:$D,4,FALSE)</f>
        <v>1</v>
      </c>
      <c r="E1148" s="25">
        <v>0</v>
      </c>
      <c r="F1148" s="25">
        <v>26</v>
      </c>
      <c r="G1148" s="25">
        <v>1</v>
      </c>
      <c r="H1148" s="25" t="s">
        <v>395</v>
      </c>
      <c r="I1148" s="25">
        <v>3</v>
      </c>
      <c r="J1148" s="25">
        <v>408</v>
      </c>
      <c r="K1148" s="25">
        <v>0</v>
      </c>
      <c r="L1148" s="25">
        <f t="shared" si="85"/>
        <v>64</v>
      </c>
      <c r="M1148" s="25">
        <v>1</v>
      </c>
      <c r="N1148" s="25">
        <f t="shared" si="83"/>
        <v>0</v>
      </c>
      <c r="O1148" s="25">
        <v>1</v>
      </c>
      <c r="P1148" s="25">
        <v>1</v>
      </c>
      <c r="Q1148" s="25">
        <v>1</v>
      </c>
      <c r="R1148" s="25">
        <v>1</v>
      </c>
      <c r="Z1148" s="25">
        <v>1</v>
      </c>
      <c r="AK1148" s="25">
        <f t="shared" si="86"/>
        <v>1</v>
      </c>
    </row>
    <row r="1149" spans="1:37">
      <c r="A1149" s="25">
        <v>2038</v>
      </c>
      <c r="B1149" s="25" t="s">
        <v>298</v>
      </c>
      <c r="C1149" s="25">
        <v>645</v>
      </c>
      <c r="D1149" s="25">
        <f>VLOOKUP(C1149,'시스템이펙트 참고자료'!$A:$D,4,FALSE)</f>
        <v>1</v>
      </c>
      <c r="E1149" s="25">
        <v>0</v>
      </c>
      <c r="F1149" s="25">
        <v>26</v>
      </c>
      <c r="G1149" s="25">
        <v>1</v>
      </c>
      <c r="H1149" s="25" t="s">
        <v>395</v>
      </c>
      <c r="I1149" s="25">
        <v>3</v>
      </c>
      <c r="J1149" s="25">
        <v>408</v>
      </c>
      <c r="K1149" s="25">
        <v>0</v>
      </c>
      <c r="L1149" s="25">
        <f t="shared" si="85"/>
        <v>64</v>
      </c>
      <c r="M1149" s="25">
        <v>1</v>
      </c>
      <c r="N1149" s="25">
        <f t="shared" si="83"/>
        <v>0</v>
      </c>
      <c r="O1149" s="25">
        <v>1</v>
      </c>
      <c r="P1149" s="25">
        <v>1</v>
      </c>
      <c r="Q1149" s="25">
        <v>1</v>
      </c>
      <c r="R1149" s="25">
        <v>1</v>
      </c>
      <c r="Z1149" s="25">
        <v>1</v>
      </c>
      <c r="AK1149" s="25">
        <f t="shared" si="86"/>
        <v>1</v>
      </c>
    </row>
    <row r="1150" spans="1:37">
      <c r="A1150" s="25">
        <v>2039</v>
      </c>
      <c r="B1150" s="25" t="s">
        <v>299</v>
      </c>
      <c r="C1150" s="25">
        <v>646</v>
      </c>
      <c r="D1150" s="25">
        <f>VLOOKUP(C1150,'시스템이펙트 참고자료'!$A:$D,4,FALSE)</f>
        <v>1</v>
      </c>
      <c r="E1150" s="25">
        <v>0</v>
      </c>
      <c r="F1150" s="25">
        <v>26</v>
      </c>
      <c r="G1150" s="25">
        <v>1</v>
      </c>
      <c r="H1150" s="25" t="s">
        <v>395</v>
      </c>
      <c r="I1150" s="25">
        <v>3</v>
      </c>
      <c r="J1150" s="25">
        <v>408</v>
      </c>
      <c r="K1150" s="25">
        <v>0</v>
      </c>
      <c r="L1150" s="25">
        <f t="shared" si="85"/>
        <v>64</v>
      </c>
      <c r="M1150" s="25">
        <v>1</v>
      </c>
      <c r="N1150" s="25">
        <f t="shared" si="83"/>
        <v>0</v>
      </c>
      <c r="O1150" s="25">
        <v>1</v>
      </c>
      <c r="P1150" s="25">
        <v>1</v>
      </c>
      <c r="Q1150" s="25">
        <v>1</v>
      </c>
      <c r="R1150" s="25">
        <v>1</v>
      </c>
      <c r="Z1150" s="25">
        <v>1</v>
      </c>
      <c r="AK1150" s="25">
        <f t="shared" si="86"/>
        <v>1</v>
      </c>
    </row>
    <row r="1151" spans="1:37">
      <c r="A1151" s="25">
        <v>2040</v>
      </c>
      <c r="B1151" s="25" t="s">
        <v>300</v>
      </c>
      <c r="C1151" s="25">
        <v>647</v>
      </c>
      <c r="D1151" s="25">
        <f>VLOOKUP(C1151,'시스템이펙트 참고자료'!$A:$D,4,FALSE)</f>
        <v>1</v>
      </c>
      <c r="E1151" s="25">
        <v>0</v>
      </c>
      <c r="F1151" s="25">
        <v>26</v>
      </c>
      <c r="G1151" s="25">
        <v>1</v>
      </c>
      <c r="H1151" s="25" t="s">
        <v>395</v>
      </c>
      <c r="I1151" s="25">
        <v>3</v>
      </c>
      <c r="J1151" s="25">
        <v>408</v>
      </c>
      <c r="K1151" s="25">
        <v>0</v>
      </c>
      <c r="L1151" s="25">
        <f t="shared" si="85"/>
        <v>64</v>
      </c>
      <c r="M1151" s="25">
        <v>1</v>
      </c>
      <c r="N1151" s="25">
        <f t="shared" si="83"/>
        <v>0</v>
      </c>
      <c r="O1151" s="25">
        <v>1</v>
      </c>
      <c r="P1151" s="25">
        <v>1</v>
      </c>
      <c r="Q1151" s="25">
        <v>1</v>
      </c>
      <c r="R1151" s="25">
        <v>1</v>
      </c>
      <c r="Z1151" s="25">
        <v>1</v>
      </c>
      <c r="AK1151" s="25">
        <f t="shared" si="86"/>
        <v>1</v>
      </c>
    </row>
    <row r="1152" spans="1:37">
      <c r="A1152" s="25">
        <v>2041</v>
      </c>
      <c r="B1152" s="25" t="s">
        <v>301</v>
      </c>
      <c r="C1152" s="25">
        <v>648</v>
      </c>
      <c r="D1152" s="25">
        <f>VLOOKUP(C1152,'시스템이펙트 참고자료'!$A:$D,4,FALSE)</f>
        <v>1</v>
      </c>
      <c r="E1152" s="25">
        <v>0</v>
      </c>
      <c r="F1152" s="25">
        <v>26</v>
      </c>
      <c r="G1152" s="25">
        <v>1</v>
      </c>
      <c r="H1152" s="25" t="s">
        <v>395</v>
      </c>
      <c r="I1152" s="25">
        <v>3</v>
      </c>
      <c r="J1152" s="25">
        <v>408</v>
      </c>
      <c r="K1152" s="25">
        <v>0</v>
      </c>
      <c r="L1152" s="25">
        <f t="shared" si="85"/>
        <v>64</v>
      </c>
      <c r="M1152" s="25">
        <v>1</v>
      </c>
      <c r="N1152" s="25">
        <f t="shared" si="83"/>
        <v>0</v>
      </c>
      <c r="O1152" s="25">
        <v>1</v>
      </c>
      <c r="P1152" s="25">
        <v>1</v>
      </c>
      <c r="Q1152" s="25">
        <v>1</v>
      </c>
      <c r="R1152" s="25">
        <v>1</v>
      </c>
      <c r="Z1152" s="25">
        <v>1</v>
      </c>
      <c r="AK1152" s="25">
        <f t="shared" si="86"/>
        <v>1</v>
      </c>
    </row>
    <row r="1153" spans="1:37">
      <c r="A1153" s="25">
        <v>2042</v>
      </c>
      <c r="B1153" s="25" t="s">
        <v>384</v>
      </c>
      <c r="C1153" s="25">
        <v>649</v>
      </c>
      <c r="D1153" s="25">
        <f>VLOOKUP(C1153,'시스템이펙트 참고자료'!$A:$D,4,FALSE)</f>
        <v>1</v>
      </c>
      <c r="E1153" s="25">
        <v>0</v>
      </c>
      <c r="F1153" s="25">
        <v>26</v>
      </c>
      <c r="G1153" s="25">
        <v>1</v>
      </c>
      <c r="H1153" s="25" t="s">
        <v>395</v>
      </c>
      <c r="I1153" s="25">
        <v>3</v>
      </c>
      <c r="J1153" s="25">
        <v>408</v>
      </c>
      <c r="K1153" s="25">
        <v>0</v>
      </c>
      <c r="L1153" s="25">
        <f t="shared" si="85"/>
        <v>64</v>
      </c>
      <c r="M1153" s="25">
        <v>1</v>
      </c>
      <c r="N1153" s="25">
        <f t="shared" si="83"/>
        <v>0</v>
      </c>
      <c r="O1153" s="25">
        <v>1</v>
      </c>
      <c r="P1153" s="25">
        <v>1</v>
      </c>
      <c r="Q1153" s="25">
        <v>1</v>
      </c>
      <c r="R1153" s="25">
        <v>1</v>
      </c>
      <c r="Z1153" s="25">
        <v>1</v>
      </c>
      <c r="AK1153" s="25">
        <f t="shared" si="86"/>
        <v>1</v>
      </c>
    </row>
    <row r="1154" spans="1:37">
      <c r="A1154" s="25">
        <v>2043</v>
      </c>
      <c r="B1154" s="25" t="s">
        <v>303</v>
      </c>
      <c r="C1154" s="25">
        <v>650</v>
      </c>
      <c r="D1154" s="25">
        <f>VLOOKUP(C1154,'시스템이펙트 참고자료'!$A:$D,4,FALSE)</f>
        <v>1</v>
      </c>
      <c r="E1154" s="25">
        <v>0</v>
      </c>
      <c r="F1154" s="25">
        <v>26</v>
      </c>
      <c r="G1154" s="25">
        <v>1</v>
      </c>
      <c r="H1154" s="25" t="s">
        <v>395</v>
      </c>
      <c r="I1154" s="25">
        <v>3</v>
      </c>
      <c r="J1154" s="25">
        <v>408</v>
      </c>
      <c r="K1154" s="25">
        <v>0</v>
      </c>
      <c r="L1154" s="25">
        <f t="shared" si="85"/>
        <v>64</v>
      </c>
      <c r="M1154" s="25">
        <v>1</v>
      </c>
      <c r="N1154" s="25">
        <f t="shared" si="83"/>
        <v>0</v>
      </c>
      <c r="O1154" s="25">
        <v>1</v>
      </c>
      <c r="P1154" s="25">
        <v>1</v>
      </c>
      <c r="Q1154" s="25">
        <v>1</v>
      </c>
      <c r="R1154" s="25">
        <v>1</v>
      </c>
      <c r="Z1154" s="25">
        <v>1</v>
      </c>
      <c r="AK1154" s="25">
        <f t="shared" si="86"/>
        <v>1</v>
      </c>
    </row>
    <row r="1155" spans="1:37">
      <c r="A1155" s="25">
        <v>2044</v>
      </c>
      <c r="B1155" s="25" t="s">
        <v>304</v>
      </c>
      <c r="C1155" s="25">
        <v>651</v>
      </c>
      <c r="D1155" s="25">
        <f>VLOOKUP(C1155,'시스템이펙트 참고자료'!$A:$D,4,FALSE)</f>
        <v>0</v>
      </c>
      <c r="E1155" s="25">
        <v>0</v>
      </c>
      <c r="F1155" s="25">
        <v>27</v>
      </c>
      <c r="G1155" s="25">
        <v>1</v>
      </c>
      <c r="H1155" s="25" t="s">
        <v>395</v>
      </c>
      <c r="I1155" s="25">
        <v>3</v>
      </c>
      <c r="J1155" s="25">
        <v>683</v>
      </c>
      <c r="K1155" s="25">
        <v>0</v>
      </c>
      <c r="L1155" s="25">
        <f t="shared" si="85"/>
        <v>4</v>
      </c>
      <c r="M1155" s="25">
        <v>1</v>
      </c>
      <c r="N1155" s="25">
        <f t="shared" si="83"/>
        <v>0</v>
      </c>
      <c r="O1155" s="25">
        <v>1</v>
      </c>
      <c r="P1155" s="25">
        <v>1</v>
      </c>
      <c r="Q1155" s="25">
        <v>1</v>
      </c>
      <c r="R1155" s="25">
        <v>1</v>
      </c>
      <c r="V1155" s="25">
        <v>1</v>
      </c>
      <c r="AK1155" s="25">
        <f t="shared" si="86"/>
        <v>1</v>
      </c>
    </row>
    <row r="1156" spans="1:37">
      <c r="A1156" s="25">
        <v>2045</v>
      </c>
      <c r="B1156" s="25" t="s">
        <v>311</v>
      </c>
      <c r="C1156" s="25">
        <v>658</v>
      </c>
      <c r="D1156" s="25">
        <f>VLOOKUP(C1156,'시스템이펙트 참고자료'!$A:$D,4,FALSE)</f>
        <v>0</v>
      </c>
      <c r="E1156" s="25">
        <v>0</v>
      </c>
      <c r="F1156" s="25">
        <v>28</v>
      </c>
      <c r="G1156" s="25">
        <v>1</v>
      </c>
      <c r="H1156" s="25" t="s">
        <v>395</v>
      </c>
      <c r="I1156" s="25">
        <v>3</v>
      </c>
      <c r="J1156" s="25">
        <v>819</v>
      </c>
      <c r="K1156" s="25">
        <v>0</v>
      </c>
      <c r="L1156" s="25">
        <f t="shared" si="85"/>
        <v>8707</v>
      </c>
      <c r="M1156" s="25">
        <v>1</v>
      </c>
      <c r="N1156" s="25">
        <f t="shared" si="83"/>
        <v>0</v>
      </c>
      <c r="O1156" s="25">
        <v>1</v>
      </c>
      <c r="P1156" s="25">
        <v>1</v>
      </c>
      <c r="Q1156" s="25">
        <v>1</v>
      </c>
      <c r="R1156" s="25">
        <v>1</v>
      </c>
      <c r="T1156" s="25">
        <v>1</v>
      </c>
      <c r="U1156" s="25">
        <v>1</v>
      </c>
      <c r="AC1156" s="25">
        <v>1</v>
      </c>
      <c r="AG1156" s="25">
        <v>1</v>
      </c>
      <c r="AK1156" s="25">
        <f t="shared" si="86"/>
        <v>4</v>
      </c>
    </row>
    <row r="1157" spans="1:37">
      <c r="A1157" s="25">
        <v>2046</v>
      </c>
      <c r="B1157" s="25" t="s">
        <v>312</v>
      </c>
      <c r="C1157" s="25">
        <v>659</v>
      </c>
      <c r="D1157" s="25">
        <f>VLOOKUP(C1157,'시스템이펙트 참고자료'!$A:$D,4,FALSE)</f>
        <v>0</v>
      </c>
      <c r="E1157" s="25">
        <v>0</v>
      </c>
      <c r="F1157" s="25">
        <v>29</v>
      </c>
      <c r="G1157" s="25">
        <v>1</v>
      </c>
      <c r="H1157" s="25" t="s">
        <v>395</v>
      </c>
      <c r="I1157" s="25">
        <v>3</v>
      </c>
      <c r="J1157" s="25">
        <v>819</v>
      </c>
      <c r="K1157" s="25">
        <v>0</v>
      </c>
      <c r="L1157" s="25">
        <f t="shared" si="85"/>
        <v>12291</v>
      </c>
      <c r="M1157" s="25">
        <v>1</v>
      </c>
      <c r="N1157" s="25">
        <f t="shared" si="83"/>
        <v>0</v>
      </c>
      <c r="O1157" s="25">
        <v>1</v>
      </c>
      <c r="P1157" s="25">
        <v>1</v>
      </c>
      <c r="Q1157" s="25">
        <v>1</v>
      </c>
      <c r="R1157" s="25">
        <v>1</v>
      </c>
      <c r="T1157" s="25">
        <v>1</v>
      </c>
      <c r="U1157" s="25">
        <v>1</v>
      </c>
      <c r="AF1157" s="25">
        <v>1</v>
      </c>
      <c r="AG1157" s="25">
        <v>1</v>
      </c>
      <c r="AK1157" s="25">
        <f t="shared" si="86"/>
        <v>4</v>
      </c>
    </row>
    <row r="1158" spans="1:37">
      <c r="A1158" s="25">
        <v>2047</v>
      </c>
      <c r="B1158" s="25" t="s">
        <v>314</v>
      </c>
      <c r="C1158" s="25">
        <v>667</v>
      </c>
      <c r="D1158" s="25">
        <f>VLOOKUP(C1158,'시스템이펙트 참고자료'!$A:$D,4,FALSE)</f>
        <v>0</v>
      </c>
      <c r="E1158" s="25">
        <v>0</v>
      </c>
      <c r="F1158" s="25">
        <v>30</v>
      </c>
      <c r="G1158" s="25">
        <v>1</v>
      </c>
      <c r="H1158" s="25" t="s">
        <v>395</v>
      </c>
      <c r="I1158" s="25">
        <v>3</v>
      </c>
      <c r="J1158" s="25">
        <v>2040</v>
      </c>
      <c r="K1158" s="25">
        <v>0</v>
      </c>
      <c r="L1158" s="25">
        <f t="shared" si="85"/>
        <v>32</v>
      </c>
      <c r="M1158" s="25">
        <v>1</v>
      </c>
      <c r="N1158" s="25">
        <f t="shared" si="83"/>
        <v>0</v>
      </c>
      <c r="O1158" s="25">
        <v>1</v>
      </c>
      <c r="P1158" s="25">
        <v>1</v>
      </c>
      <c r="Q1158" s="25">
        <v>1</v>
      </c>
      <c r="R1158" s="25">
        <v>1</v>
      </c>
      <c r="Y1158" s="25">
        <v>1</v>
      </c>
      <c r="AK1158" s="25">
        <f t="shared" si="86"/>
        <v>1</v>
      </c>
    </row>
    <row r="1159" spans="1:37">
      <c r="A1159" s="25">
        <v>2048</v>
      </c>
      <c r="B1159" s="25" t="s">
        <v>315</v>
      </c>
      <c r="C1159" s="25">
        <v>668</v>
      </c>
      <c r="D1159" s="25">
        <f>VLOOKUP(C1159,'시스템이펙트 참고자료'!$A:$D,4,FALSE)</f>
        <v>0</v>
      </c>
      <c r="E1159" s="25">
        <v>0</v>
      </c>
      <c r="F1159" s="25">
        <v>31</v>
      </c>
      <c r="G1159" s="25">
        <v>1</v>
      </c>
      <c r="H1159" s="25" t="s">
        <v>395</v>
      </c>
      <c r="I1159" s="25">
        <v>3</v>
      </c>
      <c r="J1159" s="25">
        <v>2040</v>
      </c>
      <c r="K1159" s="25">
        <v>0</v>
      </c>
      <c r="L1159" s="25">
        <f t="shared" si="85"/>
        <v>144</v>
      </c>
      <c r="M1159" s="25">
        <v>1</v>
      </c>
      <c r="N1159" s="25">
        <f t="shared" ref="N1159:N1173" si="87">IF(BD1159&gt;0,INT(AM1159/AK1159),0)</f>
        <v>0</v>
      </c>
      <c r="O1159" s="25">
        <v>1</v>
      </c>
      <c r="P1159" s="25">
        <v>1</v>
      </c>
      <c r="Q1159" s="25">
        <v>1</v>
      </c>
      <c r="R1159" s="25">
        <v>1</v>
      </c>
      <c r="X1159" s="25">
        <v>1</v>
      </c>
      <c r="AA1159" s="25">
        <v>1</v>
      </c>
      <c r="AK1159" s="25">
        <f t="shared" si="86"/>
        <v>2</v>
      </c>
    </row>
    <row r="1160" spans="1:37">
      <c r="A1160" s="25">
        <v>2049</v>
      </c>
      <c r="B1160" s="25" t="s">
        <v>385</v>
      </c>
      <c r="C1160" s="25">
        <v>670</v>
      </c>
      <c r="D1160" s="25">
        <f>VLOOKUP(C1160,'시스템이펙트 참고자료'!$A:$D,4,FALSE)</f>
        <v>0</v>
      </c>
      <c r="E1160" s="25">
        <v>0</v>
      </c>
      <c r="F1160" s="25">
        <v>32</v>
      </c>
      <c r="G1160" s="25">
        <v>1</v>
      </c>
      <c r="H1160" s="25" t="s">
        <v>395</v>
      </c>
      <c r="I1160" s="25">
        <v>3</v>
      </c>
      <c r="J1160" s="25">
        <v>408</v>
      </c>
      <c r="K1160" s="25">
        <v>0</v>
      </c>
      <c r="L1160" s="25">
        <f t="shared" si="85"/>
        <v>12</v>
      </c>
      <c r="M1160" s="25">
        <v>1</v>
      </c>
      <c r="N1160" s="25">
        <f t="shared" si="87"/>
        <v>0</v>
      </c>
      <c r="O1160" s="25">
        <v>1</v>
      </c>
      <c r="P1160" s="25">
        <v>1</v>
      </c>
      <c r="Q1160" s="25">
        <v>1</v>
      </c>
      <c r="R1160" s="25">
        <v>1</v>
      </c>
      <c r="V1160" s="25">
        <v>1</v>
      </c>
      <c r="W1160" s="25">
        <v>1</v>
      </c>
      <c r="AK1160" s="25">
        <f t="shared" si="86"/>
        <v>2</v>
      </c>
    </row>
    <row r="1161" spans="1:37">
      <c r="A1161" s="25">
        <v>2050</v>
      </c>
      <c r="B1161" s="25" t="s">
        <v>386</v>
      </c>
      <c r="C1161" s="25">
        <v>671</v>
      </c>
      <c r="D1161" s="25">
        <f>VLOOKUP(C1161,'시스템이펙트 참고자료'!$A:$D,4,FALSE)</f>
        <v>0</v>
      </c>
      <c r="E1161" s="25">
        <v>0</v>
      </c>
      <c r="F1161" s="25">
        <v>33</v>
      </c>
      <c r="G1161" s="25">
        <v>1</v>
      </c>
      <c r="H1161" s="25" t="s">
        <v>395</v>
      </c>
      <c r="I1161" s="25">
        <v>3</v>
      </c>
      <c r="J1161" s="25">
        <v>408</v>
      </c>
      <c r="K1161" s="25">
        <v>0</v>
      </c>
      <c r="L1161" s="25">
        <f t="shared" si="85"/>
        <v>12</v>
      </c>
      <c r="M1161" s="25">
        <v>1</v>
      </c>
      <c r="N1161" s="25">
        <f t="shared" si="87"/>
        <v>0</v>
      </c>
      <c r="O1161" s="25">
        <v>1</v>
      </c>
      <c r="P1161" s="25">
        <v>1</v>
      </c>
      <c r="Q1161" s="25">
        <v>1</v>
      </c>
      <c r="R1161" s="25">
        <v>1</v>
      </c>
      <c r="V1161" s="25">
        <v>1</v>
      </c>
      <c r="W1161" s="25">
        <v>1</v>
      </c>
      <c r="AK1161" s="25">
        <f t="shared" si="86"/>
        <v>2</v>
      </c>
    </row>
    <row r="1162" spans="1:37">
      <c r="A1162" s="25">
        <v>2051</v>
      </c>
      <c r="B1162" s="25" t="s">
        <v>318</v>
      </c>
      <c r="C1162" s="25">
        <v>672</v>
      </c>
      <c r="D1162" s="25">
        <f>VLOOKUP(C1162,'시스템이펙트 참고자료'!$A:$D,4,FALSE)</f>
        <v>0</v>
      </c>
      <c r="E1162" s="25">
        <v>0</v>
      </c>
      <c r="F1162" s="25">
        <v>34</v>
      </c>
      <c r="G1162" s="25">
        <v>1</v>
      </c>
      <c r="H1162" s="25" t="s">
        <v>395</v>
      </c>
      <c r="I1162" s="25">
        <v>3</v>
      </c>
      <c r="J1162" s="25">
        <v>2600</v>
      </c>
      <c r="K1162" s="25">
        <v>0</v>
      </c>
      <c r="L1162" s="25">
        <f t="shared" si="85"/>
        <v>12512</v>
      </c>
      <c r="M1162" s="25">
        <v>1</v>
      </c>
      <c r="N1162" s="25">
        <f t="shared" si="87"/>
        <v>0</v>
      </c>
      <c r="O1162" s="25">
        <v>1</v>
      </c>
      <c r="P1162" s="25">
        <v>1</v>
      </c>
      <c r="Q1162" s="25">
        <v>1</v>
      </c>
      <c r="R1162" s="25">
        <v>1</v>
      </c>
      <c r="Y1162" s="25">
        <v>1</v>
      </c>
      <c r="Z1162" s="25">
        <v>1</v>
      </c>
      <c r="AA1162" s="25">
        <v>1</v>
      </c>
      <c r="AF1162" s="25">
        <v>1</v>
      </c>
      <c r="AG1162" s="25">
        <v>1</v>
      </c>
      <c r="AK1162" s="25">
        <f>COUNT(T1162:AI1162)</f>
        <v>5</v>
      </c>
    </row>
    <row r="1163" spans="1:37">
      <c r="A1163" s="25">
        <v>2052</v>
      </c>
      <c r="B1163" s="25" t="s">
        <v>319</v>
      </c>
      <c r="C1163" s="25">
        <v>673</v>
      </c>
      <c r="D1163" s="25">
        <f>VLOOKUP(C1163,'시스템이펙트 참고자료'!$A:$D,4,FALSE)</f>
        <v>0</v>
      </c>
      <c r="E1163" s="25">
        <v>0</v>
      </c>
      <c r="F1163" s="25">
        <v>34</v>
      </c>
      <c r="G1163" s="25">
        <v>1</v>
      </c>
      <c r="H1163" s="25" t="s">
        <v>395</v>
      </c>
      <c r="I1163" s="25">
        <v>3</v>
      </c>
      <c r="J1163" s="25">
        <v>2600</v>
      </c>
      <c r="K1163" s="25">
        <v>0</v>
      </c>
      <c r="L1163" s="25">
        <f t="shared" si="85"/>
        <v>8672</v>
      </c>
      <c r="M1163" s="25">
        <v>1</v>
      </c>
      <c r="N1163" s="25">
        <f t="shared" si="87"/>
        <v>0</v>
      </c>
      <c r="O1163" s="25">
        <v>1</v>
      </c>
      <c r="P1163" s="25">
        <v>1</v>
      </c>
      <c r="Q1163" s="25">
        <v>1</v>
      </c>
      <c r="R1163" s="25">
        <v>1</v>
      </c>
      <c r="Y1163" s="25">
        <v>1</v>
      </c>
      <c r="Z1163" s="25">
        <v>1</v>
      </c>
      <c r="AA1163" s="25">
        <v>1</v>
      </c>
      <c r="AB1163" s="25">
        <v>1</v>
      </c>
      <c r="AG1163" s="25">
        <v>1</v>
      </c>
      <c r="AK1163" s="25">
        <f t="shared" si="86"/>
        <v>5</v>
      </c>
    </row>
    <row r="1164" spans="1:37">
      <c r="A1164" s="25">
        <v>2053</v>
      </c>
      <c r="B1164" s="25" t="s">
        <v>320</v>
      </c>
      <c r="C1164" s="25">
        <v>674</v>
      </c>
      <c r="D1164" s="25">
        <f>VLOOKUP(C1164,'시스템이펙트 참고자료'!$A:$D,4,FALSE)</f>
        <v>0</v>
      </c>
      <c r="E1164" s="25">
        <v>0</v>
      </c>
      <c r="F1164" s="25">
        <v>34</v>
      </c>
      <c r="G1164" s="25">
        <v>1</v>
      </c>
      <c r="H1164" s="25" t="s">
        <v>395</v>
      </c>
      <c r="I1164" s="25">
        <v>3</v>
      </c>
      <c r="J1164" s="25">
        <v>2600</v>
      </c>
      <c r="K1164" s="25">
        <v>0</v>
      </c>
      <c r="L1164" s="25">
        <f t="shared" si="85"/>
        <v>9440</v>
      </c>
      <c r="M1164" s="25">
        <v>1</v>
      </c>
      <c r="N1164" s="25">
        <f t="shared" si="87"/>
        <v>0</v>
      </c>
      <c r="O1164" s="25">
        <v>1</v>
      </c>
      <c r="P1164" s="25">
        <v>1</v>
      </c>
      <c r="Q1164" s="25">
        <v>1</v>
      </c>
      <c r="R1164" s="25">
        <v>1</v>
      </c>
      <c r="Y1164" s="25">
        <v>1</v>
      </c>
      <c r="Z1164" s="25">
        <v>1</v>
      </c>
      <c r="AA1164" s="25">
        <v>1</v>
      </c>
      <c r="AD1164" s="25">
        <v>1</v>
      </c>
      <c r="AG1164" s="25">
        <v>1</v>
      </c>
      <c r="AK1164" s="25">
        <f t="shared" si="86"/>
        <v>5</v>
      </c>
    </row>
    <row r="1165" spans="1:37">
      <c r="A1165" s="25">
        <v>2054</v>
      </c>
      <c r="B1165" s="25" t="s">
        <v>321</v>
      </c>
      <c r="C1165" s="25">
        <v>675</v>
      </c>
      <c r="D1165" s="25">
        <f>VLOOKUP(C1165,'시스템이펙트 참고자료'!$A:$D,4,FALSE)</f>
        <v>0</v>
      </c>
      <c r="E1165" s="25">
        <v>0</v>
      </c>
      <c r="F1165" s="25">
        <v>34</v>
      </c>
      <c r="G1165" s="25">
        <v>1</v>
      </c>
      <c r="H1165" s="25" t="s">
        <v>395</v>
      </c>
      <c r="I1165" s="25">
        <v>3</v>
      </c>
      <c r="J1165" s="25">
        <v>2600</v>
      </c>
      <c r="K1165" s="25">
        <v>0</v>
      </c>
      <c r="L1165" s="25">
        <f t="shared" si="85"/>
        <v>10464</v>
      </c>
      <c r="M1165" s="25">
        <v>1</v>
      </c>
      <c r="N1165" s="25">
        <f t="shared" si="87"/>
        <v>0</v>
      </c>
      <c r="O1165" s="25">
        <v>1</v>
      </c>
      <c r="P1165" s="25">
        <v>1</v>
      </c>
      <c r="Q1165" s="25">
        <v>1</v>
      </c>
      <c r="R1165" s="25">
        <v>1</v>
      </c>
      <c r="Y1165" s="25">
        <v>1</v>
      </c>
      <c r="Z1165" s="25">
        <v>1</v>
      </c>
      <c r="AA1165" s="25">
        <v>1</v>
      </c>
      <c r="AE1165" s="25">
        <v>1</v>
      </c>
      <c r="AG1165" s="25">
        <v>1</v>
      </c>
      <c r="AK1165" s="25">
        <f t="shared" si="86"/>
        <v>5</v>
      </c>
    </row>
    <row r="1166" spans="1:37">
      <c r="A1166" s="25">
        <v>2055</v>
      </c>
      <c r="B1166" s="25" t="s">
        <v>322</v>
      </c>
      <c r="C1166" s="25">
        <v>676</v>
      </c>
      <c r="D1166" s="25">
        <f>VLOOKUP(C1166,'시스템이펙트 참고자료'!$A:$D,4,FALSE)</f>
        <v>0</v>
      </c>
      <c r="E1166" s="25">
        <v>0</v>
      </c>
      <c r="F1166" s="25">
        <v>34</v>
      </c>
      <c r="G1166" s="25">
        <v>1</v>
      </c>
      <c r="H1166" s="25" t="s">
        <v>395</v>
      </c>
      <c r="I1166" s="25">
        <v>3</v>
      </c>
      <c r="J1166" s="25">
        <v>2600</v>
      </c>
      <c r="K1166" s="25">
        <v>0</v>
      </c>
      <c r="L1166" s="25">
        <f t="shared" si="85"/>
        <v>8928</v>
      </c>
      <c r="M1166" s="25">
        <v>1</v>
      </c>
      <c r="N1166" s="25">
        <f t="shared" si="87"/>
        <v>0</v>
      </c>
      <c r="O1166" s="25">
        <v>1</v>
      </c>
      <c r="P1166" s="25">
        <v>1</v>
      </c>
      <c r="Q1166" s="25">
        <v>1</v>
      </c>
      <c r="R1166" s="25">
        <v>1</v>
      </c>
      <c r="Y1166" s="25">
        <v>1</v>
      </c>
      <c r="Z1166" s="25">
        <v>1</v>
      </c>
      <c r="AA1166" s="25">
        <v>1</v>
      </c>
      <c r="AC1166" s="25">
        <v>1</v>
      </c>
      <c r="AG1166" s="25">
        <v>1</v>
      </c>
      <c r="AK1166" s="25">
        <f t="shared" si="86"/>
        <v>5</v>
      </c>
    </row>
    <row r="1167" spans="1:37">
      <c r="A1167" s="25">
        <v>2056</v>
      </c>
      <c r="B1167" s="25" t="s">
        <v>387</v>
      </c>
      <c r="C1167" s="25">
        <v>677</v>
      </c>
      <c r="D1167" s="25">
        <f>VLOOKUP(C1167,'시스템이펙트 참고자료'!$A:$D,4,FALSE)</f>
        <v>0</v>
      </c>
      <c r="E1167" s="25">
        <v>0</v>
      </c>
      <c r="F1167" s="25">
        <v>35</v>
      </c>
      <c r="G1167" s="25">
        <v>1</v>
      </c>
      <c r="H1167" s="25" t="s">
        <v>395</v>
      </c>
      <c r="I1167" s="25">
        <v>3</v>
      </c>
      <c r="J1167" s="25">
        <v>1020</v>
      </c>
      <c r="K1167" s="25">
        <v>0</v>
      </c>
      <c r="L1167" s="25">
        <f t="shared" si="85"/>
        <v>8460</v>
      </c>
      <c r="M1167" s="25">
        <v>1</v>
      </c>
      <c r="N1167" s="25">
        <f t="shared" si="87"/>
        <v>0</v>
      </c>
      <c r="O1167" s="25">
        <v>1</v>
      </c>
      <c r="P1167" s="25">
        <v>1</v>
      </c>
      <c r="Q1167" s="25">
        <v>1</v>
      </c>
      <c r="R1167" s="25">
        <v>1</v>
      </c>
      <c r="V1167" s="25">
        <v>1</v>
      </c>
      <c r="W1167" s="25">
        <v>1</v>
      </c>
      <c r="AB1167" s="25">
        <v>1</v>
      </c>
      <c r="AG1167" s="25">
        <v>1</v>
      </c>
      <c r="AK1167" s="25">
        <f t="shared" si="86"/>
        <v>4</v>
      </c>
    </row>
    <row r="1168" spans="1:37">
      <c r="A1168" s="25">
        <v>2057</v>
      </c>
      <c r="B1168" s="25" t="s">
        <v>388</v>
      </c>
      <c r="C1168" s="25">
        <v>678</v>
      </c>
      <c r="D1168" s="25">
        <f>VLOOKUP(C1168,'시스템이펙트 참고자료'!$A:$D,4,FALSE)</f>
        <v>0</v>
      </c>
      <c r="E1168" s="25">
        <v>0</v>
      </c>
      <c r="F1168" s="25">
        <v>35</v>
      </c>
      <c r="G1168" s="25">
        <v>1</v>
      </c>
      <c r="H1168" s="25" t="s">
        <v>395</v>
      </c>
      <c r="I1168" s="25">
        <v>3</v>
      </c>
      <c r="J1168" s="25">
        <v>1020</v>
      </c>
      <c r="K1168" s="25">
        <v>0</v>
      </c>
      <c r="L1168" s="25">
        <f t="shared" si="85"/>
        <v>12300</v>
      </c>
      <c r="M1168" s="25">
        <v>1</v>
      </c>
      <c r="N1168" s="25">
        <f t="shared" si="87"/>
        <v>0</v>
      </c>
      <c r="O1168" s="25">
        <v>1</v>
      </c>
      <c r="P1168" s="25">
        <v>1</v>
      </c>
      <c r="Q1168" s="25">
        <v>1</v>
      </c>
      <c r="R1168" s="25">
        <v>1</v>
      </c>
      <c r="V1168" s="25">
        <v>1</v>
      </c>
      <c r="W1168" s="25">
        <v>1</v>
      </c>
      <c r="AF1168" s="25">
        <v>1</v>
      </c>
      <c r="AG1168" s="25">
        <v>1</v>
      </c>
      <c r="AK1168" s="25">
        <f t="shared" si="86"/>
        <v>4</v>
      </c>
    </row>
    <row r="1169" spans="1:37">
      <c r="A1169" s="25">
        <v>2058</v>
      </c>
      <c r="B1169" s="25" t="s">
        <v>325</v>
      </c>
      <c r="C1169" s="25">
        <v>679</v>
      </c>
      <c r="D1169" s="25">
        <f>VLOOKUP(C1169,'시스템이펙트 참고자료'!$A:$D,4,FALSE)</f>
        <v>0</v>
      </c>
      <c r="E1169" s="25">
        <v>0</v>
      </c>
      <c r="F1169" s="25">
        <v>36</v>
      </c>
      <c r="G1169" s="25">
        <v>1</v>
      </c>
      <c r="H1169" s="25" t="s">
        <v>395</v>
      </c>
      <c r="I1169" s="25">
        <v>3</v>
      </c>
      <c r="J1169" s="25">
        <v>204</v>
      </c>
      <c r="K1169" s="25">
        <v>0</v>
      </c>
      <c r="L1169" s="25">
        <f t="shared" si="85"/>
        <v>28</v>
      </c>
      <c r="M1169" s="25">
        <v>1</v>
      </c>
      <c r="N1169" s="25">
        <f t="shared" si="87"/>
        <v>0</v>
      </c>
      <c r="O1169" s="25">
        <v>1</v>
      </c>
      <c r="P1169" s="25">
        <v>1</v>
      </c>
      <c r="Q1169" s="25">
        <v>1</v>
      </c>
      <c r="R1169" s="25">
        <v>1</v>
      </c>
      <c r="V1169" s="25">
        <v>1</v>
      </c>
      <c r="W1169" s="25">
        <v>1</v>
      </c>
      <c r="X1169" s="25">
        <v>1</v>
      </c>
      <c r="AK1169" s="25">
        <f t="shared" si="86"/>
        <v>3</v>
      </c>
    </row>
    <row r="1170" spans="1:37">
      <c r="A1170" s="25">
        <v>2059</v>
      </c>
      <c r="B1170" s="25" t="s">
        <v>389</v>
      </c>
      <c r="C1170" s="25">
        <v>680</v>
      </c>
      <c r="D1170" s="25">
        <f>VLOOKUP(C1170,'시스템이펙트 참고자료'!$A:$D,4,FALSE)</f>
        <v>0</v>
      </c>
      <c r="E1170" s="25">
        <v>0</v>
      </c>
      <c r="F1170" s="25">
        <v>36</v>
      </c>
      <c r="G1170" s="25">
        <v>1</v>
      </c>
      <c r="H1170" s="25" t="s">
        <v>395</v>
      </c>
      <c r="I1170" s="25">
        <v>3</v>
      </c>
      <c r="J1170" s="25">
        <v>204</v>
      </c>
      <c r="K1170" s="25">
        <v>0</v>
      </c>
      <c r="L1170" s="25">
        <f t="shared" si="85"/>
        <v>28</v>
      </c>
      <c r="M1170" s="25">
        <v>1</v>
      </c>
      <c r="N1170" s="25">
        <f t="shared" si="87"/>
        <v>0</v>
      </c>
      <c r="O1170" s="25">
        <v>1</v>
      </c>
      <c r="P1170" s="25">
        <v>1</v>
      </c>
      <c r="Q1170" s="25">
        <v>1</v>
      </c>
      <c r="R1170" s="25">
        <v>1</v>
      </c>
      <c r="V1170" s="25">
        <v>1</v>
      </c>
      <c r="W1170" s="25">
        <v>1</v>
      </c>
      <c r="X1170" s="25">
        <v>1</v>
      </c>
      <c r="AK1170" s="25">
        <f t="shared" si="86"/>
        <v>3</v>
      </c>
    </row>
    <row r="1171" spans="1:37">
      <c r="A1171" s="25">
        <v>2060</v>
      </c>
      <c r="B1171" s="25" t="s">
        <v>327</v>
      </c>
      <c r="C1171" s="25">
        <v>681</v>
      </c>
      <c r="D1171" s="25">
        <f>VLOOKUP(C1171,'시스템이펙트 참고자료'!$A:$D,4,FALSE)</f>
        <v>0</v>
      </c>
      <c r="E1171" s="25">
        <v>0</v>
      </c>
      <c r="F1171" s="25">
        <v>36</v>
      </c>
      <c r="G1171" s="25">
        <v>1</v>
      </c>
      <c r="H1171" s="25" t="s">
        <v>395</v>
      </c>
      <c r="I1171" s="25">
        <v>3</v>
      </c>
      <c r="J1171" s="25">
        <v>204</v>
      </c>
      <c r="K1171" s="25">
        <v>0</v>
      </c>
      <c r="L1171" s="25">
        <f t="shared" si="85"/>
        <v>28</v>
      </c>
      <c r="M1171" s="25">
        <v>1</v>
      </c>
      <c r="N1171" s="25">
        <f t="shared" si="87"/>
        <v>0</v>
      </c>
      <c r="O1171" s="25">
        <v>1</v>
      </c>
      <c r="P1171" s="25">
        <v>1</v>
      </c>
      <c r="Q1171" s="25">
        <v>1</v>
      </c>
      <c r="R1171" s="25">
        <v>1</v>
      </c>
      <c r="V1171" s="25">
        <v>1</v>
      </c>
      <c r="W1171" s="25">
        <v>1</v>
      </c>
      <c r="X1171" s="25">
        <v>1</v>
      </c>
      <c r="AK1171" s="25">
        <f t="shared" si="86"/>
        <v>3</v>
      </c>
    </row>
    <row r="1172" spans="1:37">
      <c r="A1172" s="25">
        <v>2061</v>
      </c>
      <c r="B1172" s="25" t="s">
        <v>328</v>
      </c>
      <c r="C1172" s="25">
        <v>682</v>
      </c>
      <c r="D1172" s="25">
        <f>VLOOKUP(C1172,'시스템이펙트 참고자료'!$A:$D,4,FALSE)</f>
        <v>0</v>
      </c>
      <c r="E1172" s="25">
        <v>0</v>
      </c>
      <c r="F1172" s="25">
        <v>36</v>
      </c>
      <c r="G1172" s="25">
        <v>1</v>
      </c>
      <c r="H1172" s="25" t="s">
        <v>395</v>
      </c>
      <c r="I1172" s="25">
        <v>3</v>
      </c>
      <c r="J1172" s="25">
        <v>204</v>
      </c>
      <c r="K1172" s="25">
        <v>0</v>
      </c>
      <c r="L1172" s="25">
        <f t="shared" si="85"/>
        <v>28</v>
      </c>
      <c r="M1172" s="25">
        <v>1</v>
      </c>
      <c r="N1172" s="25">
        <f t="shared" si="87"/>
        <v>0</v>
      </c>
      <c r="O1172" s="25">
        <v>1</v>
      </c>
      <c r="P1172" s="25">
        <v>1</v>
      </c>
      <c r="Q1172" s="25">
        <v>1</v>
      </c>
      <c r="R1172" s="25">
        <v>1</v>
      </c>
      <c r="V1172" s="25">
        <v>1</v>
      </c>
      <c r="W1172" s="25">
        <v>1</v>
      </c>
      <c r="X1172" s="25">
        <v>1</v>
      </c>
      <c r="AK1172" s="25">
        <f t="shared" si="86"/>
        <v>3</v>
      </c>
    </row>
    <row r="1173" spans="1:37">
      <c r="A1173" s="25">
        <v>2064</v>
      </c>
      <c r="B1173" s="25" t="s">
        <v>336</v>
      </c>
      <c r="C1173" s="25">
        <v>810</v>
      </c>
      <c r="D1173" s="25">
        <f>VLOOKUP(C1173,'시스템이펙트 참고자료'!$A:$D,4,FALSE)</f>
        <v>0</v>
      </c>
      <c r="E1173" s="25">
        <v>0</v>
      </c>
      <c r="F1173" s="25">
        <v>37</v>
      </c>
      <c r="G1173" s="25">
        <v>1</v>
      </c>
      <c r="H1173" s="25" t="s">
        <v>395</v>
      </c>
      <c r="I1173" s="25">
        <v>3</v>
      </c>
      <c r="J1173" s="25">
        <v>2040</v>
      </c>
      <c r="K1173" s="25">
        <v>0</v>
      </c>
      <c r="L1173" s="25">
        <f t="shared" si="85"/>
        <v>12</v>
      </c>
      <c r="M1173" s="25">
        <v>1</v>
      </c>
      <c r="N1173" s="25">
        <f t="shared" si="87"/>
        <v>0</v>
      </c>
      <c r="O1173" s="25">
        <v>1</v>
      </c>
      <c r="P1173" s="25">
        <v>1</v>
      </c>
      <c r="Q1173" s="25">
        <v>1</v>
      </c>
      <c r="R1173" s="25">
        <v>1</v>
      </c>
      <c r="V1173" s="25">
        <v>1</v>
      </c>
      <c r="W1173" s="25">
        <v>1</v>
      </c>
      <c r="AK1173" s="25">
        <f t="shared" si="86"/>
        <v>2</v>
      </c>
    </row>
    <row r="1174" spans="1:37">
      <c r="A1174" s="31">
        <v>2065</v>
      </c>
      <c r="B1174" s="31" t="s">
        <v>830</v>
      </c>
      <c r="C1174" s="25">
        <v>2000</v>
      </c>
      <c r="D1174" s="25">
        <v>0</v>
      </c>
      <c r="E1174" s="25">
        <v>0</v>
      </c>
      <c r="F1174" s="25">
        <v>38</v>
      </c>
      <c r="G1174" s="25">
        <v>1</v>
      </c>
      <c r="H1174" s="25" t="s">
        <v>395</v>
      </c>
      <c r="I1174" s="25">
        <v>3</v>
      </c>
      <c r="J1174" s="25">
        <v>3000</v>
      </c>
      <c r="K1174" s="25">
        <v>0</v>
      </c>
      <c r="L1174" s="25">
        <v>16384</v>
      </c>
      <c r="M1174" s="25">
        <v>1</v>
      </c>
      <c r="N1174" s="25">
        <f t="shared" ref="N1174:N1177" si="88">IF(BD1174&gt;0,INT(AM1174/AK1174),0)</f>
        <v>0</v>
      </c>
      <c r="O1174" s="25">
        <v>1</v>
      </c>
      <c r="P1174" s="25">
        <v>1</v>
      </c>
      <c r="Q1174" s="25">
        <v>1</v>
      </c>
      <c r="R1174" s="25">
        <v>1</v>
      </c>
      <c r="AH1174" s="25">
        <v>1</v>
      </c>
      <c r="AK1174" s="25">
        <v>1</v>
      </c>
    </row>
    <row r="1175" spans="1:37">
      <c r="A1175" s="31">
        <v>2066</v>
      </c>
      <c r="B1175" s="31" t="s">
        <v>831</v>
      </c>
      <c r="C1175" s="25">
        <v>2001</v>
      </c>
      <c r="D1175" s="25">
        <v>0</v>
      </c>
      <c r="E1175" s="25">
        <v>0</v>
      </c>
      <c r="F1175" s="25">
        <v>39</v>
      </c>
      <c r="G1175" s="25">
        <v>1</v>
      </c>
      <c r="H1175" s="25" t="s">
        <v>395</v>
      </c>
      <c r="I1175" s="25">
        <v>3</v>
      </c>
      <c r="J1175" s="25">
        <v>3000</v>
      </c>
      <c r="K1175" s="25">
        <v>0</v>
      </c>
      <c r="L1175" s="25">
        <v>16384</v>
      </c>
      <c r="M1175" s="25">
        <v>1</v>
      </c>
      <c r="N1175" s="25">
        <f t="shared" si="88"/>
        <v>0</v>
      </c>
      <c r="O1175" s="25">
        <v>1</v>
      </c>
      <c r="P1175" s="25">
        <v>1</v>
      </c>
      <c r="Q1175" s="25">
        <v>1</v>
      </c>
      <c r="R1175" s="25">
        <v>1</v>
      </c>
      <c r="AH1175" s="25">
        <v>1</v>
      </c>
      <c r="AK1175" s="25">
        <v>1</v>
      </c>
    </row>
    <row r="1176" spans="1:37">
      <c r="A1176" s="31">
        <v>2067</v>
      </c>
      <c r="B1176" s="31" t="s">
        <v>832</v>
      </c>
      <c r="C1176" s="25">
        <v>2002</v>
      </c>
      <c r="D1176" s="25">
        <v>0</v>
      </c>
      <c r="E1176" s="25">
        <v>0</v>
      </c>
      <c r="F1176" s="25">
        <v>40</v>
      </c>
      <c r="G1176" s="25">
        <v>1</v>
      </c>
      <c r="H1176" s="25" t="s">
        <v>395</v>
      </c>
      <c r="I1176" s="25">
        <v>3</v>
      </c>
      <c r="J1176" s="25">
        <v>3000</v>
      </c>
      <c r="K1176" s="25">
        <v>0</v>
      </c>
      <c r="L1176" s="25">
        <v>16384</v>
      </c>
      <c r="M1176" s="25">
        <v>1</v>
      </c>
      <c r="N1176" s="25">
        <f t="shared" si="88"/>
        <v>0</v>
      </c>
      <c r="O1176" s="25">
        <v>1</v>
      </c>
      <c r="P1176" s="25">
        <v>1</v>
      </c>
      <c r="Q1176" s="25">
        <v>1</v>
      </c>
      <c r="R1176" s="25">
        <v>1</v>
      </c>
      <c r="AH1176" s="25">
        <v>1</v>
      </c>
      <c r="AK1176" s="25">
        <v>1</v>
      </c>
    </row>
    <row r="1177" spans="1:37">
      <c r="A1177" s="31">
        <v>2068</v>
      </c>
      <c r="B1177" s="31" t="s">
        <v>833</v>
      </c>
      <c r="C1177" s="25">
        <v>2003</v>
      </c>
      <c r="D1177" s="25">
        <v>0</v>
      </c>
      <c r="E1177" s="25">
        <v>0</v>
      </c>
      <c r="F1177" s="25">
        <v>41</v>
      </c>
      <c r="G1177" s="25">
        <v>1</v>
      </c>
      <c r="H1177" s="25" t="s">
        <v>395</v>
      </c>
      <c r="I1177" s="25">
        <v>3</v>
      </c>
      <c r="J1177" s="25">
        <v>3000</v>
      </c>
      <c r="K1177" s="25">
        <v>0</v>
      </c>
      <c r="L1177" s="25">
        <v>16384</v>
      </c>
      <c r="M1177" s="25">
        <v>1</v>
      </c>
      <c r="N1177" s="25">
        <f t="shared" si="88"/>
        <v>0</v>
      </c>
      <c r="O1177" s="25">
        <v>1</v>
      </c>
      <c r="P1177" s="25">
        <v>1</v>
      </c>
      <c r="Q1177" s="25">
        <v>1</v>
      </c>
      <c r="R1177" s="25">
        <v>1</v>
      </c>
      <c r="AH1177" s="25">
        <v>1</v>
      </c>
      <c r="AK1177" s="25">
        <v>1</v>
      </c>
    </row>
  </sheetData>
  <phoneticPr fontId="5" type="noConversion"/>
  <conditionalFormatting sqref="AQ77:AQ82 C6:D6 AQ6:AQ11 C7:C12 D7:D147 D302:D347 D902:D1173">
    <cfRule type="expression" dxfId="14" priority="16" stopIfTrue="1">
      <formula>NOT(ISERROR(SEARCH("%d",C6,1)))</formula>
    </cfRule>
  </conditionalFormatting>
  <conditionalFormatting sqref="D148:D193">
    <cfRule type="expression" dxfId="13" priority="15" stopIfTrue="1">
      <formula>NOT(ISERROR(SEARCH("%d",D148,1)))</formula>
    </cfRule>
  </conditionalFormatting>
  <conditionalFormatting sqref="D194:D247">
    <cfRule type="expression" dxfId="12" priority="14" stopIfTrue="1">
      <formula>NOT(ISERROR(SEARCH("%d",D194,1)))</formula>
    </cfRule>
  </conditionalFormatting>
  <conditionalFormatting sqref="D248:D301">
    <cfRule type="expression" dxfId="11" priority="13" stopIfTrue="1">
      <formula>NOT(ISERROR(SEARCH("%d",D248,1)))</formula>
    </cfRule>
  </conditionalFormatting>
  <conditionalFormatting sqref="D348:D393">
    <cfRule type="expression" dxfId="10" priority="11" stopIfTrue="1">
      <formula>NOT(ISERROR(SEARCH("%d",D348,1)))</formula>
    </cfRule>
  </conditionalFormatting>
  <conditionalFormatting sqref="D610:D655">
    <cfRule type="expression" dxfId="9" priority="10" stopIfTrue="1">
      <formula>NOT(ISERROR(SEARCH("%d",D610,1)))</formula>
    </cfRule>
  </conditionalFormatting>
  <conditionalFormatting sqref="D502:D555">
    <cfRule type="expression" dxfId="8" priority="9" stopIfTrue="1">
      <formula>NOT(ISERROR(SEARCH("%d",D502,1)))</formula>
    </cfRule>
  </conditionalFormatting>
  <conditionalFormatting sqref="D556:D609">
    <cfRule type="expression" dxfId="7" priority="8" stopIfTrue="1">
      <formula>NOT(ISERROR(SEARCH("%d",D556,1)))</formula>
    </cfRule>
  </conditionalFormatting>
  <conditionalFormatting sqref="D656:D701">
    <cfRule type="expression" dxfId="6" priority="7" stopIfTrue="1">
      <formula>NOT(ISERROR(SEARCH("%d",D656,1)))</formula>
    </cfRule>
  </conditionalFormatting>
  <conditionalFormatting sqref="D810:D855">
    <cfRule type="expression" dxfId="5" priority="6" stopIfTrue="1">
      <formula>NOT(ISERROR(SEARCH("%d",D810,1)))</formula>
    </cfRule>
  </conditionalFormatting>
  <conditionalFormatting sqref="D702:D755">
    <cfRule type="expression" dxfId="4" priority="5" stopIfTrue="1">
      <formula>NOT(ISERROR(SEARCH("%d",D702,1)))</formula>
    </cfRule>
  </conditionalFormatting>
  <conditionalFormatting sqref="D756:D809">
    <cfRule type="expression" dxfId="3" priority="4" stopIfTrue="1">
      <formula>NOT(ISERROR(SEARCH("%d",D756,1)))</formula>
    </cfRule>
  </conditionalFormatting>
  <conditionalFormatting sqref="D856:D901">
    <cfRule type="expression" dxfId="2" priority="3" stopIfTrue="1">
      <formula>NOT(ISERROR(SEARCH("%d",D856,1)))</formula>
    </cfRule>
  </conditionalFormatting>
  <conditionalFormatting sqref="D394:D447">
    <cfRule type="expression" dxfId="1" priority="2" stopIfTrue="1">
      <formula>NOT(ISERROR(SEARCH("%d",D394,1)))</formula>
    </cfRule>
  </conditionalFormatting>
  <conditionalFormatting sqref="D448:D501">
    <cfRule type="expression" dxfId="0" priority="1" stopIfTrue="1">
      <formula>NOT(ISERROR(SEARCH("%d",D448,1)))</formula>
    </cfRule>
  </conditionalFormatting>
  <dataValidations count="3">
    <dataValidation allowBlank="1" showInputMessage="1" showErrorMessage="1" prompt="더 이상 사용하지 않음_x000a_ - 2011.02.24" sqref="E2"/>
    <dataValidation type="whole" errorStyle="warning" operator="greaterThanOrEqual" allowBlank="1" showInputMessage="1" showErrorMessage="1" errorTitle="잘못 된 값" error="'0' 이하의 값을 넣을 수 없습니다." sqref="I1 I3:I65533">
      <formula1>1</formula1>
    </dataValidation>
    <dataValidation type="whole" errorStyle="warning" operator="greaterThanOrEqual" allowBlank="1" showInputMessage="1" showErrorMessage="1" errorTitle="잘못 된 값" error="'0' 이하의 값을 넣을 수 없습니다." prompt="0 이하 값을 넣지 마세요.." sqref="I2">
      <formula1>1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/>
  </sheetPr>
  <dimension ref="B3:I37"/>
  <sheetViews>
    <sheetView workbookViewId="0">
      <selection activeCell="I30" sqref="I29:I30"/>
    </sheetView>
  </sheetViews>
  <sheetFormatPr defaultRowHeight="12"/>
  <cols>
    <col min="1" max="1" width="8.88671875" style="1"/>
    <col min="2" max="2" width="10.44140625" style="1" bestFit="1" customWidth="1"/>
    <col min="3" max="3" width="7.33203125" style="1" bestFit="1" customWidth="1"/>
    <col min="4" max="4" width="8.44140625" style="1" bestFit="1" customWidth="1"/>
    <col min="5" max="5" width="3.6640625" style="1" bestFit="1" customWidth="1"/>
    <col min="6" max="6" width="5" style="1" bestFit="1" customWidth="1"/>
    <col min="7" max="7" width="5.44140625" style="1" bestFit="1" customWidth="1"/>
    <col min="8" max="8" width="5.5546875" style="1" bestFit="1" customWidth="1"/>
    <col min="9" max="9" width="65.88671875" style="1" bestFit="1" customWidth="1"/>
    <col min="10" max="16384" width="8.88671875" style="1"/>
  </cols>
  <sheetData>
    <row r="3" spans="2:9" ht="12.75" thickBot="1"/>
    <row r="4" spans="2:9">
      <c r="B4" s="4" t="s">
        <v>181</v>
      </c>
      <c r="C4" s="5" t="s">
        <v>182</v>
      </c>
      <c r="D4" s="5" t="s">
        <v>183</v>
      </c>
      <c r="E4" s="5" t="s">
        <v>184</v>
      </c>
      <c r="F4" s="5" t="s">
        <v>185</v>
      </c>
      <c r="G4" s="5" t="s">
        <v>186</v>
      </c>
      <c r="H4" s="5" t="s">
        <v>187</v>
      </c>
      <c r="I4" s="6" t="s">
        <v>188</v>
      </c>
    </row>
    <row r="5" spans="2:9">
      <c r="B5" s="7" t="s">
        <v>189</v>
      </c>
      <c r="C5" s="3" t="s">
        <v>190</v>
      </c>
      <c r="D5" s="3" t="s">
        <v>430</v>
      </c>
      <c r="E5" s="3" t="s">
        <v>19</v>
      </c>
      <c r="F5" s="3"/>
      <c r="G5" s="3"/>
      <c r="H5" s="3"/>
      <c r="I5" s="8" t="s">
        <v>191</v>
      </c>
    </row>
    <row r="6" spans="2:9">
      <c r="B6" s="7" t="s">
        <v>181</v>
      </c>
      <c r="C6" s="3" t="s">
        <v>192</v>
      </c>
      <c r="D6" s="3" t="s">
        <v>431</v>
      </c>
      <c r="E6" s="3" t="s">
        <v>433</v>
      </c>
      <c r="F6" s="3"/>
      <c r="G6" s="3"/>
      <c r="H6" s="3"/>
      <c r="I6" s="8" t="s">
        <v>193</v>
      </c>
    </row>
    <row r="7" spans="2:9">
      <c r="B7" s="7" t="s">
        <v>194</v>
      </c>
      <c r="C7" s="3" t="s">
        <v>190</v>
      </c>
      <c r="D7" s="3" t="s">
        <v>432</v>
      </c>
      <c r="E7" s="3" t="s">
        <v>434</v>
      </c>
      <c r="F7" s="3"/>
      <c r="G7" s="3"/>
      <c r="H7" s="3"/>
      <c r="I7" s="8" t="s">
        <v>195</v>
      </c>
    </row>
    <row r="8" spans="2:9">
      <c r="B8" s="7" t="s">
        <v>196</v>
      </c>
      <c r="C8" s="3" t="s">
        <v>197</v>
      </c>
      <c r="D8" s="3" t="s">
        <v>432</v>
      </c>
      <c r="E8" s="3" t="s">
        <v>23</v>
      </c>
      <c r="F8" s="3"/>
      <c r="G8" s="3"/>
      <c r="H8" s="3"/>
      <c r="I8" s="8" t="s">
        <v>198</v>
      </c>
    </row>
    <row r="9" spans="2:9">
      <c r="B9" s="13" t="s">
        <v>199</v>
      </c>
      <c r="C9" s="12" t="s">
        <v>200</v>
      </c>
      <c r="D9" s="12">
        <v>1</v>
      </c>
      <c r="E9" s="12" t="s">
        <v>435</v>
      </c>
      <c r="F9" s="12"/>
      <c r="G9" s="12"/>
      <c r="H9" s="12"/>
      <c r="I9" s="14" t="s">
        <v>201</v>
      </c>
    </row>
    <row r="10" spans="2:9">
      <c r="B10" s="7" t="s">
        <v>202</v>
      </c>
      <c r="C10" s="3" t="s">
        <v>200</v>
      </c>
      <c r="D10" s="3" t="s">
        <v>432</v>
      </c>
      <c r="E10" s="3" t="s">
        <v>25</v>
      </c>
      <c r="F10" s="3"/>
      <c r="G10" s="3"/>
      <c r="H10" s="3"/>
      <c r="I10" s="8" t="s">
        <v>203</v>
      </c>
    </row>
    <row r="11" spans="2:9">
      <c r="B11" s="7" t="s">
        <v>204</v>
      </c>
      <c r="C11" s="3" t="s">
        <v>200</v>
      </c>
      <c r="D11" s="3" t="s">
        <v>432</v>
      </c>
      <c r="E11" s="3" t="s">
        <v>26</v>
      </c>
      <c r="F11" s="3"/>
      <c r="G11" s="3"/>
      <c r="H11" s="3"/>
      <c r="I11" s="8" t="s">
        <v>205</v>
      </c>
    </row>
    <row r="12" spans="2:9">
      <c r="B12" s="7" t="s">
        <v>206</v>
      </c>
      <c r="C12" s="3" t="s">
        <v>200</v>
      </c>
      <c r="D12" s="3" t="s">
        <v>432</v>
      </c>
      <c r="E12" s="3" t="s">
        <v>436</v>
      </c>
      <c r="F12" s="3"/>
      <c r="G12" s="3"/>
      <c r="H12" s="3"/>
      <c r="I12" s="8" t="s">
        <v>207</v>
      </c>
    </row>
    <row r="13" spans="2:9">
      <c r="B13" s="7" t="s">
        <v>208</v>
      </c>
      <c r="C13" s="3" t="s">
        <v>200</v>
      </c>
      <c r="D13" s="3" t="s">
        <v>431</v>
      </c>
      <c r="E13" s="3" t="s">
        <v>28</v>
      </c>
      <c r="F13" s="3"/>
      <c r="G13" s="3"/>
      <c r="H13" s="3"/>
      <c r="I13" s="8" t="s">
        <v>209</v>
      </c>
    </row>
    <row r="14" spans="2:9">
      <c r="B14" s="7" t="s">
        <v>210</v>
      </c>
      <c r="C14" s="3" t="s">
        <v>394</v>
      </c>
      <c r="D14" s="3" t="s">
        <v>431</v>
      </c>
      <c r="E14" s="3" t="s">
        <v>29</v>
      </c>
      <c r="F14" s="3"/>
      <c r="G14" s="3"/>
      <c r="H14" s="3"/>
      <c r="I14" s="8" t="s">
        <v>211</v>
      </c>
    </row>
    <row r="15" spans="2:9">
      <c r="B15" s="7" t="s">
        <v>162</v>
      </c>
      <c r="C15" s="3" t="s">
        <v>200</v>
      </c>
      <c r="D15" s="3" t="s">
        <v>432</v>
      </c>
      <c r="E15" s="3" t="s">
        <v>30</v>
      </c>
      <c r="F15" s="3"/>
      <c r="G15" s="3"/>
      <c r="H15" s="3"/>
      <c r="I15" s="8" t="s">
        <v>222</v>
      </c>
    </row>
    <row r="16" spans="2:9">
      <c r="B16" s="7" t="s">
        <v>390</v>
      </c>
      <c r="C16" s="3" t="s">
        <v>391</v>
      </c>
      <c r="D16" s="3">
        <v>1</v>
      </c>
      <c r="E16" s="3" t="s">
        <v>112</v>
      </c>
      <c r="F16" s="3"/>
      <c r="G16" s="3"/>
      <c r="H16" s="3"/>
      <c r="I16" s="8" t="s">
        <v>223</v>
      </c>
    </row>
    <row r="17" spans="2:9">
      <c r="B17" s="13" t="s">
        <v>163</v>
      </c>
      <c r="C17" s="12" t="s">
        <v>200</v>
      </c>
      <c r="D17" s="12" t="s">
        <v>432</v>
      </c>
      <c r="E17" s="12" t="s">
        <v>437</v>
      </c>
      <c r="F17" s="12"/>
      <c r="G17" s="12"/>
      <c r="H17" s="12"/>
      <c r="I17" s="14" t="s">
        <v>201</v>
      </c>
    </row>
    <row r="18" spans="2:9">
      <c r="B18" s="13" t="s">
        <v>212</v>
      </c>
      <c r="C18" s="12" t="s">
        <v>213</v>
      </c>
      <c r="D18" s="12" t="s">
        <v>432</v>
      </c>
      <c r="E18" s="12" t="s">
        <v>438</v>
      </c>
      <c r="F18" s="12"/>
      <c r="G18" s="12"/>
      <c r="H18" s="12"/>
      <c r="I18" s="14" t="s">
        <v>201</v>
      </c>
    </row>
    <row r="19" spans="2:9">
      <c r="B19" s="7" t="s">
        <v>214</v>
      </c>
      <c r="C19" s="3" t="s">
        <v>215</v>
      </c>
      <c r="D19" s="3" t="s">
        <v>432</v>
      </c>
      <c r="E19" s="3" t="s">
        <v>20</v>
      </c>
      <c r="F19" s="3"/>
      <c r="G19" s="3"/>
      <c r="H19" s="3"/>
      <c r="I19" s="8" t="s">
        <v>216</v>
      </c>
    </row>
    <row r="20" spans="2:9">
      <c r="B20" s="7" t="s">
        <v>217</v>
      </c>
      <c r="C20" s="3" t="s">
        <v>215</v>
      </c>
      <c r="D20" s="3" t="s">
        <v>432</v>
      </c>
      <c r="E20" s="3" t="s">
        <v>439</v>
      </c>
      <c r="F20" s="3"/>
      <c r="G20" s="3"/>
      <c r="H20" s="3"/>
      <c r="I20" s="8" t="s">
        <v>178</v>
      </c>
    </row>
    <row r="21" spans="2:9">
      <c r="B21" s="7" t="s">
        <v>218</v>
      </c>
      <c r="C21" s="3" t="s">
        <v>215</v>
      </c>
      <c r="D21" s="3" t="s">
        <v>432</v>
      </c>
      <c r="E21" s="3" t="s">
        <v>440</v>
      </c>
      <c r="F21" s="3"/>
      <c r="G21" s="3"/>
      <c r="H21" s="3"/>
      <c r="I21" s="8" t="s">
        <v>219</v>
      </c>
    </row>
    <row r="22" spans="2:9" ht="12.75" thickBot="1">
      <c r="B22" s="9" t="s">
        <v>220</v>
      </c>
      <c r="C22" s="10" t="s">
        <v>215</v>
      </c>
      <c r="D22" s="10" t="s">
        <v>432</v>
      </c>
      <c r="E22" s="10" t="s">
        <v>441</v>
      </c>
      <c r="F22" s="10"/>
      <c r="G22" s="10"/>
      <c r="H22" s="10"/>
      <c r="I22" s="11" t="s">
        <v>221</v>
      </c>
    </row>
    <row r="27" spans="2:9">
      <c r="B27" s="2" t="s">
        <v>410</v>
      </c>
      <c r="C27" s="24" t="s">
        <v>411</v>
      </c>
    </row>
    <row r="28" spans="2:9">
      <c r="B28" s="3" t="s">
        <v>96</v>
      </c>
      <c r="C28" s="3" t="s">
        <v>95</v>
      </c>
    </row>
    <row r="29" spans="2:9">
      <c r="B29" s="3" t="s">
        <v>374</v>
      </c>
      <c r="C29" s="3">
        <v>1</v>
      </c>
    </row>
    <row r="30" spans="2:9">
      <c r="B30" s="3" t="s">
        <v>375</v>
      </c>
      <c r="C30" s="3">
        <v>2</v>
      </c>
    </row>
    <row r="31" spans="2:9">
      <c r="B31" s="3" t="s">
        <v>376</v>
      </c>
      <c r="C31" s="3">
        <v>4</v>
      </c>
    </row>
    <row r="32" spans="2:9">
      <c r="B32" s="3" t="s">
        <v>377</v>
      </c>
      <c r="C32" s="3">
        <v>8</v>
      </c>
    </row>
    <row r="33" spans="2:3">
      <c r="B33" s="3" t="s">
        <v>378</v>
      </c>
      <c r="C33" s="3">
        <v>16</v>
      </c>
    </row>
    <row r="34" spans="2:3">
      <c r="B34" s="3" t="s">
        <v>379</v>
      </c>
      <c r="C34" s="3">
        <v>32</v>
      </c>
    </row>
    <row r="35" spans="2:3">
      <c r="B35" s="3" t="s">
        <v>380</v>
      </c>
      <c r="C35" s="3">
        <v>64</v>
      </c>
    </row>
    <row r="36" spans="2:3">
      <c r="B36" s="3" t="s">
        <v>381</v>
      </c>
      <c r="C36" s="3">
        <v>128</v>
      </c>
    </row>
    <row r="37" spans="2:3">
      <c r="B37" s="2" t="s">
        <v>828</v>
      </c>
      <c r="C37" s="2">
        <v>256</v>
      </c>
    </row>
  </sheetData>
  <phoneticPr fontId="5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68"/>
  <sheetViews>
    <sheetView topLeftCell="A241" workbookViewId="0">
      <selection activeCell="B273" sqref="B273"/>
    </sheetView>
  </sheetViews>
  <sheetFormatPr defaultRowHeight="11.25"/>
  <cols>
    <col min="1" max="1" width="3.77734375" style="25" bestFit="1" customWidth="1"/>
    <col min="2" max="2" width="31.5546875" style="25" bestFit="1" customWidth="1"/>
    <col min="3" max="3" width="14" style="25" bestFit="1" customWidth="1"/>
    <col min="4" max="5" width="5" style="25" bestFit="1" customWidth="1"/>
    <col min="6" max="6" width="64.88671875" style="25" bestFit="1" customWidth="1"/>
    <col min="7" max="7" width="5" style="25" bestFit="1" customWidth="1"/>
    <col min="8" max="16384" width="8.88671875" style="25"/>
  </cols>
  <sheetData>
    <row r="1" spans="1:6">
      <c r="A1" s="25" t="s">
        <v>607</v>
      </c>
      <c r="B1" s="25" t="s">
        <v>608</v>
      </c>
      <c r="C1" s="25" t="s">
        <v>609</v>
      </c>
      <c r="D1" s="25" t="s">
        <v>610</v>
      </c>
      <c r="E1" s="25" t="s">
        <v>229</v>
      </c>
      <c r="F1" s="25" t="s">
        <v>611</v>
      </c>
    </row>
    <row r="2" spans="1:6">
      <c r="A2" s="25">
        <v>1</v>
      </c>
      <c r="B2" s="25" t="s">
        <v>612</v>
      </c>
      <c r="C2" s="25" t="s">
        <v>442</v>
      </c>
      <c r="E2" s="25" t="s">
        <v>613</v>
      </c>
      <c r="F2" s="25" t="s">
        <v>614</v>
      </c>
    </row>
    <row r="3" spans="1:6">
      <c r="A3" s="25">
        <v>2</v>
      </c>
      <c r="B3" s="25" t="s">
        <v>615</v>
      </c>
      <c r="C3" s="25" t="s">
        <v>442</v>
      </c>
      <c r="F3" s="25" t="s">
        <v>616</v>
      </c>
    </row>
    <row r="4" spans="1:6">
      <c r="A4" s="25">
        <v>3</v>
      </c>
      <c r="B4" s="25" t="s">
        <v>617</v>
      </c>
      <c r="C4" s="25" t="s">
        <v>442</v>
      </c>
      <c r="F4" s="25" t="s">
        <v>618</v>
      </c>
    </row>
    <row r="5" spans="1:6">
      <c r="A5" s="25">
        <v>4</v>
      </c>
      <c r="B5" s="25" t="s">
        <v>619</v>
      </c>
      <c r="C5" s="25" t="s">
        <v>442</v>
      </c>
      <c r="F5" s="25" t="s">
        <v>620</v>
      </c>
    </row>
    <row r="6" spans="1:6">
      <c r="A6" s="25">
        <v>5</v>
      </c>
      <c r="B6" s="25" t="s">
        <v>621</v>
      </c>
      <c r="C6" s="25" t="s">
        <v>442</v>
      </c>
      <c r="F6" s="25" t="s">
        <v>622</v>
      </c>
    </row>
    <row r="7" spans="1:6">
      <c r="A7" s="25">
        <v>6</v>
      </c>
      <c r="B7" s="25" t="s">
        <v>623</v>
      </c>
      <c r="C7" s="25" t="s">
        <v>442</v>
      </c>
      <c r="F7" s="25" t="s">
        <v>624</v>
      </c>
    </row>
    <row r="8" spans="1:6">
      <c r="A8" s="25">
        <v>7</v>
      </c>
      <c r="B8" s="25" t="s">
        <v>625</v>
      </c>
      <c r="C8" s="25" t="s">
        <v>442</v>
      </c>
      <c r="F8" s="25" t="s">
        <v>626</v>
      </c>
    </row>
    <row r="9" spans="1:6">
      <c r="A9" s="25">
        <v>8</v>
      </c>
      <c r="B9" s="25" t="s">
        <v>627</v>
      </c>
      <c r="C9" s="25" t="s">
        <v>442</v>
      </c>
      <c r="F9" s="25" t="s">
        <v>628</v>
      </c>
    </row>
    <row r="10" spans="1:6">
      <c r="A10" s="25">
        <v>9</v>
      </c>
      <c r="B10" s="25" t="s">
        <v>629</v>
      </c>
      <c r="C10" s="25" t="s">
        <v>442</v>
      </c>
      <c r="F10" s="25" t="s">
        <v>630</v>
      </c>
    </row>
    <row r="11" spans="1:6">
      <c r="A11" s="25">
        <v>10</v>
      </c>
      <c r="B11" s="25" t="s">
        <v>631</v>
      </c>
      <c r="C11" s="25" t="s">
        <v>442</v>
      </c>
      <c r="F11" s="25" t="s">
        <v>632</v>
      </c>
    </row>
    <row r="12" spans="1:6">
      <c r="A12" s="25">
        <v>11</v>
      </c>
      <c r="B12" s="25" t="s">
        <v>633</v>
      </c>
      <c r="C12" s="25" t="s">
        <v>442</v>
      </c>
      <c r="F12" s="25" t="s">
        <v>634</v>
      </c>
    </row>
    <row r="13" spans="1:6">
      <c r="A13" s="25">
        <v>12</v>
      </c>
      <c r="B13" s="25" t="s">
        <v>635</v>
      </c>
      <c r="C13" s="25" t="s">
        <v>442</v>
      </c>
      <c r="F13" s="25" t="s">
        <v>636</v>
      </c>
    </row>
    <row r="14" spans="1:6">
      <c r="A14" s="25">
        <v>13</v>
      </c>
      <c r="B14" s="25" t="s">
        <v>637</v>
      </c>
      <c r="C14" s="25" t="s">
        <v>442</v>
      </c>
      <c r="F14" s="25" t="s">
        <v>638</v>
      </c>
    </row>
    <row r="15" spans="1:6">
      <c r="A15" s="25">
        <v>14</v>
      </c>
      <c r="B15" s="25" t="s">
        <v>639</v>
      </c>
      <c r="C15" s="25" t="s">
        <v>443</v>
      </c>
      <c r="F15" s="25" t="s">
        <v>640</v>
      </c>
    </row>
    <row r="16" spans="1:6">
      <c r="A16" s="25">
        <v>15</v>
      </c>
      <c r="B16" s="25" t="s">
        <v>641</v>
      </c>
      <c r="F16" s="25" t="s">
        <v>642</v>
      </c>
    </row>
    <row r="17" spans="1:10">
      <c r="A17" s="25">
        <v>16</v>
      </c>
      <c r="B17" s="25" t="s">
        <v>643</v>
      </c>
      <c r="C17" s="25" t="s">
        <v>442</v>
      </c>
      <c r="F17" s="25" t="s">
        <v>644</v>
      </c>
    </row>
    <row r="18" spans="1:10">
      <c r="A18" s="25">
        <v>17</v>
      </c>
      <c r="B18" s="25" t="s">
        <v>645</v>
      </c>
      <c r="C18" s="25" t="s">
        <v>442</v>
      </c>
      <c r="F18" s="25" t="s">
        <v>646</v>
      </c>
    </row>
    <row r="19" spans="1:10">
      <c r="A19" s="25">
        <v>18</v>
      </c>
      <c r="B19" s="25" t="s">
        <v>647</v>
      </c>
      <c r="C19" s="25" t="s">
        <v>442</v>
      </c>
      <c r="F19" s="25" t="s">
        <v>648</v>
      </c>
    </row>
    <row r="20" spans="1:10">
      <c r="A20" s="25">
        <v>19</v>
      </c>
      <c r="B20" s="25" t="s">
        <v>649</v>
      </c>
      <c r="C20" s="25" t="s">
        <v>442</v>
      </c>
      <c r="F20" s="25" t="s">
        <v>650</v>
      </c>
    </row>
    <row r="21" spans="1:10">
      <c r="A21" s="25">
        <v>20</v>
      </c>
      <c r="B21" s="25" t="s">
        <v>651</v>
      </c>
      <c r="C21" s="25" t="s">
        <v>442</v>
      </c>
      <c r="F21" s="25" t="s">
        <v>652</v>
      </c>
    </row>
    <row r="22" spans="1:10">
      <c r="A22" s="25">
        <v>21</v>
      </c>
      <c r="B22" s="25" t="s">
        <v>653</v>
      </c>
      <c r="C22" s="25" t="s">
        <v>442</v>
      </c>
      <c r="F22" s="25" t="s">
        <v>654</v>
      </c>
    </row>
    <row r="23" spans="1:10">
      <c r="A23" s="25">
        <v>22</v>
      </c>
      <c r="B23" s="25" t="s">
        <v>655</v>
      </c>
      <c r="C23" s="25" t="s">
        <v>442</v>
      </c>
      <c r="F23" s="25" t="s">
        <v>656</v>
      </c>
    </row>
    <row r="24" spans="1:10">
      <c r="A24" s="25">
        <v>23</v>
      </c>
      <c r="B24" s="25" t="s">
        <v>657</v>
      </c>
      <c r="C24" s="25" t="s">
        <v>442</v>
      </c>
      <c r="F24" s="25" t="s">
        <v>658</v>
      </c>
    </row>
    <row r="25" spans="1:10">
      <c r="A25" s="25">
        <v>24</v>
      </c>
      <c r="B25" s="25" t="s">
        <v>659</v>
      </c>
      <c r="C25" s="25" t="s">
        <v>442</v>
      </c>
      <c r="F25" s="25" t="s">
        <v>660</v>
      </c>
    </row>
    <row r="26" spans="1:10">
      <c r="A26" s="25">
        <v>25</v>
      </c>
      <c r="B26" s="25" t="s">
        <v>661</v>
      </c>
      <c r="C26" s="25" t="s">
        <v>442</v>
      </c>
      <c r="F26" s="25" t="s">
        <v>662</v>
      </c>
    </row>
    <row r="27" spans="1:10">
      <c r="A27" s="25">
        <v>26</v>
      </c>
      <c r="B27" s="25" t="s">
        <v>663</v>
      </c>
      <c r="C27" s="25" t="s">
        <v>442</v>
      </c>
      <c r="F27" s="25" t="s">
        <v>664</v>
      </c>
    </row>
    <row r="28" spans="1:10">
      <c r="A28" s="25">
        <v>27</v>
      </c>
      <c r="B28" s="25" t="s">
        <v>665</v>
      </c>
      <c r="C28" s="25" t="s">
        <v>442</v>
      </c>
      <c r="F28" s="25" t="s">
        <v>666</v>
      </c>
    </row>
    <row r="29" spans="1:10">
      <c r="A29" s="25">
        <v>28</v>
      </c>
      <c r="B29" s="25" t="s">
        <v>667</v>
      </c>
      <c r="C29" s="25" t="s">
        <v>444</v>
      </c>
      <c r="F29" s="25" t="s">
        <v>668</v>
      </c>
    </row>
    <row r="30" spans="1:10">
      <c r="A30" s="25">
        <v>29</v>
      </c>
      <c r="B30" s="25" t="s">
        <v>669</v>
      </c>
      <c r="C30" s="25" t="s">
        <v>444</v>
      </c>
      <c r="F30" s="25" t="s">
        <v>670</v>
      </c>
      <c r="H30" s="26"/>
      <c r="I30" s="26"/>
      <c r="J30" s="27"/>
    </row>
    <row r="31" spans="1:10">
      <c r="A31" s="25">
        <v>30</v>
      </c>
      <c r="B31" s="25" t="s">
        <v>671</v>
      </c>
      <c r="C31" s="25" t="s">
        <v>443</v>
      </c>
      <c r="F31" s="25" t="s">
        <v>672</v>
      </c>
      <c r="H31" s="26"/>
      <c r="I31" s="26"/>
      <c r="J31" s="27"/>
    </row>
    <row r="32" spans="1:10">
      <c r="A32" s="25">
        <v>31</v>
      </c>
      <c r="B32" s="25" t="s">
        <v>673</v>
      </c>
      <c r="C32" s="25" t="s">
        <v>445</v>
      </c>
      <c r="F32" s="25" t="s">
        <v>674</v>
      </c>
      <c r="H32" s="26"/>
      <c r="I32" s="26"/>
      <c r="J32" s="27"/>
    </row>
    <row r="33" spans="1:10">
      <c r="A33" s="25">
        <v>32</v>
      </c>
      <c r="B33" s="25" t="s">
        <v>675</v>
      </c>
      <c r="C33" s="25" t="s">
        <v>445</v>
      </c>
      <c r="F33" s="25" t="s">
        <v>676</v>
      </c>
      <c r="H33" s="26"/>
      <c r="I33" s="26"/>
      <c r="J33" s="27"/>
    </row>
    <row r="34" spans="1:10">
      <c r="A34" s="25">
        <v>33</v>
      </c>
      <c r="B34" s="25" t="s">
        <v>677</v>
      </c>
      <c r="C34" s="25" t="s">
        <v>444</v>
      </c>
      <c r="F34" s="25" t="s">
        <v>678</v>
      </c>
      <c r="H34" s="26"/>
      <c r="I34" s="26"/>
      <c r="J34" s="27"/>
    </row>
    <row r="35" spans="1:10">
      <c r="A35" s="25">
        <v>34</v>
      </c>
      <c r="B35" s="25" t="s">
        <v>679</v>
      </c>
      <c r="C35" s="25" t="s">
        <v>444</v>
      </c>
      <c r="F35" s="25" t="s">
        <v>680</v>
      </c>
      <c r="H35" s="26"/>
      <c r="I35" s="26"/>
      <c r="J35" s="27"/>
    </row>
    <row r="36" spans="1:10">
      <c r="A36" s="25">
        <v>35</v>
      </c>
      <c r="B36" s="25" t="s">
        <v>681</v>
      </c>
      <c r="C36" s="25" t="s">
        <v>446</v>
      </c>
      <c r="F36" s="25" t="s">
        <v>682</v>
      </c>
      <c r="H36" s="26"/>
      <c r="I36" s="26"/>
      <c r="J36" s="27"/>
    </row>
    <row r="37" spans="1:10">
      <c r="A37" s="25">
        <v>36</v>
      </c>
      <c r="B37" s="25" t="s">
        <v>683</v>
      </c>
      <c r="C37" s="25" t="s">
        <v>444</v>
      </c>
      <c r="F37" s="25" t="s">
        <v>684</v>
      </c>
      <c r="H37" s="26"/>
      <c r="I37" s="26"/>
      <c r="J37" s="27"/>
    </row>
    <row r="38" spans="1:10">
      <c r="A38" s="25">
        <v>37</v>
      </c>
      <c r="B38" s="25" t="s">
        <v>685</v>
      </c>
      <c r="C38" s="25" t="s">
        <v>444</v>
      </c>
      <c r="F38" s="25" t="s">
        <v>686</v>
      </c>
      <c r="H38" s="26"/>
      <c r="I38" s="26"/>
      <c r="J38" s="27"/>
    </row>
    <row r="39" spans="1:10">
      <c r="A39" s="25">
        <v>38</v>
      </c>
      <c r="B39" s="25" t="s">
        <v>687</v>
      </c>
      <c r="C39" s="25" t="s">
        <v>446</v>
      </c>
      <c r="F39" s="25" t="s">
        <v>688</v>
      </c>
      <c r="H39" s="26"/>
      <c r="I39" s="26"/>
      <c r="J39" s="27"/>
    </row>
    <row r="40" spans="1:10">
      <c r="A40" s="25">
        <v>39</v>
      </c>
      <c r="B40" s="25" t="s">
        <v>689</v>
      </c>
      <c r="C40" s="25" t="s">
        <v>446</v>
      </c>
      <c r="F40" s="25" t="s">
        <v>690</v>
      </c>
      <c r="H40" s="26"/>
      <c r="I40" s="26"/>
      <c r="J40" s="27"/>
    </row>
    <row r="41" spans="1:10">
      <c r="A41" s="25">
        <v>40</v>
      </c>
      <c r="B41" s="25" t="s">
        <v>691</v>
      </c>
      <c r="C41" s="25" t="s">
        <v>446</v>
      </c>
      <c r="F41" s="25" t="s">
        <v>692</v>
      </c>
      <c r="H41" s="26"/>
      <c r="I41" s="26"/>
      <c r="J41" s="27"/>
    </row>
    <row r="42" spans="1:10">
      <c r="A42" s="25">
        <v>41</v>
      </c>
      <c r="B42" s="25" t="s">
        <v>693</v>
      </c>
      <c r="F42" s="25" t="s">
        <v>443</v>
      </c>
      <c r="H42" s="26"/>
      <c r="I42" s="26"/>
      <c r="J42" s="27"/>
    </row>
    <row r="43" spans="1:10">
      <c r="A43" s="25">
        <v>100</v>
      </c>
      <c r="B43" s="25" t="s">
        <v>447</v>
      </c>
      <c r="C43" s="25" t="s">
        <v>448</v>
      </c>
      <c r="D43" s="25">
        <v>0</v>
      </c>
      <c r="E43" s="25">
        <v>163</v>
      </c>
      <c r="F43" s="25" t="s">
        <v>230</v>
      </c>
      <c r="H43" s="26"/>
      <c r="I43" s="26"/>
      <c r="J43" s="27"/>
    </row>
    <row r="44" spans="1:10">
      <c r="A44" s="25">
        <v>101</v>
      </c>
      <c r="B44" s="25" t="s">
        <v>449</v>
      </c>
      <c r="C44" s="25" t="s">
        <v>446</v>
      </c>
      <c r="D44" s="25">
        <v>0</v>
      </c>
      <c r="E44" s="25">
        <v>220</v>
      </c>
      <c r="F44" s="25" t="s">
        <v>231</v>
      </c>
      <c r="H44" s="26"/>
      <c r="I44" s="26"/>
      <c r="J44" s="27"/>
    </row>
    <row r="45" spans="1:10">
      <c r="A45" s="25">
        <v>102</v>
      </c>
      <c r="B45" s="25" t="s">
        <v>450</v>
      </c>
      <c r="C45" s="25" t="s">
        <v>446</v>
      </c>
      <c r="D45" s="25">
        <v>0</v>
      </c>
      <c r="E45" s="25">
        <v>180</v>
      </c>
      <c r="F45" s="25" t="s">
        <v>232</v>
      </c>
      <c r="H45" s="26"/>
      <c r="I45" s="26"/>
      <c r="J45" s="27"/>
    </row>
    <row r="46" spans="1:10">
      <c r="A46" s="25">
        <v>103</v>
      </c>
      <c r="B46" s="25" t="s">
        <v>451</v>
      </c>
      <c r="C46" s="25" t="s">
        <v>446</v>
      </c>
      <c r="D46" s="25">
        <v>0</v>
      </c>
      <c r="E46" s="25">
        <v>320</v>
      </c>
      <c r="F46" s="25" t="s">
        <v>233</v>
      </c>
      <c r="H46" s="26"/>
      <c r="I46" s="26"/>
      <c r="J46" s="27"/>
    </row>
    <row r="47" spans="1:10">
      <c r="A47" s="25">
        <v>104</v>
      </c>
      <c r="B47" s="25" t="s">
        <v>452</v>
      </c>
      <c r="D47" s="25">
        <v>0</v>
      </c>
      <c r="E47" s="25">
        <v>640</v>
      </c>
      <c r="F47" s="25" t="s">
        <v>234</v>
      </c>
      <c r="H47" s="26"/>
      <c r="I47" s="26"/>
      <c r="J47" s="27"/>
    </row>
    <row r="48" spans="1:10">
      <c r="A48" s="25">
        <v>200</v>
      </c>
      <c r="B48" s="25" t="s">
        <v>453</v>
      </c>
      <c r="C48" s="25" t="s">
        <v>454</v>
      </c>
      <c r="D48" s="25">
        <v>0</v>
      </c>
      <c r="E48" s="25">
        <v>110</v>
      </c>
      <c r="F48" s="25" t="s">
        <v>235</v>
      </c>
      <c r="H48" s="26"/>
      <c r="I48" s="26"/>
      <c r="J48" s="27"/>
    </row>
    <row r="49" spans="1:10">
      <c r="A49" s="25">
        <v>201</v>
      </c>
      <c r="B49" s="25" t="s">
        <v>455</v>
      </c>
      <c r="C49" s="25" t="s">
        <v>445</v>
      </c>
      <c r="D49" s="25">
        <v>0</v>
      </c>
      <c r="E49" s="25">
        <v>110</v>
      </c>
      <c r="F49" s="25" t="s">
        <v>236</v>
      </c>
      <c r="H49" s="26"/>
      <c r="I49" s="26"/>
      <c r="J49" s="27"/>
    </row>
    <row r="50" spans="1:10">
      <c r="A50" s="25">
        <v>202</v>
      </c>
      <c r="B50" s="25" t="s">
        <v>456</v>
      </c>
      <c r="C50" s="25" t="s">
        <v>445</v>
      </c>
      <c r="D50" s="25">
        <v>0</v>
      </c>
      <c r="E50" s="25">
        <v>110</v>
      </c>
      <c r="F50" s="25" t="s">
        <v>237</v>
      </c>
      <c r="H50" s="26"/>
      <c r="I50" s="26"/>
      <c r="J50" s="27"/>
    </row>
    <row r="51" spans="1:10">
      <c r="A51" s="25">
        <v>203</v>
      </c>
      <c r="B51" s="25" t="s">
        <v>457</v>
      </c>
      <c r="D51" s="25">
        <v>0</v>
      </c>
      <c r="E51" s="25">
        <v>110</v>
      </c>
      <c r="F51" s="25" t="s">
        <v>238</v>
      </c>
      <c r="H51" s="26"/>
      <c r="I51" s="26"/>
      <c r="J51" s="27"/>
    </row>
    <row r="52" spans="1:10">
      <c r="A52" s="25">
        <v>300</v>
      </c>
      <c r="B52" s="25" t="s">
        <v>458</v>
      </c>
      <c r="C52" s="25" t="s">
        <v>446</v>
      </c>
      <c r="D52" s="25">
        <v>0</v>
      </c>
      <c r="E52" s="25">
        <v>800</v>
      </c>
      <c r="F52" s="25" t="s">
        <v>239</v>
      </c>
      <c r="H52" s="26"/>
      <c r="I52" s="26"/>
      <c r="J52" s="27"/>
    </row>
    <row r="53" spans="1:10">
      <c r="A53" s="25">
        <v>301</v>
      </c>
      <c r="B53" s="25" t="s">
        <v>459</v>
      </c>
      <c r="D53" s="25">
        <v>0</v>
      </c>
      <c r="E53" s="25">
        <v>800</v>
      </c>
      <c r="F53" s="25" t="s">
        <v>240</v>
      </c>
      <c r="H53" s="26"/>
      <c r="I53" s="26"/>
      <c r="J53" s="27"/>
    </row>
    <row r="54" spans="1:10">
      <c r="A54" s="25">
        <v>400</v>
      </c>
      <c r="B54" s="25" t="s">
        <v>460</v>
      </c>
      <c r="C54" s="25" t="s">
        <v>446</v>
      </c>
      <c r="D54" s="25">
        <v>0</v>
      </c>
      <c r="E54" s="25">
        <v>450</v>
      </c>
      <c r="F54" s="25" t="s">
        <v>241</v>
      </c>
      <c r="H54" s="26"/>
      <c r="I54" s="26"/>
      <c r="J54" s="27"/>
    </row>
    <row r="55" spans="1:10">
      <c r="A55" s="25">
        <v>401</v>
      </c>
      <c r="B55" s="25" t="s">
        <v>461</v>
      </c>
      <c r="C55" s="25" t="s">
        <v>446</v>
      </c>
      <c r="D55" s="25">
        <v>0</v>
      </c>
      <c r="E55" s="25">
        <v>450</v>
      </c>
      <c r="F55" s="25" t="s">
        <v>242</v>
      </c>
      <c r="H55" s="26"/>
      <c r="I55" s="26"/>
      <c r="J55" s="27"/>
    </row>
    <row r="56" spans="1:10">
      <c r="A56" s="25">
        <v>402</v>
      </c>
      <c r="B56" s="25" t="s">
        <v>694</v>
      </c>
      <c r="F56" s="25" t="s">
        <v>695</v>
      </c>
      <c r="H56" s="26"/>
      <c r="I56" s="26"/>
      <c r="J56" s="27"/>
    </row>
    <row r="57" spans="1:10">
      <c r="A57" s="25">
        <v>403</v>
      </c>
      <c r="B57" s="25" t="s">
        <v>696</v>
      </c>
      <c r="F57" s="25" t="s">
        <v>697</v>
      </c>
      <c r="H57" s="26"/>
      <c r="I57" s="26"/>
      <c r="J57" s="27"/>
    </row>
    <row r="58" spans="1:10">
      <c r="A58" s="25">
        <v>500</v>
      </c>
      <c r="B58" s="25" t="s">
        <v>698</v>
      </c>
      <c r="F58" s="25" t="s">
        <v>699</v>
      </c>
      <c r="H58" s="26"/>
      <c r="I58" s="26"/>
      <c r="J58" s="27"/>
    </row>
    <row r="59" spans="1:10">
      <c r="A59" s="25">
        <v>501</v>
      </c>
      <c r="B59" s="25" t="s">
        <v>700</v>
      </c>
      <c r="F59" s="25" t="s">
        <v>701</v>
      </c>
      <c r="H59" s="26"/>
      <c r="I59" s="26"/>
      <c r="J59" s="27"/>
    </row>
    <row r="60" spans="1:10">
      <c r="A60" s="25">
        <v>502</v>
      </c>
      <c r="B60" s="25" t="s">
        <v>462</v>
      </c>
      <c r="C60" s="25" t="s">
        <v>443</v>
      </c>
      <c r="D60" s="25">
        <v>0</v>
      </c>
      <c r="E60" s="25">
        <v>7000</v>
      </c>
      <c r="F60" s="25" t="s">
        <v>243</v>
      </c>
      <c r="H60" s="26"/>
      <c r="I60" s="26"/>
      <c r="J60" s="27"/>
    </row>
    <row r="61" spans="1:10">
      <c r="A61" s="25">
        <v>503</v>
      </c>
      <c r="B61" s="25" t="s">
        <v>463</v>
      </c>
      <c r="C61" s="25" t="s">
        <v>464</v>
      </c>
      <c r="D61" s="25">
        <v>0</v>
      </c>
      <c r="E61" s="25">
        <v>300</v>
      </c>
      <c r="F61" s="25" t="s">
        <v>244</v>
      </c>
      <c r="H61" s="26"/>
      <c r="I61" s="26"/>
      <c r="J61" s="27"/>
    </row>
    <row r="62" spans="1:10">
      <c r="A62" s="25">
        <v>504</v>
      </c>
      <c r="B62" s="25" t="s">
        <v>465</v>
      </c>
      <c r="C62" s="25" t="s">
        <v>445</v>
      </c>
      <c r="D62" s="25">
        <v>0</v>
      </c>
      <c r="E62" s="25">
        <v>300</v>
      </c>
      <c r="F62" s="25" t="s">
        <v>245</v>
      </c>
      <c r="H62" s="26"/>
      <c r="I62" s="26"/>
      <c r="J62" s="27"/>
    </row>
    <row r="63" spans="1:10">
      <c r="A63" s="25">
        <v>505</v>
      </c>
      <c r="B63" s="25" t="s">
        <v>466</v>
      </c>
      <c r="C63" s="25" t="s">
        <v>445</v>
      </c>
      <c r="D63" s="25">
        <v>0</v>
      </c>
      <c r="E63" s="25">
        <v>300</v>
      </c>
      <c r="F63" s="25" t="s">
        <v>246</v>
      </c>
      <c r="H63" s="26"/>
      <c r="I63" s="26"/>
      <c r="J63" s="27"/>
    </row>
    <row r="64" spans="1:10">
      <c r="A64" s="25">
        <v>506</v>
      </c>
      <c r="B64" s="25" t="s">
        <v>467</v>
      </c>
      <c r="C64" s="25" t="s">
        <v>445</v>
      </c>
      <c r="D64" s="25">
        <v>0</v>
      </c>
      <c r="E64" s="25">
        <v>300</v>
      </c>
      <c r="F64" s="25" t="s">
        <v>247</v>
      </c>
      <c r="H64" s="26"/>
      <c r="I64" s="26"/>
      <c r="J64" s="27"/>
    </row>
    <row r="65" spans="1:10">
      <c r="A65" s="25">
        <v>507</v>
      </c>
      <c r="B65" s="25" t="s">
        <v>468</v>
      </c>
      <c r="C65" s="25" t="s">
        <v>446</v>
      </c>
      <c r="D65" s="25">
        <v>0</v>
      </c>
      <c r="E65" s="25">
        <v>10000</v>
      </c>
      <c r="F65" s="25" t="s">
        <v>248</v>
      </c>
      <c r="H65" s="26"/>
      <c r="I65" s="26"/>
      <c r="J65" s="27"/>
    </row>
    <row r="66" spans="1:10">
      <c r="A66" s="25">
        <v>508</v>
      </c>
      <c r="B66" s="25" t="s">
        <v>469</v>
      </c>
      <c r="C66" s="25" t="s">
        <v>446</v>
      </c>
      <c r="D66" s="25">
        <v>0</v>
      </c>
      <c r="E66" s="25">
        <v>10000</v>
      </c>
      <c r="F66" s="25" t="s">
        <v>249</v>
      </c>
      <c r="H66" s="26"/>
      <c r="I66" s="26"/>
      <c r="J66" s="27"/>
    </row>
    <row r="67" spans="1:10">
      <c r="A67" s="25">
        <v>509</v>
      </c>
      <c r="B67" s="25" t="s">
        <v>470</v>
      </c>
      <c r="C67" s="25" t="s">
        <v>443</v>
      </c>
      <c r="D67" s="25">
        <v>0</v>
      </c>
      <c r="E67" s="25">
        <v>5000</v>
      </c>
      <c r="F67" s="25" t="s">
        <v>250</v>
      </c>
      <c r="H67" s="26"/>
      <c r="I67" s="26"/>
      <c r="J67" s="27"/>
    </row>
    <row r="68" spans="1:10">
      <c r="A68" s="25">
        <v>510</v>
      </c>
      <c r="B68" s="25" t="s">
        <v>471</v>
      </c>
      <c r="C68" s="25" t="s">
        <v>446</v>
      </c>
      <c r="D68" s="25">
        <v>0</v>
      </c>
      <c r="E68" s="25">
        <v>800</v>
      </c>
      <c r="F68" s="25" t="s">
        <v>240</v>
      </c>
      <c r="H68" s="26"/>
      <c r="I68" s="26"/>
      <c r="J68" s="27"/>
    </row>
    <row r="69" spans="1:10">
      <c r="A69" s="25">
        <v>511</v>
      </c>
      <c r="B69" s="25" t="s">
        <v>472</v>
      </c>
      <c r="C69" s="25" t="s">
        <v>446</v>
      </c>
      <c r="D69" s="25">
        <v>0</v>
      </c>
      <c r="E69" s="25">
        <v>600</v>
      </c>
      <c r="F69" s="25" t="s">
        <v>251</v>
      </c>
      <c r="H69" s="26"/>
      <c r="I69" s="26"/>
      <c r="J69" s="27"/>
    </row>
    <row r="70" spans="1:10">
      <c r="A70" s="25">
        <v>512</v>
      </c>
      <c r="B70" s="25" t="s">
        <v>473</v>
      </c>
      <c r="C70" s="25" t="s">
        <v>445</v>
      </c>
      <c r="D70" s="25">
        <v>0</v>
      </c>
      <c r="E70" s="25">
        <v>1200</v>
      </c>
      <c r="F70" s="25" t="s">
        <v>252</v>
      </c>
      <c r="H70" s="26"/>
      <c r="I70" s="26"/>
      <c r="J70" s="27"/>
    </row>
    <row r="71" spans="1:10">
      <c r="A71" s="25">
        <v>513</v>
      </c>
      <c r="B71" s="25" t="s">
        <v>702</v>
      </c>
      <c r="F71" s="25" t="s">
        <v>703</v>
      </c>
      <c r="H71" s="26"/>
      <c r="I71" s="26"/>
      <c r="J71" s="27"/>
    </row>
    <row r="72" spans="1:10">
      <c r="A72" s="25">
        <v>514</v>
      </c>
      <c r="B72" s="25" t="s">
        <v>704</v>
      </c>
      <c r="F72" s="25" t="s">
        <v>705</v>
      </c>
      <c r="H72" s="26"/>
      <c r="I72" s="26"/>
      <c r="J72" s="27"/>
    </row>
    <row r="73" spans="1:10">
      <c r="A73" s="25">
        <v>515</v>
      </c>
      <c r="B73" s="25" t="s">
        <v>706</v>
      </c>
      <c r="F73" s="25" t="s">
        <v>707</v>
      </c>
      <c r="H73" s="26"/>
      <c r="I73" s="26"/>
      <c r="J73" s="27"/>
    </row>
    <row r="74" spans="1:10">
      <c r="A74" s="25">
        <v>516</v>
      </c>
      <c r="B74" s="25" t="s">
        <v>474</v>
      </c>
      <c r="C74" s="25" t="s">
        <v>446</v>
      </c>
      <c r="D74" s="25">
        <v>0</v>
      </c>
      <c r="E74" s="25">
        <v>7000</v>
      </c>
      <c r="F74" s="25" t="s">
        <v>253</v>
      </c>
      <c r="H74" s="26"/>
      <c r="I74" s="26"/>
      <c r="J74" s="27"/>
    </row>
    <row r="75" spans="1:10">
      <c r="A75" s="25">
        <v>517</v>
      </c>
      <c r="B75" s="25" t="s">
        <v>708</v>
      </c>
      <c r="F75" s="25" t="s">
        <v>709</v>
      </c>
      <c r="H75" s="26"/>
      <c r="I75" s="26"/>
      <c r="J75" s="27"/>
    </row>
    <row r="76" spans="1:10">
      <c r="A76" s="25">
        <v>518</v>
      </c>
      <c r="B76" s="25" t="s">
        <v>710</v>
      </c>
      <c r="C76" s="25" t="s">
        <v>443</v>
      </c>
      <c r="F76" s="25" t="s">
        <v>711</v>
      </c>
      <c r="H76" s="26"/>
      <c r="I76" s="26"/>
      <c r="J76" s="27"/>
    </row>
    <row r="77" spans="1:10">
      <c r="A77" s="25">
        <v>519</v>
      </c>
      <c r="B77" s="25" t="s">
        <v>712</v>
      </c>
      <c r="F77" s="25" t="s">
        <v>713</v>
      </c>
      <c r="H77" s="26"/>
      <c r="I77" s="26"/>
      <c r="J77" s="27"/>
    </row>
    <row r="78" spans="1:10">
      <c r="A78" s="25">
        <v>520</v>
      </c>
      <c r="B78" s="25" t="s">
        <v>714</v>
      </c>
      <c r="F78" s="25" t="s">
        <v>715</v>
      </c>
      <c r="H78" s="26"/>
      <c r="I78" s="26"/>
      <c r="J78" s="27"/>
    </row>
    <row r="79" spans="1:10">
      <c r="A79" s="25">
        <v>521</v>
      </c>
      <c r="B79" s="25" t="s">
        <v>716</v>
      </c>
      <c r="F79" s="25" t="s">
        <v>717</v>
      </c>
      <c r="H79" s="26"/>
      <c r="I79" s="26"/>
      <c r="J79" s="27"/>
    </row>
    <row r="80" spans="1:10">
      <c r="A80" s="25">
        <v>522</v>
      </c>
      <c r="B80" s="25" t="s">
        <v>718</v>
      </c>
      <c r="F80" s="25" t="s">
        <v>719</v>
      </c>
      <c r="H80" s="26"/>
      <c r="I80" s="26"/>
      <c r="J80" s="27"/>
    </row>
    <row r="81" spans="1:10">
      <c r="A81" s="25">
        <v>523</v>
      </c>
      <c r="B81" s="25" t="s">
        <v>720</v>
      </c>
      <c r="C81" s="25" t="s">
        <v>446</v>
      </c>
      <c r="F81" s="25" t="s">
        <v>721</v>
      </c>
      <c r="H81" s="26"/>
      <c r="I81" s="26"/>
      <c r="J81" s="27"/>
    </row>
    <row r="82" spans="1:10">
      <c r="A82" s="25">
        <v>524</v>
      </c>
      <c r="B82" s="25" t="s">
        <v>475</v>
      </c>
      <c r="C82" s="25" t="s">
        <v>446</v>
      </c>
      <c r="D82" s="25">
        <v>0</v>
      </c>
      <c r="E82" s="25">
        <v>10000</v>
      </c>
      <c r="F82" s="25" t="s">
        <v>254</v>
      </c>
      <c r="H82" s="26"/>
      <c r="I82" s="26"/>
      <c r="J82" s="27"/>
    </row>
    <row r="83" spans="1:10">
      <c r="A83" s="25">
        <v>525</v>
      </c>
      <c r="B83" s="25" t="s">
        <v>722</v>
      </c>
      <c r="F83" s="25" t="s">
        <v>443</v>
      </c>
      <c r="H83" s="26"/>
      <c r="I83" s="26"/>
      <c r="J83" s="27"/>
    </row>
    <row r="84" spans="1:10">
      <c r="A84" s="25">
        <v>526</v>
      </c>
      <c r="B84" s="25" t="s">
        <v>723</v>
      </c>
      <c r="F84" s="25" t="s">
        <v>443</v>
      </c>
      <c r="H84" s="26"/>
      <c r="I84" s="26"/>
      <c r="J84" s="27"/>
    </row>
    <row r="85" spans="1:10">
      <c r="A85" s="25">
        <v>527</v>
      </c>
      <c r="B85" s="25" t="s">
        <v>724</v>
      </c>
      <c r="F85" s="25" t="s">
        <v>443</v>
      </c>
      <c r="H85" s="26"/>
      <c r="I85" s="26"/>
      <c r="J85" s="27"/>
    </row>
    <row r="86" spans="1:10">
      <c r="A86" s="25">
        <v>528</v>
      </c>
      <c r="B86" s="25" t="s">
        <v>725</v>
      </c>
      <c r="F86" s="25" t="s">
        <v>443</v>
      </c>
      <c r="H86" s="26"/>
      <c r="I86" s="26"/>
      <c r="J86" s="27"/>
    </row>
    <row r="87" spans="1:10">
      <c r="A87" s="25">
        <v>529</v>
      </c>
      <c r="B87" s="25" t="s">
        <v>726</v>
      </c>
      <c r="F87" s="25" t="s">
        <v>727</v>
      </c>
      <c r="H87" s="26"/>
      <c r="I87" s="26"/>
      <c r="J87" s="27"/>
    </row>
    <row r="88" spans="1:10">
      <c r="A88" s="25">
        <v>530</v>
      </c>
      <c r="B88" s="25" t="s">
        <v>728</v>
      </c>
      <c r="F88" s="25" t="s">
        <v>729</v>
      </c>
      <c r="H88" s="26"/>
      <c r="I88" s="26"/>
      <c r="J88" s="27"/>
    </row>
    <row r="89" spans="1:10">
      <c r="A89" s="25">
        <v>531</v>
      </c>
      <c r="B89" s="25" t="s">
        <v>730</v>
      </c>
      <c r="F89" s="25" t="s">
        <v>731</v>
      </c>
      <c r="H89" s="26"/>
      <c r="I89" s="26"/>
      <c r="J89" s="27"/>
    </row>
    <row r="90" spans="1:10">
      <c r="A90" s="25">
        <v>532</v>
      </c>
      <c r="B90" s="25" t="s">
        <v>732</v>
      </c>
      <c r="F90" s="25" t="s">
        <v>733</v>
      </c>
      <c r="H90" s="26"/>
      <c r="I90" s="26"/>
      <c r="J90" s="27"/>
    </row>
    <row r="91" spans="1:10">
      <c r="A91" s="25">
        <v>533</v>
      </c>
      <c r="B91" s="25" t="s">
        <v>734</v>
      </c>
      <c r="F91" s="25" t="s">
        <v>735</v>
      </c>
      <c r="H91" s="26"/>
      <c r="I91" s="26"/>
      <c r="J91" s="27"/>
    </row>
    <row r="92" spans="1:10">
      <c r="A92" s="25">
        <v>534</v>
      </c>
      <c r="B92" s="25" t="s">
        <v>476</v>
      </c>
      <c r="D92" s="25">
        <v>0</v>
      </c>
      <c r="E92" s="25">
        <v>300</v>
      </c>
      <c r="F92" s="25" t="s">
        <v>255</v>
      </c>
      <c r="H92" s="26"/>
      <c r="I92" s="26"/>
      <c r="J92" s="27"/>
    </row>
    <row r="93" spans="1:10">
      <c r="A93" s="25">
        <v>535</v>
      </c>
      <c r="B93" s="25" t="s">
        <v>477</v>
      </c>
      <c r="D93" s="25">
        <v>0</v>
      </c>
      <c r="E93" s="25">
        <v>300</v>
      </c>
      <c r="F93" s="25" t="s">
        <v>256</v>
      </c>
    </row>
    <row r="94" spans="1:10">
      <c r="A94" s="25">
        <v>600</v>
      </c>
      <c r="B94" s="25" t="s">
        <v>736</v>
      </c>
      <c r="F94" s="25" t="s">
        <v>737</v>
      </c>
    </row>
    <row r="95" spans="1:10">
      <c r="A95" s="25">
        <v>601</v>
      </c>
      <c r="B95" s="25" t="s">
        <v>738</v>
      </c>
      <c r="F95" s="25" t="s">
        <v>739</v>
      </c>
    </row>
    <row r="96" spans="1:10">
      <c r="A96" s="25">
        <v>602</v>
      </c>
      <c r="B96" s="25" t="s">
        <v>740</v>
      </c>
      <c r="F96" s="25" t="s">
        <v>741</v>
      </c>
    </row>
    <row r="97" spans="1:6">
      <c r="A97" s="25">
        <v>603</v>
      </c>
      <c r="B97" s="25" t="s">
        <v>478</v>
      </c>
      <c r="C97" s="25" t="s">
        <v>442</v>
      </c>
      <c r="D97" s="25">
        <v>0</v>
      </c>
      <c r="E97" s="25">
        <v>20</v>
      </c>
      <c r="F97" s="25" t="s">
        <v>257</v>
      </c>
    </row>
    <row r="98" spans="1:6">
      <c r="A98" s="25">
        <v>604</v>
      </c>
      <c r="B98" s="25" t="s">
        <v>479</v>
      </c>
      <c r="C98" s="25" t="s">
        <v>442</v>
      </c>
      <c r="D98" s="25">
        <v>0</v>
      </c>
      <c r="E98" s="25">
        <v>27</v>
      </c>
      <c r="F98" s="25" t="s">
        <v>258</v>
      </c>
    </row>
    <row r="99" spans="1:6">
      <c r="A99" s="25">
        <v>605</v>
      </c>
      <c r="B99" s="25" t="s">
        <v>480</v>
      </c>
      <c r="C99" s="25" t="s">
        <v>442</v>
      </c>
      <c r="D99" s="25">
        <v>0</v>
      </c>
      <c r="E99" s="25">
        <v>480</v>
      </c>
      <c r="F99" s="25" t="s">
        <v>259</v>
      </c>
    </row>
    <row r="100" spans="1:6">
      <c r="A100" s="25">
        <v>606</v>
      </c>
      <c r="B100" s="25" t="s">
        <v>481</v>
      </c>
      <c r="C100" s="25" t="s">
        <v>442</v>
      </c>
      <c r="D100" s="25">
        <v>0</v>
      </c>
      <c r="E100" s="25">
        <v>409</v>
      </c>
      <c r="F100" s="25" t="s">
        <v>260</v>
      </c>
    </row>
    <row r="101" spans="1:6">
      <c r="A101" s="25">
        <v>607</v>
      </c>
      <c r="B101" s="25" t="s">
        <v>482</v>
      </c>
      <c r="C101" s="25" t="s">
        <v>442</v>
      </c>
      <c r="D101" s="25">
        <v>0</v>
      </c>
      <c r="E101" s="25">
        <v>409</v>
      </c>
      <c r="F101" s="25" t="s">
        <v>261</v>
      </c>
    </row>
    <row r="102" spans="1:6">
      <c r="A102" s="25">
        <v>608</v>
      </c>
      <c r="B102" s="25" t="s">
        <v>483</v>
      </c>
      <c r="C102" s="25" t="s">
        <v>442</v>
      </c>
      <c r="D102" s="25">
        <v>0</v>
      </c>
      <c r="E102" s="25">
        <v>204</v>
      </c>
      <c r="F102" s="25" t="s">
        <v>262</v>
      </c>
    </row>
    <row r="103" spans="1:6">
      <c r="A103" s="25">
        <v>609</v>
      </c>
      <c r="B103" s="25" t="s">
        <v>484</v>
      </c>
      <c r="C103" s="25" t="s">
        <v>442</v>
      </c>
      <c r="D103" s="25">
        <v>0</v>
      </c>
      <c r="E103" s="25">
        <v>204</v>
      </c>
      <c r="F103" s="25" t="s">
        <v>263</v>
      </c>
    </row>
    <row r="104" spans="1:6">
      <c r="A104" s="25">
        <v>610</v>
      </c>
      <c r="B104" s="25" t="s">
        <v>485</v>
      </c>
      <c r="C104" s="25" t="s">
        <v>442</v>
      </c>
      <c r="D104" s="25">
        <v>0</v>
      </c>
      <c r="E104" s="25">
        <v>800</v>
      </c>
      <c r="F104" s="25" t="s">
        <v>264</v>
      </c>
    </row>
    <row r="105" spans="1:6">
      <c r="A105" s="25">
        <v>611</v>
      </c>
      <c r="B105" s="25" t="s">
        <v>486</v>
      </c>
      <c r="C105" s="25" t="s">
        <v>442</v>
      </c>
      <c r="D105" s="25">
        <v>0</v>
      </c>
      <c r="E105" s="25">
        <v>800</v>
      </c>
      <c r="F105" s="25" t="s">
        <v>265</v>
      </c>
    </row>
    <row r="106" spans="1:6">
      <c r="A106" s="25">
        <v>612</v>
      </c>
      <c r="B106" s="25" t="s">
        <v>487</v>
      </c>
      <c r="C106" s="25" t="s">
        <v>442</v>
      </c>
      <c r="D106" s="25">
        <v>0</v>
      </c>
      <c r="E106" s="25">
        <v>800</v>
      </c>
      <c r="F106" s="25" t="s">
        <v>266</v>
      </c>
    </row>
    <row r="107" spans="1:6">
      <c r="A107" s="25">
        <v>613</v>
      </c>
      <c r="B107" s="25" t="s">
        <v>488</v>
      </c>
      <c r="C107" s="25" t="s">
        <v>442</v>
      </c>
      <c r="D107" s="25">
        <v>0</v>
      </c>
      <c r="E107" s="25">
        <v>800</v>
      </c>
      <c r="F107" s="25" t="s">
        <v>267</v>
      </c>
    </row>
    <row r="108" spans="1:6">
      <c r="A108" s="25">
        <v>614</v>
      </c>
      <c r="B108" s="25" t="s">
        <v>489</v>
      </c>
      <c r="C108" s="25" t="s">
        <v>442</v>
      </c>
      <c r="D108" s="25">
        <v>0</v>
      </c>
      <c r="E108" s="25">
        <v>800</v>
      </c>
      <c r="F108" s="25" t="s">
        <v>268</v>
      </c>
    </row>
    <row r="109" spans="1:6">
      <c r="A109" s="25">
        <v>615</v>
      </c>
      <c r="B109" s="25" t="s">
        <v>490</v>
      </c>
      <c r="C109" s="25" t="s">
        <v>442</v>
      </c>
      <c r="D109" s="25">
        <v>0</v>
      </c>
      <c r="E109" s="25">
        <v>800</v>
      </c>
      <c r="F109" s="25" t="s">
        <v>269</v>
      </c>
    </row>
    <row r="110" spans="1:6">
      <c r="A110" s="25">
        <v>616</v>
      </c>
      <c r="B110" s="25" t="s">
        <v>491</v>
      </c>
      <c r="C110" s="25" t="s">
        <v>442</v>
      </c>
      <c r="D110" s="25">
        <v>1</v>
      </c>
      <c r="E110" s="25">
        <v>1020</v>
      </c>
      <c r="F110" s="25" t="s">
        <v>270</v>
      </c>
    </row>
    <row r="111" spans="1:6">
      <c r="A111" s="25">
        <v>617</v>
      </c>
      <c r="B111" s="25" t="s">
        <v>492</v>
      </c>
      <c r="C111" s="25" t="s">
        <v>442</v>
      </c>
      <c r="D111" s="25">
        <v>1</v>
      </c>
      <c r="E111" s="25">
        <v>1020</v>
      </c>
      <c r="F111" s="25" t="s">
        <v>271</v>
      </c>
    </row>
    <row r="112" spans="1:6">
      <c r="A112" s="25">
        <v>618</v>
      </c>
      <c r="B112" s="25" t="s">
        <v>493</v>
      </c>
      <c r="C112" s="25" t="s">
        <v>442</v>
      </c>
      <c r="D112" s="25">
        <v>0</v>
      </c>
      <c r="E112" s="25">
        <v>102</v>
      </c>
      <c r="F112" s="25" t="s">
        <v>272</v>
      </c>
    </row>
    <row r="113" spans="1:6">
      <c r="A113" s="25">
        <v>619</v>
      </c>
      <c r="B113" s="25" t="s">
        <v>494</v>
      </c>
      <c r="C113" s="25" t="s">
        <v>442</v>
      </c>
      <c r="D113" s="25">
        <v>0</v>
      </c>
      <c r="E113" s="25">
        <v>204</v>
      </c>
      <c r="F113" s="25" t="s">
        <v>273</v>
      </c>
    </row>
    <row r="114" spans="1:6">
      <c r="A114" s="25">
        <v>620</v>
      </c>
      <c r="B114" s="25" t="s">
        <v>495</v>
      </c>
      <c r="C114" s="25" t="s">
        <v>442</v>
      </c>
      <c r="D114" s="25">
        <v>0</v>
      </c>
      <c r="E114" s="25">
        <v>51</v>
      </c>
      <c r="F114" s="25" t="s">
        <v>274</v>
      </c>
    </row>
    <row r="115" spans="1:6">
      <c r="A115" s="25">
        <v>621</v>
      </c>
      <c r="B115" s="25" t="s">
        <v>496</v>
      </c>
      <c r="C115" s="25" t="s">
        <v>444</v>
      </c>
      <c r="D115" s="25">
        <v>0</v>
      </c>
      <c r="E115" s="25">
        <v>2600</v>
      </c>
      <c r="F115" s="25" t="s">
        <v>275</v>
      </c>
    </row>
    <row r="116" spans="1:6">
      <c r="A116" s="25">
        <v>622</v>
      </c>
      <c r="B116" s="25" t="s">
        <v>497</v>
      </c>
      <c r="C116" s="25" t="s">
        <v>444</v>
      </c>
      <c r="D116" s="25">
        <v>0</v>
      </c>
      <c r="E116" s="25">
        <v>2600</v>
      </c>
      <c r="F116" s="25" t="s">
        <v>276</v>
      </c>
    </row>
    <row r="117" spans="1:6">
      <c r="A117" s="25">
        <v>623</v>
      </c>
      <c r="B117" s="25" t="s">
        <v>498</v>
      </c>
      <c r="C117" s="25" t="s">
        <v>444</v>
      </c>
      <c r="D117" s="25">
        <v>0</v>
      </c>
      <c r="E117" s="25">
        <v>2600</v>
      </c>
      <c r="F117" s="25" t="s">
        <v>277</v>
      </c>
    </row>
    <row r="118" spans="1:6">
      <c r="A118" s="25">
        <v>624</v>
      </c>
      <c r="B118" s="25" t="s">
        <v>499</v>
      </c>
      <c r="C118" s="25" t="s">
        <v>444</v>
      </c>
      <c r="D118" s="25">
        <v>0</v>
      </c>
      <c r="E118" s="25">
        <v>2600</v>
      </c>
      <c r="F118" s="25" t="s">
        <v>278</v>
      </c>
    </row>
    <row r="119" spans="1:6">
      <c r="A119" s="25">
        <v>625</v>
      </c>
      <c r="B119" s="25" t="s">
        <v>500</v>
      </c>
      <c r="C119" s="25" t="s">
        <v>444</v>
      </c>
      <c r="D119" s="25">
        <v>0</v>
      </c>
      <c r="E119" s="25">
        <v>2600</v>
      </c>
      <c r="F119" s="25" t="s">
        <v>279</v>
      </c>
    </row>
    <row r="120" spans="1:6">
      <c r="A120" s="25">
        <v>626</v>
      </c>
      <c r="B120" s="25" t="s">
        <v>501</v>
      </c>
      <c r="C120" s="25" t="s">
        <v>444</v>
      </c>
      <c r="D120" s="25">
        <v>0</v>
      </c>
      <c r="E120" s="25">
        <v>1360</v>
      </c>
      <c r="F120" s="25" t="s">
        <v>280</v>
      </c>
    </row>
    <row r="121" spans="1:6">
      <c r="A121" s="25">
        <v>627</v>
      </c>
      <c r="B121" s="25" t="s">
        <v>502</v>
      </c>
      <c r="C121" s="25" t="s">
        <v>442</v>
      </c>
      <c r="D121" s="25">
        <v>0</v>
      </c>
      <c r="E121" s="25">
        <v>409</v>
      </c>
      <c r="F121" s="25" t="s">
        <v>281</v>
      </c>
    </row>
    <row r="122" spans="1:6">
      <c r="A122" s="25">
        <v>628</v>
      </c>
      <c r="B122" s="25" t="s">
        <v>503</v>
      </c>
      <c r="C122" s="25" t="s">
        <v>442</v>
      </c>
      <c r="D122" s="25">
        <v>0</v>
      </c>
      <c r="E122" s="25">
        <v>1020</v>
      </c>
      <c r="F122" s="25" t="s">
        <v>282</v>
      </c>
    </row>
    <row r="123" spans="1:6">
      <c r="A123" s="25">
        <v>629</v>
      </c>
      <c r="B123" s="25" t="s">
        <v>504</v>
      </c>
      <c r="C123" s="25" t="s">
        <v>442</v>
      </c>
      <c r="D123" s="25">
        <v>0</v>
      </c>
      <c r="E123" s="25">
        <v>2040</v>
      </c>
      <c r="F123" s="25" t="s">
        <v>283</v>
      </c>
    </row>
    <row r="124" spans="1:6">
      <c r="A124" s="25">
        <v>630</v>
      </c>
      <c r="B124" s="25" t="s">
        <v>505</v>
      </c>
      <c r="C124" s="25" t="s">
        <v>442</v>
      </c>
      <c r="D124" s="25">
        <v>0</v>
      </c>
      <c r="E124" s="25">
        <v>102</v>
      </c>
      <c r="F124" s="25" t="s">
        <v>284</v>
      </c>
    </row>
    <row r="125" spans="1:6">
      <c r="A125" s="25">
        <v>631</v>
      </c>
      <c r="B125" s="25" t="s">
        <v>506</v>
      </c>
      <c r="C125" s="25" t="s">
        <v>442</v>
      </c>
      <c r="D125" s="25">
        <v>0</v>
      </c>
      <c r="E125" s="25">
        <v>204</v>
      </c>
      <c r="F125" s="25" t="s">
        <v>285</v>
      </c>
    </row>
    <row r="126" spans="1:6">
      <c r="A126" s="25">
        <v>632</v>
      </c>
      <c r="B126" s="25" t="s">
        <v>507</v>
      </c>
      <c r="C126" s="25" t="s">
        <v>442</v>
      </c>
      <c r="D126" s="25">
        <v>0</v>
      </c>
      <c r="E126" s="25">
        <v>2040</v>
      </c>
      <c r="F126" s="25" t="s">
        <v>286</v>
      </c>
    </row>
    <row r="127" spans="1:6">
      <c r="A127" s="25">
        <v>633</v>
      </c>
      <c r="B127" s="25" t="s">
        <v>508</v>
      </c>
      <c r="C127" s="25" t="s">
        <v>442</v>
      </c>
      <c r="D127" s="25">
        <v>0</v>
      </c>
      <c r="E127" s="25">
        <v>2040</v>
      </c>
      <c r="F127" s="25" t="s">
        <v>287</v>
      </c>
    </row>
    <row r="128" spans="1:6">
      <c r="A128" s="25">
        <v>634</v>
      </c>
      <c r="B128" s="25" t="s">
        <v>742</v>
      </c>
      <c r="C128" s="25" t="s">
        <v>444</v>
      </c>
      <c r="D128" s="25">
        <v>0</v>
      </c>
      <c r="E128" s="25">
        <v>1020</v>
      </c>
      <c r="F128" s="25" t="s">
        <v>288</v>
      </c>
    </row>
    <row r="129" spans="1:6">
      <c r="A129" s="25">
        <v>635</v>
      </c>
      <c r="B129" s="25" t="s">
        <v>509</v>
      </c>
      <c r="C129" s="25" t="s">
        <v>444</v>
      </c>
      <c r="D129" s="25">
        <v>0</v>
      </c>
      <c r="E129" s="25">
        <v>1020</v>
      </c>
      <c r="F129" s="25" t="s">
        <v>289</v>
      </c>
    </row>
    <row r="130" spans="1:6">
      <c r="A130" s="25">
        <v>636</v>
      </c>
      <c r="B130" s="25" t="s">
        <v>743</v>
      </c>
      <c r="C130" s="25" t="s">
        <v>444</v>
      </c>
      <c r="D130" s="25">
        <v>0</v>
      </c>
      <c r="F130" s="25" t="s">
        <v>744</v>
      </c>
    </row>
    <row r="131" spans="1:6">
      <c r="A131" s="25">
        <v>637</v>
      </c>
      <c r="B131" s="25" t="s">
        <v>510</v>
      </c>
      <c r="C131" s="25" t="s">
        <v>446</v>
      </c>
      <c r="D131" s="25">
        <v>0</v>
      </c>
      <c r="E131" s="25">
        <v>6000</v>
      </c>
      <c r="F131" s="25" t="s">
        <v>290</v>
      </c>
    </row>
    <row r="132" spans="1:6">
      <c r="A132" s="25">
        <v>638</v>
      </c>
      <c r="B132" s="25" t="s">
        <v>511</v>
      </c>
      <c r="C132" s="25" t="s">
        <v>442</v>
      </c>
      <c r="D132" s="25">
        <v>1</v>
      </c>
      <c r="E132" s="25">
        <v>683</v>
      </c>
      <c r="F132" s="25" t="s">
        <v>291</v>
      </c>
    </row>
    <row r="133" spans="1:6">
      <c r="A133" s="25">
        <v>639</v>
      </c>
      <c r="B133" s="25" t="s">
        <v>512</v>
      </c>
      <c r="C133" s="25" t="s">
        <v>442</v>
      </c>
      <c r="D133" s="25">
        <v>1</v>
      </c>
      <c r="E133" s="25">
        <v>683</v>
      </c>
      <c r="F133" s="25" t="s">
        <v>292</v>
      </c>
    </row>
    <row r="134" spans="1:6">
      <c r="A134" s="25">
        <v>640</v>
      </c>
      <c r="B134" s="25" t="s">
        <v>513</v>
      </c>
      <c r="C134" s="25" t="s">
        <v>442</v>
      </c>
      <c r="D134" s="25">
        <v>1</v>
      </c>
      <c r="E134" s="25">
        <v>683</v>
      </c>
      <c r="F134" s="25" t="s">
        <v>293</v>
      </c>
    </row>
    <row r="135" spans="1:6">
      <c r="A135" s="25">
        <v>641</v>
      </c>
      <c r="B135" s="25" t="s">
        <v>514</v>
      </c>
      <c r="C135" s="25" t="s">
        <v>442</v>
      </c>
      <c r="D135" s="25">
        <v>1</v>
      </c>
      <c r="E135" s="25">
        <v>683</v>
      </c>
      <c r="F135" s="25" t="s">
        <v>294</v>
      </c>
    </row>
    <row r="136" spans="1:6">
      <c r="A136" s="25">
        <v>642</v>
      </c>
      <c r="B136" s="25" t="s">
        <v>515</v>
      </c>
      <c r="C136" s="25" t="s">
        <v>442</v>
      </c>
      <c r="D136" s="25">
        <v>1</v>
      </c>
      <c r="E136" s="25">
        <v>683</v>
      </c>
      <c r="F136" s="25" t="s">
        <v>295</v>
      </c>
    </row>
    <row r="137" spans="1:6">
      <c r="A137" s="25">
        <v>643</v>
      </c>
      <c r="B137" s="25" t="s">
        <v>516</v>
      </c>
      <c r="C137" s="25" t="s">
        <v>517</v>
      </c>
      <c r="D137" s="25">
        <v>1</v>
      </c>
      <c r="E137" s="25">
        <v>408</v>
      </c>
      <c r="F137" s="25" t="s">
        <v>296</v>
      </c>
    </row>
    <row r="138" spans="1:6">
      <c r="A138" s="25">
        <v>644</v>
      </c>
      <c r="B138" s="25" t="s">
        <v>518</v>
      </c>
      <c r="C138" s="25" t="s">
        <v>517</v>
      </c>
      <c r="D138" s="25">
        <v>1</v>
      </c>
      <c r="E138" s="25">
        <v>408</v>
      </c>
      <c r="F138" s="25" t="s">
        <v>297</v>
      </c>
    </row>
    <row r="139" spans="1:6">
      <c r="A139" s="25">
        <v>645</v>
      </c>
      <c r="B139" s="25" t="s">
        <v>519</v>
      </c>
      <c r="C139" s="25" t="s">
        <v>517</v>
      </c>
      <c r="D139" s="25">
        <v>1</v>
      </c>
      <c r="E139" s="25">
        <v>408</v>
      </c>
      <c r="F139" s="25" t="s">
        <v>298</v>
      </c>
    </row>
    <row r="140" spans="1:6">
      <c r="A140" s="25">
        <v>646</v>
      </c>
      <c r="B140" s="25" t="s">
        <v>520</v>
      </c>
      <c r="C140" s="25" t="s">
        <v>517</v>
      </c>
      <c r="D140" s="25">
        <v>1</v>
      </c>
      <c r="E140" s="25">
        <v>408</v>
      </c>
      <c r="F140" s="25" t="s">
        <v>299</v>
      </c>
    </row>
    <row r="141" spans="1:6">
      <c r="A141" s="25">
        <v>647</v>
      </c>
      <c r="B141" s="25" t="s">
        <v>521</v>
      </c>
      <c r="C141" s="25" t="s">
        <v>517</v>
      </c>
      <c r="D141" s="25">
        <v>1</v>
      </c>
      <c r="E141" s="25">
        <v>408</v>
      </c>
      <c r="F141" s="25" t="s">
        <v>300</v>
      </c>
    </row>
    <row r="142" spans="1:6">
      <c r="A142" s="25">
        <v>648</v>
      </c>
      <c r="B142" s="25" t="s">
        <v>522</v>
      </c>
      <c r="C142" s="25" t="s">
        <v>517</v>
      </c>
      <c r="D142" s="25">
        <v>1</v>
      </c>
      <c r="E142" s="25">
        <v>408</v>
      </c>
      <c r="F142" s="25" t="s">
        <v>301</v>
      </c>
    </row>
    <row r="143" spans="1:6">
      <c r="A143" s="25">
        <v>649</v>
      </c>
      <c r="B143" s="25" t="s">
        <v>523</v>
      </c>
      <c r="C143" s="25" t="s">
        <v>517</v>
      </c>
      <c r="D143" s="25">
        <v>1</v>
      </c>
      <c r="E143" s="25">
        <v>408</v>
      </c>
      <c r="F143" s="25" t="s">
        <v>302</v>
      </c>
    </row>
    <row r="144" spans="1:6">
      <c r="A144" s="25">
        <v>650</v>
      </c>
      <c r="B144" s="25" t="s">
        <v>524</v>
      </c>
      <c r="C144" s="25" t="s">
        <v>517</v>
      </c>
      <c r="D144" s="25">
        <v>1</v>
      </c>
      <c r="E144" s="25">
        <v>408</v>
      </c>
      <c r="F144" s="25" t="s">
        <v>303</v>
      </c>
    </row>
    <row r="145" spans="1:6">
      <c r="A145" s="25">
        <v>651</v>
      </c>
      <c r="B145" s="25" t="s">
        <v>525</v>
      </c>
      <c r="C145" s="25" t="s">
        <v>444</v>
      </c>
      <c r="D145" s="25">
        <v>0</v>
      </c>
      <c r="E145" s="25">
        <v>683</v>
      </c>
      <c r="F145" s="25" t="s">
        <v>304</v>
      </c>
    </row>
    <row r="146" spans="1:6">
      <c r="A146" s="25">
        <v>652</v>
      </c>
      <c r="B146" s="25" t="s">
        <v>526</v>
      </c>
      <c r="D146" s="25">
        <v>0</v>
      </c>
      <c r="E146" s="25">
        <v>800</v>
      </c>
      <c r="F146" s="25" t="s">
        <v>305</v>
      </c>
    </row>
    <row r="147" spans="1:6">
      <c r="A147" s="25">
        <v>653</v>
      </c>
      <c r="B147" s="25" t="s">
        <v>527</v>
      </c>
      <c r="D147" s="25">
        <v>0</v>
      </c>
      <c r="E147" s="25">
        <v>800</v>
      </c>
      <c r="F147" s="25" t="s">
        <v>306</v>
      </c>
    </row>
    <row r="148" spans="1:6">
      <c r="A148" s="25">
        <v>654</v>
      </c>
      <c r="B148" s="25" t="s">
        <v>528</v>
      </c>
      <c r="C148" s="25" t="s">
        <v>446</v>
      </c>
      <c r="D148" s="25">
        <v>0</v>
      </c>
      <c r="E148" s="25">
        <v>1600</v>
      </c>
      <c r="F148" s="25" t="s">
        <v>307</v>
      </c>
    </row>
    <row r="149" spans="1:6">
      <c r="A149" s="25">
        <v>655</v>
      </c>
      <c r="B149" s="25" t="s">
        <v>529</v>
      </c>
      <c r="D149" s="25">
        <v>0</v>
      </c>
      <c r="E149" s="25">
        <v>2000</v>
      </c>
      <c r="F149" s="25" t="s">
        <v>308</v>
      </c>
    </row>
    <row r="150" spans="1:6">
      <c r="A150" s="25">
        <v>656</v>
      </c>
      <c r="B150" s="25" t="s">
        <v>530</v>
      </c>
      <c r="C150" s="25" t="s">
        <v>444</v>
      </c>
      <c r="D150" s="25">
        <v>0</v>
      </c>
      <c r="E150" s="25">
        <v>100</v>
      </c>
      <c r="F150" s="25" t="s">
        <v>309</v>
      </c>
    </row>
    <row r="151" spans="1:6">
      <c r="A151" s="25">
        <v>657</v>
      </c>
      <c r="B151" s="25" t="s">
        <v>531</v>
      </c>
      <c r="C151" s="25" t="s">
        <v>444</v>
      </c>
      <c r="D151" s="25">
        <v>0</v>
      </c>
      <c r="E151" s="25">
        <v>100</v>
      </c>
      <c r="F151" s="25" t="s">
        <v>310</v>
      </c>
    </row>
    <row r="152" spans="1:6">
      <c r="A152" s="25">
        <v>658</v>
      </c>
      <c r="B152" s="25" t="s">
        <v>532</v>
      </c>
      <c r="C152" s="25" t="s">
        <v>444</v>
      </c>
      <c r="D152" s="25">
        <v>0</v>
      </c>
      <c r="E152" s="25">
        <v>819</v>
      </c>
      <c r="F152" s="25" t="s">
        <v>311</v>
      </c>
    </row>
    <row r="153" spans="1:6">
      <c r="A153" s="25">
        <v>659</v>
      </c>
      <c r="B153" s="25" t="s">
        <v>533</v>
      </c>
      <c r="C153" s="25" t="s">
        <v>444</v>
      </c>
      <c r="D153" s="25">
        <v>0</v>
      </c>
      <c r="E153" s="25">
        <v>819</v>
      </c>
      <c r="F153" s="25" t="s">
        <v>312</v>
      </c>
    </row>
    <row r="154" spans="1:6">
      <c r="A154" s="25">
        <v>660</v>
      </c>
      <c r="B154" s="25" t="s">
        <v>745</v>
      </c>
      <c r="C154" s="25" t="s">
        <v>444</v>
      </c>
      <c r="F154" s="25" t="s">
        <v>746</v>
      </c>
    </row>
    <row r="155" spans="1:6">
      <c r="A155" s="25">
        <v>661</v>
      </c>
      <c r="B155" s="25" t="s">
        <v>747</v>
      </c>
      <c r="C155" s="25" t="s">
        <v>446</v>
      </c>
      <c r="F155" s="25" t="s">
        <v>748</v>
      </c>
    </row>
    <row r="156" spans="1:6">
      <c r="A156" s="25">
        <v>662</v>
      </c>
      <c r="B156" s="25" t="s">
        <v>534</v>
      </c>
      <c r="C156" s="25" t="s">
        <v>442</v>
      </c>
      <c r="D156" s="25">
        <v>0</v>
      </c>
      <c r="E156" s="25">
        <v>1000</v>
      </c>
      <c r="F156" s="25" t="s">
        <v>313</v>
      </c>
    </row>
    <row r="157" spans="1:6">
      <c r="A157" s="25">
        <v>663</v>
      </c>
      <c r="B157" s="25" t="s">
        <v>749</v>
      </c>
      <c r="C157" s="25" t="s">
        <v>443</v>
      </c>
      <c r="F157" s="25" t="s">
        <v>750</v>
      </c>
    </row>
    <row r="158" spans="1:6">
      <c r="A158" s="25">
        <v>664</v>
      </c>
      <c r="B158" s="25" t="s">
        <v>751</v>
      </c>
      <c r="F158" s="25" t="s">
        <v>752</v>
      </c>
    </row>
    <row r="159" spans="1:6">
      <c r="A159" s="25">
        <v>665</v>
      </c>
      <c r="B159" s="25" t="s">
        <v>753</v>
      </c>
      <c r="C159" s="25" t="s">
        <v>443</v>
      </c>
      <c r="F159" s="25" t="s">
        <v>754</v>
      </c>
    </row>
    <row r="160" spans="1:6">
      <c r="A160" s="25">
        <v>666</v>
      </c>
      <c r="B160" s="25" t="s">
        <v>755</v>
      </c>
      <c r="F160" s="25" t="s">
        <v>756</v>
      </c>
    </row>
    <row r="161" spans="1:6">
      <c r="A161" s="25">
        <v>667</v>
      </c>
      <c r="B161" s="25" t="s">
        <v>535</v>
      </c>
      <c r="C161" s="25" t="s">
        <v>444</v>
      </c>
      <c r="D161" s="25">
        <v>0</v>
      </c>
      <c r="E161" s="25">
        <v>2040</v>
      </c>
      <c r="F161" s="25" t="s">
        <v>314</v>
      </c>
    </row>
    <row r="162" spans="1:6">
      <c r="A162" s="25">
        <v>668</v>
      </c>
      <c r="B162" s="25" t="s">
        <v>536</v>
      </c>
      <c r="C162" s="25" t="s">
        <v>444</v>
      </c>
      <c r="D162" s="25">
        <v>0</v>
      </c>
      <c r="E162" s="25">
        <v>2040</v>
      </c>
      <c r="F162" s="25" t="s">
        <v>315</v>
      </c>
    </row>
    <row r="163" spans="1:6">
      <c r="A163" s="25">
        <v>669</v>
      </c>
      <c r="B163" s="25" t="s">
        <v>757</v>
      </c>
      <c r="C163" s="25" t="s">
        <v>444</v>
      </c>
      <c r="F163" s="25" t="s">
        <v>758</v>
      </c>
    </row>
    <row r="164" spans="1:6">
      <c r="A164" s="25">
        <v>670</v>
      </c>
      <c r="B164" s="25" t="s">
        <v>537</v>
      </c>
      <c r="C164" s="25" t="s">
        <v>444</v>
      </c>
      <c r="D164" s="25">
        <v>0</v>
      </c>
      <c r="E164" s="25">
        <v>408</v>
      </c>
      <c r="F164" s="25" t="s">
        <v>316</v>
      </c>
    </row>
    <row r="165" spans="1:6">
      <c r="A165" s="25">
        <v>671</v>
      </c>
      <c r="B165" s="25" t="s">
        <v>538</v>
      </c>
      <c r="C165" s="25" t="s">
        <v>444</v>
      </c>
      <c r="D165" s="25">
        <v>0</v>
      </c>
      <c r="E165" s="25">
        <v>408</v>
      </c>
      <c r="F165" s="25" t="s">
        <v>317</v>
      </c>
    </row>
    <row r="166" spans="1:6">
      <c r="A166" s="25">
        <v>672</v>
      </c>
      <c r="B166" s="25" t="s">
        <v>539</v>
      </c>
      <c r="C166" s="25" t="s">
        <v>444</v>
      </c>
      <c r="D166" s="25">
        <v>0</v>
      </c>
      <c r="E166" s="25">
        <v>2600</v>
      </c>
      <c r="F166" s="25" t="s">
        <v>318</v>
      </c>
    </row>
    <row r="167" spans="1:6">
      <c r="A167" s="25">
        <v>673</v>
      </c>
      <c r="B167" s="25" t="s">
        <v>540</v>
      </c>
      <c r="C167" s="25" t="s">
        <v>444</v>
      </c>
      <c r="D167" s="25">
        <v>0</v>
      </c>
      <c r="E167" s="25">
        <v>2600</v>
      </c>
      <c r="F167" s="25" t="s">
        <v>319</v>
      </c>
    </row>
    <row r="168" spans="1:6">
      <c r="A168" s="25">
        <v>674</v>
      </c>
      <c r="B168" s="25" t="s">
        <v>541</v>
      </c>
      <c r="C168" s="25" t="s">
        <v>444</v>
      </c>
      <c r="D168" s="25">
        <v>0</v>
      </c>
      <c r="E168" s="25">
        <v>2600</v>
      </c>
      <c r="F168" s="25" t="s">
        <v>320</v>
      </c>
    </row>
    <row r="169" spans="1:6">
      <c r="A169" s="25">
        <v>675</v>
      </c>
      <c r="B169" s="25" t="s">
        <v>542</v>
      </c>
      <c r="C169" s="25" t="s">
        <v>444</v>
      </c>
      <c r="D169" s="25">
        <v>0</v>
      </c>
      <c r="E169" s="25">
        <v>2600</v>
      </c>
      <c r="F169" s="25" t="s">
        <v>321</v>
      </c>
    </row>
    <row r="170" spans="1:6">
      <c r="A170" s="25">
        <v>676</v>
      </c>
      <c r="B170" s="25" t="s">
        <v>543</v>
      </c>
      <c r="C170" s="25" t="s">
        <v>444</v>
      </c>
      <c r="D170" s="25">
        <v>0</v>
      </c>
      <c r="E170" s="25">
        <v>2600</v>
      </c>
      <c r="F170" s="25" t="s">
        <v>322</v>
      </c>
    </row>
    <row r="171" spans="1:6">
      <c r="A171" s="25">
        <v>677</v>
      </c>
      <c r="B171" s="25" t="s">
        <v>544</v>
      </c>
      <c r="C171" s="25" t="s">
        <v>444</v>
      </c>
      <c r="D171" s="25">
        <v>0</v>
      </c>
      <c r="E171" s="25">
        <v>1020</v>
      </c>
      <c r="F171" s="25" t="s">
        <v>323</v>
      </c>
    </row>
    <row r="172" spans="1:6">
      <c r="A172" s="25">
        <v>678</v>
      </c>
      <c r="B172" s="25" t="s">
        <v>545</v>
      </c>
      <c r="C172" s="25" t="s">
        <v>444</v>
      </c>
      <c r="D172" s="25">
        <v>0</v>
      </c>
      <c r="E172" s="25">
        <v>1020</v>
      </c>
      <c r="F172" s="25" t="s">
        <v>324</v>
      </c>
    </row>
    <row r="173" spans="1:6">
      <c r="A173" s="25">
        <v>679</v>
      </c>
      <c r="B173" s="25" t="s">
        <v>546</v>
      </c>
      <c r="C173" s="25" t="s">
        <v>442</v>
      </c>
      <c r="D173" s="25">
        <v>0</v>
      </c>
      <c r="E173" s="25">
        <v>204</v>
      </c>
      <c r="F173" s="25" t="s">
        <v>325</v>
      </c>
    </row>
    <row r="174" spans="1:6">
      <c r="A174" s="25">
        <v>680</v>
      </c>
      <c r="B174" s="25" t="s">
        <v>547</v>
      </c>
      <c r="C174" s="25" t="s">
        <v>442</v>
      </c>
      <c r="D174" s="25">
        <v>0</v>
      </c>
      <c r="E174" s="25">
        <v>204</v>
      </c>
      <c r="F174" s="25" t="s">
        <v>326</v>
      </c>
    </row>
    <row r="175" spans="1:6">
      <c r="A175" s="25">
        <v>681</v>
      </c>
      <c r="B175" s="25" t="s">
        <v>548</v>
      </c>
      <c r="C175" s="25" t="s">
        <v>442</v>
      </c>
      <c r="D175" s="25">
        <v>0</v>
      </c>
      <c r="E175" s="25">
        <v>204</v>
      </c>
      <c r="F175" s="25" t="s">
        <v>327</v>
      </c>
    </row>
    <row r="176" spans="1:6">
      <c r="A176" s="25">
        <v>682</v>
      </c>
      <c r="B176" s="25" t="s">
        <v>549</v>
      </c>
      <c r="C176" s="25" t="s">
        <v>442</v>
      </c>
      <c r="D176" s="25">
        <v>0</v>
      </c>
      <c r="E176" s="25">
        <v>204</v>
      </c>
      <c r="F176" s="25" t="s">
        <v>328</v>
      </c>
    </row>
    <row r="177" spans="1:6">
      <c r="A177" s="25">
        <v>684</v>
      </c>
      <c r="B177" s="25" t="s">
        <v>759</v>
      </c>
      <c r="C177" s="25" t="s">
        <v>444</v>
      </c>
      <c r="F177" s="25" t="s">
        <v>760</v>
      </c>
    </row>
    <row r="178" spans="1:6">
      <c r="A178" s="25">
        <v>685</v>
      </c>
      <c r="B178" s="25" t="s">
        <v>761</v>
      </c>
      <c r="C178" s="25" t="s">
        <v>444</v>
      </c>
      <c r="F178" s="25" t="s">
        <v>762</v>
      </c>
    </row>
    <row r="179" spans="1:6">
      <c r="A179" s="25">
        <v>686</v>
      </c>
      <c r="B179" s="25" t="s">
        <v>763</v>
      </c>
      <c r="C179" s="25" t="s">
        <v>442</v>
      </c>
      <c r="F179" s="25" t="s">
        <v>764</v>
      </c>
    </row>
    <row r="180" spans="1:6">
      <c r="A180" s="25">
        <v>687</v>
      </c>
      <c r="B180" s="25" t="s">
        <v>765</v>
      </c>
      <c r="C180" s="25" t="s">
        <v>442</v>
      </c>
      <c r="F180" s="25" t="s">
        <v>766</v>
      </c>
    </row>
    <row r="181" spans="1:6">
      <c r="A181" s="25">
        <v>700</v>
      </c>
      <c r="B181" s="25" t="s">
        <v>550</v>
      </c>
      <c r="C181" s="25" t="s">
        <v>445</v>
      </c>
      <c r="D181" s="25">
        <v>0</v>
      </c>
      <c r="E181" s="25">
        <v>480</v>
      </c>
      <c r="F181" s="25" t="s">
        <v>329</v>
      </c>
    </row>
    <row r="182" spans="1:6">
      <c r="A182" s="25">
        <v>701</v>
      </c>
      <c r="B182" s="25" t="s">
        <v>551</v>
      </c>
      <c r="C182" s="25" t="s">
        <v>464</v>
      </c>
      <c r="D182" s="25">
        <v>0</v>
      </c>
      <c r="E182" s="25">
        <v>480</v>
      </c>
      <c r="F182" s="25" t="s">
        <v>330</v>
      </c>
    </row>
    <row r="183" spans="1:6">
      <c r="A183" s="25">
        <v>702</v>
      </c>
      <c r="B183" s="25" t="s">
        <v>552</v>
      </c>
      <c r="C183" s="25" t="s">
        <v>448</v>
      </c>
      <c r="D183" s="25">
        <v>0</v>
      </c>
      <c r="E183" s="25">
        <v>300</v>
      </c>
      <c r="F183" s="25" t="s">
        <v>331</v>
      </c>
    </row>
    <row r="184" spans="1:6">
      <c r="A184" s="25">
        <v>703</v>
      </c>
      <c r="B184" s="25" t="s">
        <v>553</v>
      </c>
      <c r="C184" s="25" t="s">
        <v>446</v>
      </c>
      <c r="D184" s="25">
        <v>0</v>
      </c>
      <c r="E184" s="25">
        <v>1000</v>
      </c>
      <c r="F184" s="25" t="s">
        <v>332</v>
      </c>
    </row>
    <row r="185" spans="1:6">
      <c r="A185" s="25">
        <v>704</v>
      </c>
      <c r="B185" s="25" t="s">
        <v>554</v>
      </c>
      <c r="C185" s="25" t="s">
        <v>446</v>
      </c>
      <c r="D185" s="25">
        <v>0</v>
      </c>
      <c r="E185" s="25">
        <v>1000</v>
      </c>
      <c r="F185" s="25" t="s">
        <v>333</v>
      </c>
    </row>
    <row r="186" spans="1:6">
      <c r="A186" s="25">
        <v>705</v>
      </c>
      <c r="B186" s="25" t="s">
        <v>767</v>
      </c>
      <c r="C186" s="25" t="s">
        <v>443</v>
      </c>
      <c r="F186" s="25" t="s">
        <v>768</v>
      </c>
    </row>
    <row r="187" spans="1:6">
      <c r="A187" s="25">
        <v>706</v>
      </c>
      <c r="B187" s="25" t="s">
        <v>769</v>
      </c>
      <c r="C187" s="25" t="s">
        <v>443</v>
      </c>
      <c r="F187" s="25" t="s">
        <v>770</v>
      </c>
    </row>
    <row r="188" spans="1:6">
      <c r="A188" s="25">
        <v>707</v>
      </c>
      <c r="B188" s="25" t="s">
        <v>771</v>
      </c>
      <c r="C188" s="25" t="s">
        <v>446</v>
      </c>
      <c r="F188" s="25" t="s">
        <v>772</v>
      </c>
    </row>
    <row r="189" spans="1:6">
      <c r="A189" s="25">
        <v>708</v>
      </c>
      <c r="B189" s="25" t="s">
        <v>773</v>
      </c>
      <c r="F189" s="25" t="s">
        <v>774</v>
      </c>
    </row>
    <row r="190" spans="1:6">
      <c r="A190" s="25">
        <v>800</v>
      </c>
      <c r="B190" s="25" t="s">
        <v>555</v>
      </c>
      <c r="C190" s="25" t="s">
        <v>443</v>
      </c>
      <c r="D190" s="25">
        <v>0</v>
      </c>
      <c r="E190" s="25">
        <v>900</v>
      </c>
      <c r="F190" s="25" t="s">
        <v>164</v>
      </c>
    </row>
    <row r="191" spans="1:6">
      <c r="A191" s="25">
        <v>801</v>
      </c>
      <c r="B191" s="25" t="s">
        <v>556</v>
      </c>
      <c r="C191" s="25" t="s">
        <v>443</v>
      </c>
      <c r="D191" s="25">
        <v>0</v>
      </c>
      <c r="E191" s="25">
        <v>900</v>
      </c>
      <c r="F191" s="25" t="s">
        <v>6</v>
      </c>
    </row>
    <row r="192" spans="1:6">
      <c r="A192" s="25">
        <v>802</v>
      </c>
      <c r="B192" s="25" t="s">
        <v>557</v>
      </c>
      <c r="C192" s="25" t="s">
        <v>443</v>
      </c>
      <c r="D192" s="25">
        <v>0</v>
      </c>
      <c r="E192" s="25">
        <v>900</v>
      </c>
      <c r="F192" s="25" t="s">
        <v>2</v>
      </c>
    </row>
    <row r="193" spans="1:6">
      <c r="A193" s="25">
        <v>803</v>
      </c>
      <c r="B193" s="25" t="s">
        <v>558</v>
      </c>
      <c r="C193" s="25" t="s">
        <v>443</v>
      </c>
      <c r="D193" s="25">
        <v>0</v>
      </c>
      <c r="E193" s="25">
        <v>900</v>
      </c>
      <c r="F193" s="25" t="s">
        <v>3</v>
      </c>
    </row>
    <row r="194" spans="1:6">
      <c r="A194" s="25">
        <v>804</v>
      </c>
      <c r="B194" s="25" t="s">
        <v>559</v>
      </c>
      <c r="C194" s="25" t="s">
        <v>560</v>
      </c>
      <c r="D194" s="25">
        <v>0</v>
      </c>
      <c r="E194" s="25">
        <v>900</v>
      </c>
      <c r="F194" s="25" t="s">
        <v>4</v>
      </c>
    </row>
    <row r="195" spans="1:6">
      <c r="A195" s="25">
        <v>805</v>
      </c>
      <c r="B195" s="25" t="s">
        <v>561</v>
      </c>
      <c r="C195" s="25" t="s">
        <v>443</v>
      </c>
      <c r="D195" s="25">
        <v>0</v>
      </c>
      <c r="E195" s="25">
        <v>900</v>
      </c>
      <c r="F195" s="25" t="s">
        <v>5</v>
      </c>
    </row>
    <row r="196" spans="1:6">
      <c r="A196" s="25">
        <v>806</v>
      </c>
      <c r="B196" s="25" t="s">
        <v>562</v>
      </c>
      <c r="C196" s="25" t="s">
        <v>443</v>
      </c>
      <c r="D196" s="25">
        <v>0</v>
      </c>
      <c r="E196" s="25">
        <v>900</v>
      </c>
      <c r="F196" s="25" t="s">
        <v>165</v>
      </c>
    </row>
    <row r="197" spans="1:6">
      <c r="A197" s="25">
        <v>807</v>
      </c>
      <c r="B197" s="25" t="s">
        <v>563</v>
      </c>
      <c r="C197" s="25" t="s">
        <v>446</v>
      </c>
      <c r="D197" s="25">
        <v>0</v>
      </c>
      <c r="E197" s="25">
        <v>900</v>
      </c>
      <c r="F197" s="25" t="s">
        <v>166</v>
      </c>
    </row>
    <row r="198" spans="1:6">
      <c r="A198" s="25">
        <v>808</v>
      </c>
      <c r="B198" s="25" t="s">
        <v>564</v>
      </c>
      <c r="C198" s="25" t="s">
        <v>442</v>
      </c>
      <c r="D198" s="25">
        <v>0</v>
      </c>
      <c r="E198" s="25">
        <v>60</v>
      </c>
      <c r="F198" s="25" t="s">
        <v>334</v>
      </c>
    </row>
    <row r="199" spans="1:6">
      <c r="A199" s="25">
        <v>809</v>
      </c>
      <c r="B199" s="25" t="s">
        <v>565</v>
      </c>
      <c r="C199" s="25" t="s">
        <v>442</v>
      </c>
      <c r="D199" s="25">
        <v>0</v>
      </c>
      <c r="E199" s="25">
        <v>81</v>
      </c>
      <c r="F199" s="25" t="s">
        <v>335</v>
      </c>
    </row>
    <row r="200" spans="1:6">
      <c r="A200" s="25">
        <v>810</v>
      </c>
      <c r="B200" s="25" t="s">
        <v>566</v>
      </c>
      <c r="C200" s="25" t="s">
        <v>442</v>
      </c>
      <c r="D200" s="25">
        <v>0</v>
      </c>
      <c r="E200" s="25">
        <v>1440</v>
      </c>
      <c r="F200" s="25" t="s">
        <v>336</v>
      </c>
    </row>
    <row r="201" spans="1:6">
      <c r="A201" s="25">
        <v>811</v>
      </c>
      <c r="B201" s="25" t="s">
        <v>567</v>
      </c>
      <c r="C201" s="25" t="s">
        <v>442</v>
      </c>
      <c r="D201" s="25">
        <v>0</v>
      </c>
      <c r="E201" s="25">
        <v>1227</v>
      </c>
      <c r="F201" s="25" t="s">
        <v>337</v>
      </c>
    </row>
    <row r="202" spans="1:6">
      <c r="A202" s="25">
        <v>812</v>
      </c>
      <c r="B202" s="25" t="s">
        <v>568</v>
      </c>
      <c r="C202" s="25" t="s">
        <v>442</v>
      </c>
      <c r="D202" s="25">
        <v>0</v>
      </c>
      <c r="E202" s="25">
        <v>1227</v>
      </c>
      <c r="F202" s="25" t="s">
        <v>338</v>
      </c>
    </row>
    <row r="203" spans="1:6">
      <c r="A203" s="25">
        <v>813</v>
      </c>
      <c r="B203" s="25" t="s">
        <v>569</v>
      </c>
      <c r="C203" s="25" t="s">
        <v>442</v>
      </c>
      <c r="D203" s="25">
        <v>0</v>
      </c>
      <c r="E203" s="25">
        <v>612</v>
      </c>
      <c r="F203" s="25" t="s">
        <v>339</v>
      </c>
    </row>
    <row r="204" spans="1:6">
      <c r="A204" s="25">
        <v>814</v>
      </c>
      <c r="B204" s="25" t="s">
        <v>570</v>
      </c>
      <c r="C204" s="25" t="s">
        <v>442</v>
      </c>
      <c r="D204" s="25">
        <v>0</v>
      </c>
      <c r="E204" s="25">
        <v>612</v>
      </c>
      <c r="F204" s="25" t="s">
        <v>340</v>
      </c>
    </row>
    <row r="205" spans="1:6">
      <c r="A205" s="25">
        <v>815</v>
      </c>
      <c r="B205" s="25" t="s">
        <v>571</v>
      </c>
      <c r="C205" s="25" t="s">
        <v>442</v>
      </c>
      <c r="D205" s="25">
        <v>0</v>
      </c>
      <c r="E205" s="25">
        <v>2600</v>
      </c>
      <c r="F205" s="25" t="s">
        <v>341</v>
      </c>
    </row>
    <row r="206" spans="1:6">
      <c r="A206" s="25">
        <v>816</v>
      </c>
      <c r="B206" s="25" t="s">
        <v>572</v>
      </c>
      <c r="C206" s="25" t="s">
        <v>442</v>
      </c>
      <c r="D206" s="25">
        <v>0</v>
      </c>
      <c r="E206" s="25">
        <v>2600</v>
      </c>
      <c r="F206" s="25" t="s">
        <v>342</v>
      </c>
    </row>
    <row r="207" spans="1:6">
      <c r="A207" s="25">
        <v>817</v>
      </c>
      <c r="B207" s="25" t="s">
        <v>573</v>
      </c>
      <c r="C207" s="25" t="s">
        <v>442</v>
      </c>
      <c r="D207" s="25">
        <v>0</v>
      </c>
      <c r="E207" s="25">
        <v>2600</v>
      </c>
      <c r="F207" s="25" t="s">
        <v>343</v>
      </c>
    </row>
    <row r="208" spans="1:6">
      <c r="A208" s="25">
        <v>818</v>
      </c>
      <c r="B208" s="25" t="s">
        <v>574</v>
      </c>
      <c r="C208" s="25" t="s">
        <v>442</v>
      </c>
      <c r="D208" s="25">
        <v>0</v>
      </c>
      <c r="E208" s="25">
        <v>2600</v>
      </c>
      <c r="F208" s="25" t="s">
        <v>344</v>
      </c>
    </row>
    <row r="209" spans="1:6">
      <c r="A209" s="25">
        <v>819</v>
      </c>
      <c r="B209" s="25" t="s">
        <v>575</v>
      </c>
      <c r="C209" s="25" t="s">
        <v>442</v>
      </c>
      <c r="D209" s="25">
        <v>0</v>
      </c>
      <c r="E209" s="25">
        <v>2600</v>
      </c>
      <c r="F209" s="25" t="s">
        <v>345</v>
      </c>
    </row>
    <row r="210" spans="1:6">
      <c r="A210" s="25">
        <v>820</v>
      </c>
      <c r="B210" s="25" t="s">
        <v>576</v>
      </c>
      <c r="C210" s="25" t="s">
        <v>442</v>
      </c>
      <c r="D210" s="25">
        <v>0</v>
      </c>
      <c r="E210" s="25">
        <v>2600</v>
      </c>
      <c r="F210" s="25" t="s">
        <v>346</v>
      </c>
    </row>
    <row r="211" spans="1:6">
      <c r="A211" s="25">
        <v>821</v>
      </c>
      <c r="B211" s="25" t="s">
        <v>577</v>
      </c>
      <c r="C211" s="25" t="s">
        <v>442</v>
      </c>
      <c r="D211" s="25">
        <v>0</v>
      </c>
      <c r="E211" s="25">
        <v>3060</v>
      </c>
      <c r="F211" s="25" t="s">
        <v>347</v>
      </c>
    </row>
    <row r="212" spans="1:6">
      <c r="A212" s="25">
        <v>822</v>
      </c>
      <c r="B212" s="25" t="s">
        <v>578</v>
      </c>
      <c r="C212" s="25" t="s">
        <v>442</v>
      </c>
      <c r="D212" s="25">
        <v>0</v>
      </c>
      <c r="E212" s="25">
        <v>3060</v>
      </c>
      <c r="F212" s="25" t="s">
        <v>348</v>
      </c>
    </row>
    <row r="213" spans="1:6">
      <c r="A213" s="25">
        <v>823</v>
      </c>
      <c r="B213" s="25" t="s">
        <v>579</v>
      </c>
      <c r="C213" s="25" t="s">
        <v>442</v>
      </c>
      <c r="D213" s="25">
        <v>0</v>
      </c>
      <c r="E213" s="25">
        <v>306</v>
      </c>
      <c r="F213" s="25" t="s">
        <v>349</v>
      </c>
    </row>
    <row r="214" spans="1:6">
      <c r="A214" s="25">
        <v>824</v>
      </c>
      <c r="B214" s="25" t="s">
        <v>580</v>
      </c>
      <c r="C214" s="25" t="s">
        <v>442</v>
      </c>
      <c r="D214" s="25">
        <v>0</v>
      </c>
      <c r="E214" s="25">
        <v>612</v>
      </c>
      <c r="F214" s="25" t="s">
        <v>350</v>
      </c>
    </row>
    <row r="215" spans="1:6">
      <c r="A215" s="25">
        <v>825</v>
      </c>
      <c r="B215" s="25" t="s">
        <v>581</v>
      </c>
      <c r="C215" s="25" t="s">
        <v>442</v>
      </c>
      <c r="D215" s="25">
        <v>0</v>
      </c>
      <c r="E215" s="25">
        <v>153</v>
      </c>
      <c r="F215" s="25" t="s">
        <v>351</v>
      </c>
    </row>
    <row r="216" spans="1:6">
      <c r="A216" s="25">
        <v>826</v>
      </c>
      <c r="B216" s="25" t="s">
        <v>582</v>
      </c>
      <c r="C216" s="25" t="s">
        <v>444</v>
      </c>
      <c r="D216" s="25">
        <v>0</v>
      </c>
      <c r="E216" s="25">
        <v>7800</v>
      </c>
      <c r="F216" s="25" t="s">
        <v>352</v>
      </c>
    </row>
    <row r="217" spans="1:6">
      <c r="A217" s="25">
        <v>827</v>
      </c>
      <c r="B217" s="25" t="s">
        <v>583</v>
      </c>
      <c r="C217" s="25" t="s">
        <v>444</v>
      </c>
      <c r="D217" s="25">
        <v>0</v>
      </c>
      <c r="E217" s="25">
        <v>7800</v>
      </c>
      <c r="F217" s="25" t="s">
        <v>353</v>
      </c>
    </row>
    <row r="218" spans="1:6">
      <c r="A218" s="25">
        <v>828</v>
      </c>
      <c r="B218" s="25" t="s">
        <v>584</v>
      </c>
      <c r="C218" s="25" t="s">
        <v>444</v>
      </c>
      <c r="D218" s="25">
        <v>0</v>
      </c>
      <c r="E218" s="25">
        <v>7800</v>
      </c>
      <c r="F218" s="25" t="s">
        <v>354</v>
      </c>
    </row>
    <row r="219" spans="1:6">
      <c r="A219" s="25">
        <v>829</v>
      </c>
      <c r="B219" s="25" t="s">
        <v>585</v>
      </c>
      <c r="C219" s="25" t="s">
        <v>444</v>
      </c>
      <c r="D219" s="25">
        <v>0</v>
      </c>
      <c r="E219" s="25">
        <v>7800</v>
      </c>
      <c r="F219" s="25" t="s">
        <v>355</v>
      </c>
    </row>
    <row r="220" spans="1:6">
      <c r="A220" s="25">
        <v>830</v>
      </c>
      <c r="B220" s="25" t="s">
        <v>586</v>
      </c>
      <c r="C220" s="25" t="s">
        <v>444</v>
      </c>
      <c r="D220" s="25">
        <v>0</v>
      </c>
      <c r="E220" s="25">
        <v>7800</v>
      </c>
      <c r="F220" s="25" t="s">
        <v>356</v>
      </c>
    </row>
    <row r="221" spans="1:6">
      <c r="A221" s="25">
        <v>831</v>
      </c>
      <c r="B221" s="25" t="s">
        <v>587</v>
      </c>
      <c r="C221" s="25" t="s">
        <v>444</v>
      </c>
      <c r="D221" s="25">
        <v>0</v>
      </c>
      <c r="E221" s="25">
        <v>3060</v>
      </c>
      <c r="F221" s="25" t="s">
        <v>357</v>
      </c>
    </row>
    <row r="222" spans="1:6">
      <c r="A222" s="25">
        <v>832</v>
      </c>
      <c r="B222" s="25" t="s">
        <v>588</v>
      </c>
      <c r="C222" s="25" t="s">
        <v>444</v>
      </c>
      <c r="D222" s="25">
        <v>0</v>
      </c>
      <c r="E222" s="25">
        <v>3060</v>
      </c>
      <c r="F222" s="25" t="s">
        <v>358</v>
      </c>
    </row>
    <row r="223" spans="1:6">
      <c r="A223" s="25">
        <v>833</v>
      </c>
      <c r="B223" s="25" t="s">
        <v>589</v>
      </c>
      <c r="C223" s="25" t="s">
        <v>442</v>
      </c>
      <c r="D223" s="25">
        <v>0</v>
      </c>
      <c r="E223" s="25">
        <v>3000</v>
      </c>
      <c r="F223" s="25" t="s">
        <v>359</v>
      </c>
    </row>
    <row r="224" spans="1:6">
      <c r="A224" s="25">
        <v>834</v>
      </c>
      <c r="B224" s="25" t="s">
        <v>590</v>
      </c>
      <c r="C224" s="25" t="s">
        <v>443</v>
      </c>
      <c r="D224" s="25">
        <v>0</v>
      </c>
      <c r="E224" s="25">
        <v>1600</v>
      </c>
      <c r="F224" s="25" t="s">
        <v>360</v>
      </c>
    </row>
    <row r="225" spans="1:6">
      <c r="A225" s="25">
        <v>835</v>
      </c>
      <c r="B225" s="25" t="s">
        <v>591</v>
      </c>
      <c r="D225" s="25">
        <v>0</v>
      </c>
      <c r="E225" s="25">
        <v>1600</v>
      </c>
      <c r="F225" s="25" t="s">
        <v>167</v>
      </c>
    </row>
    <row r="226" spans="1:6">
      <c r="A226" s="25">
        <v>836</v>
      </c>
      <c r="B226" s="25" t="s">
        <v>592</v>
      </c>
      <c r="C226" s="25" t="s">
        <v>443</v>
      </c>
      <c r="D226" s="25">
        <v>0</v>
      </c>
      <c r="E226" s="25">
        <v>1600</v>
      </c>
      <c r="F226" s="25" t="s">
        <v>361</v>
      </c>
    </row>
    <row r="227" spans="1:6">
      <c r="A227" s="25">
        <v>837</v>
      </c>
      <c r="B227" s="25" t="s">
        <v>593</v>
      </c>
      <c r="C227" s="25" t="s">
        <v>445</v>
      </c>
      <c r="D227" s="25">
        <v>0</v>
      </c>
      <c r="E227" s="25">
        <v>1000</v>
      </c>
      <c r="F227" s="25" t="s">
        <v>168</v>
      </c>
    </row>
    <row r="228" spans="1:6">
      <c r="A228" s="25">
        <v>838</v>
      </c>
      <c r="B228" s="25" t="s">
        <v>594</v>
      </c>
      <c r="C228" s="25" t="s">
        <v>464</v>
      </c>
      <c r="D228" s="25">
        <v>0</v>
      </c>
      <c r="E228" s="25">
        <v>1000</v>
      </c>
      <c r="F228" s="25" t="s">
        <v>169</v>
      </c>
    </row>
    <row r="229" spans="1:6">
      <c r="A229" s="25">
        <v>839</v>
      </c>
      <c r="B229" s="25" t="s">
        <v>595</v>
      </c>
      <c r="C229" s="25" t="s">
        <v>444</v>
      </c>
      <c r="D229" s="25">
        <v>0</v>
      </c>
      <c r="E229" s="25">
        <v>6120</v>
      </c>
      <c r="F229" s="25" t="s">
        <v>362</v>
      </c>
    </row>
    <row r="230" spans="1:6">
      <c r="A230" s="25">
        <v>840</v>
      </c>
      <c r="B230" s="25" t="s">
        <v>596</v>
      </c>
      <c r="C230" s="25" t="s">
        <v>443</v>
      </c>
      <c r="D230" s="25">
        <v>0</v>
      </c>
      <c r="E230" s="25">
        <v>1600</v>
      </c>
      <c r="F230" s="25" t="s">
        <v>363</v>
      </c>
    </row>
    <row r="231" spans="1:6">
      <c r="A231" s="25">
        <v>841</v>
      </c>
      <c r="B231" s="25" t="s">
        <v>597</v>
      </c>
      <c r="C231" s="25" t="s">
        <v>443</v>
      </c>
      <c r="D231" s="25">
        <v>0</v>
      </c>
      <c r="E231" s="25">
        <v>1600</v>
      </c>
      <c r="F231" s="25" t="s">
        <v>364</v>
      </c>
    </row>
    <row r="232" spans="1:6">
      <c r="A232" s="25">
        <v>842</v>
      </c>
      <c r="B232" s="25" t="s">
        <v>598</v>
      </c>
      <c r="C232" s="25" t="s">
        <v>443</v>
      </c>
      <c r="D232" s="25">
        <v>0</v>
      </c>
      <c r="E232" s="25">
        <v>1600</v>
      </c>
      <c r="F232" s="25" t="s">
        <v>365</v>
      </c>
    </row>
    <row r="233" spans="1:6">
      <c r="A233" s="25">
        <v>843</v>
      </c>
      <c r="B233" s="25" t="s">
        <v>599</v>
      </c>
      <c r="C233" s="25" t="s">
        <v>444</v>
      </c>
      <c r="D233" s="25">
        <v>0</v>
      </c>
      <c r="E233" s="25">
        <v>20</v>
      </c>
      <c r="F233" s="25" t="s">
        <v>366</v>
      </c>
    </row>
    <row r="234" spans="1:6">
      <c r="A234" s="25">
        <v>844</v>
      </c>
      <c r="B234" s="25" t="s">
        <v>600</v>
      </c>
      <c r="C234" s="25" t="s">
        <v>444</v>
      </c>
      <c r="D234" s="25">
        <v>0</v>
      </c>
      <c r="E234" s="25">
        <v>20</v>
      </c>
      <c r="F234" s="25" t="s">
        <v>367</v>
      </c>
    </row>
    <row r="235" spans="1:6">
      <c r="A235" s="25">
        <v>845</v>
      </c>
      <c r="B235" s="25" t="s">
        <v>601</v>
      </c>
      <c r="C235" s="25" t="s">
        <v>443</v>
      </c>
      <c r="D235" s="25">
        <v>0</v>
      </c>
      <c r="E235" s="25">
        <v>1400</v>
      </c>
      <c r="F235" s="25" t="s">
        <v>368</v>
      </c>
    </row>
    <row r="236" spans="1:6">
      <c r="A236" s="25">
        <v>846</v>
      </c>
      <c r="B236" s="25" t="s">
        <v>775</v>
      </c>
      <c r="C236" s="25" t="s">
        <v>442</v>
      </c>
      <c r="F236" s="25" t="s">
        <v>776</v>
      </c>
    </row>
    <row r="237" spans="1:6">
      <c r="A237" s="25">
        <v>847</v>
      </c>
      <c r="B237" s="25" t="s">
        <v>777</v>
      </c>
      <c r="C237" s="25" t="s">
        <v>442</v>
      </c>
      <c r="F237" s="25" t="s">
        <v>778</v>
      </c>
    </row>
    <row r="238" spans="1:6">
      <c r="A238" s="25">
        <v>900</v>
      </c>
      <c r="B238" s="25" t="s">
        <v>779</v>
      </c>
      <c r="C238" s="25" t="s">
        <v>443</v>
      </c>
      <c r="F238" s="25" t="s">
        <v>443</v>
      </c>
    </row>
    <row r="239" spans="1:6">
      <c r="A239" s="25">
        <v>901</v>
      </c>
      <c r="B239" s="25" t="s">
        <v>780</v>
      </c>
      <c r="C239" s="25" t="s">
        <v>443</v>
      </c>
      <c r="F239" s="25" t="s">
        <v>443</v>
      </c>
    </row>
    <row r="240" spans="1:6">
      <c r="A240" s="25">
        <v>902</v>
      </c>
      <c r="B240" s="25" t="s">
        <v>781</v>
      </c>
      <c r="C240" s="25" t="s">
        <v>443</v>
      </c>
      <c r="F240" s="25" t="s">
        <v>443</v>
      </c>
    </row>
    <row r="241" spans="1:6">
      <c r="A241" s="25">
        <v>903</v>
      </c>
      <c r="B241" s="25" t="s">
        <v>782</v>
      </c>
      <c r="C241" s="25" t="s">
        <v>443</v>
      </c>
      <c r="F241" s="25" t="s">
        <v>443</v>
      </c>
    </row>
    <row r="242" spans="1:6">
      <c r="A242" s="25">
        <v>904</v>
      </c>
      <c r="B242" s="25" t="s">
        <v>783</v>
      </c>
      <c r="C242" s="25" t="s">
        <v>443</v>
      </c>
      <c r="F242" s="25" t="s">
        <v>443</v>
      </c>
    </row>
    <row r="243" spans="1:6">
      <c r="A243" s="25">
        <v>905</v>
      </c>
      <c r="B243" s="25" t="s">
        <v>784</v>
      </c>
      <c r="C243" s="25" t="s">
        <v>443</v>
      </c>
      <c r="F243" s="25" t="s">
        <v>443</v>
      </c>
    </row>
    <row r="244" spans="1:6">
      <c r="A244" s="25">
        <v>906</v>
      </c>
      <c r="B244" s="25" t="s">
        <v>785</v>
      </c>
      <c r="C244" s="25" t="s">
        <v>443</v>
      </c>
      <c r="F244" s="25" t="s">
        <v>443</v>
      </c>
    </row>
    <row r="245" spans="1:6">
      <c r="A245" s="25">
        <v>907</v>
      </c>
      <c r="B245" s="25" t="s">
        <v>786</v>
      </c>
      <c r="C245" s="25" t="s">
        <v>443</v>
      </c>
      <c r="F245" s="25" t="s">
        <v>443</v>
      </c>
    </row>
    <row r="246" spans="1:6">
      <c r="A246" s="25">
        <v>908</v>
      </c>
      <c r="B246" s="25" t="s">
        <v>787</v>
      </c>
      <c r="C246" s="25" t="s">
        <v>443</v>
      </c>
      <c r="F246" s="25" t="s">
        <v>443</v>
      </c>
    </row>
    <row r="247" spans="1:6">
      <c r="A247" s="25">
        <v>909</v>
      </c>
      <c r="B247" s="25" t="s">
        <v>788</v>
      </c>
      <c r="C247" s="25" t="s">
        <v>443</v>
      </c>
      <c r="F247" s="25" t="s">
        <v>443</v>
      </c>
    </row>
    <row r="248" spans="1:6">
      <c r="A248" s="25">
        <v>910</v>
      </c>
      <c r="B248" s="25" t="s">
        <v>602</v>
      </c>
      <c r="C248" s="25" t="s">
        <v>444</v>
      </c>
      <c r="D248" s="25">
        <v>0</v>
      </c>
      <c r="E248" s="25">
        <v>1500</v>
      </c>
      <c r="F248" s="25" t="s">
        <v>369</v>
      </c>
    </row>
    <row r="249" spans="1:6">
      <c r="A249" s="25">
        <v>911</v>
      </c>
      <c r="B249" s="25" t="s">
        <v>789</v>
      </c>
      <c r="C249" s="25" t="s">
        <v>443</v>
      </c>
      <c r="F249" s="25" t="s">
        <v>790</v>
      </c>
    </row>
    <row r="250" spans="1:6">
      <c r="A250" s="25">
        <v>912</v>
      </c>
      <c r="B250" s="25" t="s">
        <v>791</v>
      </c>
      <c r="C250" s="25" t="s">
        <v>442</v>
      </c>
      <c r="F250" s="25" t="s">
        <v>792</v>
      </c>
    </row>
    <row r="251" spans="1:6">
      <c r="A251" s="25">
        <v>913</v>
      </c>
      <c r="B251" s="25" t="s">
        <v>603</v>
      </c>
      <c r="C251" s="25" t="s">
        <v>442</v>
      </c>
      <c r="D251" s="25">
        <v>0</v>
      </c>
      <c r="E251" s="25">
        <v>400</v>
      </c>
      <c r="F251" s="25" t="s">
        <v>370</v>
      </c>
    </row>
    <row r="252" spans="1:6">
      <c r="A252" s="25">
        <v>914</v>
      </c>
      <c r="B252" s="25" t="s">
        <v>604</v>
      </c>
      <c r="C252" s="25" t="s">
        <v>443</v>
      </c>
      <c r="D252" s="25">
        <v>0</v>
      </c>
      <c r="E252" s="25">
        <v>10000</v>
      </c>
      <c r="F252" s="25" t="s">
        <v>371</v>
      </c>
    </row>
    <row r="253" spans="1:6">
      <c r="A253" s="25">
        <v>915</v>
      </c>
      <c r="B253" s="25" t="s">
        <v>793</v>
      </c>
      <c r="C253" s="25" t="s">
        <v>443</v>
      </c>
      <c r="F253" s="25" t="s">
        <v>794</v>
      </c>
    </row>
    <row r="254" spans="1:6">
      <c r="A254" s="25">
        <v>916</v>
      </c>
      <c r="B254" s="25" t="s">
        <v>605</v>
      </c>
      <c r="C254" s="25" t="s">
        <v>444</v>
      </c>
      <c r="D254" s="25">
        <v>0</v>
      </c>
      <c r="E254" s="25">
        <v>2500</v>
      </c>
      <c r="F254" s="25" t="s">
        <v>372</v>
      </c>
    </row>
    <row r="255" spans="1:6">
      <c r="A255" s="25">
        <v>917</v>
      </c>
      <c r="B255" s="25" t="s">
        <v>606</v>
      </c>
      <c r="C255" s="25" t="s">
        <v>443</v>
      </c>
      <c r="D255" s="25">
        <v>0</v>
      </c>
      <c r="E255" s="25">
        <v>4000</v>
      </c>
      <c r="F255" s="25" t="s">
        <v>373</v>
      </c>
    </row>
    <row r="256" spans="1:6">
      <c r="A256" s="25">
        <v>918</v>
      </c>
      <c r="B256" s="25" t="s">
        <v>795</v>
      </c>
      <c r="C256" s="25" t="s">
        <v>443</v>
      </c>
      <c r="F256" s="25" t="s">
        <v>796</v>
      </c>
    </row>
    <row r="257" spans="1:6">
      <c r="A257" s="25">
        <v>919</v>
      </c>
      <c r="B257" s="25" t="s">
        <v>797</v>
      </c>
      <c r="C257" s="25" t="s">
        <v>443</v>
      </c>
      <c r="F257" s="25" t="s">
        <v>798</v>
      </c>
    </row>
    <row r="258" spans="1:6">
      <c r="A258" s="25">
        <v>920</v>
      </c>
      <c r="B258" s="25" t="s">
        <v>799</v>
      </c>
      <c r="C258" s="25" t="s">
        <v>443</v>
      </c>
      <c r="F258" s="25" t="s">
        <v>800</v>
      </c>
    </row>
    <row r="259" spans="1:6">
      <c r="A259" s="25">
        <v>921</v>
      </c>
      <c r="B259" s="25" t="s">
        <v>801</v>
      </c>
      <c r="C259" s="25" t="s">
        <v>444</v>
      </c>
      <c r="F259" s="25" t="s">
        <v>802</v>
      </c>
    </row>
    <row r="260" spans="1:6">
      <c r="A260" s="25">
        <v>922</v>
      </c>
      <c r="B260" s="25" t="s">
        <v>803</v>
      </c>
      <c r="C260" s="25" t="s">
        <v>444</v>
      </c>
      <c r="F260" s="25" t="s">
        <v>804</v>
      </c>
    </row>
    <row r="261" spans="1:6">
      <c r="A261" s="25">
        <v>923</v>
      </c>
      <c r="B261" s="25" t="s">
        <v>805</v>
      </c>
      <c r="C261" s="25" t="s">
        <v>806</v>
      </c>
      <c r="F261" s="25" t="s">
        <v>807</v>
      </c>
    </row>
    <row r="262" spans="1:6">
      <c r="A262" s="25">
        <v>2000</v>
      </c>
      <c r="B262" s="25" t="s">
        <v>814</v>
      </c>
      <c r="C262" s="25" t="s">
        <v>443</v>
      </c>
      <c r="F262" s="25" t="s">
        <v>821</v>
      </c>
    </row>
    <row r="263" spans="1:6">
      <c r="A263" s="25">
        <v>2001</v>
      </c>
      <c r="B263" s="25" t="s">
        <v>815</v>
      </c>
      <c r="C263" s="25" t="s">
        <v>443</v>
      </c>
      <c r="F263" s="25" t="s">
        <v>822</v>
      </c>
    </row>
    <row r="264" spans="1:6">
      <c r="A264" s="25">
        <v>2002</v>
      </c>
      <c r="B264" s="25" t="s">
        <v>816</v>
      </c>
      <c r="C264" s="25" t="s">
        <v>443</v>
      </c>
      <c r="F264" s="25" t="s">
        <v>823</v>
      </c>
    </row>
    <row r="265" spans="1:6">
      <c r="A265" s="25">
        <v>2003</v>
      </c>
      <c r="B265" s="25" t="s">
        <v>817</v>
      </c>
      <c r="C265" s="25" t="s">
        <v>443</v>
      </c>
      <c r="F265" s="25" t="s">
        <v>824</v>
      </c>
    </row>
    <row r="266" spans="1:6">
      <c r="A266" s="25">
        <v>2004</v>
      </c>
      <c r="B266" s="25" t="s">
        <v>818</v>
      </c>
      <c r="C266" s="25" t="s">
        <v>443</v>
      </c>
      <c r="F266" s="25" t="s">
        <v>825</v>
      </c>
    </row>
    <row r="267" spans="1:6">
      <c r="A267" s="25">
        <v>2005</v>
      </c>
      <c r="B267" s="25" t="s">
        <v>819</v>
      </c>
      <c r="C267" s="25" t="s">
        <v>443</v>
      </c>
      <c r="F267" s="25" t="s">
        <v>826</v>
      </c>
    </row>
    <row r="268" spans="1:6">
      <c r="A268" s="25">
        <v>2006</v>
      </c>
      <c r="B268" s="25" t="s">
        <v>820</v>
      </c>
      <c r="C268" s="25" t="s">
        <v>443</v>
      </c>
      <c r="F268" s="25" t="s">
        <v>827</v>
      </c>
    </row>
  </sheetData>
  <phoneticPr fontId="5" type="noConversion"/>
  <dataValidations count="1">
    <dataValidation allowBlank="1" showInputMessage="1" showErrorMessage="1" prompt="절대값 여부를 확인_x000a_0 : 절대값_x000a_1 : 상대값" sqref="D1"/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K36"/>
  <sheetViews>
    <sheetView topLeftCell="A4" workbookViewId="0">
      <selection activeCell="B30" sqref="B30"/>
    </sheetView>
  </sheetViews>
  <sheetFormatPr defaultRowHeight="12"/>
  <cols>
    <col min="1" max="1" width="8.88671875" style="1"/>
    <col min="2" max="2" width="65.88671875" style="1" bestFit="1" customWidth="1"/>
    <col min="3" max="3" width="5.33203125" style="1" bestFit="1" customWidth="1"/>
    <col min="4" max="4" width="8" style="1" bestFit="1" customWidth="1"/>
    <col min="5" max="5" width="3.5546875" style="1" bestFit="1" customWidth="1"/>
    <col min="6" max="6" width="4.77734375" style="1" bestFit="1" customWidth="1"/>
    <col min="7" max="7" width="5" style="1" bestFit="1" customWidth="1"/>
    <col min="8" max="8" width="5.21875" style="1" bestFit="1" customWidth="1"/>
    <col min="9" max="9" width="8.88671875" style="1"/>
    <col min="10" max="10" width="3.44140625" style="1" bestFit="1" customWidth="1"/>
    <col min="11" max="11" width="17.109375" style="1" bestFit="1" customWidth="1"/>
    <col min="12" max="16384" width="8.88671875" style="1"/>
  </cols>
  <sheetData>
    <row r="3" spans="2:11" ht="12.75" thickBot="1">
      <c r="B3" s="1" t="s">
        <v>93</v>
      </c>
    </row>
    <row r="4" spans="2:11" ht="12.75" thickBot="1">
      <c r="B4" s="21" t="s">
        <v>13</v>
      </c>
      <c r="C4" s="22" t="s">
        <v>14</v>
      </c>
      <c r="D4" s="22" t="s">
        <v>15</v>
      </c>
      <c r="E4" s="22" t="s">
        <v>16</v>
      </c>
      <c r="F4" s="22" t="s">
        <v>17</v>
      </c>
      <c r="G4" s="22" t="s">
        <v>18</v>
      </c>
      <c r="H4" s="23" t="s">
        <v>11</v>
      </c>
      <c r="J4" s="1">
        <v>1</v>
      </c>
      <c r="K4" s="1" t="s">
        <v>8</v>
      </c>
    </row>
    <row r="5" spans="2:11">
      <c r="B5" s="15" t="s">
        <v>85</v>
      </c>
      <c r="C5" s="16" t="s">
        <v>397</v>
      </c>
      <c r="D5" s="16" t="s">
        <v>12</v>
      </c>
      <c r="E5" s="16" t="s">
        <v>19</v>
      </c>
      <c r="F5" s="16" t="s">
        <v>20</v>
      </c>
      <c r="G5" s="16" t="s">
        <v>20</v>
      </c>
      <c r="H5" s="17" t="s">
        <v>10</v>
      </c>
      <c r="J5" s="1" t="s">
        <v>95</v>
      </c>
      <c r="K5" s="1" t="s">
        <v>96</v>
      </c>
    </row>
    <row r="6" spans="2:11" ht="12.75" thickBot="1">
      <c r="B6" s="18" t="s">
        <v>170</v>
      </c>
      <c r="C6" s="10"/>
      <c r="D6" s="10"/>
      <c r="E6" s="10"/>
      <c r="F6" s="10"/>
      <c r="G6" s="10"/>
      <c r="H6" s="19"/>
      <c r="J6" s="1">
        <v>0</v>
      </c>
      <c r="K6" s="1" t="s">
        <v>97</v>
      </c>
    </row>
    <row r="7" spans="2:11">
      <c r="B7" s="15" t="s">
        <v>86</v>
      </c>
      <c r="C7" s="16" t="s">
        <v>397</v>
      </c>
      <c r="D7" s="16" t="s">
        <v>12</v>
      </c>
      <c r="E7" s="16" t="s">
        <v>21</v>
      </c>
      <c r="F7" s="16" t="s">
        <v>20</v>
      </c>
      <c r="G7" s="16" t="s">
        <v>20</v>
      </c>
      <c r="H7" s="17" t="s">
        <v>10</v>
      </c>
      <c r="J7" s="1">
        <v>1</v>
      </c>
      <c r="K7" s="1" t="s">
        <v>98</v>
      </c>
    </row>
    <row r="8" spans="2:11" ht="12.75" thickBot="1">
      <c r="B8" s="18" t="s">
        <v>94</v>
      </c>
      <c r="C8" s="10"/>
      <c r="D8" s="10"/>
      <c r="E8" s="10"/>
      <c r="F8" s="10"/>
      <c r="G8" s="10"/>
      <c r="H8" s="19"/>
      <c r="J8" s="1">
        <v>2</v>
      </c>
      <c r="K8" s="1" t="s">
        <v>99</v>
      </c>
    </row>
    <row r="9" spans="2:11">
      <c r="B9" s="15" t="s">
        <v>110</v>
      </c>
      <c r="C9" s="16" t="s">
        <v>111</v>
      </c>
      <c r="D9" s="16" t="s">
        <v>12</v>
      </c>
      <c r="E9" s="16" t="s">
        <v>22</v>
      </c>
      <c r="F9" s="16" t="s">
        <v>20</v>
      </c>
      <c r="G9" s="16" t="s">
        <v>20</v>
      </c>
      <c r="H9" s="17" t="s">
        <v>10</v>
      </c>
      <c r="J9" s="1">
        <v>3</v>
      </c>
      <c r="K9" s="1" t="s">
        <v>108</v>
      </c>
    </row>
    <row r="10" spans="2:11" ht="12.75" thickBot="1">
      <c r="B10" s="18" t="s">
        <v>113</v>
      </c>
      <c r="C10" s="10"/>
      <c r="D10" s="10"/>
      <c r="E10" s="10"/>
      <c r="F10" s="10"/>
      <c r="G10" s="10"/>
      <c r="H10" s="19"/>
      <c r="J10" s="1">
        <v>4</v>
      </c>
      <c r="K10" s="1" t="s">
        <v>109</v>
      </c>
    </row>
    <row r="11" spans="2:11">
      <c r="B11" s="15" t="s">
        <v>8</v>
      </c>
      <c r="C11" s="16" t="s">
        <v>103</v>
      </c>
      <c r="D11" s="16">
        <v>1</v>
      </c>
      <c r="E11" s="16" t="s">
        <v>23</v>
      </c>
      <c r="F11" s="16" t="s">
        <v>20</v>
      </c>
      <c r="G11" s="16" t="s">
        <v>20</v>
      </c>
      <c r="H11" s="17" t="s">
        <v>10</v>
      </c>
      <c r="J11" s="1">
        <v>5</v>
      </c>
      <c r="K11" s="1" t="s">
        <v>100</v>
      </c>
    </row>
    <row r="12" spans="2:11" ht="12.75" thickBot="1">
      <c r="B12" s="18" t="s">
        <v>101</v>
      </c>
      <c r="C12" s="10"/>
      <c r="D12" s="10"/>
      <c r="E12" s="10"/>
      <c r="F12" s="10"/>
      <c r="G12" s="10"/>
      <c r="H12" s="19"/>
    </row>
    <row r="13" spans="2:11">
      <c r="B13" s="15" t="s">
        <v>39</v>
      </c>
      <c r="C13" s="16" t="s">
        <v>103</v>
      </c>
      <c r="D13" s="16" t="s">
        <v>12</v>
      </c>
      <c r="E13" s="16" t="s">
        <v>24</v>
      </c>
      <c r="F13" s="16" t="s">
        <v>20</v>
      </c>
      <c r="G13" s="16" t="s">
        <v>20</v>
      </c>
      <c r="H13" s="17" t="s">
        <v>10</v>
      </c>
    </row>
    <row r="14" spans="2:11" ht="12.75" thickBot="1">
      <c r="B14" s="18" t="s">
        <v>102</v>
      </c>
      <c r="C14" s="10"/>
      <c r="D14" s="10"/>
      <c r="E14" s="10"/>
      <c r="F14" s="10"/>
      <c r="G14" s="10"/>
      <c r="H14" s="19"/>
    </row>
    <row r="15" spans="2:11">
      <c r="B15" s="15" t="s">
        <v>87</v>
      </c>
      <c r="C15" s="16" t="s">
        <v>103</v>
      </c>
      <c r="D15" s="16" t="s">
        <v>12</v>
      </c>
      <c r="E15" s="16" t="s">
        <v>25</v>
      </c>
      <c r="F15" s="16" t="s">
        <v>20</v>
      </c>
      <c r="G15" s="16" t="s">
        <v>20</v>
      </c>
      <c r="H15" s="17" t="s">
        <v>10</v>
      </c>
    </row>
    <row r="16" spans="2:11" ht="12.75" thickBot="1">
      <c r="B16" s="18" t="s">
        <v>104</v>
      </c>
      <c r="C16" s="10"/>
      <c r="D16" s="10"/>
      <c r="E16" s="10"/>
      <c r="F16" s="10"/>
      <c r="G16" s="10"/>
      <c r="H16" s="19"/>
    </row>
    <row r="17" spans="2:8">
      <c r="B17" s="15" t="s">
        <v>173</v>
      </c>
      <c r="C17" s="16" t="s">
        <v>174</v>
      </c>
      <c r="D17" s="16" t="s">
        <v>12</v>
      </c>
      <c r="E17" s="16" t="s">
        <v>26</v>
      </c>
      <c r="F17" s="16" t="s">
        <v>20</v>
      </c>
      <c r="G17" s="16" t="s">
        <v>20</v>
      </c>
      <c r="H17" s="17" t="s">
        <v>10</v>
      </c>
    </row>
    <row r="18" spans="2:8" ht="12.75" thickBot="1">
      <c r="B18" s="18" t="s">
        <v>222</v>
      </c>
      <c r="C18" s="10"/>
      <c r="D18" s="10"/>
      <c r="E18" s="10"/>
      <c r="F18" s="10"/>
      <c r="G18" s="10"/>
      <c r="H18" s="19"/>
    </row>
    <row r="19" spans="2:8">
      <c r="B19" s="15" t="s">
        <v>172</v>
      </c>
      <c r="C19" s="16" t="s">
        <v>174</v>
      </c>
      <c r="D19" s="16" t="s">
        <v>12</v>
      </c>
      <c r="E19" s="16" t="s">
        <v>26</v>
      </c>
      <c r="F19" s="16" t="s">
        <v>20</v>
      </c>
      <c r="G19" s="16" t="s">
        <v>20</v>
      </c>
      <c r="H19" s="17" t="s">
        <v>10</v>
      </c>
    </row>
    <row r="20" spans="2:8" ht="12.75" thickBot="1">
      <c r="B20" s="18" t="s">
        <v>175</v>
      </c>
      <c r="C20" s="10"/>
      <c r="D20" s="10"/>
      <c r="E20" s="10"/>
      <c r="F20" s="10"/>
      <c r="G20" s="10"/>
      <c r="H20" s="19"/>
    </row>
    <row r="21" spans="2:8">
      <c r="B21" s="15" t="s">
        <v>88</v>
      </c>
      <c r="C21" s="16" t="s">
        <v>106</v>
      </c>
      <c r="D21" s="16" t="s">
        <v>12</v>
      </c>
      <c r="E21" s="16" t="s">
        <v>27</v>
      </c>
      <c r="F21" s="16" t="s">
        <v>20</v>
      </c>
      <c r="G21" s="16" t="s">
        <v>20</v>
      </c>
      <c r="H21" s="17" t="s">
        <v>10</v>
      </c>
    </row>
    <row r="22" spans="2:8" ht="12.75" thickBot="1">
      <c r="B22" s="18" t="s">
        <v>176</v>
      </c>
      <c r="C22" s="10"/>
      <c r="D22" s="10"/>
      <c r="E22" s="10"/>
      <c r="F22" s="10"/>
      <c r="G22" s="10"/>
      <c r="H22" s="19"/>
    </row>
    <row r="23" spans="2:8">
      <c r="B23" s="15" t="s">
        <v>89</v>
      </c>
      <c r="C23" s="16" t="s">
        <v>105</v>
      </c>
      <c r="D23" s="16" t="s">
        <v>12</v>
      </c>
      <c r="E23" s="16" t="s">
        <v>28</v>
      </c>
      <c r="F23" s="16" t="s">
        <v>20</v>
      </c>
      <c r="G23" s="16" t="s">
        <v>20</v>
      </c>
      <c r="H23" s="17" t="s">
        <v>10</v>
      </c>
    </row>
    <row r="24" spans="2:8" ht="12.75" thickBot="1">
      <c r="B24" s="18" t="s">
        <v>177</v>
      </c>
      <c r="C24" s="10"/>
      <c r="D24" s="10"/>
      <c r="E24" s="10"/>
      <c r="F24" s="10"/>
      <c r="G24" s="10"/>
      <c r="H24" s="19"/>
    </row>
    <row r="25" spans="2:8">
      <c r="B25" s="15" t="s">
        <v>90</v>
      </c>
      <c r="C25" s="16" t="s">
        <v>105</v>
      </c>
      <c r="D25" s="16" t="s">
        <v>12</v>
      </c>
      <c r="E25" s="16" t="s">
        <v>29</v>
      </c>
      <c r="F25" s="16" t="s">
        <v>20</v>
      </c>
      <c r="G25" s="16" t="s">
        <v>20</v>
      </c>
      <c r="H25" s="17" t="s">
        <v>10</v>
      </c>
    </row>
    <row r="26" spans="2:8" ht="12.75" thickBot="1">
      <c r="B26" s="18" t="s">
        <v>178</v>
      </c>
      <c r="C26" s="10"/>
      <c r="D26" s="10"/>
      <c r="E26" s="10"/>
      <c r="F26" s="10"/>
      <c r="G26" s="10"/>
      <c r="H26" s="19"/>
    </row>
    <row r="27" spans="2:8">
      <c r="B27" s="15" t="s">
        <v>91</v>
      </c>
      <c r="C27" s="16" t="s">
        <v>105</v>
      </c>
      <c r="D27" s="16" t="s">
        <v>12</v>
      </c>
      <c r="E27" s="16" t="s">
        <v>30</v>
      </c>
      <c r="F27" s="16" t="s">
        <v>20</v>
      </c>
      <c r="G27" s="16" t="s">
        <v>20</v>
      </c>
      <c r="H27" s="17" t="s">
        <v>10</v>
      </c>
    </row>
    <row r="28" spans="2:8" ht="12.75" thickBot="1">
      <c r="B28" s="18" t="s">
        <v>179</v>
      </c>
      <c r="C28" s="10"/>
      <c r="D28" s="10"/>
      <c r="E28" s="10"/>
      <c r="F28" s="10"/>
      <c r="G28" s="10"/>
      <c r="H28" s="19"/>
    </row>
    <row r="29" spans="2:8">
      <c r="B29" s="15" t="s">
        <v>92</v>
      </c>
      <c r="C29" s="16" t="s">
        <v>105</v>
      </c>
      <c r="D29" s="16" t="s">
        <v>12</v>
      </c>
      <c r="E29" s="16" t="s">
        <v>112</v>
      </c>
      <c r="F29" s="16" t="s">
        <v>20</v>
      </c>
      <c r="G29" s="16" t="s">
        <v>20</v>
      </c>
      <c r="H29" s="17" t="s">
        <v>10</v>
      </c>
    </row>
    <row r="30" spans="2:8" ht="12.75" thickBot="1">
      <c r="B30" s="18" t="s">
        <v>180</v>
      </c>
      <c r="C30" s="20"/>
      <c r="D30" s="20"/>
      <c r="E30" s="20"/>
      <c r="F30" s="20"/>
      <c r="G30" s="20"/>
      <c r="H30" s="11"/>
    </row>
    <row r="34" spans="2:8">
      <c r="B34" s="1" t="s">
        <v>13</v>
      </c>
      <c r="C34" s="1" t="s">
        <v>14</v>
      </c>
      <c r="D34" s="1" t="s">
        <v>15</v>
      </c>
      <c r="E34" s="1" t="s">
        <v>16</v>
      </c>
      <c r="F34" s="1" t="s">
        <v>17</v>
      </c>
      <c r="G34" s="1" t="s">
        <v>18</v>
      </c>
      <c r="H34" s="1" t="s">
        <v>11</v>
      </c>
    </row>
    <row r="35" spans="2:8">
      <c r="B35" s="1" t="s">
        <v>110</v>
      </c>
      <c r="C35" s="1" t="s">
        <v>111</v>
      </c>
      <c r="D35" s="1" t="s">
        <v>12</v>
      </c>
      <c r="E35" s="1" t="s">
        <v>22</v>
      </c>
      <c r="F35" s="1" t="s">
        <v>20</v>
      </c>
      <c r="G35" s="1" t="s">
        <v>20</v>
      </c>
      <c r="H35" s="1" t="s">
        <v>10</v>
      </c>
    </row>
    <row r="36" spans="2:8">
      <c r="B36" s="1" t="s">
        <v>113</v>
      </c>
    </row>
  </sheetData>
  <phoneticPr fontId="5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이름이 지정된 범위</vt:lpstr>
      </vt:variant>
      <vt:variant>
        <vt:i4>2</vt:i4>
      </vt:variant>
    </vt:vector>
  </HeadingPairs>
  <TitlesOfParts>
    <vt:vector size="7" baseType="lpstr">
      <vt:lpstr>Item_Enchant_Data</vt:lpstr>
      <vt:lpstr>Item_Enchant_Old</vt:lpstr>
      <vt:lpstr>Tblidx_Rule</vt:lpstr>
      <vt:lpstr>시스템이펙트 참고자료</vt:lpstr>
      <vt:lpstr>Tblidx_Rule_Old</vt:lpstr>
      <vt:lpstr>Item_Enchant_Old!Criteria</vt:lpstr>
      <vt:lpstr>Item_Enchant_Old!Extract</vt:lpstr>
    </vt:vector>
  </TitlesOfParts>
  <Company>ntl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taisung</dc:creator>
  <cp:lastModifiedBy>곽 지선</cp:lastModifiedBy>
  <dcterms:created xsi:type="dcterms:W3CDTF">2009-09-23T07:34:48Z</dcterms:created>
  <dcterms:modified xsi:type="dcterms:W3CDTF">2012-12-04T10:20:36Z</dcterms:modified>
</cp:coreProperties>
</file>