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645" yWindow="255" windowWidth="21105" windowHeight="10800" tabRatio="643" activeTab="2"/>
  </bookViews>
  <sheets>
    <sheet name="Table_Integrate" sheetId="1" r:id="rId1"/>
    <sheet name="Table_KR" sheetId="6" r:id="rId2"/>
    <sheet name="Table_TW" sheetId="8" r:id="rId3"/>
    <sheet name="Table_HK" sheetId="5" r:id="rId4"/>
    <sheet name="Table_CN" sheetId="9" r:id="rId5"/>
    <sheet name="Info" sheetId="2" r:id="rId6"/>
    <sheet name="QBitFlag" sheetId="10" r:id="rId7"/>
    <sheet name="Sheet1" sheetId="11" r:id="rId8"/>
  </sheets>
  <definedNames>
    <definedName name="new">Table_Integrate!$O$15</definedName>
    <definedName name="old" localSheetId="0">Table_Integrate!$O$15</definedName>
    <definedName name="old">Table_Integrate!$O$15</definedName>
    <definedName name="마스코트" localSheetId="0">Table_Integrate!$Y$15:$Z$15</definedName>
  </definedNames>
  <calcPr calcId="145621"/>
</workbook>
</file>

<file path=xl/calcChain.xml><?xml version="1.0" encoding="utf-8"?>
<calcChain xmlns="http://schemas.openxmlformats.org/spreadsheetml/2006/main">
  <c r="C13" i="1" l="1"/>
  <c r="C61" i="1" l="1"/>
  <c r="C30" i="1" l="1"/>
  <c r="C60" i="1" l="1"/>
  <c r="C59" i="1" l="1"/>
  <c r="C58" i="1" l="1"/>
  <c r="C16" i="1" l="1"/>
  <c r="K39" i="10" l="1"/>
  <c r="I39" i="10"/>
  <c r="C56" i="1"/>
  <c r="C57" i="1"/>
  <c r="C55" i="1" l="1"/>
  <c r="C15" i="1" l="1"/>
  <c r="K38" i="10" l="1"/>
  <c r="I38" i="10"/>
  <c r="C54" i="1"/>
  <c r="C53" i="1"/>
  <c r="C52" i="1" l="1"/>
  <c r="C51" i="1"/>
  <c r="K37" i="10" l="1"/>
  <c r="I37" i="10"/>
  <c r="K36" i="10"/>
  <c r="I36" i="10"/>
  <c r="C27" i="1" l="1"/>
  <c r="C7" i="1" l="1"/>
  <c r="H50" i="1"/>
  <c r="F50" i="1"/>
  <c r="D50" i="1"/>
  <c r="G50" i="1"/>
  <c r="E50" i="1"/>
  <c r="C50" i="1"/>
  <c r="K35" i="10"/>
  <c r="I35" i="10"/>
  <c r="G35" i="10"/>
  <c r="E35" i="10"/>
  <c r="C49" i="1"/>
  <c r="C44" i="9"/>
  <c r="C48" i="1"/>
  <c r="C43" i="9"/>
  <c r="L42" i="9"/>
  <c r="K42" i="9"/>
  <c r="J42" i="9"/>
  <c r="I42" i="9"/>
  <c r="H42" i="9"/>
  <c r="G42" i="9"/>
  <c r="F42" i="9"/>
  <c r="E42" i="9"/>
  <c r="D42" i="9"/>
  <c r="C42" i="9"/>
  <c r="C41" i="9"/>
  <c r="C40" i="9"/>
  <c r="C39" i="9"/>
  <c r="C38" i="9"/>
  <c r="C37" i="9"/>
  <c r="C36" i="9"/>
  <c r="C35" i="9"/>
  <c r="C34" i="9"/>
  <c r="C33" i="9"/>
  <c r="C32" i="9"/>
  <c r="C31" i="9"/>
  <c r="C27" i="9"/>
  <c r="C26" i="9"/>
  <c r="C24" i="9"/>
  <c r="C23" i="9"/>
  <c r="C22" i="9"/>
  <c r="C21" i="9"/>
  <c r="C20" i="9"/>
  <c r="C18" i="9"/>
  <c r="C17" i="9"/>
  <c r="C16" i="9"/>
  <c r="C14" i="9"/>
  <c r="C13" i="9"/>
  <c r="C12" i="9"/>
  <c r="C11" i="9"/>
  <c r="C10" i="9"/>
  <c r="C9" i="9"/>
  <c r="L8" i="9"/>
  <c r="K8" i="9"/>
  <c r="J8" i="9"/>
  <c r="I8" i="9"/>
  <c r="H8" i="9"/>
  <c r="G8" i="9"/>
  <c r="F8" i="9"/>
  <c r="E8" i="9"/>
  <c r="D8" i="9"/>
  <c r="C8" i="9"/>
  <c r="L7" i="9"/>
  <c r="K7" i="9"/>
  <c r="J7" i="9"/>
  <c r="I7" i="9"/>
  <c r="H7" i="9"/>
  <c r="G7" i="9"/>
  <c r="F7" i="9"/>
  <c r="E7" i="9"/>
  <c r="D7" i="9"/>
  <c r="C7" i="9"/>
  <c r="C6" i="9"/>
  <c r="C5" i="9"/>
  <c r="C4" i="9"/>
  <c r="C3" i="9"/>
  <c r="C2" i="9"/>
  <c r="C44" i="5"/>
  <c r="L43" i="5"/>
  <c r="K43" i="5"/>
  <c r="J43" i="5"/>
  <c r="I43" i="5"/>
  <c r="H43" i="5"/>
  <c r="G43" i="5"/>
  <c r="F43" i="5"/>
  <c r="E43" i="5"/>
  <c r="D43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27" i="5"/>
  <c r="C26" i="5"/>
  <c r="C24" i="5"/>
  <c r="C23" i="5"/>
  <c r="C22" i="5"/>
  <c r="C21" i="5"/>
  <c r="C20" i="5"/>
  <c r="C18" i="5"/>
  <c r="C17" i="5"/>
  <c r="C16" i="5"/>
  <c r="C14" i="5"/>
  <c r="C13" i="5"/>
  <c r="C12" i="5"/>
  <c r="C11" i="5"/>
  <c r="C10" i="5"/>
  <c r="C9" i="5"/>
  <c r="L8" i="5"/>
  <c r="K8" i="5"/>
  <c r="J8" i="5"/>
  <c r="I8" i="5"/>
  <c r="H8" i="5"/>
  <c r="G8" i="5"/>
  <c r="F8" i="5"/>
  <c r="E8" i="5"/>
  <c r="D8" i="5"/>
  <c r="C8" i="5"/>
  <c r="L7" i="5"/>
  <c r="K7" i="5"/>
  <c r="J7" i="5"/>
  <c r="I7" i="5"/>
  <c r="H7" i="5"/>
  <c r="G7" i="5"/>
  <c r="F7" i="5"/>
  <c r="E7" i="5"/>
  <c r="D7" i="5"/>
  <c r="C7" i="5"/>
  <c r="C6" i="5"/>
  <c r="C5" i="5"/>
  <c r="C4" i="5"/>
  <c r="C3" i="5"/>
  <c r="C2" i="5"/>
  <c r="C44" i="8"/>
  <c r="L43" i="8"/>
  <c r="K43" i="8"/>
  <c r="J43" i="8"/>
  <c r="I43" i="8"/>
  <c r="H43" i="8"/>
  <c r="G43" i="8"/>
  <c r="F43" i="8"/>
  <c r="E43" i="8"/>
  <c r="D43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27" i="8"/>
  <c r="C26" i="8"/>
  <c r="C24" i="8"/>
  <c r="C23" i="8"/>
  <c r="C22" i="8"/>
  <c r="C21" i="8"/>
  <c r="C20" i="8"/>
  <c r="C18" i="8"/>
  <c r="C17" i="8"/>
  <c r="C16" i="8"/>
  <c r="C14" i="8"/>
  <c r="C13" i="8"/>
  <c r="C12" i="8"/>
  <c r="C11" i="8"/>
  <c r="C10" i="8"/>
  <c r="C9" i="8"/>
  <c r="L8" i="8"/>
  <c r="K8" i="8"/>
  <c r="J8" i="8"/>
  <c r="I8" i="8"/>
  <c r="H8" i="8"/>
  <c r="G8" i="8"/>
  <c r="F8" i="8"/>
  <c r="E8" i="8"/>
  <c r="D8" i="8"/>
  <c r="C8" i="8"/>
  <c r="L7" i="8"/>
  <c r="K7" i="8"/>
  <c r="J7" i="8"/>
  <c r="I7" i="8"/>
  <c r="H7" i="8"/>
  <c r="G7" i="8"/>
  <c r="F7" i="8"/>
  <c r="E7" i="8"/>
  <c r="D7" i="8"/>
  <c r="C7" i="8"/>
  <c r="C6" i="8"/>
  <c r="C5" i="8"/>
  <c r="C4" i="8"/>
  <c r="C3" i="8"/>
  <c r="C2" i="8"/>
  <c r="C44" i="6"/>
  <c r="L43" i="6"/>
  <c r="K43" i="6"/>
  <c r="J43" i="6"/>
  <c r="I43" i="6"/>
  <c r="H43" i="6"/>
  <c r="G43" i="6"/>
  <c r="F43" i="6"/>
  <c r="E43" i="6"/>
  <c r="D43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27" i="6"/>
  <c r="C26" i="6"/>
  <c r="C24" i="6"/>
  <c r="C23" i="6"/>
  <c r="C22" i="6"/>
  <c r="C21" i="6"/>
  <c r="C20" i="6"/>
  <c r="C18" i="6"/>
  <c r="C17" i="6"/>
  <c r="C16" i="6"/>
  <c r="C14" i="6"/>
  <c r="C13" i="6"/>
  <c r="C12" i="6"/>
  <c r="C11" i="6"/>
  <c r="C10" i="6"/>
  <c r="C9" i="6"/>
  <c r="L8" i="6"/>
  <c r="K8" i="6"/>
  <c r="J8" i="6"/>
  <c r="I8" i="6"/>
  <c r="H8" i="6"/>
  <c r="G8" i="6"/>
  <c r="F8" i="6"/>
  <c r="E8" i="6"/>
  <c r="D8" i="6"/>
  <c r="C8" i="6"/>
  <c r="L7" i="6"/>
  <c r="K7" i="6"/>
  <c r="J7" i="6"/>
  <c r="I7" i="6"/>
  <c r="H7" i="6"/>
  <c r="G7" i="6"/>
  <c r="F7" i="6"/>
  <c r="E7" i="6"/>
  <c r="D7" i="6"/>
  <c r="C7" i="6"/>
  <c r="C6" i="6"/>
  <c r="C5" i="6"/>
  <c r="C4" i="6"/>
  <c r="C3" i="6"/>
  <c r="C2" i="6"/>
  <c r="C47" i="1"/>
  <c r="L46" i="1"/>
  <c r="K46" i="1"/>
  <c r="J46" i="1"/>
  <c r="I46" i="1"/>
  <c r="H46" i="1"/>
  <c r="G46" i="1"/>
  <c r="F46" i="1"/>
  <c r="E46" i="1"/>
  <c r="D46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29" i="1"/>
  <c r="C26" i="1"/>
  <c r="C25" i="1"/>
  <c r="C24" i="1"/>
  <c r="C23" i="1"/>
  <c r="C22" i="1"/>
  <c r="C20" i="1"/>
  <c r="C19" i="1"/>
  <c r="C18" i="1"/>
  <c r="C14" i="1"/>
  <c r="C12" i="1"/>
  <c r="C11" i="1"/>
  <c r="C10" i="1"/>
  <c r="L9" i="1"/>
  <c r="K9" i="1"/>
  <c r="J9" i="1"/>
  <c r="I9" i="1"/>
  <c r="H9" i="1"/>
  <c r="G9" i="1"/>
  <c r="F9" i="1"/>
  <c r="E9" i="1"/>
  <c r="D9" i="1"/>
  <c r="C9" i="1"/>
  <c r="L8" i="1"/>
  <c r="K8" i="1"/>
  <c r="J8" i="1"/>
  <c r="I8" i="1"/>
  <c r="H8" i="1"/>
  <c r="G8" i="1"/>
  <c r="F8" i="1"/>
  <c r="E8" i="1"/>
  <c r="D8" i="1"/>
  <c r="C8" i="1"/>
  <c r="C3" i="1"/>
  <c r="C4" i="1"/>
  <c r="C5" i="1"/>
  <c r="C6" i="1"/>
  <c r="C2" i="1"/>
  <c r="M25" i="10"/>
  <c r="M32" i="10"/>
  <c r="M31" i="10"/>
  <c r="M30" i="10"/>
  <c r="M29" i="10"/>
  <c r="M28" i="10"/>
  <c r="M27" i="10"/>
  <c r="M26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K34" i="10"/>
  <c r="I34" i="10"/>
  <c r="G34" i="10"/>
  <c r="E34" i="10"/>
  <c r="K33" i="10"/>
  <c r="I33" i="10"/>
  <c r="G33" i="10"/>
  <c r="E33" i="10"/>
  <c r="K32" i="10"/>
  <c r="I32" i="10"/>
  <c r="G32" i="10"/>
  <c r="E32" i="10"/>
  <c r="K31" i="10"/>
  <c r="I31" i="10"/>
  <c r="G31" i="10"/>
  <c r="E31" i="10"/>
  <c r="K30" i="10"/>
  <c r="I30" i="10"/>
  <c r="G30" i="10"/>
  <c r="E30" i="10"/>
  <c r="K29" i="10"/>
  <c r="I29" i="10"/>
  <c r="G29" i="10"/>
  <c r="E29" i="10"/>
  <c r="K28" i="10"/>
  <c r="I28" i="10"/>
  <c r="G28" i="10"/>
  <c r="E28" i="10"/>
  <c r="K27" i="10"/>
  <c r="I27" i="10"/>
  <c r="G27" i="10"/>
  <c r="E27" i="10"/>
  <c r="K26" i="10"/>
  <c r="I26" i="10"/>
  <c r="G26" i="10"/>
  <c r="E26" i="10"/>
  <c r="K25" i="10"/>
  <c r="I25" i="10"/>
  <c r="G25" i="10"/>
  <c r="E25" i="10"/>
  <c r="K24" i="10"/>
  <c r="I24" i="10"/>
  <c r="G24" i="10"/>
  <c r="E24" i="10"/>
  <c r="K23" i="10"/>
  <c r="I23" i="10"/>
  <c r="G23" i="10"/>
  <c r="E23" i="10"/>
  <c r="K22" i="10"/>
  <c r="I22" i="10"/>
  <c r="G22" i="10"/>
  <c r="E22" i="10"/>
  <c r="K21" i="10"/>
  <c r="I21" i="10"/>
  <c r="G21" i="10"/>
  <c r="E21" i="10"/>
  <c r="K20" i="10"/>
  <c r="I20" i="10"/>
  <c r="G20" i="10"/>
  <c r="E20" i="10"/>
  <c r="K19" i="10"/>
  <c r="I19" i="10"/>
  <c r="G19" i="10"/>
  <c r="E19" i="10"/>
  <c r="K18" i="10"/>
  <c r="I18" i="10"/>
  <c r="G18" i="10"/>
  <c r="E18" i="10"/>
  <c r="K17" i="10"/>
  <c r="I17" i="10"/>
  <c r="G17" i="10"/>
  <c r="E17" i="10"/>
  <c r="K16" i="10"/>
  <c r="I16" i="10"/>
  <c r="G16" i="10"/>
  <c r="E16" i="10"/>
  <c r="K15" i="10"/>
  <c r="I15" i="10"/>
  <c r="G15" i="10"/>
  <c r="E15" i="10"/>
  <c r="K14" i="10"/>
  <c r="I14" i="10"/>
  <c r="G14" i="10"/>
  <c r="E14" i="10"/>
  <c r="K13" i="10"/>
  <c r="I13" i="10"/>
  <c r="G13" i="10"/>
  <c r="E13" i="10"/>
  <c r="K12" i="10"/>
  <c r="K40" i="10" s="1"/>
  <c r="C28" i="5" s="1"/>
  <c r="I12" i="10"/>
  <c r="I40" i="10" s="1"/>
  <c r="C28" i="8" s="1"/>
  <c r="G12" i="10"/>
  <c r="G40" i="10" s="1"/>
  <c r="C28" i="6" s="1"/>
  <c r="E12" i="10"/>
  <c r="E40" i="10" s="1"/>
  <c r="C31" i="1" s="1"/>
  <c r="M40" i="10" l="1"/>
  <c r="C28" i="9" s="1"/>
</calcChain>
</file>

<file path=xl/comments1.xml><?xml version="1.0" encoding="utf-8"?>
<comments xmlns="http://schemas.openxmlformats.org/spreadsheetml/2006/main">
  <authors>
    <author>김 영계</author>
  </authors>
  <commentList>
    <comment ref="Y27" authorId="0">
      <text>
        <r>
          <rPr>
            <b/>
            <sz val="9"/>
            <color indexed="81"/>
            <rFont val="돋움"/>
            <family val="3"/>
            <charset val="129"/>
          </rPr>
          <t>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영계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인덱스 미지정으로 임시수치 넣어둠</t>
        </r>
      </text>
    </comment>
  </commentList>
</comments>
</file>

<file path=xl/sharedStrings.xml><?xml version="1.0" encoding="utf-8"?>
<sst xmlns="http://schemas.openxmlformats.org/spreadsheetml/2006/main" count="5708" uniqueCount="425">
  <si>
    <t>1= on</t>
  </si>
  <si>
    <t>Dungeon001_World</t>
  </si>
  <si>
    <t>Dungeon001_Trigger</t>
  </si>
  <si>
    <t>WestCityPortal</t>
  </si>
  <si>
    <t>UD1_Trigger</t>
  </si>
  <si>
    <t>막아야할 입구트리거인덱스</t>
  </si>
  <si>
    <t>TMQ1_1_NPC</t>
  </si>
  <si>
    <t>삭제할 입장NPC 테이블 인덱스</t>
  </si>
  <si>
    <t>FreeBattle</t>
  </si>
  <si>
    <t>1이면 허용 @면 불가</t>
  </si>
  <si>
    <t>UD2_Trigger</t>
  </si>
  <si>
    <t>TMQ1_2_NPC</t>
  </si>
  <si>
    <t>RankBattle</t>
  </si>
  <si>
    <t>UD3_Trigger</t>
  </si>
  <si>
    <t>TMQ1_3_NPC</t>
  </si>
  <si>
    <t>Dojo</t>
  </si>
  <si>
    <t>UD4_Trigger</t>
  </si>
  <si>
    <t>TMQ1_4_NPC</t>
  </si>
  <si>
    <t>UD5_Trigger</t>
  </si>
  <si>
    <t>TMQ2_1_NPC</t>
  </si>
  <si>
    <t>Use_Mascot</t>
  </si>
  <si>
    <t>UD6_Trigger</t>
  </si>
  <si>
    <t>TMQ2_2_NPC</t>
  </si>
  <si>
    <t>TMQ2_3_NPC</t>
  </si>
  <si>
    <t>Dungeon003_Trigger</t>
  </si>
  <si>
    <t>Dungeon004_World</t>
  </si>
  <si>
    <t>Dungeon004_Trigger</t>
  </si>
  <si>
    <t>Dungeon006_Trigger</t>
  </si>
  <si>
    <t>Dungeon007_Trigger</t>
  </si>
  <si>
    <t>WZone001_NPC</t>
  </si>
  <si>
    <t>BDungeon001_Trigger</t>
  </si>
  <si>
    <t>Dungeon002_NPC</t>
  </si>
  <si>
    <t>QUESTONOFF_YAHHOI_WEST</t>
  </si>
  <si>
    <t>0x1</t>
  </si>
  <si>
    <t>0x2</t>
  </si>
  <si>
    <t>QUESTONOFF_FRAFRAN_DESERT_NORTH</t>
  </si>
  <si>
    <t>0x4</t>
  </si>
  <si>
    <t>QUESTONOFF_KARIN_FOREST</t>
  </si>
  <si>
    <t>0x8</t>
  </si>
  <si>
    <t>QUESTONOFF_WEST_LAND</t>
  </si>
  <si>
    <t>0x10</t>
  </si>
  <si>
    <t>QUESTONOFF_YAHHOI_EAST</t>
  </si>
  <si>
    <t>0x20</t>
  </si>
  <si>
    <t>QUESTONOFF_MUSHROOM_ROCKS_NORTH</t>
  </si>
  <si>
    <t>0x40</t>
  </si>
  <si>
    <t>QUESTONOFF_MUSHROOM_ROCKS_SOUTH</t>
  </si>
  <si>
    <t>0x80</t>
  </si>
  <si>
    <t>QUESTONOFF_OSORO_SHIMA</t>
  </si>
  <si>
    <t>0x100</t>
  </si>
  <si>
    <t>QUESTONOFF_UD01</t>
  </si>
  <si>
    <t>0x200</t>
  </si>
  <si>
    <t>QUESTONOFF_UD02</t>
  </si>
  <si>
    <t>0x400</t>
  </si>
  <si>
    <t>QUESTONOFF_UD03</t>
  </si>
  <si>
    <t>0x800</t>
  </si>
  <si>
    <t>QUESTONOFF_UD04</t>
  </si>
  <si>
    <t>0x1000</t>
  </si>
  <si>
    <t>QUESTONOFF_UD05</t>
  </si>
  <si>
    <t>0x2000</t>
  </si>
  <si>
    <t>QUESTONOFF_MARKET</t>
  </si>
  <si>
    <t>0x4000</t>
  </si>
  <si>
    <t>QUESTONOFF_FREEBATTLE</t>
  </si>
  <si>
    <t>0x8000</t>
  </si>
  <si>
    <t>QUESTONOFF_RANKBATTLE</t>
  </si>
  <si>
    <t>0x10000</t>
  </si>
  <si>
    <t>QUESTONOFF_MASCOT</t>
  </si>
  <si>
    <t>0x20000</t>
  </si>
  <si>
    <t>QUESTONOFF_HOIPOI_MIX</t>
  </si>
  <si>
    <t>0x40000</t>
  </si>
  <si>
    <t>QUESTONOFF_CONVERT_CLASS</t>
  </si>
  <si>
    <t>0x80000</t>
  </si>
  <si>
    <t>UD2</t>
  </si>
  <si>
    <t>UD3</t>
  </si>
  <si>
    <t>UD4</t>
  </si>
  <si>
    <t>UD5</t>
  </si>
  <si>
    <t>@</t>
    <phoneticPr fontId="4" type="noConversion"/>
  </si>
  <si>
    <t>1이면 허용 @면 불가(@이면 job NPC 삭제)</t>
  </si>
  <si>
    <t>Invalid</t>
  </si>
  <si>
    <t>Zone21_30</t>
  </si>
  <si>
    <t>Zone31_50</t>
  </si>
  <si>
    <t>Zone51_55</t>
  </si>
  <si>
    <t>Zone56_60</t>
  </si>
  <si>
    <t>Use_TMP</t>
  </si>
  <si>
    <t>야호이 요새-&gt;야호이 동부 진입 트리거 인덱스</t>
  </si>
  <si>
    <t>드래곤케이브의 World 테이블 인덱스</t>
  </si>
  <si>
    <t>드래곤케이브-&gt;포룽가남부 진입 트리거 인덱스</t>
  </si>
  <si>
    <t>Block_QuestType_BitFlag</t>
  </si>
  <si>
    <t>@</t>
  </si>
  <si>
    <t>Use_HoipoiMix</t>
  </si>
  <si>
    <t>트리거 배치 월드 참조 데이터</t>
  </si>
  <si>
    <t>3 = off</t>
  </si>
  <si>
    <t>2971107 = off</t>
  </si>
  <si>
    <t>561 = off</t>
  </si>
  <si>
    <t>565 = off</t>
  </si>
  <si>
    <t>1021 = off</t>
  </si>
  <si>
    <t>5592109 = off</t>
  </si>
  <si>
    <t>Bit on = off</t>
  </si>
  <si>
    <t>Use_DWC</t>
  </si>
  <si>
    <t>Use_Condition</t>
  </si>
  <si>
    <t>Use_CharHistory</t>
  </si>
  <si>
    <t>DBScramble</t>
  </si>
  <si>
    <t>UD_Help</t>
  </si>
  <si>
    <t>TMQ_Help</t>
  </si>
  <si>
    <t>TMP_Help</t>
  </si>
  <si>
    <t>FreeBattle_Help</t>
  </si>
  <si>
    <t>Rank_Battle_Help</t>
  </si>
  <si>
    <t>Dojo_Help</t>
  </si>
  <si>
    <t>Mascot_Help</t>
  </si>
  <si>
    <t>DWC_Help</t>
  </si>
  <si>
    <t>DBScramble_Help</t>
  </si>
  <si>
    <t>Achievement_Help</t>
  </si>
  <si>
    <t>@</t>
    <phoneticPr fontId="4" type="noConversion"/>
  </si>
  <si>
    <t>9009 = off</t>
  </si>
  <si>
    <t>Contents Condition Table</t>
    <phoneticPr fontId="5" type="noConversion"/>
  </si>
  <si>
    <t>Mini Table</t>
    <phoneticPr fontId="5" type="noConversion"/>
  </si>
  <si>
    <t>Name</t>
    <phoneticPr fontId="5" type="noConversion"/>
  </si>
  <si>
    <t>Mini Tblidx</t>
    <phoneticPr fontId="5" type="noConversion"/>
  </si>
  <si>
    <t>Description</t>
    <phoneticPr fontId="5" type="noConversion"/>
  </si>
  <si>
    <t>Block_QuestType_BitFlag</t>
    <phoneticPr fontId="5" type="noConversion"/>
  </si>
  <si>
    <t>없음</t>
    <phoneticPr fontId="5" type="noConversion"/>
  </si>
  <si>
    <t>@</t>
    <phoneticPr fontId="5" type="noConversion"/>
  </si>
  <si>
    <t>No.</t>
    <phoneticPr fontId="5" type="noConversion"/>
  </si>
  <si>
    <t>List</t>
    <phoneticPr fontId="5" type="noConversion"/>
  </si>
  <si>
    <t>16진수</t>
    <phoneticPr fontId="4" type="noConversion"/>
  </si>
  <si>
    <t>// 주석</t>
    <phoneticPr fontId="4" type="noConversion"/>
  </si>
  <si>
    <t>없음</t>
    <phoneticPr fontId="5" type="noConversion"/>
  </si>
  <si>
    <t>@</t>
    <phoneticPr fontId="5" type="noConversion"/>
  </si>
  <si>
    <t>야호이 서부</t>
    <phoneticPr fontId="4" type="noConversion"/>
  </si>
  <si>
    <t>포룽가 룩스 북부</t>
    <phoneticPr fontId="4" type="noConversion"/>
  </si>
  <si>
    <t>프랑프랑 사막 북부</t>
    <phoneticPr fontId="4" type="noConversion"/>
  </si>
  <si>
    <t>카린숲</t>
    <phoneticPr fontId="4" type="noConversion"/>
  </si>
  <si>
    <t>웨스트 랜드</t>
    <phoneticPr fontId="4" type="noConversion"/>
  </si>
  <si>
    <t>야호이 동부</t>
    <phoneticPr fontId="4" type="noConversion"/>
  </si>
  <si>
    <t>머쉬룸 룩스 북부</t>
    <phoneticPr fontId="4" type="noConversion"/>
  </si>
  <si>
    <t>머쉬룸 룩스 남부</t>
    <phoneticPr fontId="4" type="noConversion"/>
  </si>
  <si>
    <t>겁나도</t>
    <phoneticPr fontId="4" type="noConversion"/>
  </si>
  <si>
    <t>UD1</t>
    <phoneticPr fontId="4" type="noConversion"/>
  </si>
  <si>
    <t>천하제일대시장</t>
    <phoneticPr fontId="4" type="noConversion"/>
  </si>
  <si>
    <t>프리 배틀</t>
    <phoneticPr fontId="4" type="noConversion"/>
  </si>
  <si>
    <t>랭크 배틀</t>
    <phoneticPr fontId="4" type="noConversion"/>
  </si>
  <si>
    <t>마스코트</t>
    <phoneticPr fontId="4" type="noConversion"/>
  </si>
  <si>
    <t>호이포이 믹스</t>
    <phoneticPr fontId="4" type="noConversion"/>
  </si>
  <si>
    <t>전직</t>
    <phoneticPr fontId="4" type="noConversion"/>
  </si>
  <si>
    <t>QUESTONOFF_DWC</t>
    <phoneticPr fontId="4" type="noConversion"/>
  </si>
  <si>
    <t>0x100000</t>
    <phoneticPr fontId="4" type="noConversion"/>
  </si>
  <si>
    <t>DWC</t>
    <phoneticPr fontId="4" type="noConversion"/>
  </si>
  <si>
    <t>QUESTONOFF_CCBD_MAIL</t>
    <phoneticPr fontId="4" type="noConversion"/>
  </si>
  <si>
    <t>0x200000</t>
    <phoneticPr fontId="4" type="noConversion"/>
  </si>
  <si>
    <t>CCBD</t>
    <phoneticPr fontId="4" type="noConversion"/>
  </si>
  <si>
    <t>모든 Type off</t>
    <phoneticPr fontId="4" type="noConversion"/>
  </si>
  <si>
    <r>
      <t xml:space="preserve">Bit on = Contents off, Bit off = Contents on 
Quest Type은 Mini Table 1을 참조하여 </t>
    </r>
    <r>
      <rPr>
        <b/>
        <sz val="8"/>
        <color rgb="FFFF0000"/>
        <rFont val="맑은 고딕"/>
        <family val="3"/>
        <charset val="129"/>
      </rPr>
      <t>10진수로 입력</t>
    </r>
    <phoneticPr fontId="4" type="noConversion"/>
  </si>
  <si>
    <t>Use_DWC</t>
    <phoneticPr fontId="4" type="noConversion"/>
  </si>
  <si>
    <t>Use_Condition</t>
    <phoneticPr fontId="4" type="noConversion"/>
  </si>
  <si>
    <t>1이면 허용 @면 불가(@이면 저장된 캐릭터 데이터 중 업적 관련 정보를 갱신하지 않음)</t>
    <phoneticPr fontId="4" type="noConversion"/>
  </si>
  <si>
    <t>Use_CharHistory</t>
    <phoneticPr fontId="4" type="noConversion"/>
  </si>
  <si>
    <t>1이면 허용 @면 불가(@이면 캐릭터 데이터를 저장하지 않음)</t>
    <phoneticPr fontId="4" type="noConversion"/>
  </si>
  <si>
    <t>UD_Help</t>
    <phoneticPr fontId="4" type="noConversion"/>
  </si>
  <si>
    <t>@</t>
    <phoneticPr fontId="4" type="noConversion"/>
  </si>
  <si>
    <t>막아야 할 Help Tblidx</t>
    <phoneticPr fontId="4" type="noConversion"/>
  </si>
  <si>
    <t>TMQ_Help</t>
    <phoneticPr fontId="4" type="noConversion"/>
  </si>
  <si>
    <t>TMP_Help</t>
    <phoneticPr fontId="4" type="noConversion"/>
  </si>
  <si>
    <t>FreeBattle_Help</t>
    <phoneticPr fontId="4" type="noConversion"/>
  </si>
  <si>
    <t>Rank_Battle_Help</t>
    <phoneticPr fontId="4" type="noConversion"/>
  </si>
  <si>
    <t>Dojo_Help</t>
    <phoneticPr fontId="4" type="noConversion"/>
  </si>
  <si>
    <t>Mascot_Help</t>
    <phoneticPr fontId="4" type="noConversion"/>
  </si>
  <si>
    <t>DWC_Help</t>
    <phoneticPr fontId="4" type="noConversion"/>
  </si>
  <si>
    <t>DBScramble</t>
    <phoneticPr fontId="4" type="noConversion"/>
  </si>
  <si>
    <t>DBScramble_Help</t>
    <phoneticPr fontId="4" type="noConversion"/>
  </si>
  <si>
    <t>Achievement_Help</t>
    <phoneticPr fontId="4" type="noConversion"/>
  </si>
  <si>
    <t>Valid</t>
  </si>
  <si>
    <t>1 = on</t>
  </si>
  <si>
    <t>1= on (DWC on/off와 관계없이 on)</t>
  </si>
  <si>
    <t>9006 = off</t>
  </si>
  <si>
    <t>9008 = off</t>
  </si>
  <si>
    <t>9001 = off</t>
  </si>
  <si>
    <t>9002 = off</t>
  </si>
  <si>
    <t>8003 = off</t>
  </si>
  <si>
    <t>9010 = off</t>
  </si>
  <si>
    <t>없음</t>
  </si>
  <si>
    <t>9011 = off</t>
  </si>
  <si>
    <t>Use_CCBD</t>
    <phoneticPr fontId="4" type="noConversion"/>
  </si>
  <si>
    <t>1이면 허용 @면 불가 (World Zone Table Bit Flag: 0x10)</t>
    <phoneticPr fontId="4" type="noConversion"/>
  </si>
  <si>
    <t>1이면 허용 @면 불가 (World Zone Table Bit Flag: 0x08)</t>
    <phoneticPr fontId="4" type="noConversion"/>
  </si>
  <si>
    <t>1이면 허용 @면 불가 (World Zone Table Bit Flag: 0x04)</t>
    <phoneticPr fontId="4" type="noConversion"/>
  </si>
  <si>
    <t>QUESTONOFF_PORUNGA_ROCKS_NORTH</t>
    <phoneticPr fontId="4" type="noConversion"/>
  </si>
  <si>
    <t>0x400000</t>
    <phoneticPr fontId="4" type="noConversion"/>
  </si>
  <si>
    <t>포룽가 룩스 남부</t>
    <phoneticPr fontId="4" type="noConversion"/>
  </si>
  <si>
    <t>1이면 허용 @면 불가 (World Zone Table Bit Flag: 0x02)</t>
    <phoneticPr fontId="4" type="noConversion"/>
  </si>
  <si>
    <t>야호이 요새의 World 테이블 인덱스</t>
    <phoneticPr fontId="4" type="noConversion"/>
  </si>
  <si>
    <t>레드팬츠군 본부 진입 트리거 인덱스 (World Zone Table Bit Flag: 0x04)</t>
    <phoneticPr fontId="4" type="noConversion"/>
  </si>
  <si>
    <t>폭포 동굴 진입 트리거 인덱스 (World Zone Table Bit Flag: 0x02)</t>
    <phoneticPr fontId="4" type="noConversion"/>
  </si>
  <si>
    <t>폐광 진입 트리거 인덱스 (World Zone Table Bit Flag: 0x04)</t>
    <phoneticPr fontId="4" type="noConversion"/>
  </si>
  <si>
    <t>겁나도 진입 NPC 인덱스 (World Zone Table Bit Flag: 0x08)</t>
    <phoneticPr fontId="4" type="noConversion"/>
  </si>
  <si>
    <t>누케가란드 진입 트리거 인덱스 (World Zone Table Bit Flag: 0x08)</t>
    <phoneticPr fontId="4" type="noConversion"/>
  </si>
  <si>
    <t>57 = off</t>
  </si>
  <si>
    <t>Tblidx</t>
  </si>
  <si>
    <t>Name_Text</t>
  </si>
  <si>
    <t>DataValue01</t>
  </si>
  <si>
    <t>DataValue02</t>
  </si>
  <si>
    <t>DataValue03</t>
  </si>
  <si>
    <t>DataValue04</t>
  </si>
  <si>
    <t>DataValue05</t>
  </si>
  <si>
    <t>DataValue06</t>
  </si>
  <si>
    <t>DataValue07</t>
  </si>
  <si>
    <t>DataValue08</t>
  </si>
  <si>
    <t>DataValue09</t>
  </si>
  <si>
    <t>DataValue10</t>
  </si>
  <si>
    <t>UD6</t>
  </si>
  <si>
    <t>TMQ2-3</t>
  </si>
  <si>
    <t>드래곤 케이브 남부</t>
  </si>
  <si>
    <t xml:space="preserve"> @= off</t>
  </si>
  <si>
    <t>UD_Trigger</t>
  </si>
  <si>
    <t xml:space="preserve"> @= on</t>
  </si>
  <si>
    <t>TMQ_NPC</t>
  </si>
  <si>
    <t xml:space="preserve"> 없음</t>
  </si>
  <si>
    <t>Use_CCBD</t>
  </si>
  <si>
    <t xml:space="preserve"> Bit off = on</t>
  </si>
  <si>
    <t>CCBD_Help</t>
  </si>
  <si>
    <t>Use_DFC</t>
    <phoneticPr fontId="4" type="noConversion"/>
  </si>
  <si>
    <t>Use_DFC</t>
    <phoneticPr fontId="4" type="noConversion"/>
  </si>
  <si>
    <t>UD_NPC</t>
    <phoneticPr fontId="4" type="noConversion"/>
  </si>
  <si>
    <t>BDungeon001_NPC</t>
    <phoneticPr fontId="4" type="noConversion"/>
  </si>
  <si>
    <t>3701219 = off</t>
    <phoneticPr fontId="4" type="noConversion"/>
  </si>
  <si>
    <t>2413102 / 2413104 / 2413106 / 2413105 / 2413111 / 2413112 / 2413113 = off</t>
    <phoneticPr fontId="4" type="noConversion"/>
  </si>
  <si>
    <t>UD_NPC</t>
    <phoneticPr fontId="4" type="noConversion"/>
  </si>
  <si>
    <t>BDungeon001_NPC</t>
  </si>
  <si>
    <t>삭제할 입장NPC 테이블 인덱스 = off, @ = on</t>
    <phoneticPr fontId="4" type="noConversion"/>
  </si>
  <si>
    <t>1 = on, @ = off</t>
    <phoneticPr fontId="4" type="noConversion"/>
  </si>
  <si>
    <r>
      <rPr>
        <b/>
        <sz val="8"/>
        <color rgb="FFFF0000"/>
        <rFont val="맑은 고딕"/>
        <family val="3"/>
        <charset val="129"/>
      </rPr>
      <t>1 = 50F, 2 = 70F, 3 = 90F, 4 = 100F on</t>
    </r>
    <r>
      <rPr>
        <sz val="8"/>
        <color rgb="FFFF0000"/>
        <rFont val="맑은 고딕"/>
        <family val="3"/>
        <charset val="129"/>
      </rPr>
      <t xml:space="preserve">
@면 off(</t>
    </r>
    <r>
      <rPr>
        <b/>
        <sz val="8"/>
        <color rgb="FFFF0000"/>
        <rFont val="맑은 고딕"/>
        <family val="3"/>
        <charset val="129"/>
      </rPr>
      <t>DataValue02~07 Column의 NPC Tblidx 삭제</t>
    </r>
    <r>
      <rPr>
        <sz val="8"/>
        <color rgb="FFFF0000"/>
        <rFont val="맑은 고딕"/>
        <family val="3"/>
        <charset val="129"/>
      </rPr>
      <t>)</t>
    </r>
    <phoneticPr fontId="4" type="noConversion"/>
  </si>
  <si>
    <t>1, 2, 3, 4 = on / 7951201 / 7951202 / 7951203 / 7951204 / 7951205 / 7951206</t>
    <phoneticPr fontId="4" type="noConversion"/>
  </si>
  <si>
    <t>Block_QuestType_BitFlag</t>
    <phoneticPr fontId="5" type="noConversion"/>
  </si>
  <si>
    <t>No.</t>
    <phoneticPr fontId="5" type="noConversion"/>
  </si>
  <si>
    <t>List</t>
    <phoneticPr fontId="5" type="noConversion"/>
  </si>
  <si>
    <t>16진수</t>
    <phoneticPr fontId="4" type="noConversion"/>
  </si>
  <si>
    <t>B</t>
    <phoneticPr fontId="4" type="noConversion"/>
  </si>
  <si>
    <t>Integrate</t>
    <phoneticPr fontId="4" type="noConversion"/>
  </si>
  <si>
    <t>B</t>
    <phoneticPr fontId="4" type="noConversion"/>
  </si>
  <si>
    <t>KR</t>
    <phoneticPr fontId="4" type="noConversion"/>
  </si>
  <si>
    <t>TW</t>
    <phoneticPr fontId="4" type="noConversion"/>
  </si>
  <si>
    <t>HK</t>
    <phoneticPr fontId="4" type="noConversion"/>
  </si>
  <si>
    <t>// 주석</t>
    <phoneticPr fontId="4" type="noConversion"/>
  </si>
  <si>
    <t>야호이 서부</t>
    <phoneticPr fontId="4" type="noConversion"/>
  </si>
  <si>
    <t>QUESTONOFF_PORUNGA_ROCKS_NORTH</t>
    <phoneticPr fontId="4" type="noConversion"/>
  </si>
  <si>
    <t>포룽가 룩스 북부</t>
    <phoneticPr fontId="4" type="noConversion"/>
  </si>
  <si>
    <t>프랑프랑 사막 북부</t>
    <phoneticPr fontId="4" type="noConversion"/>
  </si>
  <si>
    <t>카린숲</t>
    <phoneticPr fontId="4" type="noConversion"/>
  </si>
  <si>
    <t>웨스트 랜드</t>
    <phoneticPr fontId="4" type="noConversion"/>
  </si>
  <si>
    <t>야호이 동부</t>
    <phoneticPr fontId="4" type="noConversion"/>
  </si>
  <si>
    <t>머쉬룸 룩스 북부</t>
    <phoneticPr fontId="4" type="noConversion"/>
  </si>
  <si>
    <t>머쉬룸 룩스 남부</t>
    <phoneticPr fontId="4" type="noConversion"/>
  </si>
  <si>
    <t>겁나도</t>
    <phoneticPr fontId="4" type="noConversion"/>
  </si>
  <si>
    <t>UD1</t>
    <phoneticPr fontId="4" type="noConversion"/>
  </si>
  <si>
    <t>천하제일대시장</t>
    <phoneticPr fontId="4" type="noConversion"/>
  </si>
  <si>
    <t>프리 배틀</t>
    <phoneticPr fontId="4" type="noConversion"/>
  </si>
  <si>
    <t>랭크 배틀</t>
    <phoneticPr fontId="4" type="noConversion"/>
  </si>
  <si>
    <t>마스코트</t>
    <phoneticPr fontId="4" type="noConversion"/>
  </si>
  <si>
    <t>호이포이 믹스</t>
    <phoneticPr fontId="4" type="noConversion"/>
  </si>
  <si>
    <t>전직</t>
    <phoneticPr fontId="4" type="noConversion"/>
  </si>
  <si>
    <t>QUESTONOFF_DWC</t>
    <phoneticPr fontId="4" type="noConversion"/>
  </si>
  <si>
    <t>DWC</t>
    <phoneticPr fontId="4" type="noConversion"/>
  </si>
  <si>
    <t>QUESTONOFF_CCBD_MAIL</t>
    <phoneticPr fontId="4" type="noConversion"/>
  </si>
  <si>
    <t>CCBD</t>
    <phoneticPr fontId="4" type="noConversion"/>
  </si>
  <si>
    <t>QUESTONOFF_PORUNGA_ROCKS_SOUTH</t>
    <phoneticPr fontId="4" type="noConversion"/>
  </si>
  <si>
    <t>포룽가 룩스 남부</t>
    <phoneticPr fontId="4" type="noConversion"/>
  </si>
  <si>
    <t>모든 Type off</t>
    <phoneticPr fontId="4" type="noConversion"/>
  </si>
  <si>
    <t>CN</t>
    <phoneticPr fontId="4" type="noConversion"/>
  </si>
  <si>
    <t>Use_BarrierSystem</t>
    <phoneticPr fontId="4" type="noConversion"/>
  </si>
  <si>
    <t>3701201 / 3701204 / 3701207 / 3701210 / 3701213 / 3701216 = off</t>
    <phoneticPr fontId="4" type="noConversion"/>
  </si>
  <si>
    <t>412 / 844 / 1038 / 1455 / 1456 / 4544 = off</t>
    <phoneticPr fontId="4" type="noConversion"/>
  </si>
  <si>
    <t>1471 = off</t>
    <phoneticPr fontId="4" type="noConversion"/>
  </si>
  <si>
    <t>on</t>
  </si>
  <si>
    <t>Note</t>
    <phoneticPr fontId="4" type="noConversion"/>
  </si>
  <si>
    <t>서쪽 도시</t>
    <phoneticPr fontId="4" type="noConversion"/>
  </si>
  <si>
    <t>30 레벨</t>
    <phoneticPr fontId="4" type="noConversion"/>
  </si>
  <si>
    <t>50 레벨</t>
    <phoneticPr fontId="4" type="noConversion"/>
  </si>
  <si>
    <t>55 레벨</t>
    <phoneticPr fontId="4" type="noConversion"/>
  </si>
  <si>
    <t>60 레벨</t>
    <phoneticPr fontId="4" type="noConversion"/>
  </si>
  <si>
    <t>on</t>
    <phoneticPr fontId="4" type="noConversion"/>
  </si>
  <si>
    <r>
      <t>o</t>
    </r>
    <r>
      <rPr>
        <sz val="8"/>
        <color theme="1"/>
        <rFont val="맑은 고딕"/>
        <family val="2"/>
        <charset val="129"/>
      </rPr>
      <t>n</t>
    </r>
    <phoneticPr fontId="4" type="noConversion"/>
  </si>
  <si>
    <r>
      <t>o</t>
    </r>
    <r>
      <rPr>
        <sz val="8"/>
        <color theme="1"/>
        <rFont val="맑은 고딕"/>
        <family val="2"/>
        <charset val="129"/>
      </rPr>
      <t>ff</t>
    </r>
    <phoneticPr fontId="4" type="noConversion"/>
  </si>
  <si>
    <t>TMQ</t>
    <phoneticPr fontId="4" type="noConversion"/>
  </si>
  <si>
    <t>대시장</t>
    <phoneticPr fontId="4" type="noConversion"/>
  </si>
  <si>
    <t>프리배틀</t>
    <phoneticPr fontId="4" type="noConversion"/>
  </si>
  <si>
    <t>랭크배틀</t>
    <phoneticPr fontId="4" type="noConversion"/>
  </si>
  <si>
    <t>도장</t>
    <phoneticPr fontId="4" type="noConversion"/>
  </si>
  <si>
    <t>마스코트</t>
    <phoneticPr fontId="4" type="noConversion"/>
  </si>
  <si>
    <t>믹스</t>
    <phoneticPr fontId="4" type="noConversion"/>
  </si>
  <si>
    <t>off</t>
  </si>
  <si>
    <t>-</t>
  </si>
  <si>
    <t>레드리본군 본부 폐허 진입 NPC 인덱스 (World Zone Table Bit Flag: 0x02)</t>
    <phoneticPr fontId="4" type="noConversion"/>
  </si>
  <si>
    <t>요새 &gt; 동부 입장</t>
    <phoneticPr fontId="4" type="noConversion"/>
  </si>
  <si>
    <t>팬츠 본부 입장</t>
    <phoneticPr fontId="4" type="noConversion"/>
  </si>
  <si>
    <t>본부 폐허 입장</t>
    <phoneticPr fontId="4" type="noConversion"/>
  </si>
  <si>
    <t>@</t>
    <phoneticPr fontId="4" type="noConversion"/>
  </si>
  <si>
    <t>케이브 &gt; 남부 입장</t>
    <phoneticPr fontId="4" type="noConversion"/>
  </si>
  <si>
    <t>폭포 동굴 입장</t>
    <phoneticPr fontId="4" type="noConversion"/>
  </si>
  <si>
    <t>폐광 입장</t>
    <phoneticPr fontId="4" type="noConversion"/>
  </si>
  <si>
    <t>겁나도 입장</t>
    <phoneticPr fontId="4" type="noConversion"/>
  </si>
  <si>
    <t>누케가란드 입장</t>
    <phoneticPr fontId="4" type="noConversion"/>
  </si>
  <si>
    <r>
      <t>o</t>
    </r>
    <r>
      <rPr>
        <sz val="8"/>
        <color theme="1"/>
        <rFont val="맑은 고딕"/>
        <family val="2"/>
        <charset val="129"/>
      </rPr>
      <t>ff</t>
    </r>
    <phoneticPr fontId="4" type="noConversion"/>
  </si>
  <si>
    <t>DB 스크램블</t>
    <phoneticPr fontId="4" type="noConversion"/>
  </si>
  <si>
    <t>CCBD 50/70/90/100</t>
    <phoneticPr fontId="4" type="noConversion"/>
  </si>
  <si>
    <t>퀘스트</t>
    <phoneticPr fontId="4" type="noConversion"/>
  </si>
  <si>
    <t>데이터 저장</t>
    <phoneticPr fontId="4" type="noConversion"/>
  </si>
  <si>
    <t>데이터 조합</t>
    <phoneticPr fontId="4" type="noConversion"/>
  </si>
  <si>
    <t>DWC</t>
    <phoneticPr fontId="4" type="noConversion"/>
  </si>
  <si>
    <t>도움말 UD</t>
    <phoneticPr fontId="4" type="noConversion"/>
  </si>
  <si>
    <t>도움말 TMQ</t>
    <phoneticPr fontId="4" type="noConversion"/>
  </si>
  <si>
    <t>도움말 대시장</t>
    <phoneticPr fontId="4" type="noConversion"/>
  </si>
  <si>
    <t>도움말 프리배틀</t>
    <phoneticPr fontId="4" type="noConversion"/>
  </si>
  <si>
    <t>도움말 랭크배틀</t>
    <phoneticPr fontId="4" type="noConversion"/>
  </si>
  <si>
    <t>도움말 도장</t>
    <phoneticPr fontId="4" type="noConversion"/>
  </si>
  <si>
    <t>도움말 마스코트</t>
    <phoneticPr fontId="4" type="noConversion"/>
  </si>
  <si>
    <t>도움말 DWC</t>
    <phoneticPr fontId="4" type="noConversion"/>
  </si>
  <si>
    <t>도움말 DB 스크램블</t>
    <phoneticPr fontId="4" type="noConversion"/>
  </si>
  <si>
    <t>도움말 업적</t>
    <phoneticPr fontId="4" type="noConversion"/>
  </si>
  <si>
    <t>도움말 CCBD</t>
    <phoneticPr fontId="4" type="noConversion"/>
  </si>
  <si>
    <t>암흑마계의 습격</t>
    <phoneticPr fontId="4" type="noConversion"/>
  </si>
  <si>
    <t>UD NPC</t>
    <phoneticPr fontId="4" type="noConversion"/>
  </si>
  <si>
    <t>UD Trigger</t>
    <phoneticPr fontId="4" type="noConversion"/>
  </si>
  <si>
    <t>누케가란드 NPC</t>
    <phoneticPr fontId="4" type="noConversion"/>
  </si>
  <si>
    <t>Warfog</t>
    <phoneticPr fontId="4" type="noConversion"/>
  </si>
  <si>
    <t>Use_ClearWarFog</t>
    <phoneticPr fontId="4" type="noConversion"/>
  </si>
  <si>
    <t>Use_ClearWarFog</t>
    <phoneticPr fontId="4" type="noConversion"/>
  </si>
  <si>
    <t>1 = on, @ = off</t>
    <phoneticPr fontId="4" type="noConversion"/>
  </si>
  <si>
    <t>Use_StatOverBalance</t>
    <phoneticPr fontId="4" type="noConversion"/>
  </si>
  <si>
    <t>SKD_NPC</t>
    <phoneticPr fontId="4" type="noConversion"/>
  </si>
  <si>
    <t>SKD1_Trigger</t>
    <phoneticPr fontId="4" type="noConversion"/>
  </si>
  <si>
    <t>@</t>
    <phoneticPr fontId="4" type="noConversion"/>
  </si>
  <si>
    <t>스카이던전 보상교환</t>
    <phoneticPr fontId="4" type="noConversion"/>
  </si>
  <si>
    <t>스카이던전 트리거</t>
    <phoneticPr fontId="4" type="noConversion"/>
  </si>
  <si>
    <t xml:space="preserve"> @= on</t>
    <phoneticPr fontId="4" type="noConversion"/>
  </si>
  <si>
    <t>QUESTONOFF_SKD01</t>
    <phoneticPr fontId="4" type="noConversion"/>
  </si>
  <si>
    <t>SKD</t>
    <phoneticPr fontId="4" type="noConversion"/>
  </si>
  <si>
    <t>Zone61_70</t>
    <phoneticPr fontId="4" type="noConversion"/>
  </si>
  <si>
    <t>70 레벨</t>
    <phoneticPr fontId="4" type="noConversion"/>
  </si>
  <si>
    <t>MainWorld02_NPC</t>
    <phoneticPr fontId="4" type="noConversion"/>
  </si>
  <si>
    <t>1이면 허용 @면 불가 (World Zone Table Bit Flag: 0x20)</t>
    <phoneticPr fontId="4" type="noConversion"/>
  </si>
  <si>
    <t>파파야 아일랜드 진입 NPC 인덱스 (World Zone Table Bit Flag: 0x20)</t>
    <phoneticPr fontId="4" type="noConversion"/>
  </si>
  <si>
    <t>MainWorld02_NPC</t>
    <phoneticPr fontId="4" type="noConversion"/>
  </si>
  <si>
    <t>파파야 아일랜드 입장</t>
    <phoneticPr fontId="4" type="noConversion"/>
  </si>
  <si>
    <t>3481103 = off</t>
    <phoneticPr fontId="4" type="noConversion"/>
  </si>
  <si>
    <t>파파야 아일랜드</t>
    <phoneticPr fontId="4" type="noConversion"/>
  </si>
  <si>
    <t>QUESTONOFF_PORUNGA_ROCKS_SOUTH</t>
  </si>
  <si>
    <t>QUESTONOFF_SKD01</t>
  </si>
  <si>
    <t>0x800000</t>
    <phoneticPr fontId="4" type="noConversion"/>
  </si>
  <si>
    <t>0x1000000</t>
    <phoneticPr fontId="4" type="noConversion"/>
  </si>
  <si>
    <t>0x2000000</t>
    <phoneticPr fontId="4" type="noConversion"/>
  </si>
  <si>
    <t>파파야 아일랜드</t>
    <phoneticPr fontId="4" type="noConversion"/>
  </si>
  <si>
    <t>SKD_NPC</t>
  </si>
  <si>
    <t>SKD1_Trigger</t>
  </si>
  <si>
    <t>6091101 = off</t>
    <phoneticPr fontId="4" type="noConversion"/>
  </si>
  <si>
    <t>@ = on, 6091101 = off</t>
    <phoneticPr fontId="4" type="noConversion"/>
  </si>
  <si>
    <t>우주선1 / 포탈1 / 우주선2 / 포탈2 / 우주선3 / 포탈3 = off</t>
    <phoneticPr fontId="4" type="noConversion"/>
  </si>
  <si>
    <t>@ = on, 우주선1 / 포탈1 / 우주선2 / 포탈2 / 우주선3 / 포탈3 = off</t>
    <phoneticPr fontId="4" type="noConversion"/>
  </si>
  <si>
    <t>BDungeon003_NPC</t>
  </si>
  <si>
    <t>BDungeon003_NPC</t>
    <phoneticPr fontId="4" type="noConversion"/>
  </si>
  <si>
    <t>@ = on, 3701225 = off</t>
    <phoneticPr fontId="4" type="noConversion"/>
  </si>
  <si>
    <t>BDungeon003_Trigger</t>
    <phoneticPr fontId="4" type="noConversion"/>
  </si>
  <si>
    <t>BDungeon003_Trigger</t>
    <phoneticPr fontId="4" type="noConversion"/>
  </si>
  <si>
    <t>@ = on, 98 = off(캡틴 박테리안의 안식처 진입 트리거 인덱스)</t>
    <phoneticPr fontId="4" type="noConversion"/>
  </si>
  <si>
    <t>3701225 = off</t>
    <phoneticPr fontId="4" type="noConversion"/>
  </si>
  <si>
    <t>QUESTONOFF_PAPAYA01</t>
  </si>
  <si>
    <t>QUESTONOFF_BID3</t>
  </si>
  <si>
    <t>BDungeon002_Trigger</t>
    <phoneticPr fontId="4" type="noConversion"/>
  </si>
  <si>
    <t>BID-2 캡틴 박테리안의 안식처 NPC</t>
    <phoneticPr fontId="4" type="noConversion"/>
  </si>
  <si>
    <t>BID-2 캡틴 박테리안의 안식처 포탈</t>
    <phoneticPr fontId="4" type="noConversion"/>
  </si>
  <si>
    <t>BID-3 버려진 동굴 NPC</t>
    <phoneticPr fontId="4" type="noConversion"/>
  </si>
  <si>
    <t>3701226 = off</t>
    <phoneticPr fontId="4" type="noConversion"/>
  </si>
  <si>
    <t>98 = off(캡틴 박테리안의 안식처 진입 트리거 인덱스)</t>
    <phoneticPr fontId="4" type="noConversion"/>
  </si>
  <si>
    <t>BDungeon002_NPC</t>
    <phoneticPr fontId="4" type="noConversion"/>
  </si>
  <si>
    <t>QUESTONOFF_BID2</t>
    <phoneticPr fontId="4" type="noConversion"/>
  </si>
  <si>
    <t>B.I.D-2 캡틴 박테리안의 은신처</t>
    <phoneticPr fontId="4" type="noConversion"/>
  </si>
  <si>
    <t>B.I.D-3 버려진 동굴(셀-X)</t>
    <phoneticPr fontId="4" type="noConversion"/>
  </si>
  <si>
    <t>B.I.D-2 캡틴 박테리안의 은신처</t>
    <phoneticPr fontId="4" type="noConversion"/>
  </si>
  <si>
    <t>B.I.D-3 버려진 동굴(셀-X)</t>
    <phoneticPr fontId="4" type="noConversion"/>
  </si>
  <si>
    <t>0x4000000</t>
    <phoneticPr fontId="4" type="noConversion"/>
  </si>
  <si>
    <t>BID-3 버려진 동굴 포탈</t>
    <phoneticPr fontId="4" type="noConversion"/>
  </si>
  <si>
    <t>99 = off(버려진 동굴 진입 트리거 인덱스)</t>
    <phoneticPr fontId="4" type="noConversion"/>
  </si>
  <si>
    <t>1, 2 = on old / new</t>
    <phoneticPr fontId="4" type="noConversion"/>
  </si>
  <si>
    <r>
      <t>o</t>
    </r>
    <r>
      <rPr>
        <sz val="8"/>
        <color theme="1"/>
        <rFont val="맑은 고딕"/>
        <family val="2"/>
        <charset val="129"/>
      </rPr>
      <t>ff</t>
    </r>
    <phoneticPr fontId="4" type="noConversion"/>
  </si>
  <si>
    <r>
      <t>o</t>
    </r>
    <r>
      <rPr>
        <sz val="8"/>
        <color theme="1"/>
        <rFont val="맑은 고딕"/>
        <family val="2"/>
        <charset val="129"/>
      </rPr>
      <t>ld</t>
    </r>
    <phoneticPr fontId="4" type="noConversion"/>
  </si>
  <si>
    <r>
      <t>n</t>
    </r>
    <r>
      <rPr>
        <sz val="8"/>
        <color theme="1"/>
        <rFont val="맑은 고딕"/>
        <family val="2"/>
        <charset val="129"/>
      </rPr>
      <t>ew</t>
    </r>
    <phoneticPr fontId="4" type="noConversion"/>
  </si>
  <si>
    <t>new</t>
  </si>
  <si>
    <t>Use_ItemUpgrade</t>
  </si>
  <si>
    <t>아이템 강화</t>
    <phoneticPr fontId="4" type="noConversion"/>
  </si>
  <si>
    <r>
      <t>o</t>
    </r>
    <r>
      <rPr>
        <sz val="8"/>
        <color theme="1"/>
        <rFont val="맑은 고딕"/>
        <family val="2"/>
        <charset val="129"/>
      </rPr>
      <t>ff</t>
    </r>
    <phoneticPr fontId="4" type="noConversion"/>
  </si>
  <si>
    <t xml:space="preserve"> @= off</t>
    <phoneticPr fontId="4" type="noConversion"/>
  </si>
  <si>
    <t>old</t>
  </si>
  <si>
    <t>1 = old (기존 아이템 강화 시스템) / 2 = new (신규 아이템 강화 시스템)</t>
  </si>
  <si>
    <t>1 = old (기존 아이템 강화 시스템) / 2 = new (신규 아이템 강화 시스템)</t>
    <phoneticPr fontId="4" type="noConversion"/>
  </si>
  <si>
    <t>BDungeon004_NPC</t>
    <phoneticPr fontId="4" type="noConversion"/>
  </si>
  <si>
    <t>BDungeon004_Trigger</t>
    <phoneticPr fontId="4" type="noConversion"/>
  </si>
  <si>
    <t>BID-4 암굴왕의 해저동굴 NPC</t>
    <phoneticPr fontId="4" type="noConversion"/>
  </si>
  <si>
    <t>BID-4 암굴왕의 해저동굴 포탈</t>
    <phoneticPr fontId="4" type="noConversion"/>
  </si>
  <si>
    <t>100 = off(버려진 동굴 진입 트리거 인덱스)</t>
    <phoneticPr fontId="4" type="noConversion"/>
  </si>
  <si>
    <t>3701227 = off</t>
    <phoneticPr fontId="4" type="noConversion"/>
  </si>
  <si>
    <t>QUESTONOFF_BID4</t>
    <phoneticPr fontId="4" type="noConversion"/>
  </si>
  <si>
    <t>BID-4 암굴왕의 해저동굴(로봇 쫀쫀 문어)</t>
    <phoneticPr fontId="4" type="noConversion"/>
  </si>
  <si>
    <t>Use_ItemDisassemble</t>
  </si>
  <si>
    <t>분해</t>
    <phoneticPr fontId="4" type="noConversion"/>
  </si>
  <si>
    <t>1 = old (기존 믹스 시스템) / 2 = new (신규 믹스 시스템)</t>
    <phoneticPr fontId="4" type="noConversion"/>
  </si>
  <si>
    <t>Use_Dynamic_Spawn</t>
  </si>
  <si>
    <t>다이내믹스폰적용</t>
  </si>
  <si>
    <t>1= on (다이내믹 적용된 파일 사용), @ = off (기존 스폰파일 사용)</t>
  </si>
  <si>
    <t>@ = off (분해 시스템 없음) / 1 = on (분해 시스템 추가)</t>
  </si>
  <si>
    <t>QUESTONOFF_BID4</t>
  </si>
  <si>
    <t>0x8000000</t>
    <phoneticPr fontId="4" type="noConversion"/>
  </si>
  <si>
    <t>1 = on, @ = off (해당 변수 삭제함)</t>
    <phoneticPr fontId="4" type="noConversion"/>
  </si>
  <si>
    <t>Use_Scouter</t>
    <phoneticPr fontId="4" type="noConversion"/>
  </si>
  <si>
    <t>@</t>
    <phoneticPr fontId="4" type="noConversion"/>
  </si>
  <si>
    <t>Use_Scouter</t>
    <phoneticPr fontId="4" type="noConversion"/>
  </si>
  <si>
    <t>없음</t>
    <phoneticPr fontId="4" type="noConversion"/>
  </si>
  <si>
    <t>1 = old (기존 스카우터 시스템) / 2 = new (신규 스카우터 시스템)</t>
    <phoneticPr fontId="4" type="noConversion"/>
  </si>
  <si>
    <t>스카우터</t>
    <phoneticPr fontId="4" type="noConversion"/>
  </si>
  <si>
    <t>1 = old (기존 스카우터 시스템) / 2 = new (신규 스카우터 시스템)</t>
    <phoneticPr fontId="4" type="noConversion"/>
  </si>
  <si>
    <t>1, 2, 3, 4, 5, 6 = on / 7951201 / 7951202 / 7951203 / 7951204 / 7951205 / 7951206/ 7951207</t>
    <phoneticPr fontId="4" type="noConversion"/>
  </si>
  <si>
    <t>CCBD 50/70/90/100/120/150</t>
    <phoneticPr fontId="4" type="noConversion"/>
  </si>
  <si>
    <t>@</t>
    <phoneticPr fontId="4" type="noConversion"/>
  </si>
  <si>
    <t>Use_CostumeShop</t>
    <phoneticPr fontId="4" type="noConversion"/>
  </si>
  <si>
    <t>코스튬 순환구조</t>
    <phoneticPr fontId="4" type="noConversion"/>
  </si>
  <si>
    <t xml:space="preserve"> 1 = on </t>
    <phoneticPr fontId="4" type="noConversion"/>
  </si>
  <si>
    <t>Use_GuildSystem</t>
    <phoneticPr fontId="4" type="noConversion"/>
  </si>
  <si>
    <t>유파</t>
    <phoneticPr fontId="4" type="noConversion"/>
  </si>
  <si>
    <t>1= Old 2= New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</si>
</sst>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;[Red]\(0\)"/>
  </numFmts>
  <fonts count="21">
    <font>
      <sz val="11"/>
      <color theme="1"/>
      <name val="Calibri"/>
      <family val="2"/>
      <charset val="129"/>
      <scheme val="minor"/>
    </font>
    <font>
      <sz val="8"/>
      <color theme="1"/>
      <name val="맑은 고딕"/>
      <family val="2"/>
      <charset val="129"/>
    </font>
    <font>
      <sz val="8"/>
      <color theme="1"/>
      <name val="맑은 고딕"/>
      <family val="2"/>
      <charset val="129"/>
    </font>
    <font>
      <sz val="8"/>
      <color theme="1"/>
      <name val="맑은 고딕"/>
      <family val="2"/>
      <charset val="129"/>
    </font>
    <font>
      <sz val="8"/>
      <name val="Calibri"/>
      <family val="2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  <font>
      <b/>
      <sz val="8"/>
      <name val="맑은 고딕"/>
      <family val="3"/>
      <charset val="129"/>
    </font>
    <font>
      <sz val="8"/>
      <name val="맑은 고딕"/>
      <family val="3"/>
      <charset val="129"/>
    </font>
    <font>
      <sz val="8"/>
      <color rgb="FFFF0000"/>
      <name val="맑은 고딕"/>
      <family val="3"/>
      <charset val="129"/>
    </font>
    <font>
      <b/>
      <sz val="8"/>
      <color rgb="FF0070C0"/>
      <name val="맑은 고딕"/>
      <family val="3"/>
      <charset val="129"/>
    </font>
    <font>
      <b/>
      <sz val="8"/>
      <color indexed="12"/>
      <name val="맑은 고딕"/>
      <family val="3"/>
      <charset val="129"/>
    </font>
    <font>
      <b/>
      <sz val="8"/>
      <color indexed="16"/>
      <name val="맑은 고딕"/>
      <family val="3"/>
      <charset val="129"/>
    </font>
    <font>
      <b/>
      <sz val="8"/>
      <color rgb="FFFF0000"/>
      <name val="맑은 고딕"/>
      <family val="3"/>
      <charset val="129"/>
    </font>
    <font>
      <sz val="8"/>
      <color theme="0" tint="-0.499984740745262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8"/>
      <color theme="1"/>
      <name val="맑은 고딕"/>
      <family val="3"/>
      <charset val="129"/>
    </font>
    <font>
      <b/>
      <sz val="8"/>
      <color theme="1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indexed="22"/>
      </left>
      <right/>
      <top style="thin">
        <color indexed="64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3">
    <xf numFmtId="0" fontId="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</cellStyleXfs>
  <cellXfs count="133">
    <xf numFmtId="0" fontId="0" fillId="0" borderId="0" xfId="0">
      <alignment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0" fillId="0" borderId="0" xfId="1" applyFont="1" applyFill="1" applyBorder="1" applyAlignment="1">
      <alignment horizontal="left" vertical="center"/>
    </xf>
    <xf numFmtId="0" fontId="7" fillId="0" borderId="0" xfId="2" applyFont="1" applyFill="1" applyBorder="1" applyAlignment="1">
      <alignment horizontal="left" vertical="center"/>
    </xf>
    <xf numFmtId="0" fontId="8" fillId="0" borderId="0" xfId="2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horizontal="left" vertical="center"/>
    </xf>
    <xf numFmtId="0" fontId="8" fillId="0" borderId="0" xfId="1" applyFont="1" applyAlignment="1">
      <alignment horizontal="left" vertical="center"/>
    </xf>
    <xf numFmtId="0" fontId="7" fillId="0" borderId="0" xfId="1" applyFont="1" applyAlignment="1">
      <alignment horizontal="left" vertical="center"/>
    </xf>
    <xf numFmtId="0" fontId="7" fillId="6" borderId="2" xfId="1" applyFont="1" applyFill="1" applyBorder="1" applyAlignment="1">
      <alignment horizontal="left" vertical="center"/>
    </xf>
    <xf numFmtId="0" fontId="7" fillId="6" borderId="1" xfId="1" applyFont="1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2" fillId="4" borderId="2" xfId="0" applyFont="1" applyFill="1" applyBorder="1" applyAlignment="1">
      <alignment horizontal="left" vertical="center"/>
    </xf>
    <xf numFmtId="0" fontId="12" fillId="4" borderId="3" xfId="0" applyFont="1" applyFill="1" applyBorder="1" applyAlignment="1">
      <alignment horizontal="left" vertical="center"/>
    </xf>
    <xf numFmtId="0" fontId="7" fillId="7" borderId="2" xfId="1" applyFont="1" applyFill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horizontal="left" vertical="center"/>
    </xf>
    <xf numFmtId="0" fontId="8" fillId="5" borderId="1" xfId="0" applyFont="1" applyFill="1" applyBorder="1" applyAlignment="1">
      <alignment horizontal="left" vertical="center"/>
    </xf>
    <xf numFmtId="0" fontId="8" fillId="5" borderId="2" xfId="0" applyFont="1" applyFill="1" applyBorder="1" applyAlignment="1">
      <alignment horizontal="left" vertical="center"/>
    </xf>
    <xf numFmtId="0" fontId="8" fillId="5" borderId="3" xfId="0" applyFont="1" applyFill="1" applyBorder="1" applyAlignment="1">
      <alignment horizontal="left" vertical="center"/>
    </xf>
    <xf numFmtId="0" fontId="8" fillId="0" borderId="4" xfId="0" applyFont="1" applyFill="1" applyBorder="1" applyAlignment="1">
      <alignment horizontal="left" vertical="center"/>
    </xf>
    <xf numFmtId="0" fontId="8" fillId="0" borderId="5" xfId="0" applyFont="1" applyFill="1" applyBorder="1" applyAlignment="1">
      <alignment horizontal="left" vertical="center"/>
    </xf>
    <xf numFmtId="0" fontId="8" fillId="0" borderId="6" xfId="0" applyFont="1" applyFill="1" applyBorder="1" applyAlignment="1">
      <alignment horizontal="left" vertical="center"/>
    </xf>
    <xf numFmtId="0" fontId="8" fillId="0" borderId="7" xfId="0" applyFont="1" applyFill="1" applyBorder="1" applyAlignment="1">
      <alignment horizontal="left" vertical="center"/>
    </xf>
    <xf numFmtId="0" fontId="8" fillId="0" borderId="8" xfId="0" applyFont="1" applyFill="1" applyBorder="1" applyAlignment="1">
      <alignment horizontal="left" vertical="center"/>
    </xf>
    <xf numFmtId="0" fontId="8" fillId="0" borderId="9" xfId="0" applyFont="1" applyFill="1" applyBorder="1" applyAlignment="1">
      <alignment horizontal="left" vertical="center"/>
    </xf>
    <xf numFmtId="0" fontId="8" fillId="0" borderId="1" xfId="1" applyFont="1" applyBorder="1" applyAlignment="1">
      <alignment horizontal="left" vertical="center" wrapText="1"/>
    </xf>
    <xf numFmtId="0" fontId="9" fillId="0" borderId="0" xfId="0" applyFont="1" applyFill="1" applyBorder="1" applyAlignment="1">
      <alignment horizontal="left" vertical="center"/>
    </xf>
    <xf numFmtId="0" fontId="13" fillId="7" borderId="2" xfId="1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3" fillId="0" borderId="1" xfId="1" applyFont="1" applyBorder="1" applyAlignment="1">
      <alignment horizontal="left" vertical="center"/>
    </xf>
    <xf numFmtId="0" fontId="9" fillId="0" borderId="7" xfId="0" applyFont="1" applyFill="1" applyBorder="1" applyAlignment="1">
      <alignment horizontal="left" vertical="center"/>
    </xf>
    <xf numFmtId="0" fontId="9" fillId="0" borderId="8" xfId="0" applyFont="1" applyFill="1" applyBorder="1" applyAlignment="1">
      <alignment horizontal="left" vertical="center"/>
    </xf>
    <xf numFmtId="0" fontId="9" fillId="0" borderId="9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 wrapText="1"/>
    </xf>
    <xf numFmtId="0" fontId="12" fillId="4" borderId="0" xfId="0" applyFont="1" applyFill="1" applyBorder="1" applyAlignment="1">
      <alignment horizontal="left" vertical="center"/>
    </xf>
    <xf numFmtId="0" fontId="3" fillId="0" borderId="0" xfId="0" applyFont="1">
      <alignment vertical="center"/>
    </xf>
    <xf numFmtId="0" fontId="8" fillId="5" borderId="10" xfId="0" applyFont="1" applyFill="1" applyBorder="1" applyAlignment="1">
      <alignment horizontal="left" vertical="center"/>
    </xf>
    <xf numFmtId="0" fontId="8" fillId="5" borderId="11" xfId="0" applyFont="1" applyFill="1" applyBorder="1" applyAlignment="1">
      <alignment horizontal="left" vertical="center"/>
    </xf>
    <xf numFmtId="0" fontId="8" fillId="0" borderId="12" xfId="0" applyFont="1" applyFill="1" applyBorder="1" applyAlignment="1">
      <alignment horizontal="left" vertical="center"/>
    </xf>
    <xf numFmtId="0" fontId="7" fillId="0" borderId="11" xfId="0" applyFont="1" applyFill="1" applyBorder="1" applyAlignment="1">
      <alignment horizontal="left" vertical="center"/>
    </xf>
    <xf numFmtId="0" fontId="8" fillId="0" borderId="11" xfId="0" applyFont="1" applyFill="1" applyBorder="1" applyAlignment="1">
      <alignment horizontal="left" vertical="center"/>
    </xf>
    <xf numFmtId="0" fontId="8" fillId="9" borderId="7" xfId="0" applyFont="1" applyFill="1" applyBorder="1" applyAlignment="1">
      <alignment horizontal="left" vertical="center"/>
    </xf>
    <xf numFmtId="0" fontId="8" fillId="9" borderId="8" xfId="0" applyFont="1" applyFill="1" applyBorder="1" applyAlignment="1">
      <alignment horizontal="left" vertical="center"/>
    </xf>
    <xf numFmtId="0" fontId="8" fillId="9" borderId="13" xfId="0" applyFont="1" applyFill="1" applyBorder="1" applyAlignment="1">
      <alignment horizontal="left" vertical="center"/>
    </xf>
    <xf numFmtId="0" fontId="7" fillId="9" borderId="11" xfId="0" applyFont="1" applyFill="1" applyBorder="1" applyAlignment="1">
      <alignment horizontal="left" vertical="center"/>
    </xf>
    <xf numFmtId="0" fontId="8" fillId="9" borderId="11" xfId="0" applyFont="1" applyFill="1" applyBorder="1" applyAlignment="1">
      <alignment horizontal="left" vertical="center"/>
    </xf>
    <xf numFmtId="0" fontId="8" fillId="9" borderId="0" xfId="0" applyFont="1" applyFill="1" applyBorder="1" applyAlignment="1">
      <alignment horizontal="left" vertical="center"/>
    </xf>
    <xf numFmtId="0" fontId="3" fillId="9" borderId="0" xfId="0" applyFont="1" applyFill="1">
      <alignment vertical="center"/>
    </xf>
    <xf numFmtId="0" fontId="8" fillId="0" borderId="13" xfId="0" applyFont="1" applyFill="1" applyBorder="1" applyAlignment="1">
      <alignment horizontal="left" vertical="center"/>
    </xf>
    <xf numFmtId="0" fontId="8" fillId="2" borderId="0" xfId="0" applyFont="1" applyFill="1" applyAlignment="1">
      <alignment horizontal="right" vertical="center"/>
    </xf>
    <xf numFmtId="0" fontId="8" fillId="0" borderId="0" xfId="0" applyFont="1" applyAlignment="1">
      <alignment horizontal="right" vertical="center"/>
    </xf>
    <xf numFmtId="0" fontId="9" fillId="0" borderId="0" xfId="0" applyFont="1" applyFill="1" applyAlignment="1">
      <alignment horizontal="left" vertical="center"/>
    </xf>
    <xf numFmtId="0" fontId="8" fillId="0" borderId="0" xfId="0" applyFont="1" applyFill="1" applyAlignment="1">
      <alignment horizontal="left" vertical="center"/>
    </xf>
    <xf numFmtId="0" fontId="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0" fontId="2" fillId="0" borderId="0" xfId="0" applyFont="1">
      <alignment vertical="center"/>
    </xf>
    <xf numFmtId="164" fontId="7" fillId="0" borderId="0" xfId="0" applyNumberFormat="1" applyFont="1" applyFill="1" applyAlignment="1">
      <alignment horizontal="center" vertical="center"/>
    </xf>
    <xf numFmtId="0" fontId="7" fillId="8" borderId="14" xfId="0" applyFont="1" applyFill="1" applyBorder="1" applyAlignment="1">
      <alignment horizontal="center" vertical="center"/>
    </xf>
    <xf numFmtId="0" fontId="7" fillId="0" borderId="14" xfId="0" applyFont="1" applyFill="1" applyBorder="1" applyAlignment="1">
      <alignment horizontal="center" vertical="center"/>
    </xf>
    <xf numFmtId="0" fontId="7" fillId="9" borderId="14" xfId="0" applyFont="1" applyFill="1" applyBorder="1" applyAlignment="1">
      <alignment horizontal="center" vertical="center"/>
    </xf>
    <xf numFmtId="164" fontId="7" fillId="8" borderId="14" xfId="0" applyNumberFormat="1" applyFont="1" applyFill="1" applyBorder="1" applyAlignment="1">
      <alignment horizontal="center" vertical="center"/>
    </xf>
    <xf numFmtId="0" fontId="7" fillId="11" borderId="14" xfId="0" applyFont="1" applyFill="1" applyBorder="1" applyAlignment="1">
      <alignment horizontal="right" vertical="center"/>
    </xf>
    <xf numFmtId="0" fontId="8" fillId="0" borderId="14" xfId="0" applyFont="1" applyBorder="1" applyAlignment="1">
      <alignment horizontal="left" vertical="center"/>
    </xf>
    <xf numFmtId="0" fontId="7" fillId="0" borderId="14" xfId="0" applyFont="1" applyBorder="1" applyAlignment="1">
      <alignment horizontal="left" vertical="center"/>
    </xf>
    <xf numFmtId="0" fontId="14" fillId="8" borderId="14" xfId="0" applyFont="1" applyFill="1" applyBorder="1" applyAlignment="1">
      <alignment horizontal="left" vertical="center"/>
    </xf>
    <xf numFmtId="0" fontId="8" fillId="8" borderId="14" xfId="0" applyFont="1" applyFill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7" fillId="10" borderId="14" xfId="0" applyFont="1" applyFill="1" applyBorder="1" applyAlignment="1">
      <alignment horizontal="center" vertical="center"/>
    </xf>
    <xf numFmtId="164" fontId="7" fillId="10" borderId="14" xfId="0" quotePrefix="1" applyNumberFormat="1" applyFont="1" applyFill="1" applyBorder="1" applyAlignment="1">
      <alignment horizontal="center" vertical="center"/>
    </xf>
    <xf numFmtId="0" fontId="9" fillId="0" borderId="14" xfId="0" applyFont="1" applyBorder="1" applyAlignment="1">
      <alignment vertical="center"/>
    </xf>
    <xf numFmtId="0" fontId="8" fillId="0" borderId="14" xfId="0" applyFont="1" applyBorder="1" applyAlignment="1">
      <alignment vertical="center"/>
    </xf>
    <xf numFmtId="0" fontId="9" fillId="0" borderId="1" xfId="1" quotePrefix="1" applyFont="1" applyBorder="1" applyAlignment="1">
      <alignment horizontal="left" vertical="center"/>
    </xf>
    <xf numFmtId="0" fontId="19" fillId="0" borderId="7" xfId="0" applyFont="1" applyFill="1" applyBorder="1" applyAlignment="1">
      <alignment horizontal="left" vertical="center"/>
    </xf>
    <xf numFmtId="0" fontId="19" fillId="0" borderId="8" xfId="0" applyFont="1" applyFill="1" applyBorder="1" applyAlignment="1">
      <alignment horizontal="left" vertical="center"/>
    </xf>
    <xf numFmtId="0" fontId="19" fillId="0" borderId="13" xfId="0" applyFont="1" applyFill="1" applyBorder="1" applyAlignment="1">
      <alignment horizontal="left" vertical="center"/>
    </xf>
    <xf numFmtId="0" fontId="20" fillId="0" borderId="11" xfId="0" applyFont="1" applyFill="1" applyBorder="1" applyAlignment="1">
      <alignment horizontal="left" vertical="center"/>
    </xf>
    <xf numFmtId="0" fontId="19" fillId="0" borderId="11" xfId="0" applyFont="1" applyFill="1" applyBorder="1" applyAlignment="1">
      <alignment horizontal="left" vertical="center"/>
    </xf>
    <xf numFmtId="0" fontId="19" fillId="0" borderId="0" xfId="0" applyFont="1" applyFill="1" applyBorder="1" applyAlignment="1">
      <alignment horizontal="left" vertical="center"/>
    </xf>
    <xf numFmtId="0" fontId="9" fillId="9" borderId="7" xfId="0" applyFont="1" applyFill="1" applyBorder="1" applyAlignment="1">
      <alignment horizontal="left" vertical="center"/>
    </xf>
    <xf numFmtId="0" fontId="9" fillId="9" borderId="8" xfId="0" applyFont="1" applyFill="1" applyBorder="1" applyAlignment="1">
      <alignment horizontal="left" vertical="center"/>
    </xf>
    <xf numFmtId="0" fontId="9" fillId="9" borderId="13" xfId="0" applyFont="1" applyFill="1" applyBorder="1" applyAlignment="1">
      <alignment horizontal="left" vertical="center"/>
    </xf>
    <xf numFmtId="0" fontId="13" fillId="9" borderId="11" xfId="0" applyFont="1" applyFill="1" applyBorder="1" applyAlignment="1">
      <alignment horizontal="left" vertical="center"/>
    </xf>
    <xf numFmtId="0" fontId="9" fillId="9" borderId="11" xfId="0" applyFont="1" applyFill="1" applyBorder="1" applyAlignment="1">
      <alignment horizontal="left" vertical="center"/>
    </xf>
    <xf numFmtId="0" fontId="9" fillId="9" borderId="0" xfId="0" applyFont="1" applyFill="1" applyBorder="1" applyAlignment="1">
      <alignment horizontal="left" vertical="center"/>
    </xf>
    <xf numFmtId="0" fontId="13" fillId="0" borderId="14" xfId="0" applyFont="1" applyBorder="1" applyAlignment="1">
      <alignment horizontal="left" vertical="center"/>
    </xf>
    <xf numFmtId="0" fontId="9" fillId="8" borderId="14" xfId="0" applyFont="1" applyFill="1" applyBorder="1" applyAlignment="1">
      <alignment horizontal="left" vertical="center"/>
    </xf>
    <xf numFmtId="0" fontId="13" fillId="9" borderId="14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164" fontId="13" fillId="8" borderId="14" xfId="0" applyNumberFormat="1" applyFont="1" applyFill="1" applyBorder="1" applyAlignment="1">
      <alignment horizontal="center" vertical="center"/>
    </xf>
    <xf numFmtId="0" fontId="1" fillId="0" borderId="0" xfId="0" applyFont="1">
      <alignment vertical="center"/>
    </xf>
    <xf numFmtId="0" fontId="13" fillId="0" borderId="0" xfId="0" applyFont="1" applyFill="1" applyAlignment="1">
      <alignment horizontal="center" vertical="center"/>
    </xf>
    <xf numFmtId="0" fontId="19" fillId="0" borderId="14" xfId="0" applyFont="1" applyBorder="1" applyAlignment="1">
      <alignment horizontal="left" vertical="center"/>
    </xf>
    <xf numFmtId="0" fontId="20" fillId="0" borderId="14" xfId="0" applyFont="1" applyBorder="1" applyAlignment="1">
      <alignment horizontal="left" vertical="center"/>
    </xf>
    <xf numFmtId="0" fontId="19" fillId="8" borderId="14" xfId="0" applyFont="1" applyFill="1" applyBorder="1" applyAlignment="1">
      <alignment horizontal="left" vertical="center"/>
    </xf>
    <xf numFmtId="0" fontId="19" fillId="0" borderId="0" xfId="0" applyFont="1" applyFill="1" applyAlignment="1">
      <alignment horizontal="left" vertical="center"/>
    </xf>
    <xf numFmtId="0" fontId="20" fillId="0" borderId="14" xfId="0" applyFont="1" applyFill="1" applyBorder="1" applyAlignment="1">
      <alignment horizontal="center" vertical="center"/>
    </xf>
    <xf numFmtId="0" fontId="20" fillId="9" borderId="14" xfId="0" applyFont="1" applyFill="1" applyBorder="1" applyAlignment="1">
      <alignment horizontal="center" vertical="center"/>
    </xf>
    <xf numFmtId="0" fontId="20" fillId="8" borderId="14" xfId="0" applyFont="1" applyFill="1" applyBorder="1" applyAlignment="1">
      <alignment horizontal="center" vertical="center"/>
    </xf>
    <xf numFmtId="164" fontId="20" fillId="8" borderId="14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19" fillId="0" borderId="0" xfId="0" quotePrefix="1" applyFont="1" applyAlignment="1">
      <alignment horizontal="left" vertical="center" wrapText="1"/>
    </xf>
    <xf numFmtId="0" fontId="13" fillId="0" borderId="14" xfId="0" applyFont="1" applyFill="1" applyBorder="1" applyAlignment="1">
      <alignment horizontal="center" vertical="center"/>
    </xf>
    <xf numFmtId="0" fontId="9" fillId="0" borderId="0" xfId="0" quotePrefix="1" applyFont="1" applyAlignment="1">
      <alignment horizontal="left" vertical="center" wrapText="1"/>
    </xf>
    <xf numFmtId="0" fontId="9" fillId="0" borderId="0" xfId="0" applyFont="1" applyAlignment="1">
      <alignment horizontal="left" vertical="center"/>
    </xf>
    <xf numFmtId="0" fontId="9" fillId="0" borderId="0" xfId="0" applyFont="1" applyFill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13" fillId="0" borderId="14" xfId="0" applyFont="1" applyBorder="1" applyAlignment="1">
      <alignment horizontal="left" vertical="center"/>
    </xf>
    <xf numFmtId="0" fontId="9" fillId="8" borderId="14" xfId="0" applyFont="1" applyFill="1" applyBorder="1" applyAlignment="1">
      <alignment horizontal="left" vertical="center"/>
    </xf>
    <xf numFmtId="0" fontId="13" fillId="0" borderId="14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164" fontId="13" fillId="8" borderId="14" xfId="0" applyNumberFormat="1" applyFont="1" applyFill="1" applyBorder="1" applyAlignment="1">
      <alignment horizontal="center" vertical="center"/>
    </xf>
    <xf numFmtId="0" fontId="13" fillId="9" borderId="14" xfId="0" applyFont="1" applyFill="1" applyBorder="1" applyAlignment="1">
      <alignment horizontal="center" vertical="center"/>
    </xf>
    <xf numFmtId="0" fontId="9" fillId="0" borderId="1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3" fillId="0" borderId="1" xfId="1" applyFont="1" applyBorder="1" applyAlignment="1">
      <alignment horizontal="left" vertical="center"/>
    </xf>
    <xf numFmtId="0" fontId="9" fillId="9" borderId="0" xfId="0" applyFont="1" applyFill="1" applyBorder="1" applyAlignment="1">
      <alignment horizontal="left" vertical="center"/>
    </xf>
    <xf numFmtId="0" fontId="13" fillId="8" borderId="14" xfId="0" applyFont="1" applyFill="1" applyBorder="1" applyAlignment="1">
      <alignment horizontal="center" vertical="center"/>
    </xf>
    <xf numFmtId="164" fontId="13" fillId="8" borderId="14" xfId="0" applyNumberFormat="1" applyFont="1" applyFill="1" applyBorder="1" applyAlignment="1">
      <alignment horizontal="center" vertical="center"/>
    </xf>
    <xf numFmtId="0" fontId="13" fillId="9" borderId="14" xfId="0" applyFont="1" applyFill="1" applyBorder="1" applyAlignment="1">
      <alignment horizontal="center" vertical="center"/>
    </xf>
    <xf numFmtId="0" fontId="9" fillId="0" borderId="0" xfId="0" quotePrefix="1" applyFont="1" applyAlignment="1">
      <alignment horizontal="left" vertical="center"/>
    </xf>
    <xf numFmtId="0" fontId="9" fillId="0" borderId="1" xfId="0" applyFont="1" applyFill="1" applyBorder="1" applyAlignment="1">
      <alignment horizontal="left" vertical="center"/>
    </xf>
    <xf numFmtId="0" fontId="9" fillId="0" borderId="1" xfId="0" quotePrefix="1" applyFont="1" applyBorder="1" applyAlignment="1">
      <alignment horizontal="left" vertical="center" wrapText="1"/>
    </xf>
    <xf numFmtId="0" fontId="13" fillId="7" borderId="1" xfId="0" applyFont="1" applyFill="1" applyBorder="1" applyAlignment="1">
      <alignment horizontal="left" vertical="center"/>
    </xf>
    <xf numFmtId="0" fontId="13" fillId="8" borderId="2" xfId="1" applyFont="1" applyFill="1" applyBorder="1" applyAlignment="1">
      <alignment horizontal="left" vertical="center"/>
    </xf>
    <xf numFmtId="0" fontId="9" fillId="8" borderId="1" xfId="1" applyFont="1" applyFill="1" applyBorder="1" applyAlignment="1">
      <alignment horizontal="left" vertical="center"/>
    </xf>
    <xf numFmtId="0" fontId="13" fillId="8" borderId="1" xfId="1" applyFont="1" applyFill="1" applyBorder="1" applyAlignment="1">
      <alignment horizontal="left" vertical="center"/>
    </xf>
    <xf numFmtId="0" fontId="9" fillId="8" borderId="0" xfId="0" applyFont="1" applyFill="1" applyAlignment="1">
      <alignment horizontal="left" vertical="center"/>
    </xf>
    <xf numFmtId="0" fontId="8" fillId="0" borderId="14" xfId="0" applyFont="1" applyFill="1" applyBorder="1" applyAlignment="1">
      <alignment horizontal="left" vertical="center"/>
    </xf>
    <xf numFmtId="0" fontId="7" fillId="0" borderId="14" xfId="0" applyFont="1" applyFill="1" applyBorder="1" applyAlignment="1">
      <alignment horizontal="left" vertical="center"/>
    </xf>
  </cellXfs>
  <cellStyles count="3">
    <cellStyle name="Normal" xfId="0" builtinId="0"/>
    <cellStyle name="표준_DBTable" xfId="1"/>
    <cellStyle name="표준_DEFINITION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57150</xdr:rowOff>
    </xdr:from>
    <xdr:to>
      <xdr:col>24</xdr:col>
      <xdr:colOff>981075</xdr:colOff>
      <xdr:row>43</xdr:row>
      <xdr:rowOff>104775</xdr:rowOff>
    </xdr:to>
    <xdr:sp macro="" textlink="">
      <xdr:nvSpPr>
        <xdr:cNvPr id="2" name="직사각형 1"/>
        <xdr:cNvSpPr/>
      </xdr:nvSpPr>
      <xdr:spPr>
        <a:xfrm>
          <a:off x="38100" y="57150"/>
          <a:ext cx="10725150" cy="6191250"/>
        </a:xfrm>
        <a:prstGeom prst="rect">
          <a:avLst/>
        </a:prstGeom>
        <a:solidFill>
          <a:schemeClr val="tx1">
            <a:alpha val="7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3000"/>
            <a:t>Local</a:t>
          </a:r>
          <a:r>
            <a:rPr lang="ko-KR" altLang="en-US" sz="3000"/>
            <a:t>에서 직접 적용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85725</xdr:rowOff>
    </xdr:from>
    <xdr:to>
      <xdr:col>24</xdr:col>
      <xdr:colOff>1381125</xdr:colOff>
      <xdr:row>43</xdr:row>
      <xdr:rowOff>133350</xdr:rowOff>
    </xdr:to>
    <xdr:sp macro="" textlink="">
      <xdr:nvSpPr>
        <xdr:cNvPr id="2" name="직사각형 1"/>
        <xdr:cNvSpPr/>
      </xdr:nvSpPr>
      <xdr:spPr>
        <a:xfrm>
          <a:off x="438150" y="85725"/>
          <a:ext cx="9467850" cy="6191250"/>
        </a:xfrm>
        <a:prstGeom prst="rect">
          <a:avLst/>
        </a:prstGeom>
        <a:solidFill>
          <a:schemeClr val="tx1">
            <a:alpha val="7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3000"/>
            <a:t>Local</a:t>
          </a:r>
          <a:r>
            <a:rPr lang="ko-KR" altLang="en-US" sz="3000"/>
            <a:t>에서 직접 적용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24</xdr:col>
      <xdr:colOff>942975</xdr:colOff>
      <xdr:row>43</xdr:row>
      <xdr:rowOff>47625</xdr:rowOff>
    </xdr:to>
    <xdr:sp macro="" textlink="">
      <xdr:nvSpPr>
        <xdr:cNvPr id="2" name="직사각형 1"/>
        <xdr:cNvSpPr/>
      </xdr:nvSpPr>
      <xdr:spPr>
        <a:xfrm>
          <a:off x="0" y="0"/>
          <a:ext cx="10725150" cy="6191250"/>
        </a:xfrm>
        <a:prstGeom prst="rect">
          <a:avLst/>
        </a:prstGeom>
        <a:solidFill>
          <a:schemeClr val="tx1">
            <a:alpha val="7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3000"/>
            <a:t>Local</a:t>
          </a:r>
          <a:r>
            <a:rPr lang="ko-KR" altLang="en-US" sz="3000"/>
            <a:t>에서 직접 적용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24</xdr:col>
      <xdr:colOff>942975</xdr:colOff>
      <xdr:row>43</xdr:row>
      <xdr:rowOff>47625</xdr:rowOff>
    </xdr:to>
    <xdr:sp macro="" textlink="">
      <xdr:nvSpPr>
        <xdr:cNvPr id="2" name="직사각형 1"/>
        <xdr:cNvSpPr/>
      </xdr:nvSpPr>
      <xdr:spPr>
        <a:xfrm>
          <a:off x="0" y="0"/>
          <a:ext cx="10725150" cy="6191250"/>
        </a:xfrm>
        <a:prstGeom prst="rect">
          <a:avLst/>
        </a:prstGeom>
        <a:solidFill>
          <a:schemeClr val="tx1">
            <a:alpha val="7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3000"/>
            <a:t>Local</a:t>
          </a:r>
          <a:r>
            <a:rPr lang="ko-KR" altLang="en-US" sz="3000"/>
            <a:t>에서 직접 적용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</sheetPr>
  <dimension ref="A1:BA62"/>
  <sheetViews>
    <sheetView workbookViewId="0">
      <selection activeCell="C3" sqref="C3"/>
    </sheetView>
  </sheetViews>
  <sheetFormatPr baseColWidth="10" defaultColWidth="9" defaultRowHeight="11.25"/>
  <cols>
    <col min="1" max="1" width="3.140625" style="1" customWidth="1"/>
    <col min="2" max="2" width="17.85546875" style="1" bestFit="1" customWidth="1"/>
    <col min="3" max="3" width="9.5703125" style="1" bestFit="1" customWidth="1"/>
    <col min="4" max="9" width="6.42578125" style="1" customWidth="1"/>
    <col min="10" max="11" width="9.5703125" style="1" bestFit="1" customWidth="1"/>
    <col min="12" max="12" width="3.85546875" style="1" customWidth="1"/>
    <col min="13" max="13" width="1.5703125" style="54" customWidth="1"/>
    <col min="14" max="14" width="25.28515625" style="55" bestFit="1" customWidth="1"/>
    <col min="15" max="15" width="3.5703125" style="55" bestFit="1" customWidth="1"/>
    <col min="16" max="18" width="3.28515625" style="55" bestFit="1" customWidth="1"/>
    <col min="19" max="19" width="3.5703125" style="55" bestFit="1" customWidth="1"/>
    <col min="20" max="21" width="3.28515625" style="55" bestFit="1" customWidth="1"/>
    <col min="22" max="22" width="2.7109375" style="58" bestFit="1" customWidth="1"/>
    <col min="23" max="23" width="2.28515625" style="55" bestFit="1" customWidth="1"/>
    <col min="24" max="24" width="3" style="55" bestFit="1" customWidth="1"/>
    <col min="25" max="25" width="55.42578125" style="1" bestFit="1" customWidth="1"/>
    <col min="26" max="26" width="9.42578125" style="1" bestFit="1" customWidth="1"/>
    <col min="27" max="27" width="1.5703125" style="1" customWidth="1"/>
    <col min="28" max="33" width="15.85546875" style="1" bestFit="1" customWidth="1"/>
    <col min="34" max="34" width="4.42578125" style="1" bestFit="1" customWidth="1"/>
    <col min="35" max="40" width="11.28515625" style="1" bestFit="1" customWidth="1"/>
    <col min="41" max="41" width="7.140625" style="1" bestFit="1" customWidth="1"/>
    <col min="42" max="42" width="11.28515625" style="1" customWidth="1"/>
    <col min="43" max="43" width="9" style="1" bestFit="1" customWidth="1"/>
    <col min="44" max="44" width="9.42578125" style="1" bestFit="1" customWidth="1"/>
    <col min="45" max="45" width="7.42578125" style="1" bestFit="1" customWidth="1"/>
    <col min="46" max="46" width="10.28515625" style="1" bestFit="1" customWidth="1"/>
    <col min="47" max="47" width="12.42578125" style="1" bestFit="1" customWidth="1"/>
    <col min="48" max="48" width="16.28515625" style="1" bestFit="1" customWidth="1"/>
    <col min="49" max="49" width="17.42578125" style="1" bestFit="1" customWidth="1"/>
    <col min="50" max="52" width="12.42578125" style="1" customWidth="1"/>
    <col min="53" max="53" width="15" style="1" bestFit="1" customWidth="1"/>
    <col min="54" max="57" width="12.42578125" style="1" customWidth="1"/>
    <col min="58" max="58" width="15.140625" style="1" bestFit="1" customWidth="1"/>
    <col min="59" max="59" width="9.42578125" style="1" bestFit="1" customWidth="1"/>
    <col min="60" max="61" width="11.85546875" style="1" bestFit="1" customWidth="1"/>
    <col min="62" max="16384" width="9" style="1"/>
  </cols>
  <sheetData>
    <row r="1" spans="1:53" s="52" customFormat="1">
      <c r="A1" s="63" t="s">
        <v>195</v>
      </c>
      <c r="B1" s="63" t="s">
        <v>196</v>
      </c>
      <c r="C1" s="63" t="s">
        <v>197</v>
      </c>
      <c r="D1" s="63" t="s">
        <v>198</v>
      </c>
      <c r="E1" s="63" t="s">
        <v>199</v>
      </c>
      <c r="F1" s="63" t="s">
        <v>200</v>
      </c>
      <c r="G1" s="63" t="s">
        <v>201</v>
      </c>
      <c r="H1" s="63" t="s">
        <v>202</v>
      </c>
      <c r="I1" s="63" t="s">
        <v>203</v>
      </c>
      <c r="J1" s="63" t="s">
        <v>204</v>
      </c>
      <c r="K1" s="63" t="s">
        <v>205</v>
      </c>
      <c r="L1" s="63" t="s">
        <v>206</v>
      </c>
      <c r="M1" s="56"/>
      <c r="N1" s="69" t="s">
        <v>271</v>
      </c>
      <c r="O1" s="70">
        <v>1</v>
      </c>
      <c r="P1" s="70">
        <v>2</v>
      </c>
      <c r="Q1" s="70">
        <v>3</v>
      </c>
      <c r="R1" s="70">
        <v>4</v>
      </c>
      <c r="S1" s="70">
        <v>5</v>
      </c>
      <c r="T1" s="70">
        <v>6</v>
      </c>
      <c r="U1" s="70">
        <v>7</v>
      </c>
      <c r="V1" s="70">
        <v>8</v>
      </c>
      <c r="W1" s="69">
        <v>9</v>
      </c>
      <c r="X1" s="69">
        <v>10</v>
      </c>
      <c r="Y1" s="56" t="s">
        <v>169</v>
      </c>
      <c r="Z1" s="51" t="s">
        <v>77</v>
      </c>
      <c r="AH1" s="52" t="s">
        <v>207</v>
      </c>
      <c r="AO1" s="52" t="s">
        <v>208</v>
      </c>
      <c r="BA1" s="52" t="s">
        <v>209</v>
      </c>
    </row>
    <row r="2" spans="1:53">
      <c r="A2" s="64">
        <v>1</v>
      </c>
      <c r="B2" s="64" t="s">
        <v>3</v>
      </c>
      <c r="C2" s="65">
        <f>IF($O2="on",1,"@")</f>
        <v>1</v>
      </c>
      <c r="D2" s="66" t="s">
        <v>87</v>
      </c>
      <c r="E2" s="66" t="s">
        <v>87</v>
      </c>
      <c r="F2" s="66" t="s">
        <v>87</v>
      </c>
      <c r="G2" s="66" t="s">
        <v>87</v>
      </c>
      <c r="H2" s="66" t="s">
        <v>87</v>
      </c>
      <c r="I2" s="66" t="s">
        <v>87</v>
      </c>
      <c r="J2" s="66" t="s">
        <v>87</v>
      </c>
      <c r="K2" s="66" t="s">
        <v>87</v>
      </c>
      <c r="L2" s="66" t="s">
        <v>87</v>
      </c>
      <c r="N2" s="60" t="s">
        <v>272</v>
      </c>
      <c r="O2" s="61" t="s">
        <v>277</v>
      </c>
      <c r="P2" s="59" t="s">
        <v>288</v>
      </c>
      <c r="Q2" s="59" t="s">
        <v>288</v>
      </c>
      <c r="R2" s="59" t="s">
        <v>288</v>
      </c>
      <c r="S2" s="59" t="s">
        <v>288</v>
      </c>
      <c r="T2" s="59" t="s">
        <v>288</v>
      </c>
      <c r="U2" s="59" t="s">
        <v>288</v>
      </c>
      <c r="V2" s="62" t="s">
        <v>288</v>
      </c>
      <c r="W2" s="59" t="s">
        <v>288</v>
      </c>
      <c r="X2" s="59" t="s">
        <v>288</v>
      </c>
      <c r="Y2" s="1" t="s">
        <v>0</v>
      </c>
      <c r="Z2" s="1" t="s">
        <v>210</v>
      </c>
    </row>
    <row r="3" spans="1:53">
      <c r="A3" s="64">
        <v>2</v>
      </c>
      <c r="B3" s="64" t="s">
        <v>78</v>
      </c>
      <c r="C3" s="65">
        <f t="shared" ref="C3:C7" si="0">IF($O3="on",1,"@")</f>
        <v>1</v>
      </c>
      <c r="D3" s="66" t="s">
        <v>87</v>
      </c>
      <c r="E3" s="66" t="s">
        <v>87</v>
      </c>
      <c r="F3" s="66" t="s">
        <v>87</v>
      </c>
      <c r="G3" s="66" t="s">
        <v>87</v>
      </c>
      <c r="H3" s="66" t="s">
        <v>87</v>
      </c>
      <c r="I3" s="66" t="s">
        <v>87</v>
      </c>
      <c r="J3" s="66" t="s">
        <v>87</v>
      </c>
      <c r="K3" s="66" t="s">
        <v>87</v>
      </c>
      <c r="L3" s="66" t="s">
        <v>87</v>
      </c>
      <c r="N3" s="60" t="s">
        <v>273</v>
      </c>
      <c r="O3" s="61" t="s">
        <v>277</v>
      </c>
      <c r="P3" s="59" t="s">
        <v>288</v>
      </c>
      <c r="Q3" s="59" t="s">
        <v>288</v>
      </c>
      <c r="R3" s="59" t="s">
        <v>288</v>
      </c>
      <c r="S3" s="59" t="s">
        <v>288</v>
      </c>
      <c r="T3" s="59" t="s">
        <v>288</v>
      </c>
      <c r="U3" s="59" t="s">
        <v>288</v>
      </c>
      <c r="V3" s="62" t="s">
        <v>288</v>
      </c>
      <c r="W3" s="59" t="s">
        <v>288</v>
      </c>
      <c r="X3" s="59" t="s">
        <v>288</v>
      </c>
      <c r="Y3" s="1" t="s">
        <v>0</v>
      </c>
      <c r="Z3" s="1" t="s">
        <v>210</v>
      </c>
    </row>
    <row r="4" spans="1:53">
      <c r="A4" s="64">
        <v>3</v>
      </c>
      <c r="B4" s="64" t="s">
        <v>79</v>
      </c>
      <c r="C4" s="65">
        <f t="shared" si="0"/>
        <v>1</v>
      </c>
      <c r="D4" s="66" t="s">
        <v>87</v>
      </c>
      <c r="E4" s="66" t="s">
        <v>87</v>
      </c>
      <c r="F4" s="66" t="s">
        <v>87</v>
      </c>
      <c r="G4" s="66" t="s">
        <v>87</v>
      </c>
      <c r="H4" s="66" t="s">
        <v>87</v>
      </c>
      <c r="I4" s="66" t="s">
        <v>87</v>
      </c>
      <c r="J4" s="66" t="s">
        <v>87</v>
      </c>
      <c r="K4" s="66" t="s">
        <v>87</v>
      </c>
      <c r="L4" s="66" t="s">
        <v>87</v>
      </c>
      <c r="N4" s="60" t="s">
        <v>274</v>
      </c>
      <c r="O4" s="61" t="s">
        <v>277</v>
      </c>
      <c r="P4" s="59" t="s">
        <v>288</v>
      </c>
      <c r="Q4" s="59" t="s">
        <v>288</v>
      </c>
      <c r="R4" s="59" t="s">
        <v>288</v>
      </c>
      <c r="S4" s="59" t="s">
        <v>288</v>
      </c>
      <c r="T4" s="59" t="s">
        <v>288</v>
      </c>
      <c r="U4" s="59" t="s">
        <v>288</v>
      </c>
      <c r="V4" s="62" t="s">
        <v>288</v>
      </c>
      <c r="W4" s="59" t="s">
        <v>288</v>
      </c>
      <c r="X4" s="59" t="s">
        <v>288</v>
      </c>
      <c r="Y4" s="1" t="s">
        <v>0</v>
      </c>
      <c r="Z4" s="1" t="s">
        <v>210</v>
      </c>
    </row>
    <row r="5" spans="1:53">
      <c r="A5" s="64">
        <v>4</v>
      </c>
      <c r="B5" s="64" t="s">
        <v>80</v>
      </c>
      <c r="C5" s="65">
        <f t="shared" si="0"/>
        <v>1</v>
      </c>
      <c r="D5" s="66" t="s">
        <v>87</v>
      </c>
      <c r="E5" s="66" t="s">
        <v>87</v>
      </c>
      <c r="F5" s="66" t="s">
        <v>87</v>
      </c>
      <c r="G5" s="66" t="s">
        <v>87</v>
      </c>
      <c r="H5" s="66" t="s">
        <v>87</v>
      </c>
      <c r="I5" s="66" t="s">
        <v>87</v>
      </c>
      <c r="J5" s="66" t="s">
        <v>87</v>
      </c>
      <c r="K5" s="66" t="s">
        <v>87</v>
      </c>
      <c r="L5" s="66" t="s">
        <v>87</v>
      </c>
      <c r="N5" s="60" t="s">
        <v>275</v>
      </c>
      <c r="O5" s="61" t="s">
        <v>277</v>
      </c>
      <c r="P5" s="59" t="s">
        <v>288</v>
      </c>
      <c r="Q5" s="59" t="s">
        <v>288</v>
      </c>
      <c r="R5" s="59" t="s">
        <v>288</v>
      </c>
      <c r="S5" s="59" t="s">
        <v>288</v>
      </c>
      <c r="T5" s="59" t="s">
        <v>288</v>
      </c>
      <c r="U5" s="59" t="s">
        <v>288</v>
      </c>
      <c r="V5" s="62" t="s">
        <v>288</v>
      </c>
      <c r="W5" s="59" t="s">
        <v>288</v>
      </c>
      <c r="X5" s="59" t="s">
        <v>288</v>
      </c>
      <c r="Y5" s="1" t="s">
        <v>0</v>
      </c>
      <c r="Z5" s="1" t="s">
        <v>210</v>
      </c>
    </row>
    <row r="6" spans="1:53">
      <c r="A6" s="64">
        <v>5</v>
      </c>
      <c r="B6" s="64" t="s">
        <v>81</v>
      </c>
      <c r="C6" s="65">
        <f t="shared" si="0"/>
        <v>1</v>
      </c>
      <c r="D6" s="66" t="s">
        <v>87</v>
      </c>
      <c r="E6" s="66" t="s">
        <v>87</v>
      </c>
      <c r="F6" s="66" t="s">
        <v>87</v>
      </c>
      <c r="G6" s="66" t="s">
        <v>87</v>
      </c>
      <c r="H6" s="66" t="s">
        <v>87</v>
      </c>
      <c r="I6" s="66" t="s">
        <v>87</v>
      </c>
      <c r="J6" s="66" t="s">
        <v>87</v>
      </c>
      <c r="K6" s="66" t="s">
        <v>87</v>
      </c>
      <c r="L6" s="66" t="s">
        <v>87</v>
      </c>
      <c r="N6" s="60" t="s">
        <v>276</v>
      </c>
      <c r="O6" s="61" t="s">
        <v>277</v>
      </c>
      <c r="P6" s="59" t="s">
        <v>288</v>
      </c>
      <c r="Q6" s="59" t="s">
        <v>288</v>
      </c>
      <c r="R6" s="59" t="s">
        <v>288</v>
      </c>
      <c r="S6" s="59" t="s">
        <v>288</v>
      </c>
      <c r="T6" s="59" t="s">
        <v>288</v>
      </c>
      <c r="U6" s="59" t="s">
        <v>288</v>
      </c>
      <c r="V6" s="62" t="s">
        <v>288</v>
      </c>
      <c r="W6" s="59" t="s">
        <v>288</v>
      </c>
      <c r="X6" s="59" t="s">
        <v>288</v>
      </c>
      <c r="Y6" s="1" t="s">
        <v>0</v>
      </c>
      <c r="Z6" s="1" t="s">
        <v>210</v>
      </c>
    </row>
    <row r="7" spans="1:53">
      <c r="A7" s="64">
        <v>6</v>
      </c>
      <c r="B7" s="68" t="s">
        <v>334</v>
      </c>
      <c r="C7" s="65">
        <f t="shared" si="0"/>
        <v>1</v>
      </c>
      <c r="D7" s="66" t="s">
        <v>87</v>
      </c>
      <c r="E7" s="66" t="s">
        <v>87</v>
      </c>
      <c r="F7" s="66" t="s">
        <v>87</v>
      </c>
      <c r="G7" s="66" t="s">
        <v>87</v>
      </c>
      <c r="H7" s="66" t="s">
        <v>87</v>
      </c>
      <c r="I7" s="66" t="s">
        <v>87</v>
      </c>
      <c r="J7" s="66" t="s">
        <v>87</v>
      </c>
      <c r="K7" s="66" t="s">
        <v>87</v>
      </c>
      <c r="L7" s="66" t="s">
        <v>87</v>
      </c>
      <c r="N7" s="60" t="s">
        <v>335</v>
      </c>
      <c r="O7" s="61" t="s">
        <v>270</v>
      </c>
      <c r="P7" s="59" t="s">
        <v>288</v>
      </c>
      <c r="Q7" s="59" t="s">
        <v>288</v>
      </c>
      <c r="R7" s="59" t="s">
        <v>288</v>
      </c>
      <c r="S7" s="59" t="s">
        <v>288</v>
      </c>
      <c r="T7" s="59" t="s">
        <v>288</v>
      </c>
      <c r="U7" s="59" t="s">
        <v>288</v>
      </c>
      <c r="V7" s="62" t="s">
        <v>288</v>
      </c>
      <c r="W7" s="59" t="s">
        <v>288</v>
      </c>
      <c r="X7" s="59" t="s">
        <v>288</v>
      </c>
      <c r="Y7" s="1" t="s">
        <v>0</v>
      </c>
      <c r="Z7" s="1" t="s">
        <v>210</v>
      </c>
    </row>
    <row r="8" spans="1:53">
      <c r="A8" s="64">
        <v>7</v>
      </c>
      <c r="B8" s="64" t="s">
        <v>211</v>
      </c>
      <c r="C8" s="65" t="str">
        <f>IF($O8="ON","@",412)</f>
        <v>@</v>
      </c>
      <c r="D8" s="65" t="str">
        <f>IF($P8="ON","@",844)</f>
        <v>@</v>
      </c>
      <c r="E8" s="65" t="str">
        <f>IF($Q8="ON","@",1038)</f>
        <v>@</v>
      </c>
      <c r="F8" s="65" t="str">
        <f>IF($R8="ON","@",1455)</f>
        <v>@</v>
      </c>
      <c r="G8" s="65" t="str">
        <f>IF($S8="ON","@",1456)</f>
        <v>@</v>
      </c>
      <c r="H8" s="65" t="str">
        <f>IF($T8="ON","@",4544)</f>
        <v>@</v>
      </c>
      <c r="I8" s="66" t="str">
        <f>IF($U8="ON","@","@")</f>
        <v>@</v>
      </c>
      <c r="J8" s="66" t="str">
        <f>IF($V8="ON","@","@")</f>
        <v>@</v>
      </c>
      <c r="K8" s="66" t="str">
        <f>IF($W8="ON","@","@")</f>
        <v>@</v>
      </c>
      <c r="L8" s="66" t="str">
        <f>IF($X8="ON","@","@")</f>
        <v>@</v>
      </c>
      <c r="N8" s="60" t="s">
        <v>319</v>
      </c>
      <c r="O8" s="61" t="s">
        <v>277</v>
      </c>
      <c r="P8" s="61" t="s">
        <v>277</v>
      </c>
      <c r="Q8" s="61" t="s">
        <v>277</v>
      </c>
      <c r="R8" s="61" t="s">
        <v>277</v>
      </c>
      <c r="S8" s="61" t="s">
        <v>277</v>
      </c>
      <c r="T8" s="61" t="s">
        <v>277</v>
      </c>
      <c r="U8" s="59" t="s">
        <v>288</v>
      </c>
      <c r="V8" s="62" t="s">
        <v>288</v>
      </c>
      <c r="W8" s="59" t="s">
        <v>288</v>
      </c>
      <c r="X8" s="59" t="s">
        <v>288</v>
      </c>
      <c r="Y8" s="1" t="s">
        <v>268</v>
      </c>
      <c r="Z8" s="1" t="s">
        <v>212</v>
      </c>
    </row>
    <row r="9" spans="1:53">
      <c r="A9" s="64">
        <v>8</v>
      </c>
      <c r="B9" s="64" t="s">
        <v>213</v>
      </c>
      <c r="C9" s="65" t="str">
        <f>IF($O9="on","@",2413102)</f>
        <v>@</v>
      </c>
      <c r="D9" s="65" t="str">
        <f>IF($P9="on","@",2413104)</f>
        <v>@</v>
      </c>
      <c r="E9" s="65" t="str">
        <f>IF($Q9="on","@",2413106)</f>
        <v>@</v>
      </c>
      <c r="F9" s="65" t="str">
        <f>IF($R9="on","@",2413105)</f>
        <v>@</v>
      </c>
      <c r="G9" s="65" t="str">
        <f>IF($S9="on","@",2413111)</f>
        <v>@</v>
      </c>
      <c r="H9" s="65" t="str">
        <f>IF($T9="on","@",2413112)</f>
        <v>@</v>
      </c>
      <c r="I9" s="65" t="str">
        <f>IF($U9="on","@",2413113)</f>
        <v>@</v>
      </c>
      <c r="J9" s="66" t="str">
        <f>IF($V9="on","@","@")</f>
        <v>@</v>
      </c>
      <c r="K9" s="66" t="str">
        <f>IF($W9="on","@","@")</f>
        <v>@</v>
      </c>
      <c r="L9" s="66" t="str">
        <f>IF($X9="on","@","@")</f>
        <v>@</v>
      </c>
      <c r="N9" s="60" t="s">
        <v>280</v>
      </c>
      <c r="O9" s="61" t="s">
        <v>277</v>
      </c>
      <c r="P9" s="61" t="s">
        <v>277</v>
      </c>
      <c r="Q9" s="61" t="s">
        <v>277</v>
      </c>
      <c r="R9" s="61" t="s">
        <v>277</v>
      </c>
      <c r="S9" s="61" t="s">
        <v>277</v>
      </c>
      <c r="T9" s="61" t="s">
        <v>277</v>
      </c>
      <c r="U9" s="61" t="s">
        <v>277</v>
      </c>
      <c r="V9" s="62" t="s">
        <v>288</v>
      </c>
      <c r="W9" s="59" t="s">
        <v>288</v>
      </c>
      <c r="X9" s="59" t="s">
        <v>288</v>
      </c>
      <c r="Y9" s="1" t="s">
        <v>223</v>
      </c>
      <c r="Z9" s="1" t="s">
        <v>212</v>
      </c>
    </row>
    <row r="10" spans="1:53">
      <c r="A10" s="64">
        <v>9</v>
      </c>
      <c r="B10" s="64" t="s">
        <v>82</v>
      </c>
      <c r="C10" s="65">
        <f t="shared" ref="C10:C14" si="1">IF($O10="on",1,"@")</f>
        <v>1</v>
      </c>
      <c r="D10" s="66" t="s">
        <v>87</v>
      </c>
      <c r="E10" s="66" t="s">
        <v>87</v>
      </c>
      <c r="F10" s="66" t="s">
        <v>87</v>
      </c>
      <c r="G10" s="66" t="s">
        <v>87</v>
      </c>
      <c r="H10" s="66" t="s">
        <v>87</v>
      </c>
      <c r="I10" s="66" t="s">
        <v>87</v>
      </c>
      <c r="J10" s="66" t="s">
        <v>87</v>
      </c>
      <c r="K10" s="66" t="s">
        <v>87</v>
      </c>
      <c r="L10" s="66" t="s">
        <v>87</v>
      </c>
      <c r="N10" s="60" t="s">
        <v>281</v>
      </c>
      <c r="O10" s="61" t="s">
        <v>277</v>
      </c>
      <c r="P10" s="59" t="s">
        <v>288</v>
      </c>
      <c r="Q10" s="59" t="s">
        <v>288</v>
      </c>
      <c r="R10" s="59" t="s">
        <v>288</v>
      </c>
      <c r="S10" s="59" t="s">
        <v>288</v>
      </c>
      <c r="T10" s="59" t="s">
        <v>288</v>
      </c>
      <c r="U10" s="59" t="s">
        <v>288</v>
      </c>
      <c r="V10" s="62" t="s">
        <v>288</v>
      </c>
      <c r="W10" s="59" t="s">
        <v>288</v>
      </c>
      <c r="X10" s="59" t="s">
        <v>288</v>
      </c>
      <c r="Y10" s="1" t="s">
        <v>0</v>
      </c>
      <c r="Z10" s="1" t="s">
        <v>210</v>
      </c>
    </row>
    <row r="11" spans="1:53">
      <c r="A11" s="64">
        <v>10</v>
      </c>
      <c r="B11" s="64" t="s">
        <v>8</v>
      </c>
      <c r="C11" s="65">
        <f t="shared" si="1"/>
        <v>1</v>
      </c>
      <c r="D11" s="66" t="s">
        <v>87</v>
      </c>
      <c r="E11" s="66" t="s">
        <v>87</v>
      </c>
      <c r="F11" s="66" t="s">
        <v>87</v>
      </c>
      <c r="G11" s="66" t="s">
        <v>87</v>
      </c>
      <c r="H11" s="66" t="s">
        <v>87</v>
      </c>
      <c r="I11" s="66" t="s">
        <v>87</v>
      </c>
      <c r="J11" s="66" t="s">
        <v>87</v>
      </c>
      <c r="K11" s="66" t="s">
        <v>87</v>
      </c>
      <c r="L11" s="66" t="s">
        <v>87</v>
      </c>
      <c r="N11" s="60" t="s">
        <v>282</v>
      </c>
      <c r="O11" s="61" t="s">
        <v>277</v>
      </c>
      <c r="P11" s="59" t="s">
        <v>288</v>
      </c>
      <c r="Q11" s="59" t="s">
        <v>288</v>
      </c>
      <c r="R11" s="59" t="s">
        <v>288</v>
      </c>
      <c r="S11" s="59" t="s">
        <v>288</v>
      </c>
      <c r="T11" s="59" t="s">
        <v>288</v>
      </c>
      <c r="U11" s="59" t="s">
        <v>288</v>
      </c>
      <c r="V11" s="62" t="s">
        <v>288</v>
      </c>
      <c r="W11" s="59" t="s">
        <v>288</v>
      </c>
      <c r="X11" s="59" t="s">
        <v>288</v>
      </c>
      <c r="Y11" s="1" t="s">
        <v>0</v>
      </c>
      <c r="Z11" s="1" t="s">
        <v>210</v>
      </c>
    </row>
    <row r="12" spans="1:53">
      <c r="A12" s="64">
        <v>11</v>
      </c>
      <c r="B12" s="64" t="s">
        <v>12</v>
      </c>
      <c r="C12" s="65">
        <f t="shared" si="1"/>
        <v>1</v>
      </c>
      <c r="D12" s="66" t="s">
        <v>87</v>
      </c>
      <c r="E12" s="66" t="s">
        <v>87</v>
      </c>
      <c r="F12" s="66" t="s">
        <v>87</v>
      </c>
      <c r="G12" s="66" t="s">
        <v>87</v>
      </c>
      <c r="H12" s="66" t="s">
        <v>87</v>
      </c>
      <c r="I12" s="66" t="s">
        <v>87</v>
      </c>
      <c r="J12" s="66" t="s">
        <v>87</v>
      </c>
      <c r="K12" s="66" t="s">
        <v>87</v>
      </c>
      <c r="L12" s="66" t="s">
        <v>87</v>
      </c>
      <c r="N12" s="60" t="s">
        <v>283</v>
      </c>
      <c r="O12" s="61" t="s">
        <v>277</v>
      </c>
      <c r="P12" s="59" t="s">
        <v>288</v>
      </c>
      <c r="Q12" s="59" t="s">
        <v>288</v>
      </c>
      <c r="R12" s="59" t="s">
        <v>288</v>
      </c>
      <c r="S12" s="59" t="s">
        <v>288</v>
      </c>
      <c r="T12" s="59" t="s">
        <v>288</v>
      </c>
      <c r="U12" s="59" t="s">
        <v>288</v>
      </c>
      <c r="V12" s="62" t="s">
        <v>288</v>
      </c>
      <c r="W12" s="59" t="s">
        <v>288</v>
      </c>
      <c r="X12" s="59" t="s">
        <v>288</v>
      </c>
      <c r="Y12" s="1" t="s">
        <v>0</v>
      </c>
      <c r="Z12" s="1" t="s">
        <v>210</v>
      </c>
    </row>
    <row r="13" spans="1:53">
      <c r="A13" s="131">
        <v>12</v>
      </c>
      <c r="B13" s="131" t="s">
        <v>422</v>
      </c>
      <c r="C13" s="132">
        <f>IF($O13="old",1,IF($O13="new",2,IF($O13="off","@")))</f>
        <v>2</v>
      </c>
      <c r="D13" s="109" t="s">
        <v>87</v>
      </c>
      <c r="E13" s="109" t="s">
        <v>87</v>
      </c>
      <c r="F13" s="109" t="s">
        <v>87</v>
      </c>
      <c r="G13" s="109" t="s">
        <v>87</v>
      </c>
      <c r="H13" s="109" t="s">
        <v>87</v>
      </c>
      <c r="I13" s="109" t="s">
        <v>87</v>
      </c>
      <c r="J13" s="109" t="s">
        <v>87</v>
      </c>
      <c r="K13" s="109" t="s">
        <v>87</v>
      </c>
      <c r="L13" s="109" t="s">
        <v>87</v>
      </c>
      <c r="M13" s="106"/>
      <c r="N13" s="110" t="s">
        <v>423</v>
      </c>
      <c r="O13" s="122" t="s">
        <v>383</v>
      </c>
      <c r="P13" s="120" t="s">
        <v>288</v>
      </c>
      <c r="Q13" s="120" t="s">
        <v>288</v>
      </c>
      <c r="R13" s="120" t="s">
        <v>288</v>
      </c>
      <c r="S13" s="120" t="s">
        <v>288</v>
      </c>
      <c r="T13" s="120" t="s">
        <v>288</v>
      </c>
      <c r="U13" s="120" t="s">
        <v>288</v>
      </c>
      <c r="V13" s="121" t="s">
        <v>288</v>
      </c>
      <c r="W13" s="120" t="s">
        <v>288</v>
      </c>
      <c r="X13" s="120" t="s">
        <v>288</v>
      </c>
      <c r="Y13" s="116" t="s">
        <v>424</v>
      </c>
      <c r="Z13" s="116" t="s">
        <v>210</v>
      </c>
    </row>
    <row r="14" spans="1:53">
      <c r="A14" s="131">
        <v>13</v>
      </c>
      <c r="B14" s="64" t="s">
        <v>15</v>
      </c>
      <c r="C14" s="65">
        <f t="shared" si="1"/>
        <v>1</v>
      </c>
      <c r="D14" s="66" t="s">
        <v>87</v>
      </c>
      <c r="E14" s="66" t="s">
        <v>87</v>
      </c>
      <c r="F14" s="66" t="s">
        <v>87</v>
      </c>
      <c r="G14" s="66" t="s">
        <v>87</v>
      </c>
      <c r="H14" s="66" t="s">
        <v>87</v>
      </c>
      <c r="I14" s="66" t="s">
        <v>87</v>
      </c>
      <c r="J14" s="66" t="s">
        <v>87</v>
      </c>
      <c r="K14" s="66" t="s">
        <v>87</v>
      </c>
      <c r="L14" s="66" t="s">
        <v>87</v>
      </c>
      <c r="N14" s="60" t="s">
        <v>284</v>
      </c>
      <c r="O14" s="61" t="s">
        <v>277</v>
      </c>
      <c r="P14" s="59" t="s">
        <v>288</v>
      </c>
      <c r="Q14" s="59" t="s">
        <v>288</v>
      </c>
      <c r="R14" s="59" t="s">
        <v>288</v>
      </c>
      <c r="S14" s="59" t="s">
        <v>288</v>
      </c>
      <c r="T14" s="59" t="s">
        <v>288</v>
      </c>
      <c r="U14" s="59" t="s">
        <v>288</v>
      </c>
      <c r="V14" s="62" t="s">
        <v>288</v>
      </c>
      <c r="W14" s="59" t="s">
        <v>288</v>
      </c>
      <c r="X14" s="59" t="s">
        <v>288</v>
      </c>
      <c r="Y14" s="1" t="s">
        <v>0</v>
      </c>
      <c r="Z14" s="1" t="s">
        <v>210</v>
      </c>
    </row>
    <row r="15" spans="1:53">
      <c r="A15" s="131">
        <v>14</v>
      </c>
      <c r="B15" s="64" t="s">
        <v>20</v>
      </c>
      <c r="C15" s="65">
        <f>IF($O15="old",1,IF($O15="new",2,IF($O15="off","@")))</f>
        <v>2</v>
      </c>
      <c r="D15" s="66" t="s">
        <v>87</v>
      </c>
      <c r="E15" s="66" t="s">
        <v>87</v>
      </c>
      <c r="F15" s="66" t="s">
        <v>87</v>
      </c>
      <c r="G15" s="66" t="s">
        <v>87</v>
      </c>
      <c r="H15" s="66" t="s">
        <v>87</v>
      </c>
      <c r="I15" s="66" t="s">
        <v>87</v>
      </c>
      <c r="J15" s="66" t="s">
        <v>87</v>
      </c>
      <c r="K15" s="66" t="s">
        <v>87</v>
      </c>
      <c r="L15" s="66" t="s">
        <v>87</v>
      </c>
      <c r="N15" s="60" t="s">
        <v>285</v>
      </c>
      <c r="O15" s="61" t="s">
        <v>383</v>
      </c>
      <c r="P15" s="59" t="s">
        <v>288</v>
      </c>
      <c r="Q15" s="59" t="s">
        <v>288</v>
      </c>
      <c r="R15" s="59" t="s">
        <v>288</v>
      </c>
      <c r="S15" s="59" t="s">
        <v>288</v>
      </c>
      <c r="T15" s="59" t="s">
        <v>288</v>
      </c>
      <c r="U15" s="59" t="s">
        <v>288</v>
      </c>
      <c r="V15" s="62" t="s">
        <v>288</v>
      </c>
      <c r="W15" s="59" t="s">
        <v>288</v>
      </c>
      <c r="X15" s="59" t="s">
        <v>288</v>
      </c>
      <c r="Y15" s="1" t="s">
        <v>379</v>
      </c>
      <c r="Z15" s="1" t="s">
        <v>210</v>
      </c>
    </row>
    <row r="16" spans="1:53">
      <c r="A16" s="131">
        <v>15</v>
      </c>
      <c r="B16" s="68" t="s">
        <v>88</v>
      </c>
      <c r="C16" s="86">
        <f>IF($O16="old",1,IF($O16="new",2,IF($O16="off","@")))</f>
        <v>2</v>
      </c>
      <c r="D16" s="87" t="s">
        <v>87</v>
      </c>
      <c r="E16" s="87" t="s">
        <v>87</v>
      </c>
      <c r="F16" s="87" t="s">
        <v>87</v>
      </c>
      <c r="G16" s="87" t="s">
        <v>87</v>
      </c>
      <c r="H16" s="87" t="s">
        <v>87</v>
      </c>
      <c r="I16" s="87" t="s">
        <v>87</v>
      </c>
      <c r="J16" s="87" t="s">
        <v>87</v>
      </c>
      <c r="K16" s="87" t="s">
        <v>87</v>
      </c>
      <c r="L16" s="87" t="s">
        <v>87</v>
      </c>
      <c r="M16" s="53"/>
      <c r="N16" s="103" t="s">
        <v>286</v>
      </c>
      <c r="O16" s="88" t="s">
        <v>383</v>
      </c>
      <c r="P16" s="89" t="s">
        <v>288</v>
      </c>
      <c r="Q16" s="89" t="s">
        <v>288</v>
      </c>
      <c r="R16" s="89" t="s">
        <v>288</v>
      </c>
      <c r="S16" s="89" t="s">
        <v>288</v>
      </c>
      <c r="T16" s="89" t="s">
        <v>288</v>
      </c>
      <c r="U16" s="89" t="s">
        <v>288</v>
      </c>
      <c r="V16" s="90" t="s">
        <v>288</v>
      </c>
      <c r="W16" s="89" t="s">
        <v>288</v>
      </c>
      <c r="X16" s="89" t="s">
        <v>288</v>
      </c>
      <c r="Y16" s="2" t="s">
        <v>401</v>
      </c>
      <c r="Z16" s="2" t="s">
        <v>210</v>
      </c>
    </row>
    <row r="17" spans="1:26" s="54" customFormat="1">
      <c r="A17" s="131">
        <v>16</v>
      </c>
      <c r="B17" s="67" t="s">
        <v>1</v>
      </c>
      <c r="C17" s="66">
        <v>2</v>
      </c>
      <c r="D17" s="66" t="s">
        <v>87</v>
      </c>
      <c r="E17" s="66" t="s">
        <v>87</v>
      </c>
      <c r="F17" s="66" t="s">
        <v>87</v>
      </c>
      <c r="G17" s="66" t="s">
        <v>87</v>
      </c>
      <c r="H17" s="66" t="s">
        <v>87</v>
      </c>
      <c r="I17" s="66" t="s">
        <v>87</v>
      </c>
      <c r="J17" s="66" t="s">
        <v>87</v>
      </c>
      <c r="K17" s="66" t="s">
        <v>87</v>
      </c>
      <c r="L17" s="66" t="s">
        <v>87</v>
      </c>
      <c r="N17" s="59" t="s">
        <v>288</v>
      </c>
      <c r="O17" s="59" t="s">
        <v>288</v>
      </c>
      <c r="P17" s="59" t="s">
        <v>288</v>
      </c>
      <c r="Q17" s="59" t="s">
        <v>288</v>
      </c>
      <c r="R17" s="59" t="s">
        <v>288</v>
      </c>
      <c r="S17" s="59" t="s">
        <v>288</v>
      </c>
      <c r="T17" s="59" t="s">
        <v>288</v>
      </c>
      <c r="U17" s="59" t="s">
        <v>288</v>
      </c>
      <c r="V17" s="62" t="s">
        <v>288</v>
      </c>
      <c r="W17" s="59" t="s">
        <v>288</v>
      </c>
      <c r="X17" s="59" t="s">
        <v>288</v>
      </c>
      <c r="Y17" s="54" t="s">
        <v>89</v>
      </c>
      <c r="Z17" s="54" t="s">
        <v>214</v>
      </c>
    </row>
    <row r="18" spans="1:26">
      <c r="A18" s="131">
        <v>17</v>
      </c>
      <c r="B18" s="64" t="s">
        <v>2</v>
      </c>
      <c r="C18" s="65" t="str">
        <f>IF($O18="ON","@",3)</f>
        <v>@</v>
      </c>
      <c r="D18" s="66" t="s">
        <v>87</v>
      </c>
      <c r="E18" s="66" t="s">
        <v>87</v>
      </c>
      <c r="F18" s="66" t="s">
        <v>87</v>
      </c>
      <c r="G18" s="66" t="s">
        <v>87</v>
      </c>
      <c r="H18" s="66" t="s">
        <v>87</v>
      </c>
      <c r="I18" s="66" t="s">
        <v>87</v>
      </c>
      <c r="J18" s="66" t="s">
        <v>87</v>
      </c>
      <c r="K18" s="66" t="s">
        <v>87</v>
      </c>
      <c r="L18" s="66" t="s">
        <v>87</v>
      </c>
      <c r="N18" s="60" t="s">
        <v>290</v>
      </c>
      <c r="O18" s="61" t="s">
        <v>270</v>
      </c>
      <c r="P18" s="59" t="s">
        <v>288</v>
      </c>
      <c r="Q18" s="59" t="s">
        <v>288</v>
      </c>
      <c r="R18" s="59" t="s">
        <v>288</v>
      </c>
      <c r="S18" s="59" t="s">
        <v>288</v>
      </c>
      <c r="T18" s="59" t="s">
        <v>288</v>
      </c>
      <c r="U18" s="59" t="s">
        <v>288</v>
      </c>
      <c r="V18" s="62" t="s">
        <v>288</v>
      </c>
      <c r="W18" s="59" t="s">
        <v>288</v>
      </c>
      <c r="X18" s="59" t="s">
        <v>288</v>
      </c>
      <c r="Y18" s="1" t="s">
        <v>90</v>
      </c>
      <c r="Z18" s="1" t="s">
        <v>212</v>
      </c>
    </row>
    <row r="19" spans="1:26">
      <c r="A19" s="131">
        <v>18</v>
      </c>
      <c r="B19" s="64" t="s">
        <v>31</v>
      </c>
      <c r="C19" s="65" t="str">
        <f>IF($O19="ON","@",2971107)</f>
        <v>@</v>
      </c>
      <c r="D19" s="66" t="s">
        <v>87</v>
      </c>
      <c r="E19" s="66" t="s">
        <v>87</v>
      </c>
      <c r="F19" s="66" t="s">
        <v>87</v>
      </c>
      <c r="G19" s="66" t="s">
        <v>87</v>
      </c>
      <c r="H19" s="66" t="s">
        <v>87</v>
      </c>
      <c r="I19" s="66" t="s">
        <v>87</v>
      </c>
      <c r="J19" s="66" t="s">
        <v>87</v>
      </c>
      <c r="K19" s="66" t="s">
        <v>87</v>
      </c>
      <c r="L19" s="66" t="s">
        <v>87</v>
      </c>
      <c r="N19" s="60" t="s">
        <v>292</v>
      </c>
      <c r="O19" s="61" t="s">
        <v>270</v>
      </c>
      <c r="P19" s="59" t="s">
        <v>288</v>
      </c>
      <c r="Q19" s="59" t="s">
        <v>288</v>
      </c>
      <c r="R19" s="59" t="s">
        <v>288</v>
      </c>
      <c r="S19" s="59" t="s">
        <v>288</v>
      </c>
      <c r="T19" s="59" t="s">
        <v>288</v>
      </c>
      <c r="U19" s="59" t="s">
        <v>288</v>
      </c>
      <c r="V19" s="62" t="s">
        <v>288</v>
      </c>
      <c r="W19" s="59" t="s">
        <v>288</v>
      </c>
      <c r="X19" s="59" t="s">
        <v>288</v>
      </c>
      <c r="Y19" s="1" t="s">
        <v>91</v>
      </c>
      <c r="Z19" s="1" t="s">
        <v>212</v>
      </c>
    </row>
    <row r="20" spans="1:26">
      <c r="A20" s="131">
        <v>19</v>
      </c>
      <c r="B20" s="64" t="s">
        <v>24</v>
      </c>
      <c r="C20" s="65" t="str">
        <f>IF($O20="ON","@",561)</f>
        <v>@</v>
      </c>
      <c r="D20" s="66" t="s">
        <v>87</v>
      </c>
      <c r="E20" s="66" t="s">
        <v>87</v>
      </c>
      <c r="F20" s="66" t="s">
        <v>87</v>
      </c>
      <c r="G20" s="66" t="s">
        <v>87</v>
      </c>
      <c r="H20" s="66" t="s">
        <v>87</v>
      </c>
      <c r="I20" s="66" t="s">
        <v>87</v>
      </c>
      <c r="J20" s="66" t="s">
        <v>87</v>
      </c>
      <c r="K20" s="66" t="s">
        <v>87</v>
      </c>
      <c r="L20" s="66" t="s">
        <v>87</v>
      </c>
      <c r="N20" s="60" t="s">
        <v>291</v>
      </c>
      <c r="O20" s="61" t="s">
        <v>270</v>
      </c>
      <c r="P20" s="59" t="s">
        <v>288</v>
      </c>
      <c r="Q20" s="59" t="s">
        <v>288</v>
      </c>
      <c r="R20" s="59" t="s">
        <v>288</v>
      </c>
      <c r="S20" s="59" t="s">
        <v>288</v>
      </c>
      <c r="T20" s="59" t="s">
        <v>288</v>
      </c>
      <c r="U20" s="59" t="s">
        <v>288</v>
      </c>
      <c r="V20" s="62" t="s">
        <v>288</v>
      </c>
      <c r="W20" s="59" t="s">
        <v>288</v>
      </c>
      <c r="X20" s="59" t="s">
        <v>288</v>
      </c>
      <c r="Y20" s="1" t="s">
        <v>92</v>
      </c>
      <c r="Z20" s="1" t="s">
        <v>212</v>
      </c>
    </row>
    <row r="21" spans="1:26" s="54" customFormat="1">
      <c r="A21" s="131">
        <v>20</v>
      </c>
      <c r="B21" s="67" t="s">
        <v>25</v>
      </c>
      <c r="C21" s="66">
        <v>6</v>
      </c>
      <c r="D21" s="66" t="s">
        <v>87</v>
      </c>
      <c r="E21" s="66" t="s">
        <v>87</v>
      </c>
      <c r="F21" s="66" t="s">
        <v>87</v>
      </c>
      <c r="G21" s="66" t="s">
        <v>87</v>
      </c>
      <c r="H21" s="66" t="s">
        <v>87</v>
      </c>
      <c r="I21" s="66" t="s">
        <v>87</v>
      </c>
      <c r="J21" s="66" t="s">
        <v>87</v>
      </c>
      <c r="K21" s="66" t="s">
        <v>87</v>
      </c>
      <c r="L21" s="66" t="s">
        <v>87</v>
      </c>
      <c r="N21" s="59" t="s">
        <v>288</v>
      </c>
      <c r="O21" s="59" t="s">
        <v>288</v>
      </c>
      <c r="P21" s="59" t="s">
        <v>288</v>
      </c>
      <c r="Q21" s="59" t="s">
        <v>288</v>
      </c>
      <c r="R21" s="59" t="s">
        <v>288</v>
      </c>
      <c r="S21" s="59" t="s">
        <v>288</v>
      </c>
      <c r="T21" s="59" t="s">
        <v>288</v>
      </c>
      <c r="U21" s="59" t="s">
        <v>288</v>
      </c>
      <c r="V21" s="62" t="s">
        <v>288</v>
      </c>
      <c r="W21" s="59" t="s">
        <v>288</v>
      </c>
      <c r="X21" s="59" t="s">
        <v>288</v>
      </c>
      <c r="Y21" s="54" t="s">
        <v>89</v>
      </c>
      <c r="Z21" s="54" t="s">
        <v>212</v>
      </c>
    </row>
    <row r="22" spans="1:26">
      <c r="A22" s="131">
        <v>21</v>
      </c>
      <c r="B22" s="64" t="s">
        <v>26</v>
      </c>
      <c r="C22" s="65" t="str">
        <f>IF($O22="ON","@",57)</f>
        <v>@</v>
      </c>
      <c r="D22" s="66" t="s">
        <v>87</v>
      </c>
      <c r="E22" s="66" t="s">
        <v>87</v>
      </c>
      <c r="F22" s="66" t="s">
        <v>87</v>
      </c>
      <c r="G22" s="66" t="s">
        <v>87</v>
      </c>
      <c r="H22" s="66" t="s">
        <v>87</v>
      </c>
      <c r="I22" s="66" t="s">
        <v>87</v>
      </c>
      <c r="J22" s="66" t="s">
        <v>87</v>
      </c>
      <c r="K22" s="66" t="s">
        <v>87</v>
      </c>
      <c r="L22" s="66" t="s">
        <v>87</v>
      </c>
      <c r="N22" s="60" t="s">
        <v>294</v>
      </c>
      <c r="O22" s="61" t="s">
        <v>270</v>
      </c>
      <c r="P22" s="59" t="s">
        <v>288</v>
      </c>
      <c r="Q22" s="59" t="s">
        <v>288</v>
      </c>
      <c r="R22" s="59" t="s">
        <v>288</v>
      </c>
      <c r="S22" s="59" t="s">
        <v>288</v>
      </c>
      <c r="T22" s="59" t="s">
        <v>288</v>
      </c>
      <c r="U22" s="59" t="s">
        <v>288</v>
      </c>
      <c r="V22" s="62" t="s">
        <v>288</v>
      </c>
      <c r="W22" s="59" t="s">
        <v>288</v>
      </c>
      <c r="X22" s="59" t="s">
        <v>288</v>
      </c>
      <c r="Y22" s="1" t="s">
        <v>194</v>
      </c>
      <c r="Z22" s="1" t="s">
        <v>212</v>
      </c>
    </row>
    <row r="23" spans="1:26">
      <c r="A23" s="131">
        <v>22</v>
      </c>
      <c r="B23" s="64" t="s">
        <v>27</v>
      </c>
      <c r="C23" s="65" t="str">
        <f>IF($O23="ON","@",565)</f>
        <v>@</v>
      </c>
      <c r="D23" s="66" t="s">
        <v>87</v>
      </c>
      <c r="E23" s="66" t="s">
        <v>87</v>
      </c>
      <c r="F23" s="66" t="s">
        <v>87</v>
      </c>
      <c r="G23" s="66" t="s">
        <v>87</v>
      </c>
      <c r="H23" s="66" t="s">
        <v>87</v>
      </c>
      <c r="I23" s="66" t="s">
        <v>87</v>
      </c>
      <c r="J23" s="66" t="s">
        <v>87</v>
      </c>
      <c r="K23" s="66" t="s">
        <v>87</v>
      </c>
      <c r="L23" s="66" t="s">
        <v>87</v>
      </c>
      <c r="N23" s="60" t="s">
        <v>295</v>
      </c>
      <c r="O23" s="61" t="s">
        <v>270</v>
      </c>
      <c r="P23" s="59" t="s">
        <v>288</v>
      </c>
      <c r="Q23" s="59" t="s">
        <v>288</v>
      </c>
      <c r="R23" s="59" t="s">
        <v>288</v>
      </c>
      <c r="S23" s="59" t="s">
        <v>288</v>
      </c>
      <c r="T23" s="59" t="s">
        <v>288</v>
      </c>
      <c r="U23" s="59" t="s">
        <v>288</v>
      </c>
      <c r="V23" s="62" t="s">
        <v>288</v>
      </c>
      <c r="W23" s="59" t="s">
        <v>288</v>
      </c>
      <c r="X23" s="59" t="s">
        <v>288</v>
      </c>
      <c r="Y23" s="1" t="s">
        <v>93</v>
      </c>
      <c r="Z23" s="1" t="s">
        <v>212</v>
      </c>
    </row>
    <row r="24" spans="1:26">
      <c r="A24" s="131">
        <v>23</v>
      </c>
      <c r="B24" s="64" t="s">
        <v>28</v>
      </c>
      <c r="C24" s="65" t="str">
        <f>IF($O24="ON","@",1021)</f>
        <v>@</v>
      </c>
      <c r="D24" s="66" t="s">
        <v>87</v>
      </c>
      <c r="E24" s="66" t="s">
        <v>87</v>
      </c>
      <c r="F24" s="66" t="s">
        <v>87</v>
      </c>
      <c r="G24" s="66" t="s">
        <v>87</v>
      </c>
      <c r="H24" s="66" t="s">
        <v>87</v>
      </c>
      <c r="I24" s="66" t="s">
        <v>87</v>
      </c>
      <c r="J24" s="66" t="s">
        <v>87</v>
      </c>
      <c r="K24" s="66" t="s">
        <v>87</v>
      </c>
      <c r="L24" s="66" t="s">
        <v>87</v>
      </c>
      <c r="N24" s="60" t="s">
        <v>296</v>
      </c>
      <c r="O24" s="61" t="s">
        <v>270</v>
      </c>
      <c r="P24" s="59" t="s">
        <v>288</v>
      </c>
      <c r="Q24" s="59" t="s">
        <v>288</v>
      </c>
      <c r="R24" s="59" t="s">
        <v>288</v>
      </c>
      <c r="S24" s="59" t="s">
        <v>288</v>
      </c>
      <c r="T24" s="59" t="s">
        <v>288</v>
      </c>
      <c r="U24" s="59" t="s">
        <v>288</v>
      </c>
      <c r="V24" s="62" t="s">
        <v>288</v>
      </c>
      <c r="W24" s="59" t="s">
        <v>288</v>
      </c>
      <c r="X24" s="59" t="s">
        <v>288</v>
      </c>
      <c r="Y24" s="1" t="s">
        <v>94</v>
      </c>
      <c r="Z24" s="1" t="s">
        <v>212</v>
      </c>
    </row>
    <row r="25" spans="1:26">
      <c r="A25" s="131">
        <v>24</v>
      </c>
      <c r="B25" s="64" t="s">
        <v>29</v>
      </c>
      <c r="C25" s="65" t="str">
        <f>IF($O25="ON","@",5592109)</f>
        <v>@</v>
      </c>
      <c r="D25" s="66" t="s">
        <v>87</v>
      </c>
      <c r="E25" s="66" t="s">
        <v>87</v>
      </c>
      <c r="F25" s="66" t="s">
        <v>87</v>
      </c>
      <c r="G25" s="66" t="s">
        <v>87</v>
      </c>
      <c r="H25" s="66" t="s">
        <v>87</v>
      </c>
      <c r="I25" s="66" t="s">
        <v>87</v>
      </c>
      <c r="J25" s="66" t="s">
        <v>87</v>
      </c>
      <c r="K25" s="66" t="s">
        <v>87</v>
      </c>
      <c r="L25" s="66" t="s">
        <v>87</v>
      </c>
      <c r="N25" s="60" t="s">
        <v>297</v>
      </c>
      <c r="O25" s="61" t="s">
        <v>270</v>
      </c>
      <c r="P25" s="59" t="s">
        <v>288</v>
      </c>
      <c r="Q25" s="59" t="s">
        <v>288</v>
      </c>
      <c r="R25" s="59" t="s">
        <v>288</v>
      </c>
      <c r="S25" s="59" t="s">
        <v>288</v>
      </c>
      <c r="T25" s="59" t="s">
        <v>288</v>
      </c>
      <c r="U25" s="59" t="s">
        <v>288</v>
      </c>
      <c r="V25" s="62" t="s">
        <v>288</v>
      </c>
      <c r="W25" s="59" t="s">
        <v>288</v>
      </c>
      <c r="X25" s="59" t="s">
        <v>288</v>
      </c>
      <c r="Y25" s="1" t="s">
        <v>95</v>
      </c>
      <c r="Z25" s="1" t="s">
        <v>212</v>
      </c>
    </row>
    <row r="26" spans="1:26">
      <c r="A26" s="131">
        <v>25</v>
      </c>
      <c r="B26" s="64" t="s">
        <v>30</v>
      </c>
      <c r="C26" s="65" t="str">
        <f>IF($O26="ON","@",1471)</f>
        <v>@</v>
      </c>
      <c r="D26" s="66" t="s">
        <v>87</v>
      </c>
      <c r="E26" s="66" t="s">
        <v>87</v>
      </c>
      <c r="F26" s="66" t="s">
        <v>87</v>
      </c>
      <c r="G26" s="66" t="s">
        <v>87</v>
      </c>
      <c r="H26" s="66" t="s">
        <v>87</v>
      </c>
      <c r="I26" s="66" t="s">
        <v>87</v>
      </c>
      <c r="J26" s="66" t="s">
        <v>87</v>
      </c>
      <c r="K26" s="66" t="s">
        <v>87</v>
      </c>
      <c r="L26" s="66" t="s">
        <v>87</v>
      </c>
      <c r="N26" s="60" t="s">
        <v>298</v>
      </c>
      <c r="O26" s="61" t="s">
        <v>270</v>
      </c>
      <c r="P26" s="59" t="s">
        <v>288</v>
      </c>
      <c r="Q26" s="59" t="s">
        <v>288</v>
      </c>
      <c r="R26" s="59" t="s">
        <v>288</v>
      </c>
      <c r="S26" s="59" t="s">
        <v>288</v>
      </c>
      <c r="T26" s="59" t="s">
        <v>288</v>
      </c>
      <c r="U26" s="59" t="s">
        <v>288</v>
      </c>
      <c r="V26" s="62" t="s">
        <v>288</v>
      </c>
      <c r="W26" s="59" t="s">
        <v>288</v>
      </c>
      <c r="X26" s="59" t="s">
        <v>288</v>
      </c>
      <c r="Y26" s="1" t="s">
        <v>269</v>
      </c>
      <c r="Z26" s="1" t="s">
        <v>212</v>
      </c>
    </row>
    <row r="27" spans="1:26">
      <c r="A27" s="131">
        <v>26</v>
      </c>
      <c r="B27" s="68" t="s">
        <v>336</v>
      </c>
      <c r="C27" s="65" t="str">
        <f>IF($O27="ON","@",3481103)</f>
        <v>@</v>
      </c>
      <c r="D27" s="66" t="s">
        <v>87</v>
      </c>
      <c r="E27" s="66" t="s">
        <v>87</v>
      </c>
      <c r="F27" s="66" t="s">
        <v>87</v>
      </c>
      <c r="G27" s="66" t="s">
        <v>87</v>
      </c>
      <c r="H27" s="66" t="s">
        <v>87</v>
      </c>
      <c r="I27" s="66" t="s">
        <v>87</v>
      </c>
      <c r="J27" s="66" t="s">
        <v>87</v>
      </c>
      <c r="K27" s="66" t="s">
        <v>87</v>
      </c>
      <c r="L27" s="66" t="s">
        <v>87</v>
      </c>
      <c r="N27" s="60" t="s">
        <v>340</v>
      </c>
      <c r="O27" s="61" t="s">
        <v>270</v>
      </c>
      <c r="P27" s="59" t="s">
        <v>288</v>
      </c>
      <c r="Q27" s="59" t="s">
        <v>288</v>
      </c>
      <c r="R27" s="59" t="s">
        <v>288</v>
      </c>
      <c r="S27" s="59" t="s">
        <v>288</v>
      </c>
      <c r="T27" s="59" t="s">
        <v>288</v>
      </c>
      <c r="U27" s="59" t="s">
        <v>288</v>
      </c>
      <c r="V27" s="62" t="s">
        <v>288</v>
      </c>
      <c r="W27" s="59" t="s">
        <v>288</v>
      </c>
      <c r="X27" s="59" t="s">
        <v>288</v>
      </c>
      <c r="Y27" s="2" t="s">
        <v>341</v>
      </c>
      <c r="Z27" s="2" t="s">
        <v>212</v>
      </c>
    </row>
    <row r="28" spans="1:26" s="54" customFormat="1">
      <c r="A28" s="131">
        <v>27</v>
      </c>
      <c r="B28" s="67" t="s">
        <v>97</v>
      </c>
      <c r="C28" s="67" t="s">
        <v>293</v>
      </c>
      <c r="D28" s="66" t="s">
        <v>87</v>
      </c>
      <c r="E28" s="66" t="s">
        <v>87</v>
      </c>
      <c r="F28" s="66" t="s">
        <v>87</v>
      </c>
      <c r="G28" s="66" t="s">
        <v>87</v>
      </c>
      <c r="H28" s="66" t="s">
        <v>87</v>
      </c>
      <c r="I28" s="66" t="s">
        <v>87</v>
      </c>
      <c r="J28" s="66" t="s">
        <v>87</v>
      </c>
      <c r="K28" s="66" t="s">
        <v>87</v>
      </c>
      <c r="L28" s="66" t="s">
        <v>87</v>
      </c>
      <c r="N28" s="59" t="s">
        <v>305</v>
      </c>
      <c r="O28" s="59" t="s">
        <v>287</v>
      </c>
      <c r="P28" s="59" t="s">
        <v>288</v>
      </c>
      <c r="Q28" s="59" t="s">
        <v>288</v>
      </c>
      <c r="R28" s="59" t="s">
        <v>288</v>
      </c>
      <c r="S28" s="59" t="s">
        <v>288</v>
      </c>
      <c r="T28" s="59" t="s">
        <v>288</v>
      </c>
      <c r="U28" s="59" t="s">
        <v>288</v>
      </c>
      <c r="V28" s="62" t="s">
        <v>288</v>
      </c>
      <c r="W28" s="59" t="s">
        <v>288</v>
      </c>
      <c r="X28" s="59" t="s">
        <v>288</v>
      </c>
      <c r="Y28" s="54" t="s">
        <v>0</v>
      </c>
      <c r="Z28" s="54" t="s">
        <v>210</v>
      </c>
    </row>
    <row r="29" spans="1:26">
      <c r="A29" s="131">
        <v>28</v>
      </c>
      <c r="B29" s="64" t="s">
        <v>100</v>
      </c>
      <c r="C29" s="65">
        <f t="shared" ref="C29" si="2">IF($O29="on",1,"@")</f>
        <v>1</v>
      </c>
      <c r="D29" s="66" t="s">
        <v>87</v>
      </c>
      <c r="E29" s="66" t="s">
        <v>87</v>
      </c>
      <c r="F29" s="66" t="s">
        <v>87</v>
      </c>
      <c r="G29" s="66" t="s">
        <v>87</v>
      </c>
      <c r="H29" s="66" t="s">
        <v>87</v>
      </c>
      <c r="I29" s="66" t="s">
        <v>87</v>
      </c>
      <c r="J29" s="66" t="s">
        <v>87</v>
      </c>
      <c r="K29" s="66" t="s">
        <v>87</v>
      </c>
      <c r="L29" s="66" t="s">
        <v>87</v>
      </c>
      <c r="N29" s="60" t="s">
        <v>300</v>
      </c>
      <c r="O29" s="61" t="s">
        <v>270</v>
      </c>
      <c r="P29" s="59" t="s">
        <v>288</v>
      </c>
      <c r="Q29" s="59" t="s">
        <v>288</v>
      </c>
      <c r="R29" s="59" t="s">
        <v>288</v>
      </c>
      <c r="S29" s="59" t="s">
        <v>288</v>
      </c>
      <c r="T29" s="59" t="s">
        <v>288</v>
      </c>
      <c r="U29" s="59" t="s">
        <v>288</v>
      </c>
      <c r="V29" s="62" t="s">
        <v>288</v>
      </c>
      <c r="W29" s="59" t="s">
        <v>288</v>
      </c>
      <c r="X29" s="59" t="s">
        <v>288</v>
      </c>
      <c r="Y29" s="1" t="s">
        <v>170</v>
      </c>
      <c r="Z29" s="1" t="s">
        <v>210</v>
      </c>
    </row>
    <row r="30" spans="1:26">
      <c r="A30" s="131">
        <v>29</v>
      </c>
      <c r="B30" s="64" t="s">
        <v>215</v>
      </c>
      <c r="C30" s="65">
        <f>IF($O30=50,1,IF($O30=70,2,IF($O30=90,3,IF(O30=100,4,IF($O$30=120,5,IF($O$30=150,6,"@"))))))</f>
        <v>6</v>
      </c>
      <c r="D30" s="66">
        <v>7951201</v>
      </c>
      <c r="E30" s="66">
        <v>7951202</v>
      </c>
      <c r="F30" s="66">
        <v>7951203</v>
      </c>
      <c r="G30" s="66">
        <v>7951204</v>
      </c>
      <c r="H30" s="66">
        <v>7951205</v>
      </c>
      <c r="I30" s="66">
        <v>7951206</v>
      </c>
      <c r="J30" s="66">
        <v>7951207</v>
      </c>
      <c r="K30" s="66" t="s">
        <v>418</v>
      </c>
      <c r="L30" s="66" t="s">
        <v>87</v>
      </c>
      <c r="N30" s="60" t="s">
        <v>417</v>
      </c>
      <c r="O30" s="61">
        <v>150</v>
      </c>
      <c r="P30" s="59" t="s">
        <v>288</v>
      </c>
      <c r="Q30" s="59" t="s">
        <v>288</v>
      </c>
      <c r="R30" s="59" t="s">
        <v>288</v>
      </c>
      <c r="S30" s="59" t="s">
        <v>288</v>
      </c>
      <c r="T30" s="59" t="s">
        <v>288</v>
      </c>
      <c r="U30" s="59" t="s">
        <v>288</v>
      </c>
      <c r="V30" s="62" t="s">
        <v>288</v>
      </c>
      <c r="W30" s="59" t="s">
        <v>288</v>
      </c>
      <c r="X30" s="59" t="s">
        <v>288</v>
      </c>
      <c r="Y30" s="1" t="s">
        <v>416</v>
      </c>
      <c r="Z30" s="1" t="s">
        <v>210</v>
      </c>
    </row>
    <row r="31" spans="1:26">
      <c r="A31" s="131">
        <v>30</v>
      </c>
      <c r="B31" s="64" t="s">
        <v>86</v>
      </c>
      <c r="C31" s="65">
        <f>QBitFlag!E40</f>
        <v>353370112</v>
      </c>
      <c r="D31" s="66" t="s">
        <v>87</v>
      </c>
      <c r="E31" s="66" t="s">
        <v>87</v>
      </c>
      <c r="F31" s="66" t="s">
        <v>87</v>
      </c>
      <c r="G31" s="66" t="s">
        <v>87</v>
      </c>
      <c r="H31" s="66" t="s">
        <v>87</v>
      </c>
      <c r="I31" s="66" t="s">
        <v>87</v>
      </c>
      <c r="J31" s="66" t="s">
        <v>87</v>
      </c>
      <c r="K31" s="66" t="s">
        <v>87</v>
      </c>
      <c r="L31" s="66" t="s">
        <v>87</v>
      </c>
      <c r="N31" s="59" t="s">
        <v>302</v>
      </c>
      <c r="O31" s="59" t="s">
        <v>288</v>
      </c>
      <c r="P31" s="59" t="s">
        <v>288</v>
      </c>
      <c r="Q31" s="59" t="s">
        <v>288</v>
      </c>
      <c r="R31" s="59" t="s">
        <v>288</v>
      </c>
      <c r="S31" s="59" t="s">
        <v>288</v>
      </c>
      <c r="T31" s="59" t="s">
        <v>288</v>
      </c>
      <c r="U31" s="59" t="s">
        <v>288</v>
      </c>
      <c r="V31" s="62" t="s">
        <v>288</v>
      </c>
      <c r="W31" s="59" t="s">
        <v>288</v>
      </c>
      <c r="X31" s="59" t="s">
        <v>288</v>
      </c>
      <c r="Y31" s="1" t="s">
        <v>96</v>
      </c>
      <c r="Z31" s="1" t="s">
        <v>216</v>
      </c>
    </row>
    <row r="32" spans="1:26" s="54" customFormat="1">
      <c r="A32" s="131">
        <v>31</v>
      </c>
      <c r="B32" s="67" t="s">
        <v>98</v>
      </c>
      <c r="C32" s="66">
        <v>1</v>
      </c>
      <c r="D32" s="66" t="s">
        <v>87</v>
      </c>
      <c r="E32" s="66" t="s">
        <v>87</v>
      </c>
      <c r="F32" s="66" t="s">
        <v>87</v>
      </c>
      <c r="G32" s="66" t="s">
        <v>87</v>
      </c>
      <c r="H32" s="66" t="s">
        <v>87</v>
      </c>
      <c r="I32" s="66" t="s">
        <v>87</v>
      </c>
      <c r="J32" s="66" t="s">
        <v>87</v>
      </c>
      <c r="K32" s="66" t="s">
        <v>87</v>
      </c>
      <c r="L32" s="66" t="s">
        <v>87</v>
      </c>
      <c r="N32" s="59" t="s">
        <v>304</v>
      </c>
      <c r="O32" s="59" t="s">
        <v>270</v>
      </c>
      <c r="P32" s="59" t="s">
        <v>288</v>
      </c>
      <c r="Q32" s="59" t="s">
        <v>288</v>
      </c>
      <c r="R32" s="59" t="s">
        <v>288</v>
      </c>
      <c r="S32" s="59" t="s">
        <v>288</v>
      </c>
      <c r="T32" s="59" t="s">
        <v>288</v>
      </c>
      <c r="U32" s="59" t="s">
        <v>288</v>
      </c>
      <c r="V32" s="62" t="s">
        <v>288</v>
      </c>
      <c r="W32" s="59" t="s">
        <v>288</v>
      </c>
      <c r="X32" s="59" t="s">
        <v>288</v>
      </c>
      <c r="Y32" s="54" t="s">
        <v>0</v>
      </c>
      <c r="Z32" s="54" t="s">
        <v>210</v>
      </c>
    </row>
    <row r="33" spans="1:26" s="54" customFormat="1">
      <c r="A33" s="131">
        <v>32</v>
      </c>
      <c r="B33" s="67" t="s">
        <v>99</v>
      </c>
      <c r="C33" s="66">
        <v>1</v>
      </c>
      <c r="D33" s="66" t="s">
        <v>87</v>
      </c>
      <c r="E33" s="66" t="s">
        <v>87</v>
      </c>
      <c r="F33" s="66" t="s">
        <v>87</v>
      </c>
      <c r="G33" s="66" t="s">
        <v>87</v>
      </c>
      <c r="H33" s="66" t="s">
        <v>87</v>
      </c>
      <c r="I33" s="66" t="s">
        <v>87</v>
      </c>
      <c r="J33" s="66" t="s">
        <v>87</v>
      </c>
      <c r="K33" s="66" t="s">
        <v>87</v>
      </c>
      <c r="L33" s="66" t="s">
        <v>87</v>
      </c>
      <c r="N33" s="59" t="s">
        <v>303</v>
      </c>
      <c r="O33" s="59" t="s">
        <v>270</v>
      </c>
      <c r="P33" s="59" t="s">
        <v>288</v>
      </c>
      <c r="Q33" s="59" t="s">
        <v>288</v>
      </c>
      <c r="R33" s="59" t="s">
        <v>288</v>
      </c>
      <c r="S33" s="59" t="s">
        <v>288</v>
      </c>
      <c r="T33" s="59" t="s">
        <v>288</v>
      </c>
      <c r="U33" s="59" t="s">
        <v>288</v>
      </c>
      <c r="V33" s="62" t="s">
        <v>288</v>
      </c>
      <c r="W33" s="59" t="s">
        <v>288</v>
      </c>
      <c r="X33" s="59" t="s">
        <v>288</v>
      </c>
      <c r="Y33" s="54" t="s">
        <v>171</v>
      </c>
      <c r="Z33" s="54" t="s">
        <v>210</v>
      </c>
    </row>
    <row r="34" spans="1:26">
      <c r="A34" s="131">
        <v>33</v>
      </c>
      <c r="B34" s="64" t="s">
        <v>101</v>
      </c>
      <c r="C34" s="65" t="str">
        <f>IF($O34="ON","@",9006)</f>
        <v>@</v>
      </c>
      <c r="D34" s="66" t="s">
        <v>87</v>
      </c>
      <c r="E34" s="66" t="s">
        <v>87</v>
      </c>
      <c r="F34" s="66" t="s">
        <v>87</v>
      </c>
      <c r="G34" s="66" t="s">
        <v>87</v>
      </c>
      <c r="H34" s="66" t="s">
        <v>87</v>
      </c>
      <c r="I34" s="66" t="s">
        <v>87</v>
      </c>
      <c r="J34" s="66" t="s">
        <v>87</v>
      </c>
      <c r="K34" s="66" t="s">
        <v>87</v>
      </c>
      <c r="L34" s="66" t="s">
        <v>87</v>
      </c>
      <c r="N34" s="60" t="s">
        <v>306</v>
      </c>
      <c r="O34" s="61" t="s">
        <v>270</v>
      </c>
      <c r="P34" s="59" t="s">
        <v>288</v>
      </c>
      <c r="Q34" s="59" t="s">
        <v>288</v>
      </c>
      <c r="R34" s="59" t="s">
        <v>288</v>
      </c>
      <c r="S34" s="59" t="s">
        <v>288</v>
      </c>
      <c r="T34" s="59" t="s">
        <v>288</v>
      </c>
      <c r="U34" s="59" t="s">
        <v>288</v>
      </c>
      <c r="V34" s="62" t="s">
        <v>288</v>
      </c>
      <c r="W34" s="59" t="s">
        <v>288</v>
      </c>
      <c r="X34" s="59" t="s">
        <v>288</v>
      </c>
      <c r="Y34" s="1" t="s">
        <v>172</v>
      </c>
      <c r="Z34" s="1" t="s">
        <v>212</v>
      </c>
    </row>
    <row r="35" spans="1:26">
      <c r="A35" s="131">
        <v>34</v>
      </c>
      <c r="B35" s="64" t="s">
        <v>102</v>
      </c>
      <c r="C35" s="65" t="str">
        <f>IF($O35="ON","@",9008)</f>
        <v>@</v>
      </c>
      <c r="D35" s="66" t="s">
        <v>87</v>
      </c>
      <c r="E35" s="66" t="s">
        <v>87</v>
      </c>
      <c r="F35" s="66" t="s">
        <v>87</v>
      </c>
      <c r="G35" s="66" t="s">
        <v>87</v>
      </c>
      <c r="H35" s="66" t="s">
        <v>87</v>
      </c>
      <c r="I35" s="66" t="s">
        <v>87</v>
      </c>
      <c r="J35" s="66" t="s">
        <v>87</v>
      </c>
      <c r="K35" s="66" t="s">
        <v>87</v>
      </c>
      <c r="L35" s="66" t="s">
        <v>87</v>
      </c>
      <c r="N35" s="60" t="s">
        <v>307</v>
      </c>
      <c r="O35" s="61" t="s">
        <v>270</v>
      </c>
      <c r="P35" s="59" t="s">
        <v>288</v>
      </c>
      <c r="Q35" s="59" t="s">
        <v>288</v>
      </c>
      <c r="R35" s="59" t="s">
        <v>288</v>
      </c>
      <c r="S35" s="59" t="s">
        <v>288</v>
      </c>
      <c r="T35" s="59" t="s">
        <v>288</v>
      </c>
      <c r="U35" s="59" t="s">
        <v>288</v>
      </c>
      <c r="V35" s="62" t="s">
        <v>288</v>
      </c>
      <c r="W35" s="59" t="s">
        <v>288</v>
      </c>
      <c r="X35" s="59" t="s">
        <v>288</v>
      </c>
      <c r="Y35" s="1" t="s">
        <v>173</v>
      </c>
      <c r="Z35" s="1" t="s">
        <v>212</v>
      </c>
    </row>
    <row r="36" spans="1:26">
      <c r="A36" s="131">
        <v>35</v>
      </c>
      <c r="B36" s="64" t="s">
        <v>103</v>
      </c>
      <c r="C36" s="65" t="str">
        <f>IF($O36="ON","@",9009)</f>
        <v>@</v>
      </c>
      <c r="D36" s="66" t="s">
        <v>87</v>
      </c>
      <c r="E36" s="66" t="s">
        <v>87</v>
      </c>
      <c r="F36" s="66" t="s">
        <v>87</v>
      </c>
      <c r="G36" s="66" t="s">
        <v>87</v>
      </c>
      <c r="H36" s="66" t="s">
        <v>87</v>
      </c>
      <c r="I36" s="66" t="s">
        <v>87</v>
      </c>
      <c r="J36" s="66" t="s">
        <v>87</v>
      </c>
      <c r="K36" s="66" t="s">
        <v>87</v>
      </c>
      <c r="L36" s="66" t="s">
        <v>87</v>
      </c>
      <c r="N36" s="60" t="s">
        <v>308</v>
      </c>
      <c r="O36" s="61" t="s">
        <v>270</v>
      </c>
      <c r="P36" s="59" t="s">
        <v>288</v>
      </c>
      <c r="Q36" s="59" t="s">
        <v>288</v>
      </c>
      <c r="R36" s="59" t="s">
        <v>288</v>
      </c>
      <c r="S36" s="59" t="s">
        <v>288</v>
      </c>
      <c r="T36" s="59" t="s">
        <v>288</v>
      </c>
      <c r="U36" s="59" t="s">
        <v>288</v>
      </c>
      <c r="V36" s="62" t="s">
        <v>288</v>
      </c>
      <c r="W36" s="59" t="s">
        <v>288</v>
      </c>
      <c r="X36" s="59" t="s">
        <v>288</v>
      </c>
      <c r="Y36" s="1" t="s">
        <v>112</v>
      </c>
      <c r="Z36" s="1" t="s">
        <v>212</v>
      </c>
    </row>
    <row r="37" spans="1:26">
      <c r="A37" s="131">
        <v>36</v>
      </c>
      <c r="B37" s="64" t="s">
        <v>104</v>
      </c>
      <c r="C37" s="65" t="str">
        <f>IF($O37="ON","@",9001)</f>
        <v>@</v>
      </c>
      <c r="D37" s="66" t="s">
        <v>87</v>
      </c>
      <c r="E37" s="66" t="s">
        <v>87</v>
      </c>
      <c r="F37" s="66" t="s">
        <v>87</v>
      </c>
      <c r="G37" s="66" t="s">
        <v>87</v>
      </c>
      <c r="H37" s="66" t="s">
        <v>87</v>
      </c>
      <c r="I37" s="66" t="s">
        <v>87</v>
      </c>
      <c r="J37" s="66" t="s">
        <v>87</v>
      </c>
      <c r="K37" s="66" t="s">
        <v>87</v>
      </c>
      <c r="L37" s="66" t="s">
        <v>87</v>
      </c>
      <c r="N37" s="60" t="s">
        <v>309</v>
      </c>
      <c r="O37" s="61" t="s">
        <v>270</v>
      </c>
      <c r="P37" s="59" t="s">
        <v>288</v>
      </c>
      <c r="Q37" s="59" t="s">
        <v>288</v>
      </c>
      <c r="R37" s="59" t="s">
        <v>288</v>
      </c>
      <c r="S37" s="59" t="s">
        <v>288</v>
      </c>
      <c r="T37" s="59" t="s">
        <v>288</v>
      </c>
      <c r="U37" s="59" t="s">
        <v>288</v>
      </c>
      <c r="V37" s="62" t="s">
        <v>288</v>
      </c>
      <c r="W37" s="59" t="s">
        <v>288</v>
      </c>
      <c r="X37" s="59" t="s">
        <v>288</v>
      </c>
      <c r="Y37" s="1" t="s">
        <v>174</v>
      </c>
      <c r="Z37" s="1" t="s">
        <v>212</v>
      </c>
    </row>
    <row r="38" spans="1:26">
      <c r="A38" s="131">
        <v>37</v>
      </c>
      <c r="B38" s="64" t="s">
        <v>105</v>
      </c>
      <c r="C38" s="65" t="str">
        <f>IF($O38="ON","@",9002)</f>
        <v>@</v>
      </c>
      <c r="D38" s="66" t="s">
        <v>87</v>
      </c>
      <c r="E38" s="66" t="s">
        <v>87</v>
      </c>
      <c r="F38" s="66" t="s">
        <v>87</v>
      </c>
      <c r="G38" s="66" t="s">
        <v>87</v>
      </c>
      <c r="H38" s="66" t="s">
        <v>87</v>
      </c>
      <c r="I38" s="66" t="s">
        <v>87</v>
      </c>
      <c r="J38" s="66" t="s">
        <v>87</v>
      </c>
      <c r="K38" s="66" t="s">
        <v>87</v>
      </c>
      <c r="L38" s="66" t="s">
        <v>87</v>
      </c>
      <c r="N38" s="60" t="s">
        <v>310</v>
      </c>
      <c r="O38" s="61" t="s">
        <v>270</v>
      </c>
      <c r="P38" s="59" t="s">
        <v>288</v>
      </c>
      <c r="Q38" s="59" t="s">
        <v>288</v>
      </c>
      <c r="R38" s="59" t="s">
        <v>288</v>
      </c>
      <c r="S38" s="59" t="s">
        <v>288</v>
      </c>
      <c r="T38" s="59" t="s">
        <v>288</v>
      </c>
      <c r="U38" s="59" t="s">
        <v>288</v>
      </c>
      <c r="V38" s="62" t="s">
        <v>288</v>
      </c>
      <c r="W38" s="59" t="s">
        <v>288</v>
      </c>
      <c r="X38" s="59" t="s">
        <v>288</v>
      </c>
      <c r="Y38" s="1" t="s">
        <v>175</v>
      </c>
      <c r="Z38" s="1" t="s">
        <v>212</v>
      </c>
    </row>
    <row r="39" spans="1:26">
      <c r="A39" s="131">
        <v>38</v>
      </c>
      <c r="B39" s="64" t="s">
        <v>106</v>
      </c>
      <c r="C39" s="65" t="str">
        <f>IF($O39="ON","@",8003)</f>
        <v>@</v>
      </c>
      <c r="D39" s="66" t="s">
        <v>87</v>
      </c>
      <c r="E39" s="66" t="s">
        <v>87</v>
      </c>
      <c r="F39" s="66" t="s">
        <v>87</v>
      </c>
      <c r="G39" s="66" t="s">
        <v>87</v>
      </c>
      <c r="H39" s="66" t="s">
        <v>87</v>
      </c>
      <c r="I39" s="66" t="s">
        <v>87</v>
      </c>
      <c r="J39" s="66" t="s">
        <v>87</v>
      </c>
      <c r="K39" s="66" t="s">
        <v>87</v>
      </c>
      <c r="L39" s="66" t="s">
        <v>87</v>
      </c>
      <c r="N39" s="60" t="s">
        <v>311</v>
      </c>
      <c r="O39" s="61" t="s">
        <v>270</v>
      </c>
      <c r="P39" s="59" t="s">
        <v>288</v>
      </c>
      <c r="Q39" s="59" t="s">
        <v>288</v>
      </c>
      <c r="R39" s="59" t="s">
        <v>288</v>
      </c>
      <c r="S39" s="59" t="s">
        <v>288</v>
      </c>
      <c r="T39" s="59" t="s">
        <v>288</v>
      </c>
      <c r="U39" s="59" t="s">
        <v>288</v>
      </c>
      <c r="V39" s="62" t="s">
        <v>288</v>
      </c>
      <c r="W39" s="59" t="s">
        <v>288</v>
      </c>
      <c r="X39" s="59" t="s">
        <v>288</v>
      </c>
      <c r="Y39" s="1" t="s">
        <v>176</v>
      </c>
      <c r="Z39" s="1" t="s">
        <v>212</v>
      </c>
    </row>
    <row r="40" spans="1:26">
      <c r="A40" s="131">
        <v>39</v>
      </c>
      <c r="B40" s="64" t="s">
        <v>107</v>
      </c>
      <c r="C40" s="65" t="str">
        <f>IF($O40="ON","@",9010)</f>
        <v>@</v>
      </c>
      <c r="D40" s="66" t="s">
        <v>87</v>
      </c>
      <c r="E40" s="66" t="s">
        <v>87</v>
      </c>
      <c r="F40" s="66" t="s">
        <v>87</v>
      </c>
      <c r="G40" s="66" t="s">
        <v>87</v>
      </c>
      <c r="H40" s="66" t="s">
        <v>87</v>
      </c>
      <c r="I40" s="66" t="s">
        <v>87</v>
      </c>
      <c r="J40" s="66" t="s">
        <v>87</v>
      </c>
      <c r="K40" s="66" t="s">
        <v>87</v>
      </c>
      <c r="L40" s="66" t="s">
        <v>87</v>
      </c>
      <c r="N40" s="60" t="s">
        <v>312</v>
      </c>
      <c r="O40" s="61" t="s">
        <v>270</v>
      </c>
      <c r="P40" s="59" t="s">
        <v>288</v>
      </c>
      <c r="Q40" s="59" t="s">
        <v>288</v>
      </c>
      <c r="R40" s="59" t="s">
        <v>288</v>
      </c>
      <c r="S40" s="59" t="s">
        <v>288</v>
      </c>
      <c r="T40" s="59" t="s">
        <v>288</v>
      </c>
      <c r="U40" s="59" t="s">
        <v>288</v>
      </c>
      <c r="V40" s="62" t="s">
        <v>288</v>
      </c>
      <c r="W40" s="59" t="s">
        <v>288</v>
      </c>
      <c r="X40" s="59" t="s">
        <v>288</v>
      </c>
      <c r="Y40" s="1" t="s">
        <v>177</v>
      </c>
      <c r="Z40" s="1" t="s">
        <v>212</v>
      </c>
    </row>
    <row r="41" spans="1:26">
      <c r="A41" s="131">
        <v>40</v>
      </c>
      <c r="B41" s="64" t="s">
        <v>108</v>
      </c>
      <c r="C41" s="65" t="str">
        <f>IF($O41="ON","@","@")</f>
        <v>@</v>
      </c>
      <c r="D41" s="66" t="s">
        <v>87</v>
      </c>
      <c r="E41" s="66" t="s">
        <v>87</v>
      </c>
      <c r="F41" s="66" t="s">
        <v>87</v>
      </c>
      <c r="G41" s="66" t="s">
        <v>87</v>
      </c>
      <c r="H41" s="66" t="s">
        <v>87</v>
      </c>
      <c r="I41" s="66" t="s">
        <v>87</v>
      </c>
      <c r="J41" s="66" t="s">
        <v>87</v>
      </c>
      <c r="K41" s="66" t="s">
        <v>87</v>
      </c>
      <c r="L41" s="66" t="s">
        <v>87</v>
      </c>
      <c r="N41" s="60" t="s">
        <v>313</v>
      </c>
      <c r="O41" s="61" t="s">
        <v>270</v>
      </c>
      <c r="P41" s="59" t="s">
        <v>288</v>
      </c>
      <c r="Q41" s="59" t="s">
        <v>288</v>
      </c>
      <c r="R41" s="59" t="s">
        <v>288</v>
      </c>
      <c r="S41" s="59" t="s">
        <v>288</v>
      </c>
      <c r="T41" s="59" t="s">
        <v>288</v>
      </c>
      <c r="U41" s="59" t="s">
        <v>288</v>
      </c>
      <c r="V41" s="62" t="s">
        <v>288</v>
      </c>
      <c r="W41" s="59" t="s">
        <v>288</v>
      </c>
      <c r="X41" s="59" t="s">
        <v>288</v>
      </c>
      <c r="Y41" s="1" t="s">
        <v>178</v>
      </c>
      <c r="Z41" s="1" t="s">
        <v>212</v>
      </c>
    </row>
    <row r="42" spans="1:26">
      <c r="A42" s="131">
        <v>41</v>
      </c>
      <c r="B42" s="64" t="s">
        <v>109</v>
      </c>
      <c r="C42" s="65" t="str">
        <f>IF($O42="ON","@","@")</f>
        <v>@</v>
      </c>
      <c r="D42" s="66" t="s">
        <v>87</v>
      </c>
      <c r="E42" s="66" t="s">
        <v>87</v>
      </c>
      <c r="F42" s="66" t="s">
        <v>87</v>
      </c>
      <c r="G42" s="66" t="s">
        <v>87</v>
      </c>
      <c r="H42" s="66" t="s">
        <v>87</v>
      </c>
      <c r="I42" s="66" t="s">
        <v>87</v>
      </c>
      <c r="J42" s="66" t="s">
        <v>87</v>
      </c>
      <c r="K42" s="66" t="s">
        <v>87</v>
      </c>
      <c r="L42" s="66" t="s">
        <v>87</v>
      </c>
      <c r="N42" s="60" t="s">
        <v>314</v>
      </c>
      <c r="O42" s="61" t="s">
        <v>270</v>
      </c>
      <c r="P42" s="59" t="s">
        <v>288</v>
      </c>
      <c r="Q42" s="59" t="s">
        <v>288</v>
      </c>
      <c r="R42" s="59" t="s">
        <v>288</v>
      </c>
      <c r="S42" s="59" t="s">
        <v>288</v>
      </c>
      <c r="T42" s="59" t="s">
        <v>288</v>
      </c>
      <c r="U42" s="59" t="s">
        <v>288</v>
      </c>
      <c r="V42" s="62" t="s">
        <v>288</v>
      </c>
      <c r="W42" s="59" t="s">
        <v>288</v>
      </c>
      <c r="X42" s="59" t="s">
        <v>288</v>
      </c>
      <c r="Y42" s="1" t="s">
        <v>178</v>
      </c>
      <c r="Z42" s="1" t="s">
        <v>212</v>
      </c>
    </row>
    <row r="43" spans="1:26">
      <c r="A43" s="131">
        <v>42</v>
      </c>
      <c r="B43" s="64" t="s">
        <v>110</v>
      </c>
      <c r="C43" s="65" t="str">
        <f>IF($O43="ON","@","@")</f>
        <v>@</v>
      </c>
      <c r="D43" s="66" t="s">
        <v>87</v>
      </c>
      <c r="E43" s="66" t="s">
        <v>87</v>
      </c>
      <c r="F43" s="66" t="s">
        <v>87</v>
      </c>
      <c r="G43" s="66" t="s">
        <v>87</v>
      </c>
      <c r="H43" s="66" t="s">
        <v>87</v>
      </c>
      <c r="I43" s="66" t="s">
        <v>87</v>
      </c>
      <c r="J43" s="66" t="s">
        <v>87</v>
      </c>
      <c r="K43" s="66" t="s">
        <v>87</v>
      </c>
      <c r="L43" s="66" t="s">
        <v>87</v>
      </c>
      <c r="N43" s="60" t="s">
        <v>315</v>
      </c>
      <c r="O43" s="61" t="s">
        <v>270</v>
      </c>
      <c r="P43" s="59" t="s">
        <v>288</v>
      </c>
      <c r="Q43" s="59" t="s">
        <v>288</v>
      </c>
      <c r="R43" s="59" t="s">
        <v>288</v>
      </c>
      <c r="S43" s="59" t="s">
        <v>288</v>
      </c>
      <c r="T43" s="59" t="s">
        <v>288</v>
      </c>
      <c r="U43" s="59" t="s">
        <v>288</v>
      </c>
      <c r="V43" s="62" t="s">
        <v>288</v>
      </c>
      <c r="W43" s="59" t="s">
        <v>288</v>
      </c>
      <c r="X43" s="59" t="s">
        <v>288</v>
      </c>
      <c r="Y43" s="1" t="s">
        <v>178</v>
      </c>
      <c r="Z43" s="1" t="s">
        <v>212</v>
      </c>
    </row>
    <row r="44" spans="1:26">
      <c r="A44" s="131">
        <v>43</v>
      </c>
      <c r="B44" s="64" t="s">
        <v>217</v>
      </c>
      <c r="C44" s="65" t="str">
        <f>IF($O44="ON","@",9011)</f>
        <v>@</v>
      </c>
      <c r="D44" s="66" t="s">
        <v>87</v>
      </c>
      <c r="E44" s="66" t="s">
        <v>87</v>
      </c>
      <c r="F44" s="66" t="s">
        <v>87</v>
      </c>
      <c r="G44" s="66" t="s">
        <v>87</v>
      </c>
      <c r="H44" s="66" t="s">
        <v>87</v>
      </c>
      <c r="I44" s="66" t="s">
        <v>87</v>
      </c>
      <c r="J44" s="66" t="s">
        <v>87</v>
      </c>
      <c r="K44" s="66" t="s">
        <v>87</v>
      </c>
      <c r="L44" s="66" t="s">
        <v>87</v>
      </c>
      <c r="N44" s="60" t="s">
        <v>316</v>
      </c>
      <c r="O44" s="61" t="s">
        <v>270</v>
      </c>
      <c r="P44" s="59" t="s">
        <v>288</v>
      </c>
      <c r="Q44" s="59" t="s">
        <v>288</v>
      </c>
      <c r="R44" s="59" t="s">
        <v>288</v>
      </c>
      <c r="S44" s="59" t="s">
        <v>288</v>
      </c>
      <c r="T44" s="59" t="s">
        <v>288</v>
      </c>
      <c r="U44" s="59" t="s">
        <v>288</v>
      </c>
      <c r="V44" s="62" t="s">
        <v>288</v>
      </c>
      <c r="W44" s="59" t="s">
        <v>288</v>
      </c>
      <c r="X44" s="59" t="s">
        <v>288</v>
      </c>
      <c r="Y44" s="1" t="s">
        <v>179</v>
      </c>
      <c r="Z44" s="1" t="s">
        <v>212</v>
      </c>
    </row>
    <row r="45" spans="1:26">
      <c r="A45" s="131">
        <v>44</v>
      </c>
      <c r="B45" s="64" t="s">
        <v>218</v>
      </c>
      <c r="C45" s="65">
        <f>IF($O45="on",1,"@")</f>
        <v>1</v>
      </c>
      <c r="D45" s="66" t="s">
        <v>87</v>
      </c>
      <c r="E45" s="66" t="s">
        <v>87</v>
      </c>
      <c r="F45" s="66" t="s">
        <v>87</v>
      </c>
      <c r="G45" s="66" t="s">
        <v>87</v>
      </c>
      <c r="H45" s="66" t="s">
        <v>87</v>
      </c>
      <c r="I45" s="66" t="s">
        <v>87</v>
      </c>
      <c r="J45" s="66" t="s">
        <v>87</v>
      </c>
      <c r="K45" s="66" t="s">
        <v>87</v>
      </c>
      <c r="L45" s="66" t="s">
        <v>87</v>
      </c>
      <c r="N45" s="60" t="s">
        <v>317</v>
      </c>
      <c r="O45" s="61" t="s">
        <v>270</v>
      </c>
      <c r="P45" s="59" t="s">
        <v>288</v>
      </c>
      <c r="Q45" s="59" t="s">
        <v>288</v>
      </c>
      <c r="R45" s="59" t="s">
        <v>288</v>
      </c>
      <c r="S45" s="59" t="s">
        <v>288</v>
      </c>
      <c r="T45" s="59" t="s">
        <v>288</v>
      </c>
      <c r="U45" s="59" t="s">
        <v>288</v>
      </c>
      <c r="V45" s="62" t="s">
        <v>288</v>
      </c>
      <c r="W45" s="59" t="s">
        <v>288</v>
      </c>
      <c r="X45" s="59" t="s">
        <v>288</v>
      </c>
      <c r="Y45" s="1" t="s">
        <v>0</v>
      </c>
      <c r="Z45" s="1" t="s">
        <v>210</v>
      </c>
    </row>
    <row r="46" spans="1:26">
      <c r="A46" s="131">
        <v>45</v>
      </c>
      <c r="B46" s="64" t="s">
        <v>220</v>
      </c>
      <c r="C46" s="65" t="str">
        <f>IF($O46="ON","@",3701201)</f>
        <v>@</v>
      </c>
      <c r="D46" s="65" t="str">
        <f>IF($P46="ON","@",3701204)</f>
        <v>@</v>
      </c>
      <c r="E46" s="65" t="str">
        <f>IF($Q46="ON","@",3701207)</f>
        <v>@</v>
      </c>
      <c r="F46" s="65" t="str">
        <f>IF($R46="ON","@",3701210)</f>
        <v>@</v>
      </c>
      <c r="G46" s="65" t="str">
        <f>IF($S46="ON","@",3701213)</f>
        <v>@</v>
      </c>
      <c r="H46" s="65" t="str">
        <f>IF($T46="ON","@",3701216)</f>
        <v>@</v>
      </c>
      <c r="I46" s="66" t="str">
        <f>IF($U46="ON","@","@")</f>
        <v>@</v>
      </c>
      <c r="J46" s="66" t="str">
        <f>IF($V46="ON","@","@")</f>
        <v>@</v>
      </c>
      <c r="K46" s="66" t="str">
        <f>IF($W46="ON","@","@")</f>
        <v>@</v>
      </c>
      <c r="L46" s="66" t="str">
        <f>IF($X46="ON","@","@")</f>
        <v>@</v>
      </c>
      <c r="N46" s="60" t="s">
        <v>318</v>
      </c>
      <c r="O46" s="61" t="s">
        <v>277</v>
      </c>
      <c r="P46" s="61" t="s">
        <v>277</v>
      </c>
      <c r="Q46" s="61" t="s">
        <v>277</v>
      </c>
      <c r="R46" s="61" t="s">
        <v>277</v>
      </c>
      <c r="S46" s="61" t="s">
        <v>277</v>
      </c>
      <c r="T46" s="61" t="s">
        <v>277</v>
      </c>
      <c r="U46" s="59" t="s">
        <v>288</v>
      </c>
      <c r="V46" s="62" t="s">
        <v>288</v>
      </c>
      <c r="W46" s="59" t="s">
        <v>288</v>
      </c>
      <c r="X46" s="59" t="s">
        <v>288</v>
      </c>
      <c r="Y46" s="1" t="s">
        <v>267</v>
      </c>
      <c r="Z46" s="1" t="s">
        <v>212</v>
      </c>
    </row>
    <row r="47" spans="1:26">
      <c r="A47" s="131">
        <v>46</v>
      </c>
      <c r="B47" s="64" t="s">
        <v>221</v>
      </c>
      <c r="C47" s="65" t="str">
        <f>IF($O47="ON","@",3701219)</f>
        <v>@</v>
      </c>
      <c r="D47" s="66" t="s">
        <v>87</v>
      </c>
      <c r="E47" s="66" t="s">
        <v>87</v>
      </c>
      <c r="F47" s="66" t="s">
        <v>87</v>
      </c>
      <c r="G47" s="66" t="s">
        <v>87</v>
      </c>
      <c r="H47" s="66" t="s">
        <v>87</v>
      </c>
      <c r="I47" s="66" t="s">
        <v>87</v>
      </c>
      <c r="J47" s="66" t="s">
        <v>87</v>
      </c>
      <c r="K47" s="66" t="s">
        <v>87</v>
      </c>
      <c r="L47" s="66" t="s">
        <v>87</v>
      </c>
      <c r="N47" s="60" t="s">
        <v>320</v>
      </c>
      <c r="O47" s="61" t="s">
        <v>277</v>
      </c>
      <c r="P47" s="59" t="s">
        <v>288</v>
      </c>
      <c r="Q47" s="59" t="s">
        <v>288</v>
      </c>
      <c r="R47" s="59" t="s">
        <v>288</v>
      </c>
      <c r="S47" s="59" t="s">
        <v>288</v>
      </c>
      <c r="T47" s="59" t="s">
        <v>288</v>
      </c>
      <c r="U47" s="59" t="s">
        <v>288</v>
      </c>
      <c r="V47" s="62" t="s">
        <v>288</v>
      </c>
      <c r="W47" s="59" t="s">
        <v>288</v>
      </c>
      <c r="X47" s="59" t="s">
        <v>288</v>
      </c>
      <c r="Y47" s="1" t="s">
        <v>222</v>
      </c>
      <c r="Z47" s="1" t="s">
        <v>212</v>
      </c>
    </row>
    <row r="48" spans="1:26" s="2" customFormat="1">
      <c r="A48" s="131">
        <v>47</v>
      </c>
      <c r="B48" s="71" t="s">
        <v>322</v>
      </c>
      <c r="C48" s="65">
        <f t="shared" ref="C48" si="3">IF($O48="on",1,"@")</f>
        <v>1</v>
      </c>
      <c r="D48" s="66" t="s">
        <v>87</v>
      </c>
      <c r="E48" s="66" t="s">
        <v>87</v>
      </c>
      <c r="F48" s="66" t="s">
        <v>87</v>
      </c>
      <c r="G48" s="66" t="s">
        <v>87</v>
      </c>
      <c r="H48" s="66" t="s">
        <v>87</v>
      </c>
      <c r="I48" s="66" t="s">
        <v>87</v>
      </c>
      <c r="J48" s="66" t="s">
        <v>87</v>
      </c>
      <c r="K48" s="66" t="s">
        <v>87</v>
      </c>
      <c r="L48" s="66" t="s">
        <v>87</v>
      </c>
      <c r="M48" s="53"/>
      <c r="N48" s="60" t="s">
        <v>321</v>
      </c>
      <c r="O48" s="61" t="s">
        <v>270</v>
      </c>
      <c r="P48" s="59" t="s">
        <v>288</v>
      </c>
      <c r="Q48" s="59" t="s">
        <v>288</v>
      </c>
      <c r="R48" s="59" t="s">
        <v>288</v>
      </c>
      <c r="S48" s="59" t="s">
        <v>288</v>
      </c>
      <c r="T48" s="59" t="s">
        <v>288</v>
      </c>
      <c r="U48" s="59" t="s">
        <v>288</v>
      </c>
      <c r="V48" s="62" t="s">
        <v>288</v>
      </c>
      <c r="W48" s="59" t="s">
        <v>288</v>
      </c>
      <c r="X48" s="59" t="s">
        <v>288</v>
      </c>
      <c r="Y48" s="2" t="s">
        <v>0</v>
      </c>
      <c r="Z48" s="2" t="s">
        <v>210</v>
      </c>
    </row>
    <row r="49" spans="1:26">
      <c r="A49" s="131">
        <v>48</v>
      </c>
      <c r="B49" s="72" t="s">
        <v>326</v>
      </c>
      <c r="C49" s="65" t="str">
        <f>IF($O49="on","@",6091101)</f>
        <v>@</v>
      </c>
      <c r="D49" s="67" t="s">
        <v>328</v>
      </c>
      <c r="E49" s="67" t="s">
        <v>87</v>
      </c>
      <c r="F49" s="67" t="s">
        <v>87</v>
      </c>
      <c r="G49" s="67" t="s">
        <v>87</v>
      </c>
      <c r="H49" s="67" t="s">
        <v>87</v>
      </c>
      <c r="I49" s="67" t="s">
        <v>87</v>
      </c>
      <c r="J49" s="67" t="s">
        <v>87</v>
      </c>
      <c r="K49" s="67" t="s">
        <v>87</v>
      </c>
      <c r="L49" s="67" t="s">
        <v>87</v>
      </c>
      <c r="N49" s="60" t="s">
        <v>329</v>
      </c>
      <c r="O49" s="61" t="s">
        <v>270</v>
      </c>
      <c r="P49" s="59" t="s">
        <v>288</v>
      </c>
      <c r="Q49" s="59" t="s">
        <v>288</v>
      </c>
      <c r="R49" s="59" t="s">
        <v>288</v>
      </c>
      <c r="S49" s="59" t="s">
        <v>288</v>
      </c>
      <c r="T49" s="59" t="s">
        <v>288</v>
      </c>
      <c r="U49" s="59" t="s">
        <v>288</v>
      </c>
      <c r="V49" s="62" t="s">
        <v>288</v>
      </c>
      <c r="W49" s="59" t="s">
        <v>288</v>
      </c>
      <c r="X49" s="59" t="s">
        <v>288</v>
      </c>
      <c r="Y49" s="1" t="s">
        <v>351</v>
      </c>
      <c r="Z49" s="1" t="s">
        <v>331</v>
      </c>
    </row>
    <row r="50" spans="1:26">
      <c r="A50" s="131">
        <v>49</v>
      </c>
      <c r="B50" s="72" t="s">
        <v>327</v>
      </c>
      <c r="C50" s="65" t="str">
        <f>IF($O50="on","@",2266)</f>
        <v>@</v>
      </c>
      <c r="D50" s="65" t="str">
        <f>IF($P50="on","@",2263)</f>
        <v>@</v>
      </c>
      <c r="E50" s="65" t="str">
        <f>IF($Q50="on","@",2267)</f>
        <v>@</v>
      </c>
      <c r="F50" s="65" t="str">
        <f>IF($R50="on","@",2264)</f>
        <v>@</v>
      </c>
      <c r="G50" s="65" t="str">
        <f>IF($S50="on","@",2268)</f>
        <v>@</v>
      </c>
      <c r="H50" s="65" t="str">
        <f>IF($T50="on","@",2265)</f>
        <v>@</v>
      </c>
      <c r="I50" s="67" t="s">
        <v>87</v>
      </c>
      <c r="J50" s="67" t="s">
        <v>87</v>
      </c>
      <c r="K50" s="67" t="s">
        <v>87</v>
      </c>
      <c r="L50" s="67" t="s">
        <v>87</v>
      </c>
      <c r="N50" s="60" t="s">
        <v>330</v>
      </c>
      <c r="O50" s="61" t="s">
        <v>270</v>
      </c>
      <c r="P50" s="61" t="s">
        <v>270</v>
      </c>
      <c r="Q50" s="61" t="s">
        <v>270</v>
      </c>
      <c r="R50" s="61" t="s">
        <v>270</v>
      </c>
      <c r="S50" s="61" t="s">
        <v>270</v>
      </c>
      <c r="T50" s="61" t="s">
        <v>270</v>
      </c>
      <c r="U50" s="59" t="s">
        <v>288</v>
      </c>
      <c r="V50" s="62" t="s">
        <v>288</v>
      </c>
      <c r="W50" s="59" t="s">
        <v>288</v>
      </c>
      <c r="X50" s="59" t="s">
        <v>288</v>
      </c>
      <c r="Y50" s="1" t="s">
        <v>353</v>
      </c>
      <c r="Z50" s="1" t="s">
        <v>331</v>
      </c>
    </row>
    <row r="51" spans="1:26">
      <c r="A51" s="131">
        <v>50</v>
      </c>
      <c r="B51" s="93" t="s">
        <v>356</v>
      </c>
      <c r="C51" s="94" t="str">
        <f>IF($O51="ON","@",3701225)</f>
        <v>@</v>
      </c>
      <c r="D51" s="95" t="s">
        <v>87</v>
      </c>
      <c r="E51" s="95" t="s">
        <v>87</v>
      </c>
      <c r="F51" s="95" t="s">
        <v>87</v>
      </c>
      <c r="G51" s="95" t="s">
        <v>87</v>
      </c>
      <c r="H51" s="95" t="s">
        <v>87</v>
      </c>
      <c r="I51" s="95" t="s">
        <v>87</v>
      </c>
      <c r="J51" s="95" t="s">
        <v>87</v>
      </c>
      <c r="K51" s="95" t="s">
        <v>87</v>
      </c>
      <c r="L51" s="95" t="s">
        <v>87</v>
      </c>
      <c r="M51" s="96"/>
      <c r="N51" s="97" t="s">
        <v>365</v>
      </c>
      <c r="O51" s="98" t="s">
        <v>277</v>
      </c>
      <c r="P51" s="99" t="s">
        <v>288</v>
      </c>
      <c r="Q51" s="99" t="s">
        <v>288</v>
      </c>
      <c r="R51" s="99" t="s">
        <v>288</v>
      </c>
      <c r="S51" s="99" t="s">
        <v>288</v>
      </c>
      <c r="T51" s="99" t="s">
        <v>288</v>
      </c>
      <c r="U51" s="99" t="s">
        <v>288</v>
      </c>
      <c r="V51" s="100" t="s">
        <v>288</v>
      </c>
      <c r="W51" s="99" t="s">
        <v>288</v>
      </c>
      <c r="X51" s="99" t="s">
        <v>288</v>
      </c>
      <c r="Y51" s="101" t="s">
        <v>361</v>
      </c>
      <c r="Z51" s="1" t="s">
        <v>212</v>
      </c>
    </row>
    <row r="52" spans="1:26">
      <c r="A52" s="131">
        <v>51</v>
      </c>
      <c r="B52" s="93" t="s">
        <v>359</v>
      </c>
      <c r="C52" s="94" t="str">
        <f>IF($O52="ON","@",98)</f>
        <v>@</v>
      </c>
      <c r="D52" s="95" t="s">
        <v>87</v>
      </c>
      <c r="E52" s="95" t="s">
        <v>87</v>
      </c>
      <c r="F52" s="95" t="s">
        <v>87</v>
      </c>
      <c r="G52" s="95" t="s">
        <v>87</v>
      </c>
      <c r="H52" s="95" t="s">
        <v>87</v>
      </c>
      <c r="I52" s="95" t="s">
        <v>87</v>
      </c>
      <c r="J52" s="95" t="s">
        <v>87</v>
      </c>
      <c r="K52" s="95" t="s">
        <v>87</v>
      </c>
      <c r="L52" s="95" t="s">
        <v>87</v>
      </c>
      <c r="M52" s="96"/>
      <c r="N52" s="97" t="s">
        <v>366</v>
      </c>
      <c r="O52" s="98" t="s">
        <v>277</v>
      </c>
      <c r="P52" s="99" t="s">
        <v>288</v>
      </c>
      <c r="Q52" s="99" t="s">
        <v>288</v>
      </c>
      <c r="R52" s="99" t="s">
        <v>288</v>
      </c>
      <c r="S52" s="99" t="s">
        <v>288</v>
      </c>
      <c r="T52" s="99" t="s">
        <v>288</v>
      </c>
      <c r="U52" s="99" t="s">
        <v>288</v>
      </c>
      <c r="V52" s="100" t="s">
        <v>288</v>
      </c>
      <c r="W52" s="99" t="s">
        <v>288</v>
      </c>
      <c r="X52" s="99" t="s">
        <v>288</v>
      </c>
      <c r="Y52" s="102" t="s">
        <v>369</v>
      </c>
      <c r="Z52" s="1" t="s">
        <v>212</v>
      </c>
    </row>
    <row r="53" spans="1:26">
      <c r="A53" s="131">
        <v>52</v>
      </c>
      <c r="B53" s="93" t="s">
        <v>370</v>
      </c>
      <c r="C53" s="94" t="str">
        <f>IF($O53="ON","@",3701226)</f>
        <v>@</v>
      </c>
      <c r="D53" s="95" t="s">
        <v>87</v>
      </c>
      <c r="E53" s="95" t="s">
        <v>87</v>
      </c>
      <c r="F53" s="95" t="s">
        <v>87</v>
      </c>
      <c r="G53" s="95" t="s">
        <v>87</v>
      </c>
      <c r="H53" s="95" t="s">
        <v>87</v>
      </c>
      <c r="I53" s="95" t="s">
        <v>87</v>
      </c>
      <c r="J53" s="95" t="s">
        <v>87</v>
      </c>
      <c r="K53" s="95" t="s">
        <v>87</v>
      </c>
      <c r="L53" s="95" t="s">
        <v>87</v>
      </c>
      <c r="M53" s="96"/>
      <c r="N53" s="97" t="s">
        <v>367</v>
      </c>
      <c r="O53" s="98" t="s">
        <v>270</v>
      </c>
      <c r="P53" s="99" t="s">
        <v>288</v>
      </c>
      <c r="Q53" s="99" t="s">
        <v>288</v>
      </c>
      <c r="R53" s="99" t="s">
        <v>288</v>
      </c>
      <c r="S53" s="99" t="s">
        <v>288</v>
      </c>
      <c r="T53" s="99" t="s">
        <v>288</v>
      </c>
      <c r="U53" s="99" t="s">
        <v>288</v>
      </c>
      <c r="V53" s="100" t="s">
        <v>288</v>
      </c>
      <c r="W53" s="99" t="s">
        <v>288</v>
      </c>
      <c r="X53" s="99" t="s">
        <v>288</v>
      </c>
      <c r="Y53" s="101" t="s">
        <v>368</v>
      </c>
      <c r="Z53" s="1" t="s">
        <v>212</v>
      </c>
    </row>
    <row r="54" spans="1:26">
      <c r="A54" s="131">
        <v>53</v>
      </c>
      <c r="B54" s="93" t="s">
        <v>364</v>
      </c>
      <c r="C54" s="94" t="str">
        <f>IF($O54="ON","@",99)</f>
        <v>@</v>
      </c>
      <c r="D54" s="95" t="s">
        <v>87</v>
      </c>
      <c r="E54" s="95" t="s">
        <v>87</v>
      </c>
      <c r="F54" s="95" t="s">
        <v>87</v>
      </c>
      <c r="G54" s="95" t="s">
        <v>87</v>
      </c>
      <c r="H54" s="95" t="s">
        <v>87</v>
      </c>
      <c r="I54" s="95" t="s">
        <v>87</v>
      </c>
      <c r="J54" s="95" t="s">
        <v>87</v>
      </c>
      <c r="K54" s="95" t="s">
        <v>87</v>
      </c>
      <c r="L54" s="95" t="s">
        <v>87</v>
      </c>
      <c r="M54" s="96"/>
      <c r="N54" s="97" t="s">
        <v>377</v>
      </c>
      <c r="O54" s="98" t="s">
        <v>270</v>
      </c>
      <c r="P54" s="99" t="s">
        <v>288</v>
      </c>
      <c r="Q54" s="99" t="s">
        <v>288</v>
      </c>
      <c r="R54" s="99" t="s">
        <v>288</v>
      </c>
      <c r="S54" s="99" t="s">
        <v>288</v>
      </c>
      <c r="T54" s="99" t="s">
        <v>288</v>
      </c>
      <c r="U54" s="99" t="s">
        <v>288</v>
      </c>
      <c r="V54" s="100" t="s">
        <v>288</v>
      </c>
      <c r="W54" s="99" t="s">
        <v>288</v>
      </c>
      <c r="X54" s="99" t="s">
        <v>288</v>
      </c>
      <c r="Y54" s="102" t="s">
        <v>378</v>
      </c>
      <c r="Z54" s="1" t="s">
        <v>212</v>
      </c>
    </row>
    <row r="55" spans="1:26">
      <c r="A55" s="131">
        <v>54</v>
      </c>
      <c r="B55" s="2" t="s">
        <v>384</v>
      </c>
      <c r="C55" s="86">
        <f>IF($O55="old",1,IF($O55="new",2,IF($O55="off","@")))</f>
        <v>1</v>
      </c>
      <c r="D55" s="87" t="s">
        <v>87</v>
      </c>
      <c r="E55" s="87" t="s">
        <v>87</v>
      </c>
      <c r="F55" s="87" t="s">
        <v>87</v>
      </c>
      <c r="G55" s="87" t="s">
        <v>87</v>
      </c>
      <c r="H55" s="87" t="s">
        <v>87</v>
      </c>
      <c r="I55" s="87" t="s">
        <v>87</v>
      </c>
      <c r="J55" s="87" t="s">
        <v>87</v>
      </c>
      <c r="K55" s="87" t="s">
        <v>87</v>
      </c>
      <c r="L55" s="87" t="s">
        <v>87</v>
      </c>
      <c r="M55" s="53"/>
      <c r="N55" s="92" t="s">
        <v>385</v>
      </c>
      <c r="O55" s="88" t="s">
        <v>388</v>
      </c>
      <c r="P55" s="89" t="s">
        <v>288</v>
      </c>
      <c r="Q55" s="89" t="s">
        <v>288</v>
      </c>
      <c r="R55" s="89" t="s">
        <v>288</v>
      </c>
      <c r="S55" s="89" t="s">
        <v>288</v>
      </c>
      <c r="T55" s="89" t="s">
        <v>288</v>
      </c>
      <c r="U55" s="89" t="s">
        <v>288</v>
      </c>
      <c r="V55" s="90" t="s">
        <v>288</v>
      </c>
      <c r="W55" s="89" t="s">
        <v>288</v>
      </c>
      <c r="X55" s="89" t="s">
        <v>288</v>
      </c>
      <c r="Y55" s="2" t="s">
        <v>390</v>
      </c>
      <c r="Z55" s="2" t="s">
        <v>387</v>
      </c>
    </row>
    <row r="56" spans="1:26">
      <c r="A56" s="131">
        <v>55</v>
      </c>
      <c r="B56" s="68" t="s">
        <v>391</v>
      </c>
      <c r="C56" s="86" t="str">
        <f>IF($O56="ON","@",3701227)</f>
        <v>@</v>
      </c>
      <c r="D56" s="87" t="s">
        <v>87</v>
      </c>
      <c r="E56" s="87" t="s">
        <v>87</v>
      </c>
      <c r="F56" s="87" t="s">
        <v>87</v>
      </c>
      <c r="G56" s="87" t="s">
        <v>87</v>
      </c>
      <c r="H56" s="87" t="s">
        <v>87</v>
      </c>
      <c r="I56" s="87" t="s">
        <v>87</v>
      </c>
      <c r="J56" s="87" t="s">
        <v>87</v>
      </c>
      <c r="K56" s="87" t="s">
        <v>87</v>
      </c>
      <c r="L56" s="87" t="s">
        <v>87</v>
      </c>
      <c r="M56" s="53"/>
      <c r="N56" s="103" t="s">
        <v>393</v>
      </c>
      <c r="O56" s="88" t="s">
        <v>270</v>
      </c>
      <c r="P56" s="89" t="s">
        <v>288</v>
      </c>
      <c r="Q56" s="89" t="s">
        <v>288</v>
      </c>
      <c r="R56" s="89" t="s">
        <v>288</v>
      </c>
      <c r="S56" s="89" t="s">
        <v>288</v>
      </c>
      <c r="T56" s="89" t="s">
        <v>288</v>
      </c>
      <c r="U56" s="89" t="s">
        <v>288</v>
      </c>
      <c r="V56" s="90" t="s">
        <v>288</v>
      </c>
      <c r="W56" s="89" t="s">
        <v>288</v>
      </c>
      <c r="X56" s="89" t="s">
        <v>288</v>
      </c>
      <c r="Y56" s="2" t="s">
        <v>396</v>
      </c>
      <c r="Z56" s="2" t="s">
        <v>212</v>
      </c>
    </row>
    <row r="57" spans="1:26">
      <c r="A57" s="131">
        <v>56</v>
      </c>
      <c r="B57" s="68" t="s">
        <v>392</v>
      </c>
      <c r="C57" s="86" t="str">
        <f>IF($O57="ON","@",100)</f>
        <v>@</v>
      </c>
      <c r="D57" s="87" t="s">
        <v>87</v>
      </c>
      <c r="E57" s="87" t="s">
        <v>87</v>
      </c>
      <c r="F57" s="87" t="s">
        <v>87</v>
      </c>
      <c r="G57" s="87" t="s">
        <v>87</v>
      </c>
      <c r="H57" s="87" t="s">
        <v>87</v>
      </c>
      <c r="I57" s="87" t="s">
        <v>87</v>
      </c>
      <c r="J57" s="87" t="s">
        <v>87</v>
      </c>
      <c r="K57" s="87" t="s">
        <v>87</v>
      </c>
      <c r="L57" s="87" t="s">
        <v>87</v>
      </c>
      <c r="M57" s="53"/>
      <c r="N57" s="103" t="s">
        <v>394</v>
      </c>
      <c r="O57" s="88" t="s">
        <v>270</v>
      </c>
      <c r="P57" s="89" t="s">
        <v>288</v>
      </c>
      <c r="Q57" s="89" t="s">
        <v>288</v>
      </c>
      <c r="R57" s="89" t="s">
        <v>288</v>
      </c>
      <c r="S57" s="89" t="s">
        <v>288</v>
      </c>
      <c r="T57" s="89" t="s">
        <v>288</v>
      </c>
      <c r="U57" s="89" t="s">
        <v>288</v>
      </c>
      <c r="V57" s="90" t="s">
        <v>288</v>
      </c>
      <c r="W57" s="89" t="s">
        <v>288</v>
      </c>
      <c r="X57" s="89" t="s">
        <v>288</v>
      </c>
      <c r="Y57" s="104" t="s">
        <v>395</v>
      </c>
      <c r="Z57" s="2" t="s">
        <v>212</v>
      </c>
    </row>
    <row r="58" spans="1:26">
      <c r="A58" s="131">
        <v>57</v>
      </c>
      <c r="B58" s="105" t="s">
        <v>402</v>
      </c>
      <c r="C58" s="108" t="str">
        <f>IF($O58="on",1,"@")</f>
        <v>@</v>
      </c>
      <c r="D58" s="109" t="s">
        <v>87</v>
      </c>
      <c r="E58" s="109" t="s">
        <v>87</v>
      </c>
      <c r="F58" s="109" t="s">
        <v>87</v>
      </c>
      <c r="G58" s="109" t="s">
        <v>87</v>
      </c>
      <c r="H58" s="109" t="s">
        <v>87</v>
      </c>
      <c r="I58" s="109" t="s">
        <v>87</v>
      </c>
      <c r="J58" s="109" t="s">
        <v>87</v>
      </c>
      <c r="K58" s="109" t="s">
        <v>87</v>
      </c>
      <c r="L58" s="109" t="s">
        <v>87</v>
      </c>
      <c r="M58" s="106"/>
      <c r="N58" s="110" t="s">
        <v>403</v>
      </c>
      <c r="O58" s="113" t="s">
        <v>287</v>
      </c>
      <c r="P58" s="111" t="s">
        <v>288</v>
      </c>
      <c r="Q58" s="111" t="s">
        <v>288</v>
      </c>
      <c r="R58" s="111" t="s">
        <v>288</v>
      </c>
      <c r="S58" s="111" t="s">
        <v>288</v>
      </c>
      <c r="T58" s="111" t="s">
        <v>288</v>
      </c>
      <c r="U58" s="111" t="s">
        <v>288</v>
      </c>
      <c r="V58" s="112" t="s">
        <v>288</v>
      </c>
      <c r="W58" s="111" t="s">
        <v>288</v>
      </c>
      <c r="X58" s="111" t="s">
        <v>288</v>
      </c>
      <c r="Y58" s="105" t="s">
        <v>404</v>
      </c>
      <c r="Z58" s="105" t="s">
        <v>210</v>
      </c>
    </row>
    <row r="59" spans="1:26">
      <c r="A59" s="131">
        <v>58</v>
      </c>
      <c r="B59" s="68" t="s">
        <v>399</v>
      </c>
      <c r="C59" s="86">
        <f>IF($O59="OFF","@",1)</f>
        <v>1</v>
      </c>
      <c r="D59" s="87" t="s">
        <v>87</v>
      </c>
      <c r="E59" s="87" t="s">
        <v>87</v>
      </c>
      <c r="F59" s="87" t="s">
        <v>87</v>
      </c>
      <c r="G59" s="87" t="s">
        <v>87</v>
      </c>
      <c r="H59" s="87" t="s">
        <v>87</v>
      </c>
      <c r="I59" s="87" t="s">
        <v>87</v>
      </c>
      <c r="J59" s="87" t="s">
        <v>87</v>
      </c>
      <c r="K59" s="87" t="s">
        <v>87</v>
      </c>
      <c r="L59" s="87" t="s">
        <v>87</v>
      </c>
      <c r="M59" s="53"/>
      <c r="N59" s="103" t="s">
        <v>400</v>
      </c>
      <c r="O59" s="122" t="s">
        <v>270</v>
      </c>
      <c r="P59" s="120" t="s">
        <v>288</v>
      </c>
      <c r="Q59" s="120" t="s">
        <v>288</v>
      </c>
      <c r="R59" s="120" t="s">
        <v>288</v>
      </c>
      <c r="S59" s="120" t="s">
        <v>288</v>
      </c>
      <c r="T59" s="120" t="s">
        <v>288</v>
      </c>
      <c r="U59" s="120" t="s">
        <v>288</v>
      </c>
      <c r="V59" s="121" t="s">
        <v>288</v>
      </c>
      <c r="W59" s="120" t="s">
        <v>288</v>
      </c>
      <c r="X59" s="120" t="s">
        <v>288</v>
      </c>
      <c r="Y59" s="123" t="s">
        <v>405</v>
      </c>
      <c r="Z59" s="2" t="s">
        <v>210</v>
      </c>
    </row>
    <row r="60" spans="1:26">
      <c r="A60" s="131">
        <v>59</v>
      </c>
      <c r="B60" s="107" t="s">
        <v>409</v>
      </c>
      <c r="C60" s="108">
        <f>IF($O60="old",1,IF($O60="new",2,IF($O60="off","@")))</f>
        <v>2</v>
      </c>
      <c r="D60" s="130" t="s">
        <v>410</v>
      </c>
      <c r="E60" s="130" t="s">
        <v>410</v>
      </c>
      <c r="F60" s="130" t="s">
        <v>410</v>
      </c>
      <c r="G60" s="130" t="s">
        <v>410</v>
      </c>
      <c r="H60" s="130" t="s">
        <v>410</v>
      </c>
      <c r="I60" s="130" t="s">
        <v>410</v>
      </c>
      <c r="J60" s="130" t="s">
        <v>410</v>
      </c>
      <c r="K60" s="130" t="s">
        <v>410</v>
      </c>
      <c r="L60" s="130" t="s">
        <v>410</v>
      </c>
      <c r="M60" s="106"/>
      <c r="N60" s="92" t="s">
        <v>414</v>
      </c>
      <c r="O60" s="122" t="s">
        <v>383</v>
      </c>
      <c r="P60" s="120" t="s">
        <v>288</v>
      </c>
      <c r="Q60" s="120" t="s">
        <v>288</v>
      </c>
      <c r="R60" s="120" t="s">
        <v>288</v>
      </c>
      <c r="S60" s="120" t="s">
        <v>288</v>
      </c>
      <c r="T60" s="120" t="s">
        <v>288</v>
      </c>
      <c r="U60" s="120" t="s">
        <v>288</v>
      </c>
      <c r="V60" s="121" t="s">
        <v>288</v>
      </c>
      <c r="W60" s="120" t="s">
        <v>288</v>
      </c>
      <c r="X60" s="120" t="s">
        <v>288</v>
      </c>
      <c r="Y60" s="116" t="s">
        <v>415</v>
      </c>
      <c r="Z60" s="116" t="s">
        <v>210</v>
      </c>
    </row>
    <row r="61" spans="1:26">
      <c r="A61" s="131">
        <v>60</v>
      </c>
      <c r="B61" s="107" t="s">
        <v>419</v>
      </c>
      <c r="C61" s="65">
        <f>IF($O61="on",1,"@")</f>
        <v>1</v>
      </c>
      <c r="D61" s="109" t="s">
        <v>87</v>
      </c>
      <c r="E61" s="109" t="s">
        <v>87</v>
      </c>
      <c r="F61" s="109" t="s">
        <v>87</v>
      </c>
      <c r="G61" s="109" t="s">
        <v>87</v>
      </c>
      <c r="H61" s="109" t="s">
        <v>87</v>
      </c>
      <c r="I61" s="109" t="s">
        <v>87</v>
      </c>
      <c r="J61" s="109" t="s">
        <v>87</v>
      </c>
      <c r="K61" s="109" t="s">
        <v>87</v>
      </c>
      <c r="L61" s="109" t="s">
        <v>87</v>
      </c>
      <c r="N61" s="55" t="s">
        <v>420</v>
      </c>
      <c r="O61" s="98" t="s">
        <v>270</v>
      </c>
      <c r="P61" s="120" t="s">
        <v>288</v>
      </c>
      <c r="Q61" s="120" t="s">
        <v>288</v>
      </c>
      <c r="R61" s="120" t="s">
        <v>288</v>
      </c>
      <c r="S61" s="120" t="s">
        <v>288</v>
      </c>
      <c r="T61" s="120" t="s">
        <v>288</v>
      </c>
      <c r="U61" s="120" t="s">
        <v>288</v>
      </c>
      <c r="V61" s="121" t="s">
        <v>288</v>
      </c>
      <c r="W61" s="120" t="s">
        <v>288</v>
      </c>
      <c r="X61" s="120" t="s">
        <v>288</v>
      </c>
      <c r="Y61" s="123" t="s">
        <v>421</v>
      </c>
    </row>
    <row r="62" spans="1:26">
      <c r="A62" s="64"/>
    </row>
  </sheetData>
  <phoneticPr fontId="4" type="noConversion"/>
  <pageMargins left="0.7" right="0.7" top="0.75" bottom="0.75" header="0.3" footer="0.3"/>
  <pageSetup paperSize="9" orientation="portrait" r:id="rId1"/>
  <ignoredErrors>
    <ignoredError sqref="C49 C14:C15 C13" formula="1"/>
  </ignoredErrors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QBitFlag!$A$2:$A$3</xm:f>
          </x14:formula1>
          <xm:sqref>P50:T50 P8:T8 P9:U9 O18:O20 O56:O59 P46:T46 O22:O29 O61 O32:O54 O2:O12 O14</xm:sqref>
        </x14:dataValidation>
        <x14:dataValidation type="list" allowBlank="1" showInputMessage="1" showErrorMessage="1">
          <x14:formula1>
            <xm:f>QBitFlag!$B$2:$B$8</xm:f>
          </x14:formula1>
          <xm:sqref>O30</xm:sqref>
        </x14:dataValidation>
        <x14:dataValidation type="list" allowBlank="1" showInputMessage="1" showErrorMessage="1">
          <x14:formula1>
            <xm:f>QBitFlag!$C$2:$C$8</xm:f>
          </x14:formula1>
          <xm:sqref>O15:O16 O13</xm:sqref>
        </x14:dataValidation>
        <x14:dataValidation type="list" allowBlank="1" showInputMessage="1" showErrorMessage="1">
          <x14:formula1>
            <xm:f>QBitFlag!$C$2:$C$4</xm:f>
          </x14:formula1>
          <xm:sqref>O55 O60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/>
  </sheetPr>
  <dimension ref="A1:BA44"/>
  <sheetViews>
    <sheetView workbookViewId="0">
      <selection sqref="A1:XFD1048576"/>
    </sheetView>
  </sheetViews>
  <sheetFormatPr baseColWidth="10" defaultColWidth="9" defaultRowHeight="11.25"/>
  <cols>
    <col min="1" max="1" width="3.140625" style="1" customWidth="1"/>
    <col min="2" max="2" width="17.85546875" style="1" bestFit="1" customWidth="1"/>
    <col min="3" max="3" width="9.5703125" style="1" bestFit="1" customWidth="1"/>
    <col min="4" max="9" width="6.42578125" style="1" customWidth="1"/>
    <col min="10" max="12" width="3.85546875" style="1" customWidth="1"/>
    <col min="13" max="13" width="1.5703125" style="54" customWidth="1"/>
    <col min="14" max="14" width="14" style="55" bestFit="1" customWidth="1"/>
    <col min="15" max="15" width="3.5703125" style="55" bestFit="1" customWidth="1"/>
    <col min="16" max="18" width="3.28515625" style="55" bestFit="1" customWidth="1"/>
    <col min="19" max="19" width="3.5703125" style="55" bestFit="1" customWidth="1"/>
    <col min="20" max="21" width="3.28515625" style="55" bestFit="1" customWidth="1"/>
    <col min="22" max="22" width="2.7109375" style="58" bestFit="1" customWidth="1"/>
    <col min="23" max="23" width="2.28515625" style="55" bestFit="1" customWidth="1"/>
    <col min="24" max="24" width="3" style="55" bestFit="1" customWidth="1"/>
    <col min="25" max="25" width="55.42578125" style="1" bestFit="1" customWidth="1"/>
    <col min="26" max="26" width="9.42578125" style="1" bestFit="1" customWidth="1"/>
    <col min="27" max="27" width="1.5703125" style="1" customWidth="1"/>
    <col min="28" max="33" width="15.85546875" style="1" bestFit="1" customWidth="1"/>
    <col min="34" max="34" width="4.42578125" style="1" bestFit="1" customWidth="1"/>
    <col min="35" max="40" width="11.28515625" style="1" bestFit="1" customWidth="1"/>
    <col min="41" max="41" width="7.140625" style="1" bestFit="1" customWidth="1"/>
    <col min="42" max="42" width="11.28515625" style="1" customWidth="1"/>
    <col min="43" max="43" width="9" style="1" bestFit="1" customWidth="1"/>
    <col min="44" max="44" width="9.42578125" style="1" bestFit="1" customWidth="1"/>
    <col min="45" max="45" width="7.42578125" style="1" bestFit="1" customWidth="1"/>
    <col min="46" max="46" width="10.28515625" style="1" bestFit="1" customWidth="1"/>
    <col min="47" max="47" width="12.42578125" style="1" bestFit="1" customWidth="1"/>
    <col min="48" max="48" width="16.28515625" style="1" bestFit="1" customWidth="1"/>
    <col min="49" max="49" width="17.42578125" style="1" bestFit="1" customWidth="1"/>
    <col min="50" max="52" width="12.42578125" style="1" customWidth="1"/>
    <col min="53" max="53" width="15" style="1" bestFit="1" customWidth="1"/>
    <col min="54" max="57" width="12.42578125" style="1" customWidth="1"/>
    <col min="58" max="58" width="15.140625" style="1" bestFit="1" customWidth="1"/>
    <col min="59" max="59" width="9.42578125" style="1" bestFit="1" customWidth="1"/>
    <col min="60" max="61" width="11.85546875" style="1" bestFit="1" customWidth="1"/>
    <col min="62" max="16384" width="9" style="1"/>
  </cols>
  <sheetData>
    <row r="1" spans="1:53" s="52" customFormat="1">
      <c r="A1" s="63" t="s">
        <v>195</v>
      </c>
      <c r="B1" s="63" t="s">
        <v>196</v>
      </c>
      <c r="C1" s="63" t="s">
        <v>197</v>
      </c>
      <c r="D1" s="63" t="s">
        <v>198</v>
      </c>
      <c r="E1" s="63" t="s">
        <v>199</v>
      </c>
      <c r="F1" s="63" t="s">
        <v>200</v>
      </c>
      <c r="G1" s="63" t="s">
        <v>201</v>
      </c>
      <c r="H1" s="63" t="s">
        <v>202</v>
      </c>
      <c r="I1" s="63" t="s">
        <v>203</v>
      </c>
      <c r="J1" s="63" t="s">
        <v>204</v>
      </c>
      <c r="K1" s="63" t="s">
        <v>205</v>
      </c>
      <c r="L1" s="63" t="s">
        <v>206</v>
      </c>
      <c r="M1" s="56"/>
      <c r="N1" s="69" t="s">
        <v>271</v>
      </c>
      <c r="O1" s="70">
        <v>1</v>
      </c>
      <c r="P1" s="70">
        <v>2</v>
      </c>
      <c r="Q1" s="70">
        <v>3</v>
      </c>
      <c r="R1" s="70">
        <v>4</v>
      </c>
      <c r="S1" s="70">
        <v>5</v>
      </c>
      <c r="T1" s="70">
        <v>6</v>
      </c>
      <c r="U1" s="70">
        <v>7</v>
      </c>
      <c r="V1" s="70">
        <v>8</v>
      </c>
      <c r="W1" s="69">
        <v>9</v>
      </c>
      <c r="X1" s="69">
        <v>10</v>
      </c>
      <c r="Y1" s="56" t="s">
        <v>169</v>
      </c>
      <c r="Z1" s="51" t="s">
        <v>77</v>
      </c>
      <c r="AH1" s="52" t="s">
        <v>207</v>
      </c>
      <c r="AO1" s="52" t="s">
        <v>208</v>
      </c>
      <c r="BA1" s="52" t="s">
        <v>209</v>
      </c>
    </row>
    <row r="2" spans="1:53">
      <c r="A2" s="64">
        <v>1</v>
      </c>
      <c r="B2" s="64" t="s">
        <v>3</v>
      </c>
      <c r="C2" s="65">
        <f>IF($O2="on",1,"@")</f>
        <v>1</v>
      </c>
      <c r="D2" s="66" t="s">
        <v>87</v>
      </c>
      <c r="E2" s="66" t="s">
        <v>87</v>
      </c>
      <c r="F2" s="66" t="s">
        <v>87</v>
      </c>
      <c r="G2" s="66" t="s">
        <v>87</v>
      </c>
      <c r="H2" s="66" t="s">
        <v>87</v>
      </c>
      <c r="I2" s="66" t="s">
        <v>87</v>
      </c>
      <c r="J2" s="66" t="s">
        <v>87</v>
      </c>
      <c r="K2" s="66" t="s">
        <v>87</v>
      </c>
      <c r="L2" s="66" t="s">
        <v>87</v>
      </c>
      <c r="N2" s="60" t="s">
        <v>272</v>
      </c>
      <c r="O2" s="61" t="s">
        <v>277</v>
      </c>
      <c r="P2" s="59" t="s">
        <v>288</v>
      </c>
      <c r="Q2" s="59" t="s">
        <v>288</v>
      </c>
      <c r="R2" s="59" t="s">
        <v>288</v>
      </c>
      <c r="S2" s="59" t="s">
        <v>288</v>
      </c>
      <c r="T2" s="59" t="s">
        <v>288</v>
      </c>
      <c r="U2" s="59" t="s">
        <v>288</v>
      </c>
      <c r="V2" s="62" t="s">
        <v>288</v>
      </c>
      <c r="W2" s="59" t="s">
        <v>288</v>
      </c>
      <c r="X2" s="59" t="s">
        <v>288</v>
      </c>
      <c r="Y2" s="1" t="s">
        <v>0</v>
      </c>
      <c r="Z2" s="1" t="s">
        <v>210</v>
      </c>
    </row>
    <row r="3" spans="1:53">
      <c r="A3" s="64">
        <v>2</v>
      </c>
      <c r="B3" s="64" t="s">
        <v>78</v>
      </c>
      <c r="C3" s="65">
        <f t="shared" ref="C3:C6" si="0">IF($O3="on",1,"@")</f>
        <v>1</v>
      </c>
      <c r="D3" s="66" t="s">
        <v>87</v>
      </c>
      <c r="E3" s="66" t="s">
        <v>87</v>
      </c>
      <c r="F3" s="66" t="s">
        <v>87</v>
      </c>
      <c r="G3" s="66" t="s">
        <v>87</v>
      </c>
      <c r="H3" s="66" t="s">
        <v>87</v>
      </c>
      <c r="I3" s="66" t="s">
        <v>87</v>
      </c>
      <c r="J3" s="66" t="s">
        <v>87</v>
      </c>
      <c r="K3" s="66" t="s">
        <v>87</v>
      </c>
      <c r="L3" s="66" t="s">
        <v>87</v>
      </c>
      <c r="N3" s="60" t="s">
        <v>273</v>
      </c>
      <c r="O3" s="61" t="s">
        <v>277</v>
      </c>
      <c r="P3" s="59" t="s">
        <v>288</v>
      </c>
      <c r="Q3" s="59" t="s">
        <v>288</v>
      </c>
      <c r="R3" s="59" t="s">
        <v>288</v>
      </c>
      <c r="S3" s="59" t="s">
        <v>288</v>
      </c>
      <c r="T3" s="59" t="s">
        <v>288</v>
      </c>
      <c r="U3" s="59" t="s">
        <v>288</v>
      </c>
      <c r="V3" s="62" t="s">
        <v>288</v>
      </c>
      <c r="W3" s="59" t="s">
        <v>288</v>
      </c>
      <c r="X3" s="59" t="s">
        <v>288</v>
      </c>
      <c r="Y3" s="1" t="s">
        <v>0</v>
      </c>
      <c r="Z3" s="1" t="s">
        <v>210</v>
      </c>
    </row>
    <row r="4" spans="1:53">
      <c r="A4" s="64">
        <v>3</v>
      </c>
      <c r="B4" s="64" t="s">
        <v>79</v>
      </c>
      <c r="C4" s="65">
        <f t="shared" si="0"/>
        <v>1</v>
      </c>
      <c r="D4" s="66" t="s">
        <v>87</v>
      </c>
      <c r="E4" s="66" t="s">
        <v>87</v>
      </c>
      <c r="F4" s="66" t="s">
        <v>87</v>
      </c>
      <c r="G4" s="66" t="s">
        <v>87</v>
      </c>
      <c r="H4" s="66" t="s">
        <v>87</v>
      </c>
      <c r="I4" s="66" t="s">
        <v>87</v>
      </c>
      <c r="J4" s="66" t="s">
        <v>87</v>
      </c>
      <c r="K4" s="66" t="s">
        <v>87</v>
      </c>
      <c r="L4" s="66" t="s">
        <v>87</v>
      </c>
      <c r="N4" s="60" t="s">
        <v>274</v>
      </c>
      <c r="O4" s="61" t="s">
        <v>277</v>
      </c>
      <c r="P4" s="59" t="s">
        <v>288</v>
      </c>
      <c r="Q4" s="59" t="s">
        <v>288</v>
      </c>
      <c r="R4" s="59" t="s">
        <v>288</v>
      </c>
      <c r="S4" s="59" t="s">
        <v>288</v>
      </c>
      <c r="T4" s="59" t="s">
        <v>288</v>
      </c>
      <c r="U4" s="59" t="s">
        <v>288</v>
      </c>
      <c r="V4" s="62" t="s">
        <v>288</v>
      </c>
      <c r="W4" s="59" t="s">
        <v>288</v>
      </c>
      <c r="X4" s="59" t="s">
        <v>288</v>
      </c>
      <c r="Y4" s="1" t="s">
        <v>0</v>
      </c>
      <c r="Z4" s="1" t="s">
        <v>210</v>
      </c>
    </row>
    <row r="5" spans="1:53">
      <c r="A5" s="64">
        <v>4</v>
      </c>
      <c r="B5" s="64" t="s">
        <v>80</v>
      </c>
      <c r="C5" s="65">
        <f t="shared" si="0"/>
        <v>1</v>
      </c>
      <c r="D5" s="66" t="s">
        <v>87</v>
      </c>
      <c r="E5" s="66" t="s">
        <v>87</v>
      </c>
      <c r="F5" s="66" t="s">
        <v>87</v>
      </c>
      <c r="G5" s="66" t="s">
        <v>87</v>
      </c>
      <c r="H5" s="66" t="s">
        <v>87</v>
      </c>
      <c r="I5" s="66" t="s">
        <v>87</v>
      </c>
      <c r="J5" s="66" t="s">
        <v>87</v>
      </c>
      <c r="K5" s="66" t="s">
        <v>87</v>
      </c>
      <c r="L5" s="66" t="s">
        <v>87</v>
      </c>
      <c r="N5" s="60" t="s">
        <v>275</v>
      </c>
      <c r="O5" s="61" t="s">
        <v>277</v>
      </c>
      <c r="P5" s="59" t="s">
        <v>288</v>
      </c>
      <c r="Q5" s="59" t="s">
        <v>288</v>
      </c>
      <c r="R5" s="59" t="s">
        <v>288</v>
      </c>
      <c r="S5" s="59" t="s">
        <v>288</v>
      </c>
      <c r="T5" s="59" t="s">
        <v>288</v>
      </c>
      <c r="U5" s="59" t="s">
        <v>288</v>
      </c>
      <c r="V5" s="62" t="s">
        <v>288</v>
      </c>
      <c r="W5" s="59" t="s">
        <v>288</v>
      </c>
      <c r="X5" s="59" t="s">
        <v>288</v>
      </c>
      <c r="Y5" s="1" t="s">
        <v>0</v>
      </c>
      <c r="Z5" s="1" t="s">
        <v>210</v>
      </c>
    </row>
    <row r="6" spans="1:53">
      <c r="A6" s="64">
        <v>5</v>
      </c>
      <c r="B6" s="64" t="s">
        <v>81</v>
      </c>
      <c r="C6" s="65">
        <f t="shared" si="0"/>
        <v>1</v>
      </c>
      <c r="D6" s="66" t="s">
        <v>87</v>
      </c>
      <c r="E6" s="66" t="s">
        <v>87</v>
      </c>
      <c r="F6" s="66" t="s">
        <v>87</v>
      </c>
      <c r="G6" s="66" t="s">
        <v>87</v>
      </c>
      <c r="H6" s="66" t="s">
        <v>87</v>
      </c>
      <c r="I6" s="66" t="s">
        <v>87</v>
      </c>
      <c r="J6" s="66" t="s">
        <v>87</v>
      </c>
      <c r="K6" s="66" t="s">
        <v>87</v>
      </c>
      <c r="L6" s="66" t="s">
        <v>87</v>
      </c>
      <c r="N6" s="60" t="s">
        <v>276</v>
      </c>
      <c r="O6" s="61" t="s">
        <v>277</v>
      </c>
      <c r="P6" s="59" t="s">
        <v>288</v>
      </c>
      <c r="Q6" s="59" t="s">
        <v>288</v>
      </c>
      <c r="R6" s="59" t="s">
        <v>288</v>
      </c>
      <c r="S6" s="59" t="s">
        <v>288</v>
      </c>
      <c r="T6" s="59" t="s">
        <v>288</v>
      </c>
      <c r="U6" s="59" t="s">
        <v>288</v>
      </c>
      <c r="V6" s="62" t="s">
        <v>288</v>
      </c>
      <c r="W6" s="59" t="s">
        <v>288</v>
      </c>
      <c r="X6" s="59" t="s">
        <v>288</v>
      </c>
      <c r="Y6" s="1" t="s">
        <v>0</v>
      </c>
      <c r="Z6" s="1" t="s">
        <v>210</v>
      </c>
    </row>
    <row r="7" spans="1:53">
      <c r="A7" s="64">
        <v>6</v>
      </c>
      <c r="B7" s="64" t="s">
        <v>211</v>
      </c>
      <c r="C7" s="65" t="str">
        <f>IF($O7="ON","@",412)</f>
        <v>@</v>
      </c>
      <c r="D7" s="65" t="str">
        <f>IF($P7="ON","@",844)</f>
        <v>@</v>
      </c>
      <c r="E7" s="65" t="str">
        <f>IF($Q7="ON","@",1038)</f>
        <v>@</v>
      </c>
      <c r="F7" s="65" t="str">
        <f>IF($R7="ON","@",1455)</f>
        <v>@</v>
      </c>
      <c r="G7" s="65" t="str">
        <f>IF($S7="ON","@",1456)</f>
        <v>@</v>
      </c>
      <c r="H7" s="65" t="str">
        <f>IF($T7="ON","@",4544)</f>
        <v>@</v>
      </c>
      <c r="I7" s="66" t="str">
        <f>IF($U7="ON","@","@")</f>
        <v>@</v>
      </c>
      <c r="J7" s="66" t="str">
        <f>IF($V7="ON","@","@")</f>
        <v>@</v>
      </c>
      <c r="K7" s="66" t="str">
        <f>IF($W7="ON","@","@")</f>
        <v>@</v>
      </c>
      <c r="L7" s="66" t="str">
        <f>IF($X7="ON","@","@")</f>
        <v>@</v>
      </c>
      <c r="N7" s="60" t="s">
        <v>319</v>
      </c>
      <c r="O7" s="61" t="s">
        <v>277</v>
      </c>
      <c r="P7" s="61" t="s">
        <v>277</v>
      </c>
      <c r="Q7" s="61" t="s">
        <v>277</v>
      </c>
      <c r="R7" s="61" t="s">
        <v>277</v>
      </c>
      <c r="S7" s="61" t="s">
        <v>277</v>
      </c>
      <c r="T7" s="61" t="s">
        <v>277</v>
      </c>
      <c r="U7" s="59" t="s">
        <v>288</v>
      </c>
      <c r="V7" s="62" t="s">
        <v>288</v>
      </c>
      <c r="W7" s="59" t="s">
        <v>288</v>
      </c>
      <c r="X7" s="59" t="s">
        <v>288</v>
      </c>
      <c r="Y7" s="1" t="s">
        <v>268</v>
      </c>
      <c r="Z7" s="1" t="s">
        <v>212</v>
      </c>
    </row>
    <row r="8" spans="1:53">
      <c r="A8" s="64">
        <v>7</v>
      </c>
      <c r="B8" s="64" t="s">
        <v>213</v>
      </c>
      <c r="C8" s="65" t="str">
        <f>IF($O8="on","@",2413102)</f>
        <v>@</v>
      </c>
      <c r="D8" s="65" t="str">
        <f>IF($P8="on","@",2413104)</f>
        <v>@</v>
      </c>
      <c r="E8" s="65" t="str">
        <f>IF($Q8="on","@",2413106)</f>
        <v>@</v>
      </c>
      <c r="F8" s="65" t="str">
        <f>IF($R8="on","@",2413105)</f>
        <v>@</v>
      </c>
      <c r="G8" s="65" t="str">
        <f>IF($S8="on","@",2413111)</f>
        <v>@</v>
      </c>
      <c r="H8" s="65" t="str">
        <f>IF($T8="on","@",2413112)</f>
        <v>@</v>
      </c>
      <c r="I8" s="65" t="str">
        <f>IF($U8="on","@",2413113)</f>
        <v>@</v>
      </c>
      <c r="J8" s="66" t="str">
        <f>IF($V8="on","@","@")</f>
        <v>@</v>
      </c>
      <c r="K8" s="66" t="str">
        <f>IF($W8="on","@","@")</f>
        <v>@</v>
      </c>
      <c r="L8" s="66" t="str">
        <f>IF($X8="on","@","@")</f>
        <v>@</v>
      </c>
      <c r="N8" s="60" t="s">
        <v>280</v>
      </c>
      <c r="O8" s="61" t="s">
        <v>277</v>
      </c>
      <c r="P8" s="61" t="s">
        <v>277</v>
      </c>
      <c r="Q8" s="61" t="s">
        <v>277</v>
      </c>
      <c r="R8" s="61" t="s">
        <v>277</v>
      </c>
      <c r="S8" s="61" t="s">
        <v>277</v>
      </c>
      <c r="T8" s="61" t="s">
        <v>277</v>
      </c>
      <c r="U8" s="61" t="s">
        <v>277</v>
      </c>
      <c r="V8" s="62" t="s">
        <v>288</v>
      </c>
      <c r="W8" s="59" t="s">
        <v>288</v>
      </c>
      <c r="X8" s="59" t="s">
        <v>288</v>
      </c>
      <c r="Y8" s="1" t="s">
        <v>223</v>
      </c>
      <c r="Z8" s="1" t="s">
        <v>212</v>
      </c>
    </row>
    <row r="9" spans="1:53">
      <c r="A9" s="64">
        <v>8</v>
      </c>
      <c r="B9" s="64" t="s">
        <v>82</v>
      </c>
      <c r="C9" s="65">
        <f t="shared" ref="C9:C14" si="1">IF($O9="on",1,"@")</f>
        <v>1</v>
      </c>
      <c r="D9" s="66" t="s">
        <v>87</v>
      </c>
      <c r="E9" s="66" t="s">
        <v>87</v>
      </c>
      <c r="F9" s="66" t="s">
        <v>87</v>
      </c>
      <c r="G9" s="66" t="s">
        <v>87</v>
      </c>
      <c r="H9" s="66" t="s">
        <v>87</v>
      </c>
      <c r="I9" s="66" t="s">
        <v>87</v>
      </c>
      <c r="J9" s="66" t="s">
        <v>87</v>
      </c>
      <c r="K9" s="66" t="s">
        <v>87</v>
      </c>
      <c r="L9" s="66" t="s">
        <v>87</v>
      </c>
      <c r="N9" s="60" t="s">
        <v>281</v>
      </c>
      <c r="O9" s="61" t="s">
        <v>277</v>
      </c>
      <c r="P9" s="59" t="s">
        <v>288</v>
      </c>
      <c r="Q9" s="59" t="s">
        <v>288</v>
      </c>
      <c r="R9" s="59" t="s">
        <v>288</v>
      </c>
      <c r="S9" s="59" t="s">
        <v>288</v>
      </c>
      <c r="T9" s="59" t="s">
        <v>288</v>
      </c>
      <c r="U9" s="59" t="s">
        <v>288</v>
      </c>
      <c r="V9" s="62" t="s">
        <v>288</v>
      </c>
      <c r="W9" s="59" t="s">
        <v>288</v>
      </c>
      <c r="X9" s="59" t="s">
        <v>288</v>
      </c>
      <c r="Y9" s="1" t="s">
        <v>0</v>
      </c>
      <c r="Z9" s="1" t="s">
        <v>210</v>
      </c>
    </row>
    <row r="10" spans="1:53">
      <c r="A10" s="64">
        <v>9</v>
      </c>
      <c r="B10" s="64" t="s">
        <v>8</v>
      </c>
      <c r="C10" s="65">
        <f t="shared" si="1"/>
        <v>1</v>
      </c>
      <c r="D10" s="66" t="s">
        <v>87</v>
      </c>
      <c r="E10" s="66" t="s">
        <v>87</v>
      </c>
      <c r="F10" s="66" t="s">
        <v>87</v>
      </c>
      <c r="G10" s="66" t="s">
        <v>87</v>
      </c>
      <c r="H10" s="66" t="s">
        <v>87</v>
      </c>
      <c r="I10" s="66" t="s">
        <v>87</v>
      </c>
      <c r="J10" s="66" t="s">
        <v>87</v>
      </c>
      <c r="K10" s="66" t="s">
        <v>87</v>
      </c>
      <c r="L10" s="66" t="s">
        <v>87</v>
      </c>
      <c r="N10" s="60" t="s">
        <v>282</v>
      </c>
      <c r="O10" s="61" t="s">
        <v>277</v>
      </c>
      <c r="P10" s="59" t="s">
        <v>288</v>
      </c>
      <c r="Q10" s="59" t="s">
        <v>288</v>
      </c>
      <c r="R10" s="59" t="s">
        <v>288</v>
      </c>
      <c r="S10" s="59" t="s">
        <v>288</v>
      </c>
      <c r="T10" s="59" t="s">
        <v>288</v>
      </c>
      <c r="U10" s="59" t="s">
        <v>288</v>
      </c>
      <c r="V10" s="62" t="s">
        <v>288</v>
      </c>
      <c r="W10" s="59" t="s">
        <v>288</v>
      </c>
      <c r="X10" s="59" t="s">
        <v>288</v>
      </c>
      <c r="Y10" s="1" t="s">
        <v>0</v>
      </c>
      <c r="Z10" s="1" t="s">
        <v>210</v>
      </c>
    </row>
    <row r="11" spans="1:53">
      <c r="A11" s="64">
        <v>10</v>
      </c>
      <c r="B11" s="64" t="s">
        <v>12</v>
      </c>
      <c r="C11" s="65">
        <f t="shared" si="1"/>
        <v>1</v>
      </c>
      <c r="D11" s="66" t="s">
        <v>87</v>
      </c>
      <c r="E11" s="66" t="s">
        <v>87</v>
      </c>
      <c r="F11" s="66" t="s">
        <v>87</v>
      </c>
      <c r="G11" s="66" t="s">
        <v>87</v>
      </c>
      <c r="H11" s="66" t="s">
        <v>87</v>
      </c>
      <c r="I11" s="66" t="s">
        <v>87</v>
      </c>
      <c r="J11" s="66" t="s">
        <v>87</v>
      </c>
      <c r="K11" s="66" t="s">
        <v>87</v>
      </c>
      <c r="L11" s="66" t="s">
        <v>87</v>
      </c>
      <c r="N11" s="60" t="s">
        <v>283</v>
      </c>
      <c r="O11" s="61" t="s">
        <v>277</v>
      </c>
      <c r="P11" s="59" t="s">
        <v>288</v>
      </c>
      <c r="Q11" s="59" t="s">
        <v>288</v>
      </c>
      <c r="R11" s="59" t="s">
        <v>288</v>
      </c>
      <c r="S11" s="59" t="s">
        <v>288</v>
      </c>
      <c r="T11" s="59" t="s">
        <v>288</v>
      </c>
      <c r="U11" s="59" t="s">
        <v>288</v>
      </c>
      <c r="V11" s="62" t="s">
        <v>288</v>
      </c>
      <c r="W11" s="59" t="s">
        <v>288</v>
      </c>
      <c r="X11" s="59" t="s">
        <v>288</v>
      </c>
      <c r="Y11" s="1" t="s">
        <v>0</v>
      </c>
      <c r="Z11" s="1" t="s">
        <v>210</v>
      </c>
    </row>
    <row r="12" spans="1:53">
      <c r="A12" s="64">
        <v>11</v>
      </c>
      <c r="B12" s="64" t="s">
        <v>15</v>
      </c>
      <c r="C12" s="65">
        <f t="shared" si="1"/>
        <v>1</v>
      </c>
      <c r="D12" s="66" t="s">
        <v>87</v>
      </c>
      <c r="E12" s="66" t="s">
        <v>87</v>
      </c>
      <c r="F12" s="66" t="s">
        <v>87</v>
      </c>
      <c r="G12" s="66" t="s">
        <v>87</v>
      </c>
      <c r="H12" s="66" t="s">
        <v>87</v>
      </c>
      <c r="I12" s="66" t="s">
        <v>87</v>
      </c>
      <c r="J12" s="66" t="s">
        <v>87</v>
      </c>
      <c r="K12" s="66" t="s">
        <v>87</v>
      </c>
      <c r="L12" s="66" t="s">
        <v>87</v>
      </c>
      <c r="N12" s="60" t="s">
        <v>284</v>
      </c>
      <c r="O12" s="61" t="s">
        <v>277</v>
      </c>
      <c r="P12" s="59" t="s">
        <v>288</v>
      </c>
      <c r="Q12" s="59" t="s">
        <v>288</v>
      </c>
      <c r="R12" s="59" t="s">
        <v>288</v>
      </c>
      <c r="S12" s="59" t="s">
        <v>288</v>
      </c>
      <c r="T12" s="59" t="s">
        <v>288</v>
      </c>
      <c r="U12" s="59" t="s">
        <v>288</v>
      </c>
      <c r="V12" s="62" t="s">
        <v>288</v>
      </c>
      <c r="W12" s="59" t="s">
        <v>288</v>
      </c>
      <c r="X12" s="59" t="s">
        <v>288</v>
      </c>
      <c r="Y12" s="1" t="s">
        <v>0</v>
      </c>
      <c r="Z12" s="1" t="s">
        <v>210</v>
      </c>
    </row>
    <row r="13" spans="1:53">
      <c r="A13" s="64">
        <v>12</v>
      </c>
      <c r="B13" s="64" t="s">
        <v>20</v>
      </c>
      <c r="C13" s="65">
        <f t="shared" si="1"/>
        <v>1</v>
      </c>
      <c r="D13" s="66" t="s">
        <v>87</v>
      </c>
      <c r="E13" s="66" t="s">
        <v>87</v>
      </c>
      <c r="F13" s="66" t="s">
        <v>87</v>
      </c>
      <c r="G13" s="66" t="s">
        <v>87</v>
      </c>
      <c r="H13" s="66" t="s">
        <v>87</v>
      </c>
      <c r="I13" s="66" t="s">
        <v>87</v>
      </c>
      <c r="J13" s="66" t="s">
        <v>87</v>
      </c>
      <c r="K13" s="66" t="s">
        <v>87</v>
      </c>
      <c r="L13" s="66" t="s">
        <v>87</v>
      </c>
      <c r="N13" s="60" t="s">
        <v>285</v>
      </c>
      <c r="O13" s="61" t="s">
        <v>277</v>
      </c>
      <c r="P13" s="59" t="s">
        <v>288</v>
      </c>
      <c r="Q13" s="59" t="s">
        <v>288</v>
      </c>
      <c r="R13" s="59" t="s">
        <v>288</v>
      </c>
      <c r="S13" s="59" t="s">
        <v>288</v>
      </c>
      <c r="T13" s="59" t="s">
        <v>288</v>
      </c>
      <c r="U13" s="59" t="s">
        <v>288</v>
      </c>
      <c r="V13" s="62" t="s">
        <v>288</v>
      </c>
      <c r="W13" s="59" t="s">
        <v>288</v>
      </c>
      <c r="X13" s="59" t="s">
        <v>288</v>
      </c>
      <c r="Y13" s="1" t="s">
        <v>0</v>
      </c>
      <c r="Z13" s="1" t="s">
        <v>210</v>
      </c>
    </row>
    <row r="14" spans="1:53">
      <c r="A14" s="64">
        <v>13</v>
      </c>
      <c r="B14" s="64" t="s">
        <v>88</v>
      </c>
      <c r="C14" s="65">
        <f t="shared" si="1"/>
        <v>1</v>
      </c>
      <c r="D14" s="66" t="s">
        <v>87</v>
      </c>
      <c r="E14" s="66" t="s">
        <v>87</v>
      </c>
      <c r="F14" s="66" t="s">
        <v>87</v>
      </c>
      <c r="G14" s="66" t="s">
        <v>87</v>
      </c>
      <c r="H14" s="66" t="s">
        <v>87</v>
      </c>
      <c r="I14" s="66" t="s">
        <v>87</v>
      </c>
      <c r="J14" s="66" t="s">
        <v>87</v>
      </c>
      <c r="K14" s="66" t="s">
        <v>87</v>
      </c>
      <c r="L14" s="66" t="s">
        <v>87</v>
      </c>
      <c r="N14" s="60" t="s">
        <v>286</v>
      </c>
      <c r="O14" s="61" t="s">
        <v>270</v>
      </c>
      <c r="P14" s="59" t="s">
        <v>288</v>
      </c>
      <c r="Q14" s="59" t="s">
        <v>288</v>
      </c>
      <c r="R14" s="59" t="s">
        <v>288</v>
      </c>
      <c r="S14" s="59" t="s">
        <v>288</v>
      </c>
      <c r="T14" s="59" t="s">
        <v>288</v>
      </c>
      <c r="U14" s="59" t="s">
        <v>288</v>
      </c>
      <c r="V14" s="62" t="s">
        <v>288</v>
      </c>
      <c r="W14" s="59" t="s">
        <v>288</v>
      </c>
      <c r="X14" s="59" t="s">
        <v>288</v>
      </c>
      <c r="Y14" s="1" t="s">
        <v>0</v>
      </c>
      <c r="Z14" s="1" t="s">
        <v>210</v>
      </c>
    </row>
    <row r="15" spans="1:53" s="54" customFormat="1">
      <c r="A15" s="67">
        <v>14</v>
      </c>
      <c r="B15" s="67" t="s">
        <v>1</v>
      </c>
      <c r="C15" s="66">
        <v>2</v>
      </c>
      <c r="D15" s="66" t="s">
        <v>87</v>
      </c>
      <c r="E15" s="66" t="s">
        <v>87</v>
      </c>
      <c r="F15" s="66" t="s">
        <v>87</v>
      </c>
      <c r="G15" s="66" t="s">
        <v>87</v>
      </c>
      <c r="H15" s="66" t="s">
        <v>87</v>
      </c>
      <c r="I15" s="66" t="s">
        <v>87</v>
      </c>
      <c r="J15" s="66" t="s">
        <v>87</v>
      </c>
      <c r="K15" s="66" t="s">
        <v>87</v>
      </c>
      <c r="L15" s="66" t="s">
        <v>87</v>
      </c>
      <c r="N15" s="59" t="s">
        <v>288</v>
      </c>
      <c r="O15" s="59" t="s">
        <v>288</v>
      </c>
      <c r="P15" s="59" t="s">
        <v>288</v>
      </c>
      <c r="Q15" s="59" t="s">
        <v>288</v>
      </c>
      <c r="R15" s="59" t="s">
        <v>288</v>
      </c>
      <c r="S15" s="59" t="s">
        <v>288</v>
      </c>
      <c r="T15" s="59" t="s">
        <v>288</v>
      </c>
      <c r="U15" s="59" t="s">
        <v>288</v>
      </c>
      <c r="V15" s="62" t="s">
        <v>288</v>
      </c>
      <c r="W15" s="59" t="s">
        <v>288</v>
      </c>
      <c r="X15" s="59" t="s">
        <v>288</v>
      </c>
      <c r="Y15" s="54" t="s">
        <v>89</v>
      </c>
      <c r="Z15" s="54" t="s">
        <v>214</v>
      </c>
    </row>
    <row r="16" spans="1:53">
      <c r="A16" s="64">
        <v>15</v>
      </c>
      <c r="B16" s="64" t="s">
        <v>2</v>
      </c>
      <c r="C16" s="65" t="str">
        <f>IF($O16="ON","@",3)</f>
        <v>@</v>
      </c>
      <c r="D16" s="66" t="s">
        <v>87</v>
      </c>
      <c r="E16" s="66" t="s">
        <v>87</v>
      </c>
      <c r="F16" s="66" t="s">
        <v>87</v>
      </c>
      <c r="G16" s="66" t="s">
        <v>87</v>
      </c>
      <c r="H16" s="66" t="s">
        <v>87</v>
      </c>
      <c r="I16" s="66" t="s">
        <v>87</v>
      </c>
      <c r="J16" s="66" t="s">
        <v>87</v>
      </c>
      <c r="K16" s="66" t="s">
        <v>87</v>
      </c>
      <c r="L16" s="66" t="s">
        <v>87</v>
      </c>
      <c r="N16" s="60" t="s">
        <v>290</v>
      </c>
      <c r="O16" s="61" t="s">
        <v>270</v>
      </c>
      <c r="P16" s="59" t="s">
        <v>288</v>
      </c>
      <c r="Q16" s="59" t="s">
        <v>288</v>
      </c>
      <c r="R16" s="59" t="s">
        <v>288</v>
      </c>
      <c r="S16" s="59" t="s">
        <v>288</v>
      </c>
      <c r="T16" s="59" t="s">
        <v>288</v>
      </c>
      <c r="U16" s="59" t="s">
        <v>288</v>
      </c>
      <c r="V16" s="62" t="s">
        <v>288</v>
      </c>
      <c r="W16" s="59" t="s">
        <v>288</v>
      </c>
      <c r="X16" s="59" t="s">
        <v>288</v>
      </c>
      <c r="Y16" s="1" t="s">
        <v>90</v>
      </c>
      <c r="Z16" s="1" t="s">
        <v>212</v>
      </c>
    </row>
    <row r="17" spans="1:26">
      <c r="A17" s="64">
        <v>16</v>
      </c>
      <c r="B17" s="64" t="s">
        <v>31</v>
      </c>
      <c r="C17" s="65" t="str">
        <f>IF($O17="ON","@",2971107)</f>
        <v>@</v>
      </c>
      <c r="D17" s="66" t="s">
        <v>87</v>
      </c>
      <c r="E17" s="66" t="s">
        <v>87</v>
      </c>
      <c r="F17" s="66" t="s">
        <v>87</v>
      </c>
      <c r="G17" s="66" t="s">
        <v>87</v>
      </c>
      <c r="H17" s="66" t="s">
        <v>87</v>
      </c>
      <c r="I17" s="66" t="s">
        <v>87</v>
      </c>
      <c r="J17" s="66" t="s">
        <v>87</v>
      </c>
      <c r="K17" s="66" t="s">
        <v>87</v>
      </c>
      <c r="L17" s="66" t="s">
        <v>87</v>
      </c>
      <c r="N17" s="60" t="s">
        <v>292</v>
      </c>
      <c r="O17" s="61" t="s">
        <v>270</v>
      </c>
      <c r="P17" s="59" t="s">
        <v>288</v>
      </c>
      <c r="Q17" s="59" t="s">
        <v>288</v>
      </c>
      <c r="R17" s="59" t="s">
        <v>288</v>
      </c>
      <c r="S17" s="59" t="s">
        <v>288</v>
      </c>
      <c r="T17" s="59" t="s">
        <v>288</v>
      </c>
      <c r="U17" s="59" t="s">
        <v>288</v>
      </c>
      <c r="V17" s="62" t="s">
        <v>288</v>
      </c>
      <c r="W17" s="59" t="s">
        <v>288</v>
      </c>
      <c r="X17" s="59" t="s">
        <v>288</v>
      </c>
      <c r="Y17" s="1" t="s">
        <v>91</v>
      </c>
      <c r="Z17" s="1" t="s">
        <v>212</v>
      </c>
    </row>
    <row r="18" spans="1:26">
      <c r="A18" s="64">
        <v>17</v>
      </c>
      <c r="B18" s="64" t="s">
        <v>24</v>
      </c>
      <c r="C18" s="65" t="str">
        <f>IF($O18="ON","@",561)</f>
        <v>@</v>
      </c>
      <c r="D18" s="66" t="s">
        <v>87</v>
      </c>
      <c r="E18" s="66" t="s">
        <v>87</v>
      </c>
      <c r="F18" s="66" t="s">
        <v>87</v>
      </c>
      <c r="G18" s="66" t="s">
        <v>87</v>
      </c>
      <c r="H18" s="66" t="s">
        <v>87</v>
      </c>
      <c r="I18" s="66" t="s">
        <v>87</v>
      </c>
      <c r="J18" s="66" t="s">
        <v>87</v>
      </c>
      <c r="K18" s="66" t="s">
        <v>87</v>
      </c>
      <c r="L18" s="66" t="s">
        <v>87</v>
      </c>
      <c r="N18" s="60" t="s">
        <v>291</v>
      </c>
      <c r="O18" s="61" t="s">
        <v>270</v>
      </c>
      <c r="P18" s="59" t="s">
        <v>288</v>
      </c>
      <c r="Q18" s="59" t="s">
        <v>288</v>
      </c>
      <c r="R18" s="59" t="s">
        <v>288</v>
      </c>
      <c r="S18" s="59" t="s">
        <v>288</v>
      </c>
      <c r="T18" s="59" t="s">
        <v>288</v>
      </c>
      <c r="U18" s="59" t="s">
        <v>288</v>
      </c>
      <c r="V18" s="62" t="s">
        <v>288</v>
      </c>
      <c r="W18" s="59" t="s">
        <v>288</v>
      </c>
      <c r="X18" s="59" t="s">
        <v>288</v>
      </c>
      <c r="Y18" s="1" t="s">
        <v>92</v>
      </c>
      <c r="Z18" s="1" t="s">
        <v>212</v>
      </c>
    </row>
    <row r="19" spans="1:26" s="54" customFormat="1">
      <c r="A19" s="67">
        <v>18</v>
      </c>
      <c r="B19" s="67" t="s">
        <v>25</v>
      </c>
      <c r="C19" s="66">
        <v>6</v>
      </c>
      <c r="D19" s="66" t="s">
        <v>87</v>
      </c>
      <c r="E19" s="66" t="s">
        <v>87</v>
      </c>
      <c r="F19" s="66" t="s">
        <v>87</v>
      </c>
      <c r="G19" s="66" t="s">
        <v>87</v>
      </c>
      <c r="H19" s="66" t="s">
        <v>87</v>
      </c>
      <c r="I19" s="66" t="s">
        <v>87</v>
      </c>
      <c r="J19" s="66" t="s">
        <v>87</v>
      </c>
      <c r="K19" s="66" t="s">
        <v>87</v>
      </c>
      <c r="L19" s="66" t="s">
        <v>87</v>
      </c>
      <c r="N19" s="59" t="s">
        <v>288</v>
      </c>
      <c r="O19" s="59" t="s">
        <v>288</v>
      </c>
      <c r="P19" s="59" t="s">
        <v>288</v>
      </c>
      <c r="Q19" s="59" t="s">
        <v>288</v>
      </c>
      <c r="R19" s="59" t="s">
        <v>288</v>
      </c>
      <c r="S19" s="59" t="s">
        <v>288</v>
      </c>
      <c r="T19" s="59" t="s">
        <v>288</v>
      </c>
      <c r="U19" s="59" t="s">
        <v>288</v>
      </c>
      <c r="V19" s="62" t="s">
        <v>288</v>
      </c>
      <c r="W19" s="59" t="s">
        <v>288</v>
      </c>
      <c r="X19" s="59" t="s">
        <v>288</v>
      </c>
      <c r="Y19" s="54" t="s">
        <v>89</v>
      </c>
      <c r="Z19" s="54" t="s">
        <v>212</v>
      </c>
    </row>
    <row r="20" spans="1:26">
      <c r="A20" s="64">
        <v>19</v>
      </c>
      <c r="B20" s="64" t="s">
        <v>26</v>
      </c>
      <c r="C20" s="65" t="str">
        <f>IF($O20="ON","@",57)</f>
        <v>@</v>
      </c>
      <c r="D20" s="66" t="s">
        <v>87</v>
      </c>
      <c r="E20" s="66" t="s">
        <v>87</v>
      </c>
      <c r="F20" s="66" t="s">
        <v>87</v>
      </c>
      <c r="G20" s="66" t="s">
        <v>87</v>
      </c>
      <c r="H20" s="66" t="s">
        <v>87</v>
      </c>
      <c r="I20" s="66" t="s">
        <v>87</v>
      </c>
      <c r="J20" s="66" t="s">
        <v>87</v>
      </c>
      <c r="K20" s="66" t="s">
        <v>87</v>
      </c>
      <c r="L20" s="66" t="s">
        <v>87</v>
      </c>
      <c r="N20" s="60" t="s">
        <v>294</v>
      </c>
      <c r="O20" s="61" t="s">
        <v>270</v>
      </c>
      <c r="P20" s="59" t="s">
        <v>288</v>
      </c>
      <c r="Q20" s="59" t="s">
        <v>288</v>
      </c>
      <c r="R20" s="59" t="s">
        <v>288</v>
      </c>
      <c r="S20" s="59" t="s">
        <v>288</v>
      </c>
      <c r="T20" s="59" t="s">
        <v>288</v>
      </c>
      <c r="U20" s="59" t="s">
        <v>288</v>
      </c>
      <c r="V20" s="62" t="s">
        <v>288</v>
      </c>
      <c r="W20" s="59" t="s">
        <v>288</v>
      </c>
      <c r="X20" s="59" t="s">
        <v>288</v>
      </c>
      <c r="Y20" s="1" t="s">
        <v>194</v>
      </c>
      <c r="Z20" s="1" t="s">
        <v>212</v>
      </c>
    </row>
    <row r="21" spans="1:26">
      <c r="A21" s="64">
        <v>20</v>
      </c>
      <c r="B21" s="64" t="s">
        <v>27</v>
      </c>
      <c r="C21" s="65" t="str">
        <f>IF($O21="ON","@",565)</f>
        <v>@</v>
      </c>
      <c r="D21" s="66" t="s">
        <v>87</v>
      </c>
      <c r="E21" s="66" t="s">
        <v>87</v>
      </c>
      <c r="F21" s="66" t="s">
        <v>87</v>
      </c>
      <c r="G21" s="66" t="s">
        <v>87</v>
      </c>
      <c r="H21" s="66" t="s">
        <v>87</v>
      </c>
      <c r="I21" s="66" t="s">
        <v>87</v>
      </c>
      <c r="J21" s="66" t="s">
        <v>87</v>
      </c>
      <c r="K21" s="66" t="s">
        <v>87</v>
      </c>
      <c r="L21" s="66" t="s">
        <v>87</v>
      </c>
      <c r="N21" s="60" t="s">
        <v>295</v>
      </c>
      <c r="O21" s="61" t="s">
        <v>270</v>
      </c>
      <c r="P21" s="59" t="s">
        <v>288</v>
      </c>
      <c r="Q21" s="59" t="s">
        <v>288</v>
      </c>
      <c r="R21" s="59" t="s">
        <v>288</v>
      </c>
      <c r="S21" s="59" t="s">
        <v>288</v>
      </c>
      <c r="T21" s="59" t="s">
        <v>288</v>
      </c>
      <c r="U21" s="59" t="s">
        <v>288</v>
      </c>
      <c r="V21" s="62" t="s">
        <v>288</v>
      </c>
      <c r="W21" s="59" t="s">
        <v>288</v>
      </c>
      <c r="X21" s="59" t="s">
        <v>288</v>
      </c>
      <c r="Y21" s="1" t="s">
        <v>93</v>
      </c>
      <c r="Z21" s="1" t="s">
        <v>212</v>
      </c>
    </row>
    <row r="22" spans="1:26">
      <c r="A22" s="64">
        <v>21</v>
      </c>
      <c r="B22" s="64" t="s">
        <v>28</v>
      </c>
      <c r="C22" s="65" t="str">
        <f>IF($O22="ON","@",1021)</f>
        <v>@</v>
      </c>
      <c r="D22" s="66" t="s">
        <v>87</v>
      </c>
      <c r="E22" s="66" t="s">
        <v>87</v>
      </c>
      <c r="F22" s="66" t="s">
        <v>87</v>
      </c>
      <c r="G22" s="66" t="s">
        <v>87</v>
      </c>
      <c r="H22" s="66" t="s">
        <v>87</v>
      </c>
      <c r="I22" s="66" t="s">
        <v>87</v>
      </c>
      <c r="J22" s="66" t="s">
        <v>87</v>
      </c>
      <c r="K22" s="66" t="s">
        <v>87</v>
      </c>
      <c r="L22" s="66" t="s">
        <v>87</v>
      </c>
      <c r="N22" s="60" t="s">
        <v>296</v>
      </c>
      <c r="O22" s="61" t="s">
        <v>270</v>
      </c>
      <c r="P22" s="59" t="s">
        <v>288</v>
      </c>
      <c r="Q22" s="59" t="s">
        <v>288</v>
      </c>
      <c r="R22" s="59" t="s">
        <v>288</v>
      </c>
      <c r="S22" s="59" t="s">
        <v>288</v>
      </c>
      <c r="T22" s="59" t="s">
        <v>288</v>
      </c>
      <c r="U22" s="59" t="s">
        <v>288</v>
      </c>
      <c r="V22" s="62" t="s">
        <v>288</v>
      </c>
      <c r="W22" s="59" t="s">
        <v>288</v>
      </c>
      <c r="X22" s="59" t="s">
        <v>288</v>
      </c>
      <c r="Y22" s="1" t="s">
        <v>94</v>
      </c>
      <c r="Z22" s="1" t="s">
        <v>212</v>
      </c>
    </row>
    <row r="23" spans="1:26">
      <c r="A23" s="64">
        <v>22</v>
      </c>
      <c r="B23" s="64" t="s">
        <v>29</v>
      </c>
      <c r="C23" s="65" t="str">
        <f>IF($O23="ON","@",5592109)</f>
        <v>@</v>
      </c>
      <c r="D23" s="66" t="s">
        <v>87</v>
      </c>
      <c r="E23" s="66" t="s">
        <v>87</v>
      </c>
      <c r="F23" s="66" t="s">
        <v>87</v>
      </c>
      <c r="G23" s="66" t="s">
        <v>87</v>
      </c>
      <c r="H23" s="66" t="s">
        <v>87</v>
      </c>
      <c r="I23" s="66" t="s">
        <v>87</v>
      </c>
      <c r="J23" s="66" t="s">
        <v>87</v>
      </c>
      <c r="K23" s="66" t="s">
        <v>87</v>
      </c>
      <c r="L23" s="66" t="s">
        <v>87</v>
      </c>
      <c r="N23" s="60" t="s">
        <v>297</v>
      </c>
      <c r="O23" s="61" t="s">
        <v>270</v>
      </c>
      <c r="P23" s="59" t="s">
        <v>288</v>
      </c>
      <c r="Q23" s="59" t="s">
        <v>288</v>
      </c>
      <c r="R23" s="59" t="s">
        <v>288</v>
      </c>
      <c r="S23" s="59" t="s">
        <v>288</v>
      </c>
      <c r="T23" s="59" t="s">
        <v>288</v>
      </c>
      <c r="U23" s="59" t="s">
        <v>288</v>
      </c>
      <c r="V23" s="62" t="s">
        <v>288</v>
      </c>
      <c r="W23" s="59" t="s">
        <v>288</v>
      </c>
      <c r="X23" s="59" t="s">
        <v>288</v>
      </c>
      <c r="Y23" s="1" t="s">
        <v>95</v>
      </c>
      <c r="Z23" s="1" t="s">
        <v>212</v>
      </c>
    </row>
    <row r="24" spans="1:26">
      <c r="A24" s="64">
        <v>23</v>
      </c>
      <c r="B24" s="64" t="s">
        <v>30</v>
      </c>
      <c r="C24" s="65" t="str">
        <f>IF($O24="ON","@",1471)</f>
        <v>@</v>
      </c>
      <c r="D24" s="66" t="s">
        <v>87</v>
      </c>
      <c r="E24" s="66" t="s">
        <v>87</v>
      </c>
      <c r="F24" s="66" t="s">
        <v>87</v>
      </c>
      <c r="G24" s="66" t="s">
        <v>87</v>
      </c>
      <c r="H24" s="66" t="s">
        <v>87</v>
      </c>
      <c r="I24" s="66" t="s">
        <v>87</v>
      </c>
      <c r="J24" s="66" t="s">
        <v>87</v>
      </c>
      <c r="K24" s="66" t="s">
        <v>87</v>
      </c>
      <c r="L24" s="66" t="s">
        <v>87</v>
      </c>
      <c r="N24" s="60" t="s">
        <v>298</v>
      </c>
      <c r="O24" s="61" t="s">
        <v>270</v>
      </c>
      <c r="P24" s="59" t="s">
        <v>288</v>
      </c>
      <c r="Q24" s="59" t="s">
        <v>288</v>
      </c>
      <c r="R24" s="59" t="s">
        <v>288</v>
      </c>
      <c r="S24" s="59" t="s">
        <v>288</v>
      </c>
      <c r="T24" s="59" t="s">
        <v>288</v>
      </c>
      <c r="U24" s="59" t="s">
        <v>288</v>
      </c>
      <c r="V24" s="62" t="s">
        <v>288</v>
      </c>
      <c r="W24" s="59" t="s">
        <v>288</v>
      </c>
      <c r="X24" s="59" t="s">
        <v>288</v>
      </c>
      <c r="Y24" s="1" t="s">
        <v>269</v>
      </c>
      <c r="Z24" s="1" t="s">
        <v>212</v>
      </c>
    </row>
    <row r="25" spans="1:26" s="54" customFormat="1">
      <c r="A25" s="67">
        <v>24</v>
      </c>
      <c r="B25" s="67" t="s">
        <v>97</v>
      </c>
      <c r="C25" s="67" t="s">
        <v>293</v>
      </c>
      <c r="D25" s="66" t="s">
        <v>87</v>
      </c>
      <c r="E25" s="66" t="s">
        <v>87</v>
      </c>
      <c r="F25" s="66" t="s">
        <v>87</v>
      </c>
      <c r="G25" s="66" t="s">
        <v>87</v>
      </c>
      <c r="H25" s="66" t="s">
        <v>87</v>
      </c>
      <c r="I25" s="66" t="s">
        <v>87</v>
      </c>
      <c r="J25" s="66" t="s">
        <v>87</v>
      </c>
      <c r="K25" s="66" t="s">
        <v>87</v>
      </c>
      <c r="L25" s="66" t="s">
        <v>87</v>
      </c>
      <c r="N25" s="59" t="s">
        <v>305</v>
      </c>
      <c r="O25" s="59" t="s">
        <v>287</v>
      </c>
      <c r="P25" s="59" t="s">
        <v>288</v>
      </c>
      <c r="Q25" s="59" t="s">
        <v>288</v>
      </c>
      <c r="R25" s="59" t="s">
        <v>288</v>
      </c>
      <c r="S25" s="59" t="s">
        <v>288</v>
      </c>
      <c r="T25" s="59" t="s">
        <v>288</v>
      </c>
      <c r="U25" s="59" t="s">
        <v>288</v>
      </c>
      <c r="V25" s="62" t="s">
        <v>288</v>
      </c>
      <c r="W25" s="59" t="s">
        <v>288</v>
      </c>
      <c r="X25" s="59" t="s">
        <v>288</v>
      </c>
      <c r="Y25" s="54" t="s">
        <v>0</v>
      </c>
      <c r="Z25" s="54" t="s">
        <v>210</v>
      </c>
    </row>
    <row r="26" spans="1:26">
      <c r="A26" s="64">
        <v>25</v>
      </c>
      <c r="B26" s="64" t="s">
        <v>100</v>
      </c>
      <c r="C26" s="65">
        <f t="shared" ref="C26" si="2">IF($O26="on",1,"@")</f>
        <v>1</v>
      </c>
      <c r="D26" s="66" t="s">
        <v>87</v>
      </c>
      <c r="E26" s="66" t="s">
        <v>87</v>
      </c>
      <c r="F26" s="66" t="s">
        <v>87</v>
      </c>
      <c r="G26" s="66" t="s">
        <v>87</v>
      </c>
      <c r="H26" s="66" t="s">
        <v>87</v>
      </c>
      <c r="I26" s="66" t="s">
        <v>87</v>
      </c>
      <c r="J26" s="66" t="s">
        <v>87</v>
      </c>
      <c r="K26" s="66" t="s">
        <v>87</v>
      </c>
      <c r="L26" s="66" t="s">
        <v>87</v>
      </c>
      <c r="N26" s="60" t="s">
        <v>300</v>
      </c>
      <c r="O26" s="61" t="s">
        <v>270</v>
      </c>
      <c r="P26" s="59" t="s">
        <v>288</v>
      </c>
      <c r="Q26" s="59" t="s">
        <v>288</v>
      </c>
      <c r="R26" s="59" t="s">
        <v>288</v>
      </c>
      <c r="S26" s="59" t="s">
        <v>288</v>
      </c>
      <c r="T26" s="59" t="s">
        <v>288</v>
      </c>
      <c r="U26" s="59" t="s">
        <v>288</v>
      </c>
      <c r="V26" s="62" t="s">
        <v>288</v>
      </c>
      <c r="W26" s="59" t="s">
        <v>288</v>
      </c>
      <c r="X26" s="59" t="s">
        <v>288</v>
      </c>
      <c r="Y26" s="1" t="s">
        <v>170</v>
      </c>
      <c r="Z26" s="1" t="s">
        <v>210</v>
      </c>
    </row>
    <row r="27" spans="1:26">
      <c r="A27" s="64">
        <v>26</v>
      </c>
      <c r="B27" s="64" t="s">
        <v>215</v>
      </c>
      <c r="C27" s="65">
        <f>IF($O27=50,1,IF($O27=70,2,IF($O27=90,3,IF(O27=100,4,"@"))))</f>
        <v>3</v>
      </c>
      <c r="D27" s="66">
        <v>7951201</v>
      </c>
      <c r="E27" s="66">
        <v>7951202</v>
      </c>
      <c r="F27" s="66">
        <v>7951203</v>
      </c>
      <c r="G27" s="66">
        <v>7951204</v>
      </c>
      <c r="H27" s="66">
        <v>7951205</v>
      </c>
      <c r="I27" s="66">
        <v>7951206</v>
      </c>
      <c r="J27" s="66" t="s">
        <v>87</v>
      </c>
      <c r="K27" s="66" t="s">
        <v>87</v>
      </c>
      <c r="L27" s="66" t="s">
        <v>87</v>
      </c>
      <c r="N27" s="60" t="s">
        <v>301</v>
      </c>
      <c r="O27" s="61">
        <v>90</v>
      </c>
      <c r="P27" s="59" t="s">
        <v>288</v>
      </c>
      <c r="Q27" s="59" t="s">
        <v>288</v>
      </c>
      <c r="R27" s="59" t="s">
        <v>288</v>
      </c>
      <c r="S27" s="59" t="s">
        <v>288</v>
      </c>
      <c r="T27" s="59" t="s">
        <v>288</v>
      </c>
      <c r="U27" s="59" t="s">
        <v>288</v>
      </c>
      <c r="V27" s="62" t="s">
        <v>288</v>
      </c>
      <c r="W27" s="59" t="s">
        <v>288</v>
      </c>
      <c r="X27" s="59" t="s">
        <v>288</v>
      </c>
      <c r="Y27" s="1" t="s">
        <v>229</v>
      </c>
      <c r="Z27" s="1" t="s">
        <v>210</v>
      </c>
    </row>
    <row r="28" spans="1:26">
      <c r="A28" s="64">
        <v>27</v>
      </c>
      <c r="B28" s="64" t="s">
        <v>86</v>
      </c>
      <c r="C28" s="65">
        <f>QBitFlag!G40</f>
        <v>17825792</v>
      </c>
      <c r="D28" s="66" t="s">
        <v>87</v>
      </c>
      <c r="E28" s="66" t="s">
        <v>87</v>
      </c>
      <c r="F28" s="66" t="s">
        <v>87</v>
      </c>
      <c r="G28" s="66" t="s">
        <v>87</v>
      </c>
      <c r="H28" s="66" t="s">
        <v>87</v>
      </c>
      <c r="I28" s="66" t="s">
        <v>87</v>
      </c>
      <c r="J28" s="66" t="s">
        <v>87</v>
      </c>
      <c r="K28" s="66" t="s">
        <v>87</v>
      </c>
      <c r="L28" s="66" t="s">
        <v>87</v>
      </c>
      <c r="N28" s="59" t="s">
        <v>302</v>
      </c>
      <c r="O28" s="59" t="s">
        <v>288</v>
      </c>
      <c r="P28" s="59" t="s">
        <v>288</v>
      </c>
      <c r="Q28" s="59" t="s">
        <v>288</v>
      </c>
      <c r="R28" s="59" t="s">
        <v>288</v>
      </c>
      <c r="S28" s="59" t="s">
        <v>288</v>
      </c>
      <c r="T28" s="59" t="s">
        <v>288</v>
      </c>
      <c r="U28" s="59" t="s">
        <v>288</v>
      </c>
      <c r="V28" s="62" t="s">
        <v>288</v>
      </c>
      <c r="W28" s="59" t="s">
        <v>288</v>
      </c>
      <c r="X28" s="59" t="s">
        <v>288</v>
      </c>
      <c r="Y28" s="1" t="s">
        <v>96</v>
      </c>
      <c r="Z28" s="1" t="s">
        <v>216</v>
      </c>
    </row>
    <row r="29" spans="1:26" s="54" customFormat="1">
      <c r="A29" s="67">
        <v>28</v>
      </c>
      <c r="B29" s="67" t="s">
        <v>98</v>
      </c>
      <c r="C29" s="66">
        <v>1</v>
      </c>
      <c r="D29" s="66" t="s">
        <v>87</v>
      </c>
      <c r="E29" s="66" t="s">
        <v>87</v>
      </c>
      <c r="F29" s="66" t="s">
        <v>87</v>
      </c>
      <c r="G29" s="66" t="s">
        <v>87</v>
      </c>
      <c r="H29" s="66" t="s">
        <v>87</v>
      </c>
      <c r="I29" s="66" t="s">
        <v>87</v>
      </c>
      <c r="J29" s="66" t="s">
        <v>87</v>
      </c>
      <c r="K29" s="66" t="s">
        <v>87</v>
      </c>
      <c r="L29" s="66" t="s">
        <v>87</v>
      </c>
      <c r="N29" s="59" t="s">
        <v>304</v>
      </c>
      <c r="O29" s="59" t="s">
        <v>270</v>
      </c>
      <c r="P29" s="59" t="s">
        <v>288</v>
      </c>
      <c r="Q29" s="59" t="s">
        <v>288</v>
      </c>
      <c r="R29" s="59" t="s">
        <v>288</v>
      </c>
      <c r="S29" s="59" t="s">
        <v>288</v>
      </c>
      <c r="T29" s="59" t="s">
        <v>288</v>
      </c>
      <c r="U29" s="59" t="s">
        <v>288</v>
      </c>
      <c r="V29" s="62" t="s">
        <v>288</v>
      </c>
      <c r="W29" s="59" t="s">
        <v>288</v>
      </c>
      <c r="X29" s="59" t="s">
        <v>288</v>
      </c>
      <c r="Y29" s="54" t="s">
        <v>0</v>
      </c>
      <c r="Z29" s="54" t="s">
        <v>210</v>
      </c>
    </row>
    <row r="30" spans="1:26" s="54" customFormat="1">
      <c r="A30" s="67">
        <v>29</v>
      </c>
      <c r="B30" s="67" t="s">
        <v>99</v>
      </c>
      <c r="C30" s="66">
        <v>1</v>
      </c>
      <c r="D30" s="66" t="s">
        <v>87</v>
      </c>
      <c r="E30" s="66" t="s">
        <v>87</v>
      </c>
      <c r="F30" s="66" t="s">
        <v>87</v>
      </c>
      <c r="G30" s="66" t="s">
        <v>87</v>
      </c>
      <c r="H30" s="66" t="s">
        <v>87</v>
      </c>
      <c r="I30" s="66" t="s">
        <v>87</v>
      </c>
      <c r="J30" s="66" t="s">
        <v>87</v>
      </c>
      <c r="K30" s="66" t="s">
        <v>87</v>
      </c>
      <c r="L30" s="66" t="s">
        <v>87</v>
      </c>
      <c r="N30" s="59" t="s">
        <v>303</v>
      </c>
      <c r="O30" s="59" t="s">
        <v>270</v>
      </c>
      <c r="P30" s="59" t="s">
        <v>288</v>
      </c>
      <c r="Q30" s="59" t="s">
        <v>288</v>
      </c>
      <c r="R30" s="59" t="s">
        <v>288</v>
      </c>
      <c r="S30" s="59" t="s">
        <v>288</v>
      </c>
      <c r="T30" s="59" t="s">
        <v>288</v>
      </c>
      <c r="U30" s="59" t="s">
        <v>288</v>
      </c>
      <c r="V30" s="62" t="s">
        <v>288</v>
      </c>
      <c r="W30" s="59" t="s">
        <v>288</v>
      </c>
      <c r="X30" s="59" t="s">
        <v>288</v>
      </c>
      <c r="Y30" s="54" t="s">
        <v>171</v>
      </c>
      <c r="Z30" s="54" t="s">
        <v>210</v>
      </c>
    </row>
    <row r="31" spans="1:26">
      <c r="A31" s="64">
        <v>30</v>
      </c>
      <c r="B31" s="64" t="s">
        <v>101</v>
      </c>
      <c r="C31" s="65" t="str">
        <f>IF($O31="ON","@",9006)</f>
        <v>@</v>
      </c>
      <c r="D31" s="66" t="s">
        <v>87</v>
      </c>
      <c r="E31" s="66" t="s">
        <v>87</v>
      </c>
      <c r="F31" s="66" t="s">
        <v>87</v>
      </c>
      <c r="G31" s="66" t="s">
        <v>87</v>
      </c>
      <c r="H31" s="66" t="s">
        <v>87</v>
      </c>
      <c r="I31" s="66" t="s">
        <v>87</v>
      </c>
      <c r="J31" s="66" t="s">
        <v>87</v>
      </c>
      <c r="K31" s="66" t="s">
        <v>87</v>
      </c>
      <c r="L31" s="66" t="s">
        <v>87</v>
      </c>
      <c r="N31" s="60" t="s">
        <v>306</v>
      </c>
      <c r="O31" s="61" t="s">
        <v>270</v>
      </c>
      <c r="P31" s="59" t="s">
        <v>288</v>
      </c>
      <c r="Q31" s="59" t="s">
        <v>288</v>
      </c>
      <c r="R31" s="59" t="s">
        <v>288</v>
      </c>
      <c r="S31" s="59" t="s">
        <v>288</v>
      </c>
      <c r="T31" s="59" t="s">
        <v>288</v>
      </c>
      <c r="U31" s="59" t="s">
        <v>288</v>
      </c>
      <c r="V31" s="62" t="s">
        <v>288</v>
      </c>
      <c r="W31" s="59" t="s">
        <v>288</v>
      </c>
      <c r="X31" s="59" t="s">
        <v>288</v>
      </c>
      <c r="Y31" s="1" t="s">
        <v>172</v>
      </c>
      <c r="Z31" s="1" t="s">
        <v>212</v>
      </c>
    </row>
    <row r="32" spans="1:26">
      <c r="A32" s="64">
        <v>31</v>
      </c>
      <c r="B32" s="64" t="s">
        <v>102</v>
      </c>
      <c r="C32" s="65" t="str">
        <f>IF($O32="ON","@",9008)</f>
        <v>@</v>
      </c>
      <c r="D32" s="66" t="s">
        <v>87</v>
      </c>
      <c r="E32" s="66" t="s">
        <v>87</v>
      </c>
      <c r="F32" s="66" t="s">
        <v>87</v>
      </c>
      <c r="G32" s="66" t="s">
        <v>87</v>
      </c>
      <c r="H32" s="66" t="s">
        <v>87</v>
      </c>
      <c r="I32" s="66" t="s">
        <v>87</v>
      </c>
      <c r="J32" s="66" t="s">
        <v>87</v>
      </c>
      <c r="K32" s="66" t="s">
        <v>87</v>
      </c>
      <c r="L32" s="66" t="s">
        <v>87</v>
      </c>
      <c r="N32" s="60" t="s">
        <v>307</v>
      </c>
      <c r="O32" s="61" t="s">
        <v>270</v>
      </c>
      <c r="P32" s="59" t="s">
        <v>288</v>
      </c>
      <c r="Q32" s="59" t="s">
        <v>288</v>
      </c>
      <c r="R32" s="59" t="s">
        <v>288</v>
      </c>
      <c r="S32" s="59" t="s">
        <v>288</v>
      </c>
      <c r="T32" s="59" t="s">
        <v>288</v>
      </c>
      <c r="U32" s="59" t="s">
        <v>288</v>
      </c>
      <c r="V32" s="62" t="s">
        <v>288</v>
      </c>
      <c r="W32" s="59" t="s">
        <v>288</v>
      </c>
      <c r="X32" s="59" t="s">
        <v>288</v>
      </c>
      <c r="Y32" s="1" t="s">
        <v>173</v>
      </c>
      <c r="Z32" s="1" t="s">
        <v>212</v>
      </c>
    </row>
    <row r="33" spans="1:26">
      <c r="A33" s="64">
        <v>32</v>
      </c>
      <c r="B33" s="64" t="s">
        <v>103</v>
      </c>
      <c r="C33" s="65" t="str">
        <f>IF($O33="ON","@",9009)</f>
        <v>@</v>
      </c>
      <c r="D33" s="66" t="s">
        <v>87</v>
      </c>
      <c r="E33" s="66" t="s">
        <v>87</v>
      </c>
      <c r="F33" s="66" t="s">
        <v>87</v>
      </c>
      <c r="G33" s="66" t="s">
        <v>87</v>
      </c>
      <c r="H33" s="66" t="s">
        <v>87</v>
      </c>
      <c r="I33" s="66" t="s">
        <v>87</v>
      </c>
      <c r="J33" s="66" t="s">
        <v>87</v>
      </c>
      <c r="K33" s="66" t="s">
        <v>87</v>
      </c>
      <c r="L33" s="66" t="s">
        <v>87</v>
      </c>
      <c r="N33" s="60" t="s">
        <v>308</v>
      </c>
      <c r="O33" s="61" t="s">
        <v>270</v>
      </c>
      <c r="P33" s="59" t="s">
        <v>288</v>
      </c>
      <c r="Q33" s="59" t="s">
        <v>288</v>
      </c>
      <c r="R33" s="59" t="s">
        <v>288</v>
      </c>
      <c r="S33" s="59" t="s">
        <v>288</v>
      </c>
      <c r="T33" s="59" t="s">
        <v>288</v>
      </c>
      <c r="U33" s="59" t="s">
        <v>288</v>
      </c>
      <c r="V33" s="62" t="s">
        <v>288</v>
      </c>
      <c r="W33" s="59" t="s">
        <v>288</v>
      </c>
      <c r="X33" s="59" t="s">
        <v>288</v>
      </c>
      <c r="Y33" s="1" t="s">
        <v>112</v>
      </c>
      <c r="Z33" s="1" t="s">
        <v>212</v>
      </c>
    </row>
    <row r="34" spans="1:26">
      <c r="A34" s="64">
        <v>33</v>
      </c>
      <c r="B34" s="64" t="s">
        <v>104</v>
      </c>
      <c r="C34" s="65" t="str">
        <f>IF($O34="ON","@",9001)</f>
        <v>@</v>
      </c>
      <c r="D34" s="66" t="s">
        <v>87</v>
      </c>
      <c r="E34" s="66" t="s">
        <v>87</v>
      </c>
      <c r="F34" s="66" t="s">
        <v>87</v>
      </c>
      <c r="G34" s="66" t="s">
        <v>87</v>
      </c>
      <c r="H34" s="66" t="s">
        <v>87</v>
      </c>
      <c r="I34" s="66" t="s">
        <v>87</v>
      </c>
      <c r="J34" s="66" t="s">
        <v>87</v>
      </c>
      <c r="K34" s="66" t="s">
        <v>87</v>
      </c>
      <c r="L34" s="66" t="s">
        <v>87</v>
      </c>
      <c r="N34" s="60" t="s">
        <v>309</v>
      </c>
      <c r="O34" s="61" t="s">
        <v>270</v>
      </c>
      <c r="P34" s="59" t="s">
        <v>288</v>
      </c>
      <c r="Q34" s="59" t="s">
        <v>288</v>
      </c>
      <c r="R34" s="59" t="s">
        <v>288</v>
      </c>
      <c r="S34" s="59" t="s">
        <v>288</v>
      </c>
      <c r="T34" s="59" t="s">
        <v>288</v>
      </c>
      <c r="U34" s="59" t="s">
        <v>288</v>
      </c>
      <c r="V34" s="62" t="s">
        <v>288</v>
      </c>
      <c r="W34" s="59" t="s">
        <v>288</v>
      </c>
      <c r="X34" s="59" t="s">
        <v>288</v>
      </c>
      <c r="Y34" s="1" t="s">
        <v>174</v>
      </c>
      <c r="Z34" s="1" t="s">
        <v>212</v>
      </c>
    </row>
    <row r="35" spans="1:26">
      <c r="A35" s="64">
        <v>34</v>
      </c>
      <c r="B35" s="64" t="s">
        <v>105</v>
      </c>
      <c r="C35" s="65" t="str">
        <f>IF($O35="ON","@",9002)</f>
        <v>@</v>
      </c>
      <c r="D35" s="66" t="s">
        <v>87</v>
      </c>
      <c r="E35" s="66" t="s">
        <v>87</v>
      </c>
      <c r="F35" s="66" t="s">
        <v>87</v>
      </c>
      <c r="G35" s="66" t="s">
        <v>87</v>
      </c>
      <c r="H35" s="66" t="s">
        <v>87</v>
      </c>
      <c r="I35" s="66" t="s">
        <v>87</v>
      </c>
      <c r="J35" s="66" t="s">
        <v>87</v>
      </c>
      <c r="K35" s="66" t="s">
        <v>87</v>
      </c>
      <c r="L35" s="66" t="s">
        <v>87</v>
      </c>
      <c r="N35" s="60" t="s">
        <v>310</v>
      </c>
      <c r="O35" s="61" t="s">
        <v>270</v>
      </c>
      <c r="P35" s="59" t="s">
        <v>288</v>
      </c>
      <c r="Q35" s="59" t="s">
        <v>288</v>
      </c>
      <c r="R35" s="59" t="s">
        <v>288</v>
      </c>
      <c r="S35" s="59" t="s">
        <v>288</v>
      </c>
      <c r="T35" s="59" t="s">
        <v>288</v>
      </c>
      <c r="U35" s="59" t="s">
        <v>288</v>
      </c>
      <c r="V35" s="62" t="s">
        <v>288</v>
      </c>
      <c r="W35" s="59" t="s">
        <v>288</v>
      </c>
      <c r="X35" s="59" t="s">
        <v>288</v>
      </c>
      <c r="Y35" s="1" t="s">
        <v>175</v>
      </c>
      <c r="Z35" s="1" t="s">
        <v>212</v>
      </c>
    </row>
    <row r="36" spans="1:26">
      <c r="A36" s="64">
        <v>35</v>
      </c>
      <c r="B36" s="64" t="s">
        <v>106</v>
      </c>
      <c r="C36" s="65" t="str">
        <f>IF($O36="ON","@",8003)</f>
        <v>@</v>
      </c>
      <c r="D36" s="66" t="s">
        <v>87</v>
      </c>
      <c r="E36" s="66" t="s">
        <v>87</v>
      </c>
      <c r="F36" s="66" t="s">
        <v>87</v>
      </c>
      <c r="G36" s="66" t="s">
        <v>87</v>
      </c>
      <c r="H36" s="66" t="s">
        <v>87</v>
      </c>
      <c r="I36" s="66" t="s">
        <v>87</v>
      </c>
      <c r="J36" s="66" t="s">
        <v>87</v>
      </c>
      <c r="K36" s="66" t="s">
        <v>87</v>
      </c>
      <c r="L36" s="66" t="s">
        <v>87</v>
      </c>
      <c r="N36" s="60" t="s">
        <v>311</v>
      </c>
      <c r="O36" s="61" t="s">
        <v>270</v>
      </c>
      <c r="P36" s="59" t="s">
        <v>288</v>
      </c>
      <c r="Q36" s="59" t="s">
        <v>288</v>
      </c>
      <c r="R36" s="59" t="s">
        <v>288</v>
      </c>
      <c r="S36" s="59" t="s">
        <v>288</v>
      </c>
      <c r="T36" s="59" t="s">
        <v>288</v>
      </c>
      <c r="U36" s="59" t="s">
        <v>288</v>
      </c>
      <c r="V36" s="62" t="s">
        <v>288</v>
      </c>
      <c r="W36" s="59" t="s">
        <v>288</v>
      </c>
      <c r="X36" s="59" t="s">
        <v>288</v>
      </c>
      <c r="Y36" s="1" t="s">
        <v>176</v>
      </c>
      <c r="Z36" s="1" t="s">
        <v>212</v>
      </c>
    </row>
    <row r="37" spans="1:26">
      <c r="A37" s="64">
        <v>36</v>
      </c>
      <c r="B37" s="64" t="s">
        <v>107</v>
      </c>
      <c r="C37" s="65" t="str">
        <f>IF($O37="ON","@",9010)</f>
        <v>@</v>
      </c>
      <c r="D37" s="66" t="s">
        <v>87</v>
      </c>
      <c r="E37" s="66" t="s">
        <v>87</v>
      </c>
      <c r="F37" s="66" t="s">
        <v>87</v>
      </c>
      <c r="G37" s="66" t="s">
        <v>87</v>
      </c>
      <c r="H37" s="66" t="s">
        <v>87</v>
      </c>
      <c r="I37" s="66" t="s">
        <v>87</v>
      </c>
      <c r="J37" s="66" t="s">
        <v>87</v>
      </c>
      <c r="K37" s="66" t="s">
        <v>87</v>
      </c>
      <c r="L37" s="66" t="s">
        <v>87</v>
      </c>
      <c r="N37" s="60" t="s">
        <v>312</v>
      </c>
      <c r="O37" s="61" t="s">
        <v>270</v>
      </c>
      <c r="P37" s="59" t="s">
        <v>288</v>
      </c>
      <c r="Q37" s="59" t="s">
        <v>288</v>
      </c>
      <c r="R37" s="59" t="s">
        <v>288</v>
      </c>
      <c r="S37" s="59" t="s">
        <v>288</v>
      </c>
      <c r="T37" s="59" t="s">
        <v>288</v>
      </c>
      <c r="U37" s="59" t="s">
        <v>288</v>
      </c>
      <c r="V37" s="62" t="s">
        <v>288</v>
      </c>
      <c r="W37" s="59" t="s">
        <v>288</v>
      </c>
      <c r="X37" s="59" t="s">
        <v>288</v>
      </c>
      <c r="Y37" s="1" t="s">
        <v>177</v>
      </c>
      <c r="Z37" s="1" t="s">
        <v>212</v>
      </c>
    </row>
    <row r="38" spans="1:26">
      <c r="A38" s="64">
        <v>37</v>
      </c>
      <c r="B38" s="64" t="s">
        <v>108</v>
      </c>
      <c r="C38" s="65" t="str">
        <f>IF($O38="ON","@","@")</f>
        <v>@</v>
      </c>
      <c r="D38" s="66" t="s">
        <v>87</v>
      </c>
      <c r="E38" s="66" t="s">
        <v>87</v>
      </c>
      <c r="F38" s="66" t="s">
        <v>87</v>
      </c>
      <c r="G38" s="66" t="s">
        <v>87</v>
      </c>
      <c r="H38" s="66" t="s">
        <v>87</v>
      </c>
      <c r="I38" s="66" t="s">
        <v>87</v>
      </c>
      <c r="J38" s="66" t="s">
        <v>87</v>
      </c>
      <c r="K38" s="66" t="s">
        <v>87</v>
      </c>
      <c r="L38" s="66" t="s">
        <v>87</v>
      </c>
      <c r="N38" s="60" t="s">
        <v>313</v>
      </c>
      <c r="O38" s="61" t="s">
        <v>270</v>
      </c>
      <c r="P38" s="59" t="s">
        <v>288</v>
      </c>
      <c r="Q38" s="59" t="s">
        <v>288</v>
      </c>
      <c r="R38" s="59" t="s">
        <v>288</v>
      </c>
      <c r="S38" s="59" t="s">
        <v>288</v>
      </c>
      <c r="T38" s="59" t="s">
        <v>288</v>
      </c>
      <c r="U38" s="59" t="s">
        <v>288</v>
      </c>
      <c r="V38" s="62" t="s">
        <v>288</v>
      </c>
      <c r="W38" s="59" t="s">
        <v>288</v>
      </c>
      <c r="X38" s="59" t="s">
        <v>288</v>
      </c>
      <c r="Y38" s="1" t="s">
        <v>178</v>
      </c>
      <c r="Z38" s="1" t="s">
        <v>212</v>
      </c>
    </row>
    <row r="39" spans="1:26">
      <c r="A39" s="64">
        <v>38</v>
      </c>
      <c r="B39" s="64" t="s">
        <v>109</v>
      </c>
      <c r="C39" s="65" t="str">
        <f>IF($O39="ON","@","@")</f>
        <v>@</v>
      </c>
      <c r="D39" s="66" t="s">
        <v>87</v>
      </c>
      <c r="E39" s="66" t="s">
        <v>87</v>
      </c>
      <c r="F39" s="66" t="s">
        <v>87</v>
      </c>
      <c r="G39" s="66" t="s">
        <v>87</v>
      </c>
      <c r="H39" s="66" t="s">
        <v>87</v>
      </c>
      <c r="I39" s="66" t="s">
        <v>87</v>
      </c>
      <c r="J39" s="66" t="s">
        <v>87</v>
      </c>
      <c r="K39" s="66" t="s">
        <v>87</v>
      </c>
      <c r="L39" s="66" t="s">
        <v>87</v>
      </c>
      <c r="N39" s="60" t="s">
        <v>314</v>
      </c>
      <c r="O39" s="61" t="s">
        <v>270</v>
      </c>
      <c r="P39" s="59" t="s">
        <v>288</v>
      </c>
      <c r="Q39" s="59" t="s">
        <v>288</v>
      </c>
      <c r="R39" s="59" t="s">
        <v>288</v>
      </c>
      <c r="S39" s="59" t="s">
        <v>288</v>
      </c>
      <c r="T39" s="59" t="s">
        <v>288</v>
      </c>
      <c r="U39" s="59" t="s">
        <v>288</v>
      </c>
      <c r="V39" s="62" t="s">
        <v>288</v>
      </c>
      <c r="W39" s="59" t="s">
        <v>288</v>
      </c>
      <c r="X39" s="59" t="s">
        <v>288</v>
      </c>
      <c r="Y39" s="1" t="s">
        <v>178</v>
      </c>
      <c r="Z39" s="1" t="s">
        <v>212</v>
      </c>
    </row>
    <row r="40" spans="1:26">
      <c r="A40" s="64">
        <v>39</v>
      </c>
      <c r="B40" s="64" t="s">
        <v>110</v>
      </c>
      <c r="C40" s="65" t="str">
        <f>IF($O40="ON","@","@")</f>
        <v>@</v>
      </c>
      <c r="D40" s="66" t="s">
        <v>87</v>
      </c>
      <c r="E40" s="66" t="s">
        <v>87</v>
      </c>
      <c r="F40" s="66" t="s">
        <v>87</v>
      </c>
      <c r="G40" s="66" t="s">
        <v>87</v>
      </c>
      <c r="H40" s="66" t="s">
        <v>87</v>
      </c>
      <c r="I40" s="66" t="s">
        <v>87</v>
      </c>
      <c r="J40" s="66" t="s">
        <v>87</v>
      </c>
      <c r="K40" s="66" t="s">
        <v>87</v>
      </c>
      <c r="L40" s="66" t="s">
        <v>87</v>
      </c>
      <c r="N40" s="60" t="s">
        <v>315</v>
      </c>
      <c r="O40" s="61" t="s">
        <v>270</v>
      </c>
      <c r="P40" s="59" t="s">
        <v>288</v>
      </c>
      <c r="Q40" s="59" t="s">
        <v>288</v>
      </c>
      <c r="R40" s="59" t="s">
        <v>288</v>
      </c>
      <c r="S40" s="59" t="s">
        <v>288</v>
      </c>
      <c r="T40" s="59" t="s">
        <v>288</v>
      </c>
      <c r="U40" s="59" t="s">
        <v>288</v>
      </c>
      <c r="V40" s="62" t="s">
        <v>288</v>
      </c>
      <c r="W40" s="59" t="s">
        <v>288</v>
      </c>
      <c r="X40" s="59" t="s">
        <v>288</v>
      </c>
      <c r="Y40" s="1" t="s">
        <v>178</v>
      </c>
      <c r="Z40" s="1" t="s">
        <v>212</v>
      </c>
    </row>
    <row r="41" spans="1:26">
      <c r="A41" s="64">
        <v>40</v>
      </c>
      <c r="B41" s="64" t="s">
        <v>217</v>
      </c>
      <c r="C41" s="65" t="str">
        <f>IF($O41="ON","@",9011)</f>
        <v>@</v>
      </c>
      <c r="D41" s="66" t="s">
        <v>87</v>
      </c>
      <c r="E41" s="66" t="s">
        <v>87</v>
      </c>
      <c r="F41" s="66" t="s">
        <v>87</v>
      </c>
      <c r="G41" s="66" t="s">
        <v>87</v>
      </c>
      <c r="H41" s="66" t="s">
        <v>87</v>
      </c>
      <c r="I41" s="66" t="s">
        <v>87</v>
      </c>
      <c r="J41" s="66" t="s">
        <v>87</v>
      </c>
      <c r="K41" s="66" t="s">
        <v>87</v>
      </c>
      <c r="L41" s="66" t="s">
        <v>87</v>
      </c>
      <c r="N41" s="60" t="s">
        <v>316</v>
      </c>
      <c r="O41" s="61" t="s">
        <v>270</v>
      </c>
      <c r="P41" s="59" t="s">
        <v>288</v>
      </c>
      <c r="Q41" s="59" t="s">
        <v>288</v>
      </c>
      <c r="R41" s="59" t="s">
        <v>288</v>
      </c>
      <c r="S41" s="59" t="s">
        <v>288</v>
      </c>
      <c r="T41" s="59" t="s">
        <v>288</v>
      </c>
      <c r="U41" s="59" t="s">
        <v>288</v>
      </c>
      <c r="V41" s="62" t="s">
        <v>288</v>
      </c>
      <c r="W41" s="59" t="s">
        <v>288</v>
      </c>
      <c r="X41" s="59" t="s">
        <v>288</v>
      </c>
      <c r="Y41" s="1" t="s">
        <v>179</v>
      </c>
      <c r="Z41" s="1" t="s">
        <v>212</v>
      </c>
    </row>
    <row r="42" spans="1:26">
      <c r="A42" s="64">
        <v>41</v>
      </c>
      <c r="B42" s="64" t="s">
        <v>218</v>
      </c>
      <c r="C42" s="65">
        <f>IF($O42="on",1,"@")</f>
        <v>1</v>
      </c>
      <c r="D42" s="66" t="s">
        <v>87</v>
      </c>
      <c r="E42" s="66" t="s">
        <v>87</v>
      </c>
      <c r="F42" s="66" t="s">
        <v>87</v>
      </c>
      <c r="G42" s="66" t="s">
        <v>87</v>
      </c>
      <c r="H42" s="66" t="s">
        <v>87</v>
      </c>
      <c r="I42" s="66" t="s">
        <v>87</v>
      </c>
      <c r="J42" s="66" t="s">
        <v>87</v>
      </c>
      <c r="K42" s="66" t="s">
        <v>87</v>
      </c>
      <c r="L42" s="66" t="s">
        <v>87</v>
      </c>
      <c r="N42" s="60" t="s">
        <v>317</v>
      </c>
      <c r="O42" s="61" t="s">
        <v>270</v>
      </c>
      <c r="P42" s="59" t="s">
        <v>288</v>
      </c>
      <c r="Q42" s="59" t="s">
        <v>288</v>
      </c>
      <c r="R42" s="59" t="s">
        <v>288</v>
      </c>
      <c r="S42" s="59" t="s">
        <v>288</v>
      </c>
      <c r="T42" s="59" t="s">
        <v>288</v>
      </c>
      <c r="U42" s="59" t="s">
        <v>288</v>
      </c>
      <c r="V42" s="62" t="s">
        <v>288</v>
      </c>
      <c r="W42" s="59" t="s">
        <v>288</v>
      </c>
      <c r="X42" s="59" t="s">
        <v>288</v>
      </c>
      <c r="Y42" s="1" t="s">
        <v>0</v>
      </c>
      <c r="Z42" s="1" t="s">
        <v>210</v>
      </c>
    </row>
    <row r="43" spans="1:26">
      <c r="A43" s="64">
        <v>42</v>
      </c>
      <c r="B43" s="64" t="s">
        <v>220</v>
      </c>
      <c r="C43" s="65" t="str">
        <f>IF($O43="ON","@",3701201)</f>
        <v>@</v>
      </c>
      <c r="D43" s="65" t="str">
        <f>IF($P43="ON","@",3701204)</f>
        <v>@</v>
      </c>
      <c r="E43" s="65" t="str">
        <f>IF($Q43="ON","@",3701207)</f>
        <v>@</v>
      </c>
      <c r="F43" s="65" t="str">
        <f>IF($R43="ON","@",3701210)</f>
        <v>@</v>
      </c>
      <c r="G43" s="65" t="str">
        <f>IF($S43="ON","@",3701213)</f>
        <v>@</v>
      </c>
      <c r="H43" s="65" t="str">
        <f>IF($T43="ON","@",3701216)</f>
        <v>@</v>
      </c>
      <c r="I43" s="66" t="str">
        <f>IF($U43="ON","@","@")</f>
        <v>@</v>
      </c>
      <c r="J43" s="66" t="str">
        <f>IF($V43="ON","@","@")</f>
        <v>@</v>
      </c>
      <c r="K43" s="66" t="str">
        <f>IF($W43="ON","@","@")</f>
        <v>@</v>
      </c>
      <c r="L43" s="66" t="str">
        <f>IF($X43="ON","@","@")</f>
        <v>@</v>
      </c>
      <c r="N43" s="60" t="s">
        <v>318</v>
      </c>
      <c r="O43" s="61" t="s">
        <v>277</v>
      </c>
      <c r="P43" s="61" t="s">
        <v>277</v>
      </c>
      <c r="Q43" s="61" t="s">
        <v>277</v>
      </c>
      <c r="R43" s="61" t="s">
        <v>277</v>
      </c>
      <c r="S43" s="61" t="s">
        <v>277</v>
      </c>
      <c r="T43" s="61" t="s">
        <v>277</v>
      </c>
      <c r="U43" s="59" t="s">
        <v>288</v>
      </c>
      <c r="V43" s="62" t="s">
        <v>288</v>
      </c>
      <c r="W43" s="59" t="s">
        <v>288</v>
      </c>
      <c r="X43" s="59" t="s">
        <v>288</v>
      </c>
      <c r="Y43" s="1" t="s">
        <v>267</v>
      </c>
      <c r="Z43" s="1" t="s">
        <v>212</v>
      </c>
    </row>
    <row r="44" spans="1:26">
      <c r="A44" s="64">
        <v>43</v>
      </c>
      <c r="B44" s="64" t="s">
        <v>221</v>
      </c>
      <c r="C44" s="65" t="str">
        <f>IF($O44="ON","@",3701219)</f>
        <v>@</v>
      </c>
      <c r="D44" s="66" t="s">
        <v>87</v>
      </c>
      <c r="E44" s="66" t="s">
        <v>87</v>
      </c>
      <c r="F44" s="66" t="s">
        <v>87</v>
      </c>
      <c r="G44" s="66" t="s">
        <v>87</v>
      </c>
      <c r="H44" s="66" t="s">
        <v>87</v>
      </c>
      <c r="I44" s="66" t="s">
        <v>87</v>
      </c>
      <c r="J44" s="66" t="s">
        <v>87</v>
      </c>
      <c r="K44" s="66" t="s">
        <v>87</v>
      </c>
      <c r="L44" s="66" t="s">
        <v>87</v>
      </c>
      <c r="N44" s="60" t="s">
        <v>320</v>
      </c>
      <c r="O44" s="61" t="s">
        <v>277</v>
      </c>
      <c r="P44" s="59" t="s">
        <v>288</v>
      </c>
      <c r="Q44" s="59" t="s">
        <v>288</v>
      </c>
      <c r="R44" s="59" t="s">
        <v>288</v>
      </c>
      <c r="S44" s="59" t="s">
        <v>288</v>
      </c>
      <c r="T44" s="59" t="s">
        <v>288</v>
      </c>
      <c r="U44" s="59" t="s">
        <v>288</v>
      </c>
      <c r="V44" s="62" t="s">
        <v>288</v>
      </c>
      <c r="W44" s="59" t="s">
        <v>288</v>
      </c>
      <c r="X44" s="59" t="s">
        <v>288</v>
      </c>
      <c r="Y44" s="1" t="s">
        <v>222</v>
      </c>
      <c r="Z44" s="1" t="s">
        <v>212</v>
      </c>
    </row>
  </sheetData>
  <phoneticPr fontId="4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QBitFlag!$B$2:$B$8</xm:f>
          </x14:formula1>
          <xm:sqref>O27</xm:sqref>
        </x14:dataValidation>
        <x14:dataValidation type="list" allowBlank="1" showInputMessage="1" showErrorMessage="1">
          <x14:formula1>
            <xm:f>QBitFlag!$A$2:$A$3</xm:f>
          </x14:formula1>
          <xm:sqref>O2:O14 P7:T7 P8:U8 O16:O18 O20:O26 P43:T43 O29:O44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1"/>
  </sheetPr>
  <dimension ref="A1:BA44"/>
  <sheetViews>
    <sheetView tabSelected="1" workbookViewId="0"/>
  </sheetViews>
  <sheetFormatPr baseColWidth="10" defaultColWidth="9" defaultRowHeight="11.25"/>
  <cols>
    <col min="1" max="1" width="3.140625" style="1" customWidth="1"/>
    <col min="2" max="2" width="17.85546875" style="1" bestFit="1" customWidth="1"/>
    <col min="3" max="3" width="9.5703125" style="1" bestFit="1" customWidth="1"/>
    <col min="4" max="9" width="6.42578125" style="1" customWidth="1"/>
    <col min="10" max="12" width="3.85546875" style="1" customWidth="1"/>
    <col min="13" max="13" width="1.5703125" style="54" customWidth="1"/>
    <col min="14" max="14" width="14" style="55" bestFit="1" customWidth="1"/>
    <col min="15" max="15" width="3.5703125" style="55" bestFit="1" customWidth="1"/>
    <col min="16" max="18" width="3.28515625" style="55" bestFit="1" customWidth="1"/>
    <col min="19" max="19" width="3.5703125" style="55" bestFit="1" customWidth="1"/>
    <col min="20" max="21" width="3.28515625" style="55" bestFit="1" customWidth="1"/>
    <col min="22" max="22" width="2.7109375" style="58" bestFit="1" customWidth="1"/>
    <col min="23" max="23" width="2.28515625" style="55" bestFit="1" customWidth="1"/>
    <col min="24" max="24" width="3" style="55" bestFit="1" customWidth="1"/>
    <col min="25" max="25" width="55.42578125" style="1" bestFit="1" customWidth="1"/>
    <col min="26" max="26" width="9.42578125" style="1" bestFit="1" customWidth="1"/>
    <col min="27" max="27" width="1.5703125" style="1" customWidth="1"/>
    <col min="28" max="33" width="15.85546875" style="1" bestFit="1" customWidth="1"/>
    <col min="34" max="34" width="4.42578125" style="1" bestFit="1" customWidth="1"/>
    <col min="35" max="40" width="11.28515625" style="1" bestFit="1" customWidth="1"/>
    <col min="41" max="41" width="7.140625" style="1" bestFit="1" customWidth="1"/>
    <col min="42" max="42" width="11.28515625" style="1" customWidth="1"/>
    <col min="43" max="43" width="9" style="1" bestFit="1" customWidth="1"/>
    <col min="44" max="44" width="9.42578125" style="1" bestFit="1" customWidth="1"/>
    <col min="45" max="45" width="7.42578125" style="1" bestFit="1" customWidth="1"/>
    <col min="46" max="46" width="10.28515625" style="1" bestFit="1" customWidth="1"/>
    <col min="47" max="47" width="12.42578125" style="1" bestFit="1" customWidth="1"/>
    <col min="48" max="48" width="16.28515625" style="1" bestFit="1" customWidth="1"/>
    <col min="49" max="49" width="17.42578125" style="1" bestFit="1" customWidth="1"/>
    <col min="50" max="52" width="12.42578125" style="1" customWidth="1"/>
    <col min="53" max="53" width="15" style="1" bestFit="1" customWidth="1"/>
    <col min="54" max="57" width="12.42578125" style="1" customWidth="1"/>
    <col min="58" max="58" width="15.140625" style="1" bestFit="1" customWidth="1"/>
    <col min="59" max="59" width="9.42578125" style="1" bestFit="1" customWidth="1"/>
    <col min="60" max="61" width="11.85546875" style="1" bestFit="1" customWidth="1"/>
    <col min="62" max="16384" width="9" style="1"/>
  </cols>
  <sheetData>
    <row r="1" spans="1:53" s="52" customFormat="1">
      <c r="A1" s="63" t="s">
        <v>195</v>
      </c>
      <c r="B1" s="63" t="s">
        <v>196</v>
      </c>
      <c r="C1" s="63" t="s">
        <v>197</v>
      </c>
      <c r="D1" s="63" t="s">
        <v>198</v>
      </c>
      <c r="E1" s="63" t="s">
        <v>199</v>
      </c>
      <c r="F1" s="63" t="s">
        <v>200</v>
      </c>
      <c r="G1" s="63" t="s">
        <v>201</v>
      </c>
      <c r="H1" s="63" t="s">
        <v>202</v>
      </c>
      <c r="I1" s="63" t="s">
        <v>203</v>
      </c>
      <c r="J1" s="63" t="s">
        <v>204</v>
      </c>
      <c r="K1" s="63" t="s">
        <v>205</v>
      </c>
      <c r="L1" s="63" t="s">
        <v>206</v>
      </c>
      <c r="M1" s="56"/>
      <c r="N1" s="69" t="s">
        <v>271</v>
      </c>
      <c r="O1" s="70">
        <v>1</v>
      </c>
      <c r="P1" s="70">
        <v>2</v>
      </c>
      <c r="Q1" s="70">
        <v>3</v>
      </c>
      <c r="R1" s="70">
        <v>4</v>
      </c>
      <c r="S1" s="70">
        <v>5</v>
      </c>
      <c r="T1" s="70">
        <v>6</v>
      </c>
      <c r="U1" s="70">
        <v>7</v>
      </c>
      <c r="V1" s="70">
        <v>8</v>
      </c>
      <c r="W1" s="69">
        <v>9</v>
      </c>
      <c r="X1" s="69">
        <v>10</v>
      </c>
      <c r="Y1" s="56" t="s">
        <v>169</v>
      </c>
      <c r="Z1" s="51" t="s">
        <v>77</v>
      </c>
      <c r="AH1" s="52" t="s">
        <v>207</v>
      </c>
      <c r="AO1" s="52" t="s">
        <v>208</v>
      </c>
      <c r="BA1" s="52" t="s">
        <v>209</v>
      </c>
    </row>
    <row r="2" spans="1:53">
      <c r="A2" s="64">
        <v>1</v>
      </c>
      <c r="B2" s="64" t="s">
        <v>3</v>
      </c>
      <c r="C2" s="65">
        <f>IF($O2="on",1,"@")</f>
        <v>1</v>
      </c>
      <c r="D2" s="66" t="s">
        <v>87</v>
      </c>
      <c r="E2" s="66" t="s">
        <v>87</v>
      </c>
      <c r="F2" s="66" t="s">
        <v>87</v>
      </c>
      <c r="G2" s="66" t="s">
        <v>87</v>
      </c>
      <c r="H2" s="66" t="s">
        <v>87</v>
      </c>
      <c r="I2" s="66" t="s">
        <v>87</v>
      </c>
      <c r="J2" s="66" t="s">
        <v>87</v>
      </c>
      <c r="K2" s="66" t="s">
        <v>87</v>
      </c>
      <c r="L2" s="66" t="s">
        <v>87</v>
      </c>
      <c r="N2" s="60" t="s">
        <v>272</v>
      </c>
      <c r="O2" s="61" t="s">
        <v>277</v>
      </c>
      <c r="P2" s="59" t="s">
        <v>288</v>
      </c>
      <c r="Q2" s="59" t="s">
        <v>288</v>
      </c>
      <c r="R2" s="59" t="s">
        <v>288</v>
      </c>
      <c r="S2" s="59" t="s">
        <v>288</v>
      </c>
      <c r="T2" s="59" t="s">
        <v>288</v>
      </c>
      <c r="U2" s="59" t="s">
        <v>288</v>
      </c>
      <c r="V2" s="62" t="s">
        <v>288</v>
      </c>
      <c r="W2" s="59" t="s">
        <v>288</v>
      </c>
      <c r="X2" s="59" t="s">
        <v>288</v>
      </c>
      <c r="Y2" s="1" t="s">
        <v>0</v>
      </c>
      <c r="Z2" s="1" t="s">
        <v>210</v>
      </c>
    </row>
    <row r="3" spans="1:53">
      <c r="A3" s="64">
        <v>2</v>
      </c>
      <c r="B3" s="64" t="s">
        <v>78</v>
      </c>
      <c r="C3" s="65">
        <f t="shared" ref="C3:C6" si="0">IF($O3="on",1,"@")</f>
        <v>1</v>
      </c>
      <c r="D3" s="66" t="s">
        <v>87</v>
      </c>
      <c r="E3" s="66" t="s">
        <v>87</v>
      </c>
      <c r="F3" s="66" t="s">
        <v>87</v>
      </c>
      <c r="G3" s="66" t="s">
        <v>87</v>
      </c>
      <c r="H3" s="66" t="s">
        <v>87</v>
      </c>
      <c r="I3" s="66" t="s">
        <v>87</v>
      </c>
      <c r="J3" s="66" t="s">
        <v>87</v>
      </c>
      <c r="K3" s="66" t="s">
        <v>87</v>
      </c>
      <c r="L3" s="66" t="s">
        <v>87</v>
      </c>
      <c r="N3" s="60" t="s">
        <v>273</v>
      </c>
      <c r="O3" s="61" t="s">
        <v>277</v>
      </c>
      <c r="P3" s="59" t="s">
        <v>288</v>
      </c>
      <c r="Q3" s="59" t="s">
        <v>288</v>
      </c>
      <c r="R3" s="59" t="s">
        <v>288</v>
      </c>
      <c r="S3" s="59" t="s">
        <v>288</v>
      </c>
      <c r="T3" s="59" t="s">
        <v>288</v>
      </c>
      <c r="U3" s="59" t="s">
        <v>288</v>
      </c>
      <c r="V3" s="62" t="s">
        <v>288</v>
      </c>
      <c r="W3" s="59" t="s">
        <v>288</v>
      </c>
      <c r="X3" s="59" t="s">
        <v>288</v>
      </c>
      <c r="Y3" s="1" t="s">
        <v>0</v>
      </c>
      <c r="Z3" s="1" t="s">
        <v>210</v>
      </c>
    </row>
    <row r="4" spans="1:53">
      <c r="A4" s="64">
        <v>3</v>
      </c>
      <c r="B4" s="64" t="s">
        <v>79</v>
      </c>
      <c r="C4" s="65">
        <f t="shared" si="0"/>
        <v>1</v>
      </c>
      <c r="D4" s="66" t="s">
        <v>87</v>
      </c>
      <c r="E4" s="66" t="s">
        <v>87</v>
      </c>
      <c r="F4" s="66" t="s">
        <v>87</v>
      </c>
      <c r="G4" s="66" t="s">
        <v>87</v>
      </c>
      <c r="H4" s="66" t="s">
        <v>87</v>
      </c>
      <c r="I4" s="66" t="s">
        <v>87</v>
      </c>
      <c r="J4" s="66" t="s">
        <v>87</v>
      </c>
      <c r="K4" s="66" t="s">
        <v>87</v>
      </c>
      <c r="L4" s="66" t="s">
        <v>87</v>
      </c>
      <c r="N4" s="60" t="s">
        <v>274</v>
      </c>
      <c r="O4" s="61" t="s">
        <v>277</v>
      </c>
      <c r="P4" s="59" t="s">
        <v>288</v>
      </c>
      <c r="Q4" s="59" t="s">
        <v>288</v>
      </c>
      <c r="R4" s="59" t="s">
        <v>288</v>
      </c>
      <c r="S4" s="59" t="s">
        <v>288</v>
      </c>
      <c r="T4" s="59" t="s">
        <v>288</v>
      </c>
      <c r="U4" s="59" t="s">
        <v>288</v>
      </c>
      <c r="V4" s="62" t="s">
        <v>288</v>
      </c>
      <c r="W4" s="59" t="s">
        <v>288</v>
      </c>
      <c r="X4" s="59" t="s">
        <v>288</v>
      </c>
      <c r="Y4" s="1" t="s">
        <v>0</v>
      </c>
      <c r="Z4" s="1" t="s">
        <v>210</v>
      </c>
    </row>
    <row r="5" spans="1:53">
      <c r="A5" s="64">
        <v>4</v>
      </c>
      <c r="B5" s="64" t="s">
        <v>80</v>
      </c>
      <c r="C5" s="65">
        <f t="shared" si="0"/>
        <v>1</v>
      </c>
      <c r="D5" s="66" t="s">
        <v>87</v>
      </c>
      <c r="E5" s="66" t="s">
        <v>87</v>
      </c>
      <c r="F5" s="66" t="s">
        <v>87</v>
      </c>
      <c r="G5" s="66" t="s">
        <v>87</v>
      </c>
      <c r="H5" s="66" t="s">
        <v>87</v>
      </c>
      <c r="I5" s="66" t="s">
        <v>87</v>
      </c>
      <c r="J5" s="66" t="s">
        <v>87</v>
      </c>
      <c r="K5" s="66" t="s">
        <v>87</v>
      </c>
      <c r="L5" s="66" t="s">
        <v>87</v>
      </c>
      <c r="N5" s="60" t="s">
        <v>275</v>
      </c>
      <c r="O5" s="61" t="s">
        <v>277</v>
      </c>
      <c r="P5" s="59" t="s">
        <v>288</v>
      </c>
      <c r="Q5" s="59" t="s">
        <v>288</v>
      </c>
      <c r="R5" s="59" t="s">
        <v>288</v>
      </c>
      <c r="S5" s="59" t="s">
        <v>288</v>
      </c>
      <c r="T5" s="59" t="s">
        <v>288</v>
      </c>
      <c r="U5" s="59" t="s">
        <v>288</v>
      </c>
      <c r="V5" s="62" t="s">
        <v>288</v>
      </c>
      <c r="W5" s="59" t="s">
        <v>288</v>
      </c>
      <c r="X5" s="59" t="s">
        <v>288</v>
      </c>
      <c r="Y5" s="1" t="s">
        <v>0</v>
      </c>
      <c r="Z5" s="1" t="s">
        <v>210</v>
      </c>
    </row>
    <row r="6" spans="1:53">
      <c r="A6" s="64">
        <v>5</v>
      </c>
      <c r="B6" s="64" t="s">
        <v>81</v>
      </c>
      <c r="C6" s="65">
        <f t="shared" si="0"/>
        <v>1</v>
      </c>
      <c r="D6" s="66" t="s">
        <v>87</v>
      </c>
      <c r="E6" s="66" t="s">
        <v>87</v>
      </c>
      <c r="F6" s="66" t="s">
        <v>87</v>
      </c>
      <c r="G6" s="66" t="s">
        <v>87</v>
      </c>
      <c r="H6" s="66" t="s">
        <v>87</v>
      </c>
      <c r="I6" s="66" t="s">
        <v>87</v>
      </c>
      <c r="J6" s="66" t="s">
        <v>87</v>
      </c>
      <c r="K6" s="66" t="s">
        <v>87</v>
      </c>
      <c r="L6" s="66" t="s">
        <v>87</v>
      </c>
      <c r="N6" s="60" t="s">
        <v>276</v>
      </c>
      <c r="O6" s="61" t="s">
        <v>277</v>
      </c>
      <c r="P6" s="59" t="s">
        <v>288</v>
      </c>
      <c r="Q6" s="59" t="s">
        <v>288</v>
      </c>
      <c r="R6" s="59" t="s">
        <v>288</v>
      </c>
      <c r="S6" s="59" t="s">
        <v>288</v>
      </c>
      <c r="T6" s="59" t="s">
        <v>288</v>
      </c>
      <c r="U6" s="59" t="s">
        <v>288</v>
      </c>
      <c r="V6" s="62" t="s">
        <v>288</v>
      </c>
      <c r="W6" s="59" t="s">
        <v>288</v>
      </c>
      <c r="X6" s="59" t="s">
        <v>288</v>
      </c>
      <c r="Y6" s="1" t="s">
        <v>0</v>
      </c>
      <c r="Z6" s="1" t="s">
        <v>210</v>
      </c>
    </row>
    <row r="7" spans="1:53">
      <c r="A7" s="64">
        <v>6</v>
      </c>
      <c r="B7" s="64" t="s">
        <v>211</v>
      </c>
      <c r="C7" s="65" t="str">
        <f>IF($O7="ON","@",412)</f>
        <v>@</v>
      </c>
      <c r="D7" s="65" t="str">
        <f>IF($P7="ON","@",844)</f>
        <v>@</v>
      </c>
      <c r="E7" s="65" t="str">
        <f>IF($Q7="ON","@",1038)</f>
        <v>@</v>
      </c>
      <c r="F7" s="65" t="str">
        <f>IF($R7="ON","@",1455)</f>
        <v>@</v>
      </c>
      <c r="G7" s="65" t="str">
        <f>IF($S7="ON","@",1456)</f>
        <v>@</v>
      </c>
      <c r="H7" s="65" t="str">
        <f>IF($T7="ON","@",4544)</f>
        <v>@</v>
      </c>
      <c r="I7" s="66" t="str">
        <f>IF($U7="ON","@","@")</f>
        <v>@</v>
      </c>
      <c r="J7" s="66" t="str">
        <f>IF($V7="ON","@","@")</f>
        <v>@</v>
      </c>
      <c r="K7" s="66" t="str">
        <f>IF($W7="ON","@","@")</f>
        <v>@</v>
      </c>
      <c r="L7" s="66" t="str">
        <f>IF($X7="ON","@","@")</f>
        <v>@</v>
      </c>
      <c r="N7" s="60" t="s">
        <v>319</v>
      </c>
      <c r="O7" s="61" t="s">
        <v>277</v>
      </c>
      <c r="P7" s="61" t="s">
        <v>277</v>
      </c>
      <c r="Q7" s="61" t="s">
        <v>277</v>
      </c>
      <c r="R7" s="61" t="s">
        <v>277</v>
      </c>
      <c r="S7" s="61" t="s">
        <v>277</v>
      </c>
      <c r="T7" s="61" t="s">
        <v>277</v>
      </c>
      <c r="U7" s="59" t="s">
        <v>288</v>
      </c>
      <c r="V7" s="62" t="s">
        <v>288</v>
      </c>
      <c r="W7" s="59" t="s">
        <v>288</v>
      </c>
      <c r="X7" s="59" t="s">
        <v>288</v>
      </c>
      <c r="Y7" s="1" t="s">
        <v>268</v>
      </c>
      <c r="Z7" s="1" t="s">
        <v>212</v>
      </c>
    </row>
    <row r="8" spans="1:53">
      <c r="A8" s="64">
        <v>7</v>
      </c>
      <c r="B8" s="64" t="s">
        <v>213</v>
      </c>
      <c r="C8" s="65" t="str">
        <f>IF($O8="on","@",2413102)</f>
        <v>@</v>
      </c>
      <c r="D8" s="65" t="str">
        <f>IF($P8="on","@",2413104)</f>
        <v>@</v>
      </c>
      <c r="E8" s="65" t="str">
        <f>IF($Q8="on","@",2413106)</f>
        <v>@</v>
      </c>
      <c r="F8" s="65" t="str">
        <f>IF($R8="on","@",2413105)</f>
        <v>@</v>
      </c>
      <c r="G8" s="65" t="str">
        <f>IF($S8="on","@",2413111)</f>
        <v>@</v>
      </c>
      <c r="H8" s="65" t="str">
        <f>IF($T8="on","@",2413112)</f>
        <v>@</v>
      </c>
      <c r="I8" s="65" t="str">
        <f>IF($U8="on","@",2413113)</f>
        <v>@</v>
      </c>
      <c r="J8" s="66" t="str">
        <f>IF($V8="on","@","@")</f>
        <v>@</v>
      </c>
      <c r="K8" s="66" t="str">
        <f>IF($W8="on","@","@")</f>
        <v>@</v>
      </c>
      <c r="L8" s="66" t="str">
        <f>IF($X8="on","@","@")</f>
        <v>@</v>
      </c>
      <c r="N8" s="60" t="s">
        <v>280</v>
      </c>
      <c r="O8" s="61" t="s">
        <v>277</v>
      </c>
      <c r="P8" s="61" t="s">
        <v>277</v>
      </c>
      <c r="Q8" s="61" t="s">
        <v>277</v>
      </c>
      <c r="R8" s="61" t="s">
        <v>277</v>
      </c>
      <c r="S8" s="61" t="s">
        <v>277</v>
      </c>
      <c r="T8" s="61" t="s">
        <v>277</v>
      </c>
      <c r="U8" s="61" t="s">
        <v>277</v>
      </c>
      <c r="V8" s="62" t="s">
        <v>288</v>
      </c>
      <c r="W8" s="59" t="s">
        <v>288</v>
      </c>
      <c r="X8" s="59" t="s">
        <v>288</v>
      </c>
      <c r="Y8" s="1" t="s">
        <v>223</v>
      </c>
      <c r="Z8" s="1" t="s">
        <v>212</v>
      </c>
    </row>
    <row r="9" spans="1:53">
      <c r="A9" s="64">
        <v>8</v>
      </c>
      <c r="B9" s="64" t="s">
        <v>82</v>
      </c>
      <c r="C9" s="65">
        <f t="shared" ref="C9:C14" si="1">IF($O9="on",1,"@")</f>
        <v>1</v>
      </c>
      <c r="D9" s="66" t="s">
        <v>87</v>
      </c>
      <c r="E9" s="66" t="s">
        <v>87</v>
      </c>
      <c r="F9" s="66" t="s">
        <v>87</v>
      </c>
      <c r="G9" s="66" t="s">
        <v>87</v>
      </c>
      <c r="H9" s="66" t="s">
        <v>87</v>
      </c>
      <c r="I9" s="66" t="s">
        <v>87</v>
      </c>
      <c r="J9" s="66" t="s">
        <v>87</v>
      </c>
      <c r="K9" s="66" t="s">
        <v>87</v>
      </c>
      <c r="L9" s="66" t="s">
        <v>87</v>
      </c>
      <c r="N9" s="60" t="s">
        <v>281</v>
      </c>
      <c r="O9" s="61" t="s">
        <v>277</v>
      </c>
      <c r="P9" s="59" t="s">
        <v>288</v>
      </c>
      <c r="Q9" s="59" t="s">
        <v>288</v>
      </c>
      <c r="R9" s="59" t="s">
        <v>288</v>
      </c>
      <c r="S9" s="59" t="s">
        <v>288</v>
      </c>
      <c r="T9" s="59" t="s">
        <v>288</v>
      </c>
      <c r="U9" s="59" t="s">
        <v>288</v>
      </c>
      <c r="V9" s="62" t="s">
        <v>288</v>
      </c>
      <c r="W9" s="59" t="s">
        <v>288</v>
      </c>
      <c r="X9" s="59" t="s">
        <v>288</v>
      </c>
      <c r="Y9" s="1" t="s">
        <v>0</v>
      </c>
      <c r="Z9" s="1" t="s">
        <v>210</v>
      </c>
    </row>
    <row r="10" spans="1:53">
      <c r="A10" s="64">
        <v>9</v>
      </c>
      <c r="B10" s="64" t="s">
        <v>8</v>
      </c>
      <c r="C10" s="65">
        <f t="shared" si="1"/>
        <v>1</v>
      </c>
      <c r="D10" s="66" t="s">
        <v>87</v>
      </c>
      <c r="E10" s="66" t="s">
        <v>87</v>
      </c>
      <c r="F10" s="66" t="s">
        <v>87</v>
      </c>
      <c r="G10" s="66" t="s">
        <v>87</v>
      </c>
      <c r="H10" s="66" t="s">
        <v>87</v>
      </c>
      <c r="I10" s="66" t="s">
        <v>87</v>
      </c>
      <c r="J10" s="66" t="s">
        <v>87</v>
      </c>
      <c r="K10" s="66" t="s">
        <v>87</v>
      </c>
      <c r="L10" s="66" t="s">
        <v>87</v>
      </c>
      <c r="N10" s="60" t="s">
        <v>282</v>
      </c>
      <c r="O10" s="61" t="s">
        <v>277</v>
      </c>
      <c r="P10" s="59" t="s">
        <v>288</v>
      </c>
      <c r="Q10" s="59" t="s">
        <v>288</v>
      </c>
      <c r="R10" s="59" t="s">
        <v>288</v>
      </c>
      <c r="S10" s="59" t="s">
        <v>288</v>
      </c>
      <c r="T10" s="59" t="s">
        <v>288</v>
      </c>
      <c r="U10" s="59" t="s">
        <v>288</v>
      </c>
      <c r="V10" s="62" t="s">
        <v>288</v>
      </c>
      <c r="W10" s="59" t="s">
        <v>288</v>
      </c>
      <c r="X10" s="59" t="s">
        <v>288</v>
      </c>
      <c r="Y10" s="1" t="s">
        <v>0</v>
      </c>
      <c r="Z10" s="1" t="s">
        <v>210</v>
      </c>
    </row>
    <row r="11" spans="1:53">
      <c r="A11" s="64">
        <v>10</v>
      </c>
      <c r="B11" s="64" t="s">
        <v>12</v>
      </c>
      <c r="C11" s="65">
        <f t="shared" si="1"/>
        <v>1</v>
      </c>
      <c r="D11" s="66" t="s">
        <v>87</v>
      </c>
      <c r="E11" s="66" t="s">
        <v>87</v>
      </c>
      <c r="F11" s="66" t="s">
        <v>87</v>
      </c>
      <c r="G11" s="66" t="s">
        <v>87</v>
      </c>
      <c r="H11" s="66" t="s">
        <v>87</v>
      </c>
      <c r="I11" s="66" t="s">
        <v>87</v>
      </c>
      <c r="J11" s="66" t="s">
        <v>87</v>
      </c>
      <c r="K11" s="66" t="s">
        <v>87</v>
      </c>
      <c r="L11" s="66" t="s">
        <v>87</v>
      </c>
      <c r="N11" s="60" t="s">
        <v>283</v>
      </c>
      <c r="O11" s="61" t="s">
        <v>277</v>
      </c>
      <c r="P11" s="59" t="s">
        <v>288</v>
      </c>
      <c r="Q11" s="59" t="s">
        <v>288</v>
      </c>
      <c r="R11" s="59" t="s">
        <v>288</v>
      </c>
      <c r="S11" s="59" t="s">
        <v>288</v>
      </c>
      <c r="T11" s="59" t="s">
        <v>288</v>
      </c>
      <c r="U11" s="59" t="s">
        <v>288</v>
      </c>
      <c r="V11" s="62" t="s">
        <v>288</v>
      </c>
      <c r="W11" s="59" t="s">
        <v>288</v>
      </c>
      <c r="X11" s="59" t="s">
        <v>288</v>
      </c>
      <c r="Y11" s="1" t="s">
        <v>0</v>
      </c>
      <c r="Z11" s="1" t="s">
        <v>210</v>
      </c>
    </row>
    <row r="12" spans="1:53">
      <c r="A12" s="64">
        <v>11</v>
      </c>
      <c r="B12" s="64" t="s">
        <v>15</v>
      </c>
      <c r="C12" s="65">
        <f t="shared" si="1"/>
        <v>1</v>
      </c>
      <c r="D12" s="66" t="s">
        <v>87</v>
      </c>
      <c r="E12" s="66" t="s">
        <v>87</v>
      </c>
      <c r="F12" s="66" t="s">
        <v>87</v>
      </c>
      <c r="G12" s="66" t="s">
        <v>87</v>
      </c>
      <c r="H12" s="66" t="s">
        <v>87</v>
      </c>
      <c r="I12" s="66" t="s">
        <v>87</v>
      </c>
      <c r="J12" s="66" t="s">
        <v>87</v>
      </c>
      <c r="K12" s="66" t="s">
        <v>87</v>
      </c>
      <c r="L12" s="66" t="s">
        <v>87</v>
      </c>
      <c r="N12" s="60" t="s">
        <v>284</v>
      </c>
      <c r="O12" s="61" t="s">
        <v>277</v>
      </c>
      <c r="P12" s="59" t="s">
        <v>288</v>
      </c>
      <c r="Q12" s="59" t="s">
        <v>288</v>
      </c>
      <c r="R12" s="59" t="s">
        <v>288</v>
      </c>
      <c r="S12" s="59" t="s">
        <v>288</v>
      </c>
      <c r="T12" s="59" t="s">
        <v>288</v>
      </c>
      <c r="U12" s="59" t="s">
        <v>288</v>
      </c>
      <c r="V12" s="62" t="s">
        <v>288</v>
      </c>
      <c r="W12" s="59" t="s">
        <v>288</v>
      </c>
      <c r="X12" s="59" t="s">
        <v>288</v>
      </c>
      <c r="Y12" s="1" t="s">
        <v>0</v>
      </c>
      <c r="Z12" s="1" t="s">
        <v>210</v>
      </c>
    </row>
    <row r="13" spans="1:53">
      <c r="A13" s="64">
        <v>12</v>
      </c>
      <c r="B13" s="64" t="s">
        <v>20</v>
      </c>
      <c r="C13" s="65">
        <f t="shared" si="1"/>
        <v>1</v>
      </c>
      <c r="D13" s="66" t="s">
        <v>87</v>
      </c>
      <c r="E13" s="66" t="s">
        <v>87</v>
      </c>
      <c r="F13" s="66" t="s">
        <v>87</v>
      </c>
      <c r="G13" s="66" t="s">
        <v>87</v>
      </c>
      <c r="H13" s="66" t="s">
        <v>87</v>
      </c>
      <c r="I13" s="66" t="s">
        <v>87</v>
      </c>
      <c r="J13" s="66" t="s">
        <v>87</v>
      </c>
      <c r="K13" s="66" t="s">
        <v>87</v>
      </c>
      <c r="L13" s="66" t="s">
        <v>87</v>
      </c>
      <c r="N13" s="60" t="s">
        <v>285</v>
      </c>
      <c r="O13" s="61" t="s">
        <v>277</v>
      </c>
      <c r="P13" s="59" t="s">
        <v>288</v>
      </c>
      <c r="Q13" s="59" t="s">
        <v>288</v>
      </c>
      <c r="R13" s="59" t="s">
        <v>288</v>
      </c>
      <c r="S13" s="59" t="s">
        <v>288</v>
      </c>
      <c r="T13" s="59" t="s">
        <v>288</v>
      </c>
      <c r="U13" s="59" t="s">
        <v>288</v>
      </c>
      <c r="V13" s="62" t="s">
        <v>288</v>
      </c>
      <c r="W13" s="59" t="s">
        <v>288</v>
      </c>
      <c r="X13" s="59" t="s">
        <v>288</v>
      </c>
      <c r="Y13" s="1" t="s">
        <v>0</v>
      </c>
      <c r="Z13" s="1" t="s">
        <v>210</v>
      </c>
    </row>
    <row r="14" spans="1:53">
      <c r="A14" s="64">
        <v>13</v>
      </c>
      <c r="B14" s="64" t="s">
        <v>88</v>
      </c>
      <c r="C14" s="65">
        <f t="shared" si="1"/>
        <v>1</v>
      </c>
      <c r="D14" s="66" t="s">
        <v>87</v>
      </c>
      <c r="E14" s="66" t="s">
        <v>87</v>
      </c>
      <c r="F14" s="66" t="s">
        <v>87</v>
      </c>
      <c r="G14" s="66" t="s">
        <v>87</v>
      </c>
      <c r="H14" s="66" t="s">
        <v>87</v>
      </c>
      <c r="I14" s="66" t="s">
        <v>87</v>
      </c>
      <c r="J14" s="66" t="s">
        <v>87</v>
      </c>
      <c r="K14" s="66" t="s">
        <v>87</v>
      </c>
      <c r="L14" s="66" t="s">
        <v>87</v>
      </c>
      <c r="N14" s="60" t="s">
        <v>286</v>
      </c>
      <c r="O14" s="61" t="s">
        <v>270</v>
      </c>
      <c r="P14" s="59" t="s">
        <v>288</v>
      </c>
      <c r="Q14" s="59" t="s">
        <v>288</v>
      </c>
      <c r="R14" s="59" t="s">
        <v>288</v>
      </c>
      <c r="S14" s="59" t="s">
        <v>288</v>
      </c>
      <c r="T14" s="59" t="s">
        <v>288</v>
      </c>
      <c r="U14" s="59" t="s">
        <v>288</v>
      </c>
      <c r="V14" s="62" t="s">
        <v>288</v>
      </c>
      <c r="W14" s="59" t="s">
        <v>288</v>
      </c>
      <c r="X14" s="59" t="s">
        <v>288</v>
      </c>
      <c r="Y14" s="1" t="s">
        <v>0</v>
      </c>
      <c r="Z14" s="1" t="s">
        <v>210</v>
      </c>
    </row>
    <row r="15" spans="1:53" s="54" customFormat="1">
      <c r="A15" s="67">
        <v>14</v>
      </c>
      <c r="B15" s="67" t="s">
        <v>1</v>
      </c>
      <c r="C15" s="66">
        <v>2</v>
      </c>
      <c r="D15" s="66" t="s">
        <v>87</v>
      </c>
      <c r="E15" s="66" t="s">
        <v>87</v>
      </c>
      <c r="F15" s="66" t="s">
        <v>87</v>
      </c>
      <c r="G15" s="66" t="s">
        <v>87</v>
      </c>
      <c r="H15" s="66" t="s">
        <v>87</v>
      </c>
      <c r="I15" s="66" t="s">
        <v>87</v>
      </c>
      <c r="J15" s="66" t="s">
        <v>87</v>
      </c>
      <c r="K15" s="66" t="s">
        <v>87</v>
      </c>
      <c r="L15" s="66" t="s">
        <v>87</v>
      </c>
      <c r="N15" s="59" t="s">
        <v>288</v>
      </c>
      <c r="O15" s="59" t="s">
        <v>288</v>
      </c>
      <c r="P15" s="59" t="s">
        <v>288</v>
      </c>
      <c r="Q15" s="59" t="s">
        <v>288</v>
      </c>
      <c r="R15" s="59" t="s">
        <v>288</v>
      </c>
      <c r="S15" s="59" t="s">
        <v>288</v>
      </c>
      <c r="T15" s="59" t="s">
        <v>288</v>
      </c>
      <c r="U15" s="59" t="s">
        <v>288</v>
      </c>
      <c r="V15" s="62" t="s">
        <v>288</v>
      </c>
      <c r="W15" s="59" t="s">
        <v>288</v>
      </c>
      <c r="X15" s="59" t="s">
        <v>288</v>
      </c>
      <c r="Y15" s="54" t="s">
        <v>89</v>
      </c>
      <c r="Z15" s="54" t="s">
        <v>214</v>
      </c>
    </row>
    <row r="16" spans="1:53">
      <c r="A16" s="64">
        <v>15</v>
      </c>
      <c r="B16" s="64" t="s">
        <v>2</v>
      </c>
      <c r="C16" s="65" t="str">
        <f>IF($O16="ON","@",3)</f>
        <v>@</v>
      </c>
      <c r="D16" s="66" t="s">
        <v>87</v>
      </c>
      <c r="E16" s="66" t="s">
        <v>87</v>
      </c>
      <c r="F16" s="66" t="s">
        <v>87</v>
      </c>
      <c r="G16" s="66" t="s">
        <v>87</v>
      </c>
      <c r="H16" s="66" t="s">
        <v>87</v>
      </c>
      <c r="I16" s="66" t="s">
        <v>87</v>
      </c>
      <c r="J16" s="66" t="s">
        <v>87</v>
      </c>
      <c r="K16" s="66" t="s">
        <v>87</v>
      </c>
      <c r="L16" s="66" t="s">
        <v>87</v>
      </c>
      <c r="N16" s="60" t="s">
        <v>290</v>
      </c>
      <c r="O16" s="61" t="s">
        <v>270</v>
      </c>
      <c r="P16" s="59" t="s">
        <v>288</v>
      </c>
      <c r="Q16" s="59" t="s">
        <v>288</v>
      </c>
      <c r="R16" s="59" t="s">
        <v>288</v>
      </c>
      <c r="S16" s="59" t="s">
        <v>288</v>
      </c>
      <c r="T16" s="59" t="s">
        <v>288</v>
      </c>
      <c r="U16" s="59" t="s">
        <v>288</v>
      </c>
      <c r="V16" s="62" t="s">
        <v>288</v>
      </c>
      <c r="W16" s="59" t="s">
        <v>288</v>
      </c>
      <c r="X16" s="59" t="s">
        <v>288</v>
      </c>
      <c r="Y16" s="1" t="s">
        <v>90</v>
      </c>
      <c r="Z16" s="1" t="s">
        <v>212</v>
      </c>
    </row>
    <row r="17" spans="1:26">
      <c r="A17" s="64">
        <v>16</v>
      </c>
      <c r="B17" s="64" t="s">
        <v>31</v>
      </c>
      <c r="C17" s="65" t="str">
        <f>IF($O17="ON","@",2971107)</f>
        <v>@</v>
      </c>
      <c r="D17" s="66" t="s">
        <v>87</v>
      </c>
      <c r="E17" s="66" t="s">
        <v>87</v>
      </c>
      <c r="F17" s="66" t="s">
        <v>87</v>
      </c>
      <c r="G17" s="66" t="s">
        <v>87</v>
      </c>
      <c r="H17" s="66" t="s">
        <v>87</v>
      </c>
      <c r="I17" s="66" t="s">
        <v>87</v>
      </c>
      <c r="J17" s="66" t="s">
        <v>87</v>
      </c>
      <c r="K17" s="66" t="s">
        <v>87</v>
      </c>
      <c r="L17" s="66" t="s">
        <v>87</v>
      </c>
      <c r="N17" s="60" t="s">
        <v>292</v>
      </c>
      <c r="O17" s="61" t="s">
        <v>270</v>
      </c>
      <c r="P17" s="59" t="s">
        <v>288</v>
      </c>
      <c r="Q17" s="59" t="s">
        <v>288</v>
      </c>
      <c r="R17" s="59" t="s">
        <v>288</v>
      </c>
      <c r="S17" s="59" t="s">
        <v>288</v>
      </c>
      <c r="T17" s="59" t="s">
        <v>288</v>
      </c>
      <c r="U17" s="59" t="s">
        <v>288</v>
      </c>
      <c r="V17" s="62" t="s">
        <v>288</v>
      </c>
      <c r="W17" s="59" t="s">
        <v>288</v>
      </c>
      <c r="X17" s="59" t="s">
        <v>288</v>
      </c>
      <c r="Y17" s="1" t="s">
        <v>91</v>
      </c>
      <c r="Z17" s="1" t="s">
        <v>212</v>
      </c>
    </row>
    <row r="18" spans="1:26">
      <c r="A18" s="64">
        <v>17</v>
      </c>
      <c r="B18" s="64" t="s">
        <v>24</v>
      </c>
      <c r="C18" s="65" t="str">
        <f>IF($O18="ON","@",561)</f>
        <v>@</v>
      </c>
      <c r="D18" s="66" t="s">
        <v>87</v>
      </c>
      <c r="E18" s="66" t="s">
        <v>87</v>
      </c>
      <c r="F18" s="66" t="s">
        <v>87</v>
      </c>
      <c r="G18" s="66" t="s">
        <v>87</v>
      </c>
      <c r="H18" s="66" t="s">
        <v>87</v>
      </c>
      <c r="I18" s="66" t="s">
        <v>87</v>
      </c>
      <c r="J18" s="66" t="s">
        <v>87</v>
      </c>
      <c r="K18" s="66" t="s">
        <v>87</v>
      </c>
      <c r="L18" s="66" t="s">
        <v>87</v>
      </c>
      <c r="N18" s="60" t="s">
        <v>291</v>
      </c>
      <c r="O18" s="61" t="s">
        <v>270</v>
      </c>
      <c r="P18" s="59" t="s">
        <v>288</v>
      </c>
      <c r="Q18" s="59" t="s">
        <v>288</v>
      </c>
      <c r="R18" s="59" t="s">
        <v>288</v>
      </c>
      <c r="S18" s="59" t="s">
        <v>288</v>
      </c>
      <c r="T18" s="59" t="s">
        <v>288</v>
      </c>
      <c r="U18" s="59" t="s">
        <v>288</v>
      </c>
      <c r="V18" s="62" t="s">
        <v>288</v>
      </c>
      <c r="W18" s="59" t="s">
        <v>288</v>
      </c>
      <c r="X18" s="59" t="s">
        <v>288</v>
      </c>
      <c r="Y18" s="1" t="s">
        <v>92</v>
      </c>
      <c r="Z18" s="1" t="s">
        <v>212</v>
      </c>
    </row>
    <row r="19" spans="1:26" s="54" customFormat="1">
      <c r="A19" s="67">
        <v>18</v>
      </c>
      <c r="B19" s="67" t="s">
        <v>25</v>
      </c>
      <c r="C19" s="66">
        <v>6</v>
      </c>
      <c r="D19" s="66" t="s">
        <v>87</v>
      </c>
      <c r="E19" s="66" t="s">
        <v>87</v>
      </c>
      <c r="F19" s="66" t="s">
        <v>87</v>
      </c>
      <c r="G19" s="66" t="s">
        <v>87</v>
      </c>
      <c r="H19" s="66" t="s">
        <v>87</v>
      </c>
      <c r="I19" s="66" t="s">
        <v>87</v>
      </c>
      <c r="J19" s="66" t="s">
        <v>87</v>
      </c>
      <c r="K19" s="66" t="s">
        <v>87</v>
      </c>
      <c r="L19" s="66" t="s">
        <v>87</v>
      </c>
      <c r="N19" s="59" t="s">
        <v>288</v>
      </c>
      <c r="O19" s="59" t="s">
        <v>288</v>
      </c>
      <c r="P19" s="59" t="s">
        <v>288</v>
      </c>
      <c r="Q19" s="59" t="s">
        <v>288</v>
      </c>
      <c r="R19" s="59" t="s">
        <v>288</v>
      </c>
      <c r="S19" s="59" t="s">
        <v>288</v>
      </c>
      <c r="T19" s="59" t="s">
        <v>288</v>
      </c>
      <c r="U19" s="59" t="s">
        <v>288</v>
      </c>
      <c r="V19" s="62" t="s">
        <v>288</v>
      </c>
      <c r="W19" s="59" t="s">
        <v>288</v>
      </c>
      <c r="X19" s="59" t="s">
        <v>288</v>
      </c>
      <c r="Y19" s="54" t="s">
        <v>89</v>
      </c>
      <c r="Z19" s="54" t="s">
        <v>212</v>
      </c>
    </row>
    <row r="20" spans="1:26">
      <c r="A20" s="64">
        <v>19</v>
      </c>
      <c r="B20" s="64" t="s">
        <v>26</v>
      </c>
      <c r="C20" s="65" t="str">
        <f>IF($O20="ON","@",57)</f>
        <v>@</v>
      </c>
      <c r="D20" s="66" t="s">
        <v>87</v>
      </c>
      <c r="E20" s="66" t="s">
        <v>87</v>
      </c>
      <c r="F20" s="66" t="s">
        <v>87</v>
      </c>
      <c r="G20" s="66" t="s">
        <v>87</v>
      </c>
      <c r="H20" s="66" t="s">
        <v>87</v>
      </c>
      <c r="I20" s="66" t="s">
        <v>87</v>
      </c>
      <c r="J20" s="66" t="s">
        <v>87</v>
      </c>
      <c r="K20" s="66" t="s">
        <v>87</v>
      </c>
      <c r="L20" s="66" t="s">
        <v>87</v>
      </c>
      <c r="N20" s="60" t="s">
        <v>294</v>
      </c>
      <c r="O20" s="61" t="s">
        <v>270</v>
      </c>
      <c r="P20" s="59" t="s">
        <v>288</v>
      </c>
      <c r="Q20" s="59" t="s">
        <v>288</v>
      </c>
      <c r="R20" s="59" t="s">
        <v>288</v>
      </c>
      <c r="S20" s="59" t="s">
        <v>288</v>
      </c>
      <c r="T20" s="59" t="s">
        <v>288</v>
      </c>
      <c r="U20" s="59" t="s">
        <v>288</v>
      </c>
      <c r="V20" s="62" t="s">
        <v>288</v>
      </c>
      <c r="W20" s="59" t="s">
        <v>288</v>
      </c>
      <c r="X20" s="59" t="s">
        <v>288</v>
      </c>
      <c r="Y20" s="1" t="s">
        <v>194</v>
      </c>
      <c r="Z20" s="1" t="s">
        <v>212</v>
      </c>
    </row>
    <row r="21" spans="1:26">
      <c r="A21" s="64">
        <v>20</v>
      </c>
      <c r="B21" s="64" t="s">
        <v>27</v>
      </c>
      <c r="C21" s="65" t="str">
        <f>IF($O21="ON","@",565)</f>
        <v>@</v>
      </c>
      <c r="D21" s="66" t="s">
        <v>87</v>
      </c>
      <c r="E21" s="66" t="s">
        <v>87</v>
      </c>
      <c r="F21" s="66" t="s">
        <v>87</v>
      </c>
      <c r="G21" s="66" t="s">
        <v>87</v>
      </c>
      <c r="H21" s="66" t="s">
        <v>87</v>
      </c>
      <c r="I21" s="66" t="s">
        <v>87</v>
      </c>
      <c r="J21" s="66" t="s">
        <v>87</v>
      </c>
      <c r="K21" s="66" t="s">
        <v>87</v>
      </c>
      <c r="L21" s="66" t="s">
        <v>87</v>
      </c>
      <c r="N21" s="60" t="s">
        <v>295</v>
      </c>
      <c r="O21" s="61" t="s">
        <v>270</v>
      </c>
      <c r="P21" s="59" t="s">
        <v>288</v>
      </c>
      <c r="Q21" s="59" t="s">
        <v>288</v>
      </c>
      <c r="R21" s="59" t="s">
        <v>288</v>
      </c>
      <c r="S21" s="59" t="s">
        <v>288</v>
      </c>
      <c r="T21" s="59" t="s">
        <v>288</v>
      </c>
      <c r="U21" s="59" t="s">
        <v>288</v>
      </c>
      <c r="V21" s="62" t="s">
        <v>288</v>
      </c>
      <c r="W21" s="59" t="s">
        <v>288</v>
      </c>
      <c r="X21" s="59" t="s">
        <v>288</v>
      </c>
      <c r="Y21" s="1" t="s">
        <v>93</v>
      </c>
      <c r="Z21" s="1" t="s">
        <v>212</v>
      </c>
    </row>
    <row r="22" spans="1:26">
      <c r="A22" s="64">
        <v>21</v>
      </c>
      <c r="B22" s="64" t="s">
        <v>28</v>
      </c>
      <c r="C22" s="65" t="str">
        <f>IF($O22="ON","@",1021)</f>
        <v>@</v>
      </c>
      <c r="D22" s="66" t="s">
        <v>87</v>
      </c>
      <c r="E22" s="66" t="s">
        <v>87</v>
      </c>
      <c r="F22" s="66" t="s">
        <v>87</v>
      </c>
      <c r="G22" s="66" t="s">
        <v>87</v>
      </c>
      <c r="H22" s="66" t="s">
        <v>87</v>
      </c>
      <c r="I22" s="66" t="s">
        <v>87</v>
      </c>
      <c r="J22" s="66" t="s">
        <v>87</v>
      </c>
      <c r="K22" s="66" t="s">
        <v>87</v>
      </c>
      <c r="L22" s="66" t="s">
        <v>87</v>
      </c>
      <c r="N22" s="60" t="s">
        <v>296</v>
      </c>
      <c r="O22" s="61" t="s">
        <v>270</v>
      </c>
      <c r="P22" s="59" t="s">
        <v>288</v>
      </c>
      <c r="Q22" s="59" t="s">
        <v>288</v>
      </c>
      <c r="R22" s="59" t="s">
        <v>288</v>
      </c>
      <c r="S22" s="59" t="s">
        <v>288</v>
      </c>
      <c r="T22" s="59" t="s">
        <v>288</v>
      </c>
      <c r="U22" s="59" t="s">
        <v>288</v>
      </c>
      <c r="V22" s="62" t="s">
        <v>288</v>
      </c>
      <c r="W22" s="59" t="s">
        <v>288</v>
      </c>
      <c r="X22" s="59" t="s">
        <v>288</v>
      </c>
      <c r="Y22" s="1" t="s">
        <v>94</v>
      </c>
      <c r="Z22" s="1" t="s">
        <v>212</v>
      </c>
    </row>
    <row r="23" spans="1:26">
      <c r="A23" s="64">
        <v>22</v>
      </c>
      <c r="B23" s="64" t="s">
        <v>29</v>
      </c>
      <c r="C23" s="65" t="str">
        <f>IF($O23="ON","@",5592109)</f>
        <v>@</v>
      </c>
      <c r="D23" s="66" t="s">
        <v>87</v>
      </c>
      <c r="E23" s="66" t="s">
        <v>87</v>
      </c>
      <c r="F23" s="66" t="s">
        <v>87</v>
      </c>
      <c r="G23" s="66" t="s">
        <v>87</v>
      </c>
      <c r="H23" s="66" t="s">
        <v>87</v>
      </c>
      <c r="I23" s="66" t="s">
        <v>87</v>
      </c>
      <c r="J23" s="66" t="s">
        <v>87</v>
      </c>
      <c r="K23" s="66" t="s">
        <v>87</v>
      </c>
      <c r="L23" s="66" t="s">
        <v>87</v>
      </c>
      <c r="N23" s="60" t="s">
        <v>297</v>
      </c>
      <c r="O23" s="61" t="s">
        <v>270</v>
      </c>
      <c r="P23" s="59" t="s">
        <v>288</v>
      </c>
      <c r="Q23" s="59" t="s">
        <v>288</v>
      </c>
      <c r="R23" s="59" t="s">
        <v>288</v>
      </c>
      <c r="S23" s="59" t="s">
        <v>288</v>
      </c>
      <c r="T23" s="59" t="s">
        <v>288</v>
      </c>
      <c r="U23" s="59" t="s">
        <v>288</v>
      </c>
      <c r="V23" s="62" t="s">
        <v>288</v>
      </c>
      <c r="W23" s="59" t="s">
        <v>288</v>
      </c>
      <c r="X23" s="59" t="s">
        <v>288</v>
      </c>
      <c r="Y23" s="1" t="s">
        <v>95</v>
      </c>
      <c r="Z23" s="1" t="s">
        <v>212</v>
      </c>
    </row>
    <row r="24" spans="1:26">
      <c r="A24" s="64">
        <v>23</v>
      </c>
      <c r="B24" s="64" t="s">
        <v>30</v>
      </c>
      <c r="C24" s="65" t="str">
        <f>IF($O24="ON","@",1471)</f>
        <v>@</v>
      </c>
      <c r="D24" s="66" t="s">
        <v>87</v>
      </c>
      <c r="E24" s="66" t="s">
        <v>87</v>
      </c>
      <c r="F24" s="66" t="s">
        <v>87</v>
      </c>
      <c r="G24" s="66" t="s">
        <v>87</v>
      </c>
      <c r="H24" s="66" t="s">
        <v>87</v>
      </c>
      <c r="I24" s="66" t="s">
        <v>87</v>
      </c>
      <c r="J24" s="66" t="s">
        <v>87</v>
      </c>
      <c r="K24" s="66" t="s">
        <v>87</v>
      </c>
      <c r="L24" s="66" t="s">
        <v>87</v>
      </c>
      <c r="N24" s="60" t="s">
        <v>298</v>
      </c>
      <c r="O24" s="61" t="s">
        <v>270</v>
      </c>
      <c r="P24" s="59" t="s">
        <v>288</v>
      </c>
      <c r="Q24" s="59" t="s">
        <v>288</v>
      </c>
      <c r="R24" s="59" t="s">
        <v>288</v>
      </c>
      <c r="S24" s="59" t="s">
        <v>288</v>
      </c>
      <c r="T24" s="59" t="s">
        <v>288</v>
      </c>
      <c r="U24" s="59" t="s">
        <v>288</v>
      </c>
      <c r="V24" s="62" t="s">
        <v>288</v>
      </c>
      <c r="W24" s="59" t="s">
        <v>288</v>
      </c>
      <c r="X24" s="59" t="s">
        <v>288</v>
      </c>
      <c r="Y24" s="1" t="s">
        <v>269</v>
      </c>
      <c r="Z24" s="1" t="s">
        <v>212</v>
      </c>
    </row>
    <row r="25" spans="1:26" s="54" customFormat="1">
      <c r="A25" s="67">
        <v>24</v>
      </c>
      <c r="B25" s="67" t="s">
        <v>97</v>
      </c>
      <c r="C25" s="67" t="s">
        <v>293</v>
      </c>
      <c r="D25" s="66" t="s">
        <v>87</v>
      </c>
      <c r="E25" s="66" t="s">
        <v>87</v>
      </c>
      <c r="F25" s="66" t="s">
        <v>87</v>
      </c>
      <c r="G25" s="66" t="s">
        <v>87</v>
      </c>
      <c r="H25" s="66" t="s">
        <v>87</v>
      </c>
      <c r="I25" s="66" t="s">
        <v>87</v>
      </c>
      <c r="J25" s="66" t="s">
        <v>87</v>
      </c>
      <c r="K25" s="66" t="s">
        <v>87</v>
      </c>
      <c r="L25" s="66" t="s">
        <v>87</v>
      </c>
      <c r="N25" s="59" t="s">
        <v>305</v>
      </c>
      <c r="O25" s="59" t="s">
        <v>287</v>
      </c>
      <c r="P25" s="59" t="s">
        <v>288</v>
      </c>
      <c r="Q25" s="59" t="s">
        <v>288</v>
      </c>
      <c r="R25" s="59" t="s">
        <v>288</v>
      </c>
      <c r="S25" s="59" t="s">
        <v>288</v>
      </c>
      <c r="T25" s="59" t="s">
        <v>288</v>
      </c>
      <c r="U25" s="59" t="s">
        <v>288</v>
      </c>
      <c r="V25" s="62" t="s">
        <v>288</v>
      </c>
      <c r="W25" s="59" t="s">
        <v>288</v>
      </c>
      <c r="X25" s="59" t="s">
        <v>288</v>
      </c>
      <c r="Y25" s="54" t="s">
        <v>0</v>
      </c>
      <c r="Z25" s="54" t="s">
        <v>210</v>
      </c>
    </row>
    <row r="26" spans="1:26">
      <c r="A26" s="64">
        <v>25</v>
      </c>
      <c r="B26" s="64" t="s">
        <v>100</v>
      </c>
      <c r="C26" s="65">
        <f t="shared" ref="C26" si="2">IF($O26="on",1,"@")</f>
        <v>1</v>
      </c>
      <c r="D26" s="66" t="s">
        <v>87</v>
      </c>
      <c r="E26" s="66" t="s">
        <v>87</v>
      </c>
      <c r="F26" s="66" t="s">
        <v>87</v>
      </c>
      <c r="G26" s="66" t="s">
        <v>87</v>
      </c>
      <c r="H26" s="66" t="s">
        <v>87</v>
      </c>
      <c r="I26" s="66" t="s">
        <v>87</v>
      </c>
      <c r="J26" s="66" t="s">
        <v>87</v>
      </c>
      <c r="K26" s="66" t="s">
        <v>87</v>
      </c>
      <c r="L26" s="66" t="s">
        <v>87</v>
      </c>
      <c r="N26" s="60" t="s">
        <v>300</v>
      </c>
      <c r="O26" s="61" t="s">
        <v>270</v>
      </c>
      <c r="P26" s="59" t="s">
        <v>288</v>
      </c>
      <c r="Q26" s="59" t="s">
        <v>288</v>
      </c>
      <c r="R26" s="59" t="s">
        <v>288</v>
      </c>
      <c r="S26" s="59" t="s">
        <v>288</v>
      </c>
      <c r="T26" s="59" t="s">
        <v>288</v>
      </c>
      <c r="U26" s="59" t="s">
        <v>288</v>
      </c>
      <c r="V26" s="62" t="s">
        <v>288</v>
      </c>
      <c r="W26" s="59" t="s">
        <v>288</v>
      </c>
      <c r="X26" s="59" t="s">
        <v>288</v>
      </c>
      <c r="Y26" s="1" t="s">
        <v>170</v>
      </c>
      <c r="Z26" s="1" t="s">
        <v>210</v>
      </c>
    </row>
    <row r="27" spans="1:26">
      <c r="A27" s="64">
        <v>26</v>
      </c>
      <c r="B27" s="64" t="s">
        <v>215</v>
      </c>
      <c r="C27" s="65">
        <f>IF($O27=50,1,IF($O27=70,2,IF($O27=90,3,IF(O27=100,4,"@"))))</f>
        <v>1</v>
      </c>
      <c r="D27" s="66">
        <v>7951201</v>
      </c>
      <c r="E27" s="66">
        <v>7951202</v>
      </c>
      <c r="F27" s="66">
        <v>7951203</v>
      </c>
      <c r="G27" s="66">
        <v>7951204</v>
      </c>
      <c r="H27" s="66">
        <v>7951205</v>
      </c>
      <c r="I27" s="66">
        <v>7951206</v>
      </c>
      <c r="J27" s="66" t="s">
        <v>87</v>
      </c>
      <c r="K27" s="66" t="s">
        <v>87</v>
      </c>
      <c r="L27" s="66" t="s">
        <v>87</v>
      </c>
      <c r="N27" s="60" t="s">
        <v>301</v>
      </c>
      <c r="O27" s="61">
        <v>50</v>
      </c>
      <c r="P27" s="59" t="s">
        <v>288</v>
      </c>
      <c r="Q27" s="59" t="s">
        <v>288</v>
      </c>
      <c r="R27" s="59" t="s">
        <v>288</v>
      </c>
      <c r="S27" s="59" t="s">
        <v>288</v>
      </c>
      <c r="T27" s="59" t="s">
        <v>288</v>
      </c>
      <c r="U27" s="59" t="s">
        <v>288</v>
      </c>
      <c r="V27" s="62" t="s">
        <v>288</v>
      </c>
      <c r="W27" s="59" t="s">
        <v>288</v>
      </c>
      <c r="X27" s="59" t="s">
        <v>288</v>
      </c>
      <c r="Y27" s="1" t="s">
        <v>229</v>
      </c>
      <c r="Z27" s="1" t="s">
        <v>210</v>
      </c>
    </row>
    <row r="28" spans="1:26">
      <c r="A28" s="64">
        <v>27</v>
      </c>
      <c r="B28" s="64" t="s">
        <v>86</v>
      </c>
      <c r="C28" s="65">
        <f>QBitFlag!I40</f>
        <v>1048576</v>
      </c>
      <c r="D28" s="66" t="s">
        <v>87</v>
      </c>
      <c r="E28" s="66" t="s">
        <v>87</v>
      </c>
      <c r="F28" s="66" t="s">
        <v>87</v>
      </c>
      <c r="G28" s="66" t="s">
        <v>87</v>
      </c>
      <c r="H28" s="66" t="s">
        <v>87</v>
      </c>
      <c r="I28" s="66" t="s">
        <v>87</v>
      </c>
      <c r="J28" s="66" t="s">
        <v>87</v>
      </c>
      <c r="K28" s="66" t="s">
        <v>87</v>
      </c>
      <c r="L28" s="66" t="s">
        <v>87</v>
      </c>
      <c r="N28" s="59" t="s">
        <v>302</v>
      </c>
      <c r="O28" s="59" t="s">
        <v>288</v>
      </c>
      <c r="P28" s="59" t="s">
        <v>288</v>
      </c>
      <c r="Q28" s="59" t="s">
        <v>288</v>
      </c>
      <c r="R28" s="59" t="s">
        <v>288</v>
      </c>
      <c r="S28" s="59" t="s">
        <v>288</v>
      </c>
      <c r="T28" s="59" t="s">
        <v>288</v>
      </c>
      <c r="U28" s="59" t="s">
        <v>288</v>
      </c>
      <c r="V28" s="62" t="s">
        <v>288</v>
      </c>
      <c r="W28" s="59" t="s">
        <v>288</v>
      </c>
      <c r="X28" s="59" t="s">
        <v>288</v>
      </c>
      <c r="Y28" s="1" t="s">
        <v>96</v>
      </c>
      <c r="Z28" s="1" t="s">
        <v>216</v>
      </c>
    </row>
    <row r="29" spans="1:26" s="54" customFormat="1">
      <c r="A29" s="67">
        <v>28</v>
      </c>
      <c r="B29" s="67" t="s">
        <v>98</v>
      </c>
      <c r="C29" s="66">
        <v>1</v>
      </c>
      <c r="D29" s="66" t="s">
        <v>87</v>
      </c>
      <c r="E29" s="66" t="s">
        <v>87</v>
      </c>
      <c r="F29" s="66" t="s">
        <v>87</v>
      </c>
      <c r="G29" s="66" t="s">
        <v>87</v>
      </c>
      <c r="H29" s="66" t="s">
        <v>87</v>
      </c>
      <c r="I29" s="66" t="s">
        <v>87</v>
      </c>
      <c r="J29" s="66" t="s">
        <v>87</v>
      </c>
      <c r="K29" s="66" t="s">
        <v>87</v>
      </c>
      <c r="L29" s="66" t="s">
        <v>87</v>
      </c>
      <c r="N29" s="59" t="s">
        <v>304</v>
      </c>
      <c r="O29" s="59" t="s">
        <v>270</v>
      </c>
      <c r="P29" s="59" t="s">
        <v>288</v>
      </c>
      <c r="Q29" s="59" t="s">
        <v>288</v>
      </c>
      <c r="R29" s="59" t="s">
        <v>288</v>
      </c>
      <c r="S29" s="59" t="s">
        <v>288</v>
      </c>
      <c r="T29" s="59" t="s">
        <v>288</v>
      </c>
      <c r="U29" s="59" t="s">
        <v>288</v>
      </c>
      <c r="V29" s="62" t="s">
        <v>288</v>
      </c>
      <c r="W29" s="59" t="s">
        <v>288</v>
      </c>
      <c r="X29" s="59" t="s">
        <v>288</v>
      </c>
      <c r="Y29" s="54" t="s">
        <v>0</v>
      </c>
      <c r="Z29" s="54" t="s">
        <v>210</v>
      </c>
    </row>
    <row r="30" spans="1:26" s="54" customFormat="1">
      <c r="A30" s="67">
        <v>29</v>
      </c>
      <c r="B30" s="67" t="s">
        <v>99</v>
      </c>
      <c r="C30" s="66">
        <v>1</v>
      </c>
      <c r="D30" s="66" t="s">
        <v>87</v>
      </c>
      <c r="E30" s="66" t="s">
        <v>87</v>
      </c>
      <c r="F30" s="66" t="s">
        <v>87</v>
      </c>
      <c r="G30" s="66" t="s">
        <v>87</v>
      </c>
      <c r="H30" s="66" t="s">
        <v>87</v>
      </c>
      <c r="I30" s="66" t="s">
        <v>87</v>
      </c>
      <c r="J30" s="66" t="s">
        <v>87</v>
      </c>
      <c r="K30" s="66" t="s">
        <v>87</v>
      </c>
      <c r="L30" s="66" t="s">
        <v>87</v>
      </c>
      <c r="N30" s="59" t="s">
        <v>303</v>
      </c>
      <c r="O30" s="59" t="s">
        <v>270</v>
      </c>
      <c r="P30" s="59" t="s">
        <v>288</v>
      </c>
      <c r="Q30" s="59" t="s">
        <v>288</v>
      </c>
      <c r="R30" s="59" t="s">
        <v>288</v>
      </c>
      <c r="S30" s="59" t="s">
        <v>288</v>
      </c>
      <c r="T30" s="59" t="s">
        <v>288</v>
      </c>
      <c r="U30" s="59" t="s">
        <v>288</v>
      </c>
      <c r="V30" s="62" t="s">
        <v>288</v>
      </c>
      <c r="W30" s="59" t="s">
        <v>288</v>
      </c>
      <c r="X30" s="59" t="s">
        <v>288</v>
      </c>
      <c r="Y30" s="54" t="s">
        <v>171</v>
      </c>
      <c r="Z30" s="54" t="s">
        <v>210</v>
      </c>
    </row>
    <row r="31" spans="1:26">
      <c r="A31" s="64">
        <v>30</v>
      </c>
      <c r="B31" s="64" t="s">
        <v>101</v>
      </c>
      <c r="C31" s="65" t="str">
        <f>IF($O31="ON","@",9006)</f>
        <v>@</v>
      </c>
      <c r="D31" s="66" t="s">
        <v>87</v>
      </c>
      <c r="E31" s="66" t="s">
        <v>87</v>
      </c>
      <c r="F31" s="66" t="s">
        <v>87</v>
      </c>
      <c r="G31" s="66" t="s">
        <v>87</v>
      </c>
      <c r="H31" s="66" t="s">
        <v>87</v>
      </c>
      <c r="I31" s="66" t="s">
        <v>87</v>
      </c>
      <c r="J31" s="66" t="s">
        <v>87</v>
      </c>
      <c r="K31" s="66" t="s">
        <v>87</v>
      </c>
      <c r="L31" s="66" t="s">
        <v>87</v>
      </c>
      <c r="N31" s="60" t="s">
        <v>306</v>
      </c>
      <c r="O31" s="61" t="s">
        <v>270</v>
      </c>
      <c r="P31" s="59" t="s">
        <v>288</v>
      </c>
      <c r="Q31" s="59" t="s">
        <v>288</v>
      </c>
      <c r="R31" s="59" t="s">
        <v>288</v>
      </c>
      <c r="S31" s="59" t="s">
        <v>288</v>
      </c>
      <c r="T31" s="59" t="s">
        <v>288</v>
      </c>
      <c r="U31" s="59" t="s">
        <v>288</v>
      </c>
      <c r="V31" s="62" t="s">
        <v>288</v>
      </c>
      <c r="W31" s="59" t="s">
        <v>288</v>
      </c>
      <c r="X31" s="59" t="s">
        <v>288</v>
      </c>
      <c r="Y31" s="1" t="s">
        <v>172</v>
      </c>
      <c r="Z31" s="1" t="s">
        <v>212</v>
      </c>
    </row>
    <row r="32" spans="1:26">
      <c r="A32" s="64">
        <v>31</v>
      </c>
      <c r="B32" s="64" t="s">
        <v>102</v>
      </c>
      <c r="C32" s="65" t="str">
        <f>IF($O32="ON","@",9008)</f>
        <v>@</v>
      </c>
      <c r="D32" s="66" t="s">
        <v>87</v>
      </c>
      <c r="E32" s="66" t="s">
        <v>87</v>
      </c>
      <c r="F32" s="66" t="s">
        <v>87</v>
      </c>
      <c r="G32" s="66" t="s">
        <v>87</v>
      </c>
      <c r="H32" s="66" t="s">
        <v>87</v>
      </c>
      <c r="I32" s="66" t="s">
        <v>87</v>
      </c>
      <c r="J32" s="66" t="s">
        <v>87</v>
      </c>
      <c r="K32" s="66" t="s">
        <v>87</v>
      </c>
      <c r="L32" s="66" t="s">
        <v>87</v>
      </c>
      <c r="N32" s="60" t="s">
        <v>307</v>
      </c>
      <c r="O32" s="61" t="s">
        <v>270</v>
      </c>
      <c r="P32" s="59" t="s">
        <v>288</v>
      </c>
      <c r="Q32" s="59" t="s">
        <v>288</v>
      </c>
      <c r="R32" s="59" t="s">
        <v>288</v>
      </c>
      <c r="S32" s="59" t="s">
        <v>288</v>
      </c>
      <c r="T32" s="59" t="s">
        <v>288</v>
      </c>
      <c r="U32" s="59" t="s">
        <v>288</v>
      </c>
      <c r="V32" s="62" t="s">
        <v>288</v>
      </c>
      <c r="W32" s="59" t="s">
        <v>288</v>
      </c>
      <c r="X32" s="59" t="s">
        <v>288</v>
      </c>
      <c r="Y32" s="1" t="s">
        <v>173</v>
      </c>
      <c r="Z32" s="1" t="s">
        <v>212</v>
      </c>
    </row>
    <row r="33" spans="1:26">
      <c r="A33" s="64">
        <v>32</v>
      </c>
      <c r="B33" s="64" t="s">
        <v>103</v>
      </c>
      <c r="C33" s="65" t="str">
        <f>IF($O33="ON","@",9009)</f>
        <v>@</v>
      </c>
      <c r="D33" s="66" t="s">
        <v>87</v>
      </c>
      <c r="E33" s="66" t="s">
        <v>87</v>
      </c>
      <c r="F33" s="66" t="s">
        <v>87</v>
      </c>
      <c r="G33" s="66" t="s">
        <v>87</v>
      </c>
      <c r="H33" s="66" t="s">
        <v>87</v>
      </c>
      <c r="I33" s="66" t="s">
        <v>87</v>
      </c>
      <c r="J33" s="66" t="s">
        <v>87</v>
      </c>
      <c r="K33" s="66" t="s">
        <v>87</v>
      </c>
      <c r="L33" s="66" t="s">
        <v>87</v>
      </c>
      <c r="N33" s="60" t="s">
        <v>308</v>
      </c>
      <c r="O33" s="61" t="s">
        <v>270</v>
      </c>
      <c r="P33" s="59" t="s">
        <v>288</v>
      </c>
      <c r="Q33" s="59" t="s">
        <v>288</v>
      </c>
      <c r="R33" s="59" t="s">
        <v>288</v>
      </c>
      <c r="S33" s="59" t="s">
        <v>288</v>
      </c>
      <c r="T33" s="59" t="s">
        <v>288</v>
      </c>
      <c r="U33" s="59" t="s">
        <v>288</v>
      </c>
      <c r="V33" s="62" t="s">
        <v>288</v>
      </c>
      <c r="W33" s="59" t="s">
        <v>288</v>
      </c>
      <c r="X33" s="59" t="s">
        <v>288</v>
      </c>
      <c r="Y33" s="1" t="s">
        <v>112</v>
      </c>
      <c r="Z33" s="1" t="s">
        <v>212</v>
      </c>
    </row>
    <row r="34" spans="1:26">
      <c r="A34" s="64">
        <v>33</v>
      </c>
      <c r="B34" s="64" t="s">
        <v>104</v>
      </c>
      <c r="C34" s="65" t="str">
        <f>IF($O34="ON","@",9001)</f>
        <v>@</v>
      </c>
      <c r="D34" s="66" t="s">
        <v>87</v>
      </c>
      <c r="E34" s="66" t="s">
        <v>87</v>
      </c>
      <c r="F34" s="66" t="s">
        <v>87</v>
      </c>
      <c r="G34" s="66" t="s">
        <v>87</v>
      </c>
      <c r="H34" s="66" t="s">
        <v>87</v>
      </c>
      <c r="I34" s="66" t="s">
        <v>87</v>
      </c>
      <c r="J34" s="66" t="s">
        <v>87</v>
      </c>
      <c r="K34" s="66" t="s">
        <v>87</v>
      </c>
      <c r="L34" s="66" t="s">
        <v>87</v>
      </c>
      <c r="N34" s="60" t="s">
        <v>309</v>
      </c>
      <c r="O34" s="61" t="s">
        <v>270</v>
      </c>
      <c r="P34" s="59" t="s">
        <v>288</v>
      </c>
      <c r="Q34" s="59" t="s">
        <v>288</v>
      </c>
      <c r="R34" s="59" t="s">
        <v>288</v>
      </c>
      <c r="S34" s="59" t="s">
        <v>288</v>
      </c>
      <c r="T34" s="59" t="s">
        <v>288</v>
      </c>
      <c r="U34" s="59" t="s">
        <v>288</v>
      </c>
      <c r="V34" s="62" t="s">
        <v>288</v>
      </c>
      <c r="W34" s="59" t="s">
        <v>288</v>
      </c>
      <c r="X34" s="59" t="s">
        <v>288</v>
      </c>
      <c r="Y34" s="1" t="s">
        <v>174</v>
      </c>
      <c r="Z34" s="1" t="s">
        <v>212</v>
      </c>
    </row>
    <row r="35" spans="1:26">
      <c r="A35" s="64">
        <v>34</v>
      </c>
      <c r="B35" s="64" t="s">
        <v>105</v>
      </c>
      <c r="C35" s="65" t="str">
        <f>IF($O35="ON","@",9002)</f>
        <v>@</v>
      </c>
      <c r="D35" s="66" t="s">
        <v>87</v>
      </c>
      <c r="E35" s="66" t="s">
        <v>87</v>
      </c>
      <c r="F35" s="66" t="s">
        <v>87</v>
      </c>
      <c r="G35" s="66" t="s">
        <v>87</v>
      </c>
      <c r="H35" s="66" t="s">
        <v>87</v>
      </c>
      <c r="I35" s="66" t="s">
        <v>87</v>
      </c>
      <c r="J35" s="66" t="s">
        <v>87</v>
      </c>
      <c r="K35" s="66" t="s">
        <v>87</v>
      </c>
      <c r="L35" s="66" t="s">
        <v>87</v>
      </c>
      <c r="N35" s="60" t="s">
        <v>310</v>
      </c>
      <c r="O35" s="61" t="s">
        <v>270</v>
      </c>
      <c r="P35" s="59" t="s">
        <v>288</v>
      </c>
      <c r="Q35" s="59" t="s">
        <v>288</v>
      </c>
      <c r="R35" s="59" t="s">
        <v>288</v>
      </c>
      <c r="S35" s="59" t="s">
        <v>288</v>
      </c>
      <c r="T35" s="59" t="s">
        <v>288</v>
      </c>
      <c r="U35" s="59" t="s">
        <v>288</v>
      </c>
      <c r="V35" s="62" t="s">
        <v>288</v>
      </c>
      <c r="W35" s="59" t="s">
        <v>288</v>
      </c>
      <c r="X35" s="59" t="s">
        <v>288</v>
      </c>
      <c r="Y35" s="1" t="s">
        <v>175</v>
      </c>
      <c r="Z35" s="1" t="s">
        <v>212</v>
      </c>
    </row>
    <row r="36" spans="1:26">
      <c r="A36" s="64">
        <v>35</v>
      </c>
      <c r="B36" s="64" t="s">
        <v>106</v>
      </c>
      <c r="C36" s="65" t="str">
        <f>IF($O36="ON","@",8003)</f>
        <v>@</v>
      </c>
      <c r="D36" s="66" t="s">
        <v>87</v>
      </c>
      <c r="E36" s="66" t="s">
        <v>87</v>
      </c>
      <c r="F36" s="66" t="s">
        <v>87</v>
      </c>
      <c r="G36" s="66" t="s">
        <v>87</v>
      </c>
      <c r="H36" s="66" t="s">
        <v>87</v>
      </c>
      <c r="I36" s="66" t="s">
        <v>87</v>
      </c>
      <c r="J36" s="66" t="s">
        <v>87</v>
      </c>
      <c r="K36" s="66" t="s">
        <v>87</v>
      </c>
      <c r="L36" s="66" t="s">
        <v>87</v>
      </c>
      <c r="N36" s="60" t="s">
        <v>311</v>
      </c>
      <c r="O36" s="61" t="s">
        <v>270</v>
      </c>
      <c r="P36" s="59" t="s">
        <v>288</v>
      </c>
      <c r="Q36" s="59" t="s">
        <v>288</v>
      </c>
      <c r="R36" s="59" t="s">
        <v>288</v>
      </c>
      <c r="S36" s="59" t="s">
        <v>288</v>
      </c>
      <c r="T36" s="59" t="s">
        <v>288</v>
      </c>
      <c r="U36" s="59" t="s">
        <v>288</v>
      </c>
      <c r="V36" s="62" t="s">
        <v>288</v>
      </c>
      <c r="W36" s="59" t="s">
        <v>288</v>
      </c>
      <c r="X36" s="59" t="s">
        <v>288</v>
      </c>
      <c r="Y36" s="1" t="s">
        <v>176</v>
      </c>
      <c r="Z36" s="1" t="s">
        <v>212</v>
      </c>
    </row>
    <row r="37" spans="1:26">
      <c r="A37" s="64">
        <v>36</v>
      </c>
      <c r="B37" s="64" t="s">
        <v>107</v>
      </c>
      <c r="C37" s="65" t="str">
        <f>IF($O37="ON","@",9010)</f>
        <v>@</v>
      </c>
      <c r="D37" s="66" t="s">
        <v>87</v>
      </c>
      <c r="E37" s="66" t="s">
        <v>87</v>
      </c>
      <c r="F37" s="66" t="s">
        <v>87</v>
      </c>
      <c r="G37" s="66" t="s">
        <v>87</v>
      </c>
      <c r="H37" s="66" t="s">
        <v>87</v>
      </c>
      <c r="I37" s="66" t="s">
        <v>87</v>
      </c>
      <c r="J37" s="66" t="s">
        <v>87</v>
      </c>
      <c r="K37" s="66" t="s">
        <v>87</v>
      </c>
      <c r="L37" s="66" t="s">
        <v>87</v>
      </c>
      <c r="N37" s="60" t="s">
        <v>312</v>
      </c>
      <c r="O37" s="61" t="s">
        <v>270</v>
      </c>
      <c r="P37" s="59" t="s">
        <v>288</v>
      </c>
      <c r="Q37" s="59" t="s">
        <v>288</v>
      </c>
      <c r="R37" s="59" t="s">
        <v>288</v>
      </c>
      <c r="S37" s="59" t="s">
        <v>288</v>
      </c>
      <c r="T37" s="59" t="s">
        <v>288</v>
      </c>
      <c r="U37" s="59" t="s">
        <v>288</v>
      </c>
      <c r="V37" s="62" t="s">
        <v>288</v>
      </c>
      <c r="W37" s="59" t="s">
        <v>288</v>
      </c>
      <c r="X37" s="59" t="s">
        <v>288</v>
      </c>
      <c r="Y37" s="1" t="s">
        <v>177</v>
      </c>
      <c r="Z37" s="1" t="s">
        <v>212</v>
      </c>
    </row>
    <row r="38" spans="1:26">
      <c r="A38" s="64">
        <v>37</v>
      </c>
      <c r="B38" s="64" t="s">
        <v>108</v>
      </c>
      <c r="C38" s="65" t="str">
        <f>IF($O38="ON","@","@")</f>
        <v>@</v>
      </c>
      <c r="D38" s="66" t="s">
        <v>87</v>
      </c>
      <c r="E38" s="66" t="s">
        <v>87</v>
      </c>
      <c r="F38" s="66" t="s">
        <v>87</v>
      </c>
      <c r="G38" s="66" t="s">
        <v>87</v>
      </c>
      <c r="H38" s="66" t="s">
        <v>87</v>
      </c>
      <c r="I38" s="66" t="s">
        <v>87</v>
      </c>
      <c r="J38" s="66" t="s">
        <v>87</v>
      </c>
      <c r="K38" s="66" t="s">
        <v>87</v>
      </c>
      <c r="L38" s="66" t="s">
        <v>87</v>
      </c>
      <c r="N38" s="60" t="s">
        <v>313</v>
      </c>
      <c r="O38" s="61" t="s">
        <v>270</v>
      </c>
      <c r="P38" s="59" t="s">
        <v>288</v>
      </c>
      <c r="Q38" s="59" t="s">
        <v>288</v>
      </c>
      <c r="R38" s="59" t="s">
        <v>288</v>
      </c>
      <c r="S38" s="59" t="s">
        <v>288</v>
      </c>
      <c r="T38" s="59" t="s">
        <v>288</v>
      </c>
      <c r="U38" s="59" t="s">
        <v>288</v>
      </c>
      <c r="V38" s="62" t="s">
        <v>288</v>
      </c>
      <c r="W38" s="59" t="s">
        <v>288</v>
      </c>
      <c r="X38" s="59" t="s">
        <v>288</v>
      </c>
      <c r="Y38" s="1" t="s">
        <v>178</v>
      </c>
      <c r="Z38" s="1" t="s">
        <v>212</v>
      </c>
    </row>
    <row r="39" spans="1:26">
      <c r="A39" s="64">
        <v>38</v>
      </c>
      <c r="B39" s="64" t="s">
        <v>109</v>
      </c>
      <c r="C39" s="65" t="str">
        <f>IF($O39="ON","@","@")</f>
        <v>@</v>
      </c>
      <c r="D39" s="66" t="s">
        <v>87</v>
      </c>
      <c r="E39" s="66" t="s">
        <v>87</v>
      </c>
      <c r="F39" s="66" t="s">
        <v>87</v>
      </c>
      <c r="G39" s="66" t="s">
        <v>87</v>
      </c>
      <c r="H39" s="66" t="s">
        <v>87</v>
      </c>
      <c r="I39" s="66" t="s">
        <v>87</v>
      </c>
      <c r="J39" s="66" t="s">
        <v>87</v>
      </c>
      <c r="K39" s="66" t="s">
        <v>87</v>
      </c>
      <c r="L39" s="66" t="s">
        <v>87</v>
      </c>
      <c r="N39" s="60" t="s">
        <v>314</v>
      </c>
      <c r="O39" s="61" t="s">
        <v>270</v>
      </c>
      <c r="P39" s="59" t="s">
        <v>288</v>
      </c>
      <c r="Q39" s="59" t="s">
        <v>288</v>
      </c>
      <c r="R39" s="59" t="s">
        <v>288</v>
      </c>
      <c r="S39" s="59" t="s">
        <v>288</v>
      </c>
      <c r="T39" s="59" t="s">
        <v>288</v>
      </c>
      <c r="U39" s="59" t="s">
        <v>288</v>
      </c>
      <c r="V39" s="62" t="s">
        <v>288</v>
      </c>
      <c r="W39" s="59" t="s">
        <v>288</v>
      </c>
      <c r="X39" s="59" t="s">
        <v>288</v>
      </c>
      <c r="Y39" s="1" t="s">
        <v>178</v>
      </c>
      <c r="Z39" s="1" t="s">
        <v>212</v>
      </c>
    </row>
    <row r="40" spans="1:26">
      <c r="A40" s="64">
        <v>39</v>
      </c>
      <c r="B40" s="64" t="s">
        <v>110</v>
      </c>
      <c r="C40" s="65" t="str">
        <f>IF($O40="ON","@","@")</f>
        <v>@</v>
      </c>
      <c r="D40" s="66" t="s">
        <v>87</v>
      </c>
      <c r="E40" s="66" t="s">
        <v>87</v>
      </c>
      <c r="F40" s="66" t="s">
        <v>87</v>
      </c>
      <c r="G40" s="66" t="s">
        <v>87</v>
      </c>
      <c r="H40" s="66" t="s">
        <v>87</v>
      </c>
      <c r="I40" s="66" t="s">
        <v>87</v>
      </c>
      <c r="J40" s="66" t="s">
        <v>87</v>
      </c>
      <c r="K40" s="66" t="s">
        <v>87</v>
      </c>
      <c r="L40" s="66" t="s">
        <v>87</v>
      </c>
      <c r="N40" s="60" t="s">
        <v>315</v>
      </c>
      <c r="O40" s="61" t="s">
        <v>270</v>
      </c>
      <c r="P40" s="59" t="s">
        <v>288</v>
      </c>
      <c r="Q40" s="59" t="s">
        <v>288</v>
      </c>
      <c r="R40" s="59" t="s">
        <v>288</v>
      </c>
      <c r="S40" s="59" t="s">
        <v>288</v>
      </c>
      <c r="T40" s="59" t="s">
        <v>288</v>
      </c>
      <c r="U40" s="59" t="s">
        <v>288</v>
      </c>
      <c r="V40" s="62" t="s">
        <v>288</v>
      </c>
      <c r="W40" s="59" t="s">
        <v>288</v>
      </c>
      <c r="X40" s="59" t="s">
        <v>288</v>
      </c>
      <c r="Y40" s="1" t="s">
        <v>178</v>
      </c>
      <c r="Z40" s="1" t="s">
        <v>212</v>
      </c>
    </row>
    <row r="41" spans="1:26">
      <c r="A41" s="64">
        <v>40</v>
      </c>
      <c r="B41" s="64" t="s">
        <v>217</v>
      </c>
      <c r="C41" s="65" t="str">
        <f>IF($O41="ON","@",9011)</f>
        <v>@</v>
      </c>
      <c r="D41" s="66" t="s">
        <v>87</v>
      </c>
      <c r="E41" s="66" t="s">
        <v>87</v>
      </c>
      <c r="F41" s="66" t="s">
        <v>87</v>
      </c>
      <c r="G41" s="66" t="s">
        <v>87</v>
      </c>
      <c r="H41" s="66" t="s">
        <v>87</v>
      </c>
      <c r="I41" s="66" t="s">
        <v>87</v>
      </c>
      <c r="J41" s="66" t="s">
        <v>87</v>
      </c>
      <c r="K41" s="66" t="s">
        <v>87</v>
      </c>
      <c r="L41" s="66" t="s">
        <v>87</v>
      </c>
      <c r="N41" s="60" t="s">
        <v>316</v>
      </c>
      <c r="O41" s="61" t="s">
        <v>270</v>
      </c>
      <c r="P41" s="59" t="s">
        <v>288</v>
      </c>
      <c r="Q41" s="59" t="s">
        <v>288</v>
      </c>
      <c r="R41" s="59" t="s">
        <v>288</v>
      </c>
      <c r="S41" s="59" t="s">
        <v>288</v>
      </c>
      <c r="T41" s="59" t="s">
        <v>288</v>
      </c>
      <c r="U41" s="59" t="s">
        <v>288</v>
      </c>
      <c r="V41" s="62" t="s">
        <v>288</v>
      </c>
      <c r="W41" s="59" t="s">
        <v>288</v>
      </c>
      <c r="X41" s="59" t="s">
        <v>288</v>
      </c>
      <c r="Y41" s="1" t="s">
        <v>179</v>
      </c>
      <c r="Z41" s="1" t="s">
        <v>212</v>
      </c>
    </row>
    <row r="42" spans="1:26">
      <c r="A42" s="64">
        <v>41</v>
      </c>
      <c r="B42" s="64" t="s">
        <v>218</v>
      </c>
      <c r="C42" s="65">
        <f>IF($O42="on",1,"@")</f>
        <v>1</v>
      </c>
      <c r="D42" s="66" t="s">
        <v>87</v>
      </c>
      <c r="E42" s="66" t="s">
        <v>87</v>
      </c>
      <c r="F42" s="66" t="s">
        <v>87</v>
      </c>
      <c r="G42" s="66" t="s">
        <v>87</v>
      </c>
      <c r="H42" s="66" t="s">
        <v>87</v>
      </c>
      <c r="I42" s="66" t="s">
        <v>87</v>
      </c>
      <c r="J42" s="66" t="s">
        <v>87</v>
      </c>
      <c r="K42" s="66" t="s">
        <v>87</v>
      </c>
      <c r="L42" s="66" t="s">
        <v>87</v>
      </c>
      <c r="N42" s="60" t="s">
        <v>317</v>
      </c>
      <c r="O42" s="61" t="s">
        <v>270</v>
      </c>
      <c r="P42" s="59" t="s">
        <v>288</v>
      </c>
      <c r="Q42" s="59" t="s">
        <v>288</v>
      </c>
      <c r="R42" s="59" t="s">
        <v>288</v>
      </c>
      <c r="S42" s="59" t="s">
        <v>288</v>
      </c>
      <c r="T42" s="59" t="s">
        <v>288</v>
      </c>
      <c r="U42" s="59" t="s">
        <v>288</v>
      </c>
      <c r="V42" s="62" t="s">
        <v>288</v>
      </c>
      <c r="W42" s="59" t="s">
        <v>288</v>
      </c>
      <c r="X42" s="59" t="s">
        <v>288</v>
      </c>
      <c r="Y42" s="1" t="s">
        <v>0</v>
      </c>
      <c r="Z42" s="1" t="s">
        <v>210</v>
      </c>
    </row>
    <row r="43" spans="1:26">
      <c r="A43" s="64">
        <v>42</v>
      </c>
      <c r="B43" s="64" t="s">
        <v>220</v>
      </c>
      <c r="C43" s="65" t="str">
        <f>IF($O43="ON","@",3701201)</f>
        <v>@</v>
      </c>
      <c r="D43" s="65" t="str">
        <f>IF($P43="ON","@",3701204)</f>
        <v>@</v>
      </c>
      <c r="E43" s="65" t="str">
        <f>IF($Q43="ON","@",3701207)</f>
        <v>@</v>
      </c>
      <c r="F43" s="65" t="str">
        <f>IF($R43="ON","@",3701210)</f>
        <v>@</v>
      </c>
      <c r="G43" s="65" t="str">
        <f>IF($S43="ON","@",3701213)</f>
        <v>@</v>
      </c>
      <c r="H43" s="65" t="str">
        <f>IF($T43="ON","@",3701216)</f>
        <v>@</v>
      </c>
      <c r="I43" s="66" t="str">
        <f>IF($U43="ON","@","@")</f>
        <v>@</v>
      </c>
      <c r="J43" s="66" t="str">
        <f>IF($V43="ON","@","@")</f>
        <v>@</v>
      </c>
      <c r="K43" s="66" t="str">
        <f>IF($W43="ON","@","@")</f>
        <v>@</v>
      </c>
      <c r="L43" s="66" t="str">
        <f>IF($X43="ON","@","@")</f>
        <v>@</v>
      </c>
      <c r="N43" s="60" t="s">
        <v>318</v>
      </c>
      <c r="O43" s="61" t="s">
        <v>277</v>
      </c>
      <c r="P43" s="61" t="s">
        <v>277</v>
      </c>
      <c r="Q43" s="61" t="s">
        <v>277</v>
      </c>
      <c r="R43" s="61" t="s">
        <v>277</v>
      </c>
      <c r="S43" s="61" t="s">
        <v>277</v>
      </c>
      <c r="T43" s="61" t="s">
        <v>277</v>
      </c>
      <c r="U43" s="59" t="s">
        <v>288</v>
      </c>
      <c r="V43" s="62" t="s">
        <v>288</v>
      </c>
      <c r="W43" s="59" t="s">
        <v>288</v>
      </c>
      <c r="X43" s="59" t="s">
        <v>288</v>
      </c>
      <c r="Y43" s="1" t="s">
        <v>267</v>
      </c>
      <c r="Z43" s="1" t="s">
        <v>212</v>
      </c>
    </row>
    <row r="44" spans="1:26">
      <c r="A44" s="64">
        <v>43</v>
      </c>
      <c r="B44" s="64" t="s">
        <v>221</v>
      </c>
      <c r="C44" s="65" t="str">
        <f>IF($O44="ON","@",3701219)</f>
        <v>@</v>
      </c>
      <c r="D44" s="66" t="s">
        <v>87</v>
      </c>
      <c r="E44" s="66" t="s">
        <v>87</v>
      </c>
      <c r="F44" s="66" t="s">
        <v>87</v>
      </c>
      <c r="G44" s="66" t="s">
        <v>87</v>
      </c>
      <c r="H44" s="66" t="s">
        <v>87</v>
      </c>
      <c r="I44" s="66" t="s">
        <v>87</v>
      </c>
      <c r="J44" s="66" t="s">
        <v>87</v>
      </c>
      <c r="K44" s="66" t="s">
        <v>87</v>
      </c>
      <c r="L44" s="66" t="s">
        <v>87</v>
      </c>
      <c r="N44" s="60" t="s">
        <v>320</v>
      </c>
      <c r="O44" s="61" t="s">
        <v>277</v>
      </c>
      <c r="P44" s="59" t="s">
        <v>288</v>
      </c>
      <c r="Q44" s="59" t="s">
        <v>288</v>
      </c>
      <c r="R44" s="59" t="s">
        <v>288</v>
      </c>
      <c r="S44" s="59" t="s">
        <v>288</v>
      </c>
      <c r="T44" s="59" t="s">
        <v>288</v>
      </c>
      <c r="U44" s="59" t="s">
        <v>288</v>
      </c>
      <c r="V44" s="62" t="s">
        <v>288</v>
      </c>
      <c r="W44" s="59" t="s">
        <v>288</v>
      </c>
      <c r="X44" s="59" t="s">
        <v>288</v>
      </c>
      <c r="Y44" s="1" t="s">
        <v>222</v>
      </c>
      <c r="Z44" s="1" t="s">
        <v>212</v>
      </c>
    </row>
  </sheetData>
  <phoneticPr fontId="4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QBitFlag!$A$2:$A$3</xm:f>
          </x14:formula1>
          <xm:sqref>O2:O14 P7:T7 P8:U8 O16:O18 O20:O26 P43:T43 O29:O44</xm:sqref>
        </x14:dataValidation>
        <x14:dataValidation type="list" allowBlank="1" showInputMessage="1" showErrorMessage="1">
          <x14:formula1>
            <xm:f>QBitFlag!$B$2:$B$8</xm:f>
          </x14:formula1>
          <xm:sqref>O27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BA44"/>
  <sheetViews>
    <sheetView workbookViewId="0"/>
  </sheetViews>
  <sheetFormatPr baseColWidth="10" defaultColWidth="9" defaultRowHeight="11.25"/>
  <cols>
    <col min="1" max="1" width="3.140625" style="1" customWidth="1"/>
    <col min="2" max="2" width="17.85546875" style="1" bestFit="1" customWidth="1"/>
    <col min="3" max="3" width="9.5703125" style="1" bestFit="1" customWidth="1"/>
    <col min="4" max="9" width="6.42578125" style="1" customWidth="1"/>
    <col min="10" max="12" width="3.85546875" style="1" customWidth="1"/>
    <col min="13" max="13" width="1.5703125" style="54" customWidth="1"/>
    <col min="14" max="14" width="14" style="55" bestFit="1" customWidth="1"/>
    <col min="15" max="15" width="3.5703125" style="55" bestFit="1" customWidth="1"/>
    <col min="16" max="18" width="3.28515625" style="55" bestFit="1" customWidth="1"/>
    <col min="19" max="19" width="3.5703125" style="55" bestFit="1" customWidth="1"/>
    <col min="20" max="21" width="3.28515625" style="55" bestFit="1" customWidth="1"/>
    <col min="22" max="22" width="2.7109375" style="58" bestFit="1" customWidth="1"/>
    <col min="23" max="23" width="2.28515625" style="55" bestFit="1" customWidth="1"/>
    <col min="24" max="24" width="3" style="55" bestFit="1" customWidth="1"/>
    <col min="25" max="25" width="55.42578125" style="1" bestFit="1" customWidth="1"/>
    <col min="26" max="26" width="9.42578125" style="1" bestFit="1" customWidth="1"/>
    <col min="27" max="27" width="1.5703125" style="1" customWidth="1"/>
    <col min="28" max="33" width="15.85546875" style="1" bestFit="1" customWidth="1"/>
    <col min="34" max="34" width="4.42578125" style="1" bestFit="1" customWidth="1"/>
    <col min="35" max="40" width="11.28515625" style="1" bestFit="1" customWidth="1"/>
    <col min="41" max="41" width="7.140625" style="1" bestFit="1" customWidth="1"/>
    <col min="42" max="42" width="11.28515625" style="1" customWidth="1"/>
    <col min="43" max="43" width="9" style="1" bestFit="1" customWidth="1"/>
    <col min="44" max="44" width="9.42578125" style="1" bestFit="1" customWidth="1"/>
    <col min="45" max="45" width="7.42578125" style="1" bestFit="1" customWidth="1"/>
    <col min="46" max="46" width="10.28515625" style="1" bestFit="1" customWidth="1"/>
    <col min="47" max="47" width="12.42578125" style="1" bestFit="1" customWidth="1"/>
    <col min="48" max="48" width="16.28515625" style="1" bestFit="1" customWidth="1"/>
    <col min="49" max="49" width="17.42578125" style="1" bestFit="1" customWidth="1"/>
    <col min="50" max="52" width="12.42578125" style="1" customWidth="1"/>
    <col min="53" max="53" width="15" style="1" bestFit="1" customWidth="1"/>
    <col min="54" max="57" width="12.42578125" style="1" customWidth="1"/>
    <col min="58" max="58" width="15.140625" style="1" bestFit="1" customWidth="1"/>
    <col min="59" max="59" width="9.42578125" style="1" bestFit="1" customWidth="1"/>
    <col min="60" max="61" width="11.85546875" style="1" bestFit="1" customWidth="1"/>
    <col min="62" max="16384" width="9" style="1"/>
  </cols>
  <sheetData>
    <row r="1" spans="1:53" s="52" customFormat="1">
      <c r="A1" s="63" t="s">
        <v>195</v>
      </c>
      <c r="B1" s="63" t="s">
        <v>196</v>
      </c>
      <c r="C1" s="63" t="s">
        <v>197</v>
      </c>
      <c r="D1" s="63" t="s">
        <v>198</v>
      </c>
      <c r="E1" s="63" t="s">
        <v>199</v>
      </c>
      <c r="F1" s="63" t="s">
        <v>200</v>
      </c>
      <c r="G1" s="63" t="s">
        <v>201</v>
      </c>
      <c r="H1" s="63" t="s">
        <v>202</v>
      </c>
      <c r="I1" s="63" t="s">
        <v>203</v>
      </c>
      <c r="J1" s="63" t="s">
        <v>204</v>
      </c>
      <c r="K1" s="63" t="s">
        <v>205</v>
      </c>
      <c r="L1" s="63" t="s">
        <v>206</v>
      </c>
      <c r="M1" s="56"/>
      <c r="N1" s="69" t="s">
        <v>271</v>
      </c>
      <c r="O1" s="70">
        <v>1</v>
      </c>
      <c r="P1" s="70">
        <v>2</v>
      </c>
      <c r="Q1" s="70">
        <v>3</v>
      </c>
      <c r="R1" s="70">
        <v>4</v>
      </c>
      <c r="S1" s="70">
        <v>5</v>
      </c>
      <c r="T1" s="70">
        <v>6</v>
      </c>
      <c r="U1" s="70">
        <v>7</v>
      </c>
      <c r="V1" s="70">
        <v>8</v>
      </c>
      <c r="W1" s="69">
        <v>9</v>
      </c>
      <c r="X1" s="69">
        <v>10</v>
      </c>
      <c r="Y1" s="56" t="s">
        <v>169</v>
      </c>
      <c r="Z1" s="51" t="s">
        <v>77</v>
      </c>
      <c r="AH1" s="52" t="s">
        <v>207</v>
      </c>
      <c r="AO1" s="52" t="s">
        <v>208</v>
      </c>
      <c r="BA1" s="52" t="s">
        <v>209</v>
      </c>
    </row>
    <row r="2" spans="1:53">
      <c r="A2" s="64">
        <v>1</v>
      </c>
      <c r="B2" s="64" t="s">
        <v>3</v>
      </c>
      <c r="C2" s="65">
        <f>IF($O2="on",1,"@")</f>
        <v>1</v>
      </c>
      <c r="D2" s="66" t="s">
        <v>87</v>
      </c>
      <c r="E2" s="66" t="s">
        <v>87</v>
      </c>
      <c r="F2" s="66" t="s">
        <v>87</v>
      </c>
      <c r="G2" s="66" t="s">
        <v>87</v>
      </c>
      <c r="H2" s="66" t="s">
        <v>87</v>
      </c>
      <c r="I2" s="66" t="s">
        <v>87</v>
      </c>
      <c r="J2" s="66" t="s">
        <v>87</v>
      </c>
      <c r="K2" s="66" t="s">
        <v>87</v>
      </c>
      <c r="L2" s="66" t="s">
        <v>87</v>
      </c>
      <c r="N2" s="60" t="s">
        <v>272</v>
      </c>
      <c r="O2" s="61" t="s">
        <v>277</v>
      </c>
      <c r="P2" s="59" t="s">
        <v>288</v>
      </c>
      <c r="Q2" s="59" t="s">
        <v>288</v>
      </c>
      <c r="R2" s="59" t="s">
        <v>288</v>
      </c>
      <c r="S2" s="59" t="s">
        <v>288</v>
      </c>
      <c r="T2" s="59" t="s">
        <v>288</v>
      </c>
      <c r="U2" s="59" t="s">
        <v>288</v>
      </c>
      <c r="V2" s="62" t="s">
        <v>288</v>
      </c>
      <c r="W2" s="59" t="s">
        <v>288</v>
      </c>
      <c r="X2" s="59" t="s">
        <v>288</v>
      </c>
      <c r="Y2" s="1" t="s">
        <v>0</v>
      </c>
      <c r="Z2" s="1" t="s">
        <v>210</v>
      </c>
    </row>
    <row r="3" spans="1:53">
      <c r="A3" s="64">
        <v>2</v>
      </c>
      <c r="B3" s="64" t="s">
        <v>78</v>
      </c>
      <c r="C3" s="65">
        <f t="shared" ref="C3:C6" si="0">IF($O3="on",1,"@")</f>
        <v>1</v>
      </c>
      <c r="D3" s="66" t="s">
        <v>87</v>
      </c>
      <c r="E3" s="66" t="s">
        <v>87</v>
      </c>
      <c r="F3" s="66" t="s">
        <v>87</v>
      </c>
      <c r="G3" s="66" t="s">
        <v>87</v>
      </c>
      <c r="H3" s="66" t="s">
        <v>87</v>
      </c>
      <c r="I3" s="66" t="s">
        <v>87</v>
      </c>
      <c r="J3" s="66" t="s">
        <v>87</v>
      </c>
      <c r="K3" s="66" t="s">
        <v>87</v>
      </c>
      <c r="L3" s="66" t="s">
        <v>87</v>
      </c>
      <c r="N3" s="60" t="s">
        <v>273</v>
      </c>
      <c r="O3" s="61" t="s">
        <v>277</v>
      </c>
      <c r="P3" s="59" t="s">
        <v>288</v>
      </c>
      <c r="Q3" s="59" t="s">
        <v>288</v>
      </c>
      <c r="R3" s="59" t="s">
        <v>288</v>
      </c>
      <c r="S3" s="59" t="s">
        <v>288</v>
      </c>
      <c r="T3" s="59" t="s">
        <v>288</v>
      </c>
      <c r="U3" s="59" t="s">
        <v>288</v>
      </c>
      <c r="V3" s="62" t="s">
        <v>288</v>
      </c>
      <c r="W3" s="59" t="s">
        <v>288</v>
      </c>
      <c r="X3" s="59" t="s">
        <v>288</v>
      </c>
      <c r="Y3" s="1" t="s">
        <v>0</v>
      </c>
      <c r="Z3" s="1" t="s">
        <v>210</v>
      </c>
    </row>
    <row r="4" spans="1:53">
      <c r="A4" s="64">
        <v>3</v>
      </c>
      <c r="B4" s="64" t="s">
        <v>79</v>
      </c>
      <c r="C4" s="65">
        <f t="shared" si="0"/>
        <v>1</v>
      </c>
      <c r="D4" s="66" t="s">
        <v>87</v>
      </c>
      <c r="E4" s="66" t="s">
        <v>87</v>
      </c>
      <c r="F4" s="66" t="s">
        <v>87</v>
      </c>
      <c r="G4" s="66" t="s">
        <v>87</v>
      </c>
      <c r="H4" s="66" t="s">
        <v>87</v>
      </c>
      <c r="I4" s="66" t="s">
        <v>87</v>
      </c>
      <c r="J4" s="66" t="s">
        <v>87</v>
      </c>
      <c r="K4" s="66" t="s">
        <v>87</v>
      </c>
      <c r="L4" s="66" t="s">
        <v>87</v>
      </c>
      <c r="N4" s="60" t="s">
        <v>274</v>
      </c>
      <c r="O4" s="61" t="s">
        <v>277</v>
      </c>
      <c r="P4" s="59" t="s">
        <v>288</v>
      </c>
      <c r="Q4" s="59" t="s">
        <v>288</v>
      </c>
      <c r="R4" s="59" t="s">
        <v>288</v>
      </c>
      <c r="S4" s="59" t="s">
        <v>288</v>
      </c>
      <c r="T4" s="59" t="s">
        <v>288</v>
      </c>
      <c r="U4" s="59" t="s">
        <v>288</v>
      </c>
      <c r="V4" s="62" t="s">
        <v>288</v>
      </c>
      <c r="W4" s="59" t="s">
        <v>288</v>
      </c>
      <c r="X4" s="59" t="s">
        <v>288</v>
      </c>
      <c r="Y4" s="1" t="s">
        <v>0</v>
      </c>
      <c r="Z4" s="1" t="s">
        <v>210</v>
      </c>
    </row>
    <row r="5" spans="1:53">
      <c r="A5" s="64">
        <v>4</v>
      </c>
      <c r="B5" s="64" t="s">
        <v>80</v>
      </c>
      <c r="C5" s="65">
        <f t="shared" si="0"/>
        <v>1</v>
      </c>
      <c r="D5" s="66" t="s">
        <v>87</v>
      </c>
      <c r="E5" s="66" t="s">
        <v>87</v>
      </c>
      <c r="F5" s="66" t="s">
        <v>87</v>
      </c>
      <c r="G5" s="66" t="s">
        <v>87</v>
      </c>
      <c r="H5" s="66" t="s">
        <v>87</v>
      </c>
      <c r="I5" s="66" t="s">
        <v>87</v>
      </c>
      <c r="J5" s="66" t="s">
        <v>87</v>
      </c>
      <c r="K5" s="66" t="s">
        <v>87</v>
      </c>
      <c r="L5" s="66" t="s">
        <v>87</v>
      </c>
      <c r="N5" s="60" t="s">
        <v>275</v>
      </c>
      <c r="O5" s="61" t="s">
        <v>277</v>
      </c>
      <c r="P5" s="59" t="s">
        <v>288</v>
      </c>
      <c r="Q5" s="59" t="s">
        <v>288</v>
      </c>
      <c r="R5" s="59" t="s">
        <v>288</v>
      </c>
      <c r="S5" s="59" t="s">
        <v>288</v>
      </c>
      <c r="T5" s="59" t="s">
        <v>288</v>
      </c>
      <c r="U5" s="59" t="s">
        <v>288</v>
      </c>
      <c r="V5" s="62" t="s">
        <v>288</v>
      </c>
      <c r="W5" s="59" t="s">
        <v>288</v>
      </c>
      <c r="X5" s="59" t="s">
        <v>288</v>
      </c>
      <c r="Y5" s="1" t="s">
        <v>0</v>
      </c>
      <c r="Z5" s="1" t="s">
        <v>210</v>
      </c>
    </row>
    <row r="6" spans="1:53">
      <c r="A6" s="64">
        <v>5</v>
      </c>
      <c r="B6" s="64" t="s">
        <v>81</v>
      </c>
      <c r="C6" s="65" t="str">
        <f t="shared" si="0"/>
        <v>@</v>
      </c>
      <c r="D6" s="66" t="s">
        <v>87</v>
      </c>
      <c r="E6" s="66" t="s">
        <v>87</v>
      </c>
      <c r="F6" s="66" t="s">
        <v>87</v>
      </c>
      <c r="G6" s="66" t="s">
        <v>87</v>
      </c>
      <c r="H6" s="66" t="s">
        <v>87</v>
      </c>
      <c r="I6" s="66" t="s">
        <v>87</v>
      </c>
      <c r="J6" s="66" t="s">
        <v>87</v>
      </c>
      <c r="K6" s="66" t="s">
        <v>87</v>
      </c>
      <c r="L6" s="66" t="s">
        <v>87</v>
      </c>
      <c r="N6" s="60" t="s">
        <v>276</v>
      </c>
      <c r="O6" s="61" t="s">
        <v>287</v>
      </c>
      <c r="P6" s="59" t="s">
        <v>288</v>
      </c>
      <c r="Q6" s="59" t="s">
        <v>288</v>
      </c>
      <c r="R6" s="59" t="s">
        <v>288</v>
      </c>
      <c r="S6" s="59" t="s">
        <v>288</v>
      </c>
      <c r="T6" s="59" t="s">
        <v>288</v>
      </c>
      <c r="U6" s="59" t="s">
        <v>288</v>
      </c>
      <c r="V6" s="62" t="s">
        <v>288</v>
      </c>
      <c r="W6" s="59" t="s">
        <v>288</v>
      </c>
      <c r="X6" s="59" t="s">
        <v>288</v>
      </c>
      <c r="Y6" s="1" t="s">
        <v>0</v>
      </c>
      <c r="Z6" s="1" t="s">
        <v>210</v>
      </c>
    </row>
    <row r="7" spans="1:53">
      <c r="A7" s="64">
        <v>6</v>
      </c>
      <c r="B7" s="64" t="s">
        <v>211</v>
      </c>
      <c r="C7" s="65" t="str">
        <f>IF($O7="ON","@",412)</f>
        <v>@</v>
      </c>
      <c r="D7" s="65" t="str">
        <f>IF($P7="ON","@",844)</f>
        <v>@</v>
      </c>
      <c r="E7" s="65" t="str">
        <f>IF($Q7="ON","@",1038)</f>
        <v>@</v>
      </c>
      <c r="F7" s="65" t="str">
        <f>IF($R7="ON","@",1455)</f>
        <v>@</v>
      </c>
      <c r="G7" s="65" t="str">
        <f>IF($S7="ON","@",1456)</f>
        <v>@</v>
      </c>
      <c r="H7" s="65" t="str">
        <f>IF($T7="ON","@",4544)</f>
        <v>@</v>
      </c>
      <c r="I7" s="66" t="str">
        <f>IF($U7="ON","@","@")</f>
        <v>@</v>
      </c>
      <c r="J7" s="66" t="str">
        <f>IF($V7="ON","@","@")</f>
        <v>@</v>
      </c>
      <c r="K7" s="66" t="str">
        <f>IF($W7="ON","@","@")</f>
        <v>@</v>
      </c>
      <c r="L7" s="66" t="str">
        <f>IF($X7="ON","@","@")</f>
        <v>@</v>
      </c>
      <c r="N7" s="60" t="s">
        <v>319</v>
      </c>
      <c r="O7" s="61" t="s">
        <v>277</v>
      </c>
      <c r="P7" s="61" t="s">
        <v>277</v>
      </c>
      <c r="Q7" s="61" t="s">
        <v>277</v>
      </c>
      <c r="R7" s="61" t="s">
        <v>277</v>
      </c>
      <c r="S7" s="61" t="s">
        <v>270</v>
      </c>
      <c r="T7" s="61" t="s">
        <v>270</v>
      </c>
      <c r="U7" s="59" t="s">
        <v>288</v>
      </c>
      <c r="V7" s="62" t="s">
        <v>288</v>
      </c>
      <c r="W7" s="59" t="s">
        <v>288</v>
      </c>
      <c r="X7" s="59" t="s">
        <v>288</v>
      </c>
      <c r="Y7" s="1" t="s">
        <v>268</v>
      </c>
      <c r="Z7" s="1" t="s">
        <v>212</v>
      </c>
    </row>
    <row r="8" spans="1:53">
      <c r="A8" s="64">
        <v>7</v>
      </c>
      <c r="B8" s="64" t="s">
        <v>213</v>
      </c>
      <c r="C8" s="65" t="str">
        <f>IF($O8="on","@",2413102)</f>
        <v>@</v>
      </c>
      <c r="D8" s="65" t="str">
        <f>IF($P8="on","@",2413104)</f>
        <v>@</v>
      </c>
      <c r="E8" s="65" t="str">
        <f>IF($Q8="on","@",2413106)</f>
        <v>@</v>
      </c>
      <c r="F8" s="65" t="str">
        <f>IF($R8="on","@",2413105)</f>
        <v>@</v>
      </c>
      <c r="G8" s="65" t="str">
        <f>IF($S8="on","@",2413111)</f>
        <v>@</v>
      </c>
      <c r="H8" s="65" t="str">
        <f>IF($T8="on","@",2413112)</f>
        <v>@</v>
      </c>
      <c r="I8" s="65">
        <f>IF($U8="on","@",2413113)</f>
        <v>2413113</v>
      </c>
      <c r="J8" s="66" t="str">
        <f>IF($V8="on","@","@")</f>
        <v>@</v>
      </c>
      <c r="K8" s="66" t="str">
        <f>IF($W8="on","@","@")</f>
        <v>@</v>
      </c>
      <c r="L8" s="66" t="str">
        <f>IF($X8="on","@","@")</f>
        <v>@</v>
      </c>
      <c r="N8" s="60" t="s">
        <v>280</v>
      </c>
      <c r="O8" s="61" t="s">
        <v>277</v>
      </c>
      <c r="P8" s="61" t="s">
        <v>277</v>
      </c>
      <c r="Q8" s="61" t="s">
        <v>277</v>
      </c>
      <c r="R8" s="61" t="s">
        <v>277</v>
      </c>
      <c r="S8" s="61" t="s">
        <v>277</v>
      </c>
      <c r="T8" s="61" t="s">
        <v>277</v>
      </c>
      <c r="U8" s="61" t="s">
        <v>287</v>
      </c>
      <c r="V8" s="62" t="s">
        <v>288</v>
      </c>
      <c r="W8" s="59" t="s">
        <v>288</v>
      </c>
      <c r="X8" s="59" t="s">
        <v>288</v>
      </c>
      <c r="Y8" s="1" t="s">
        <v>223</v>
      </c>
      <c r="Z8" s="1" t="s">
        <v>212</v>
      </c>
    </row>
    <row r="9" spans="1:53">
      <c r="A9" s="64">
        <v>8</v>
      </c>
      <c r="B9" s="64" t="s">
        <v>82</v>
      </c>
      <c r="C9" s="65">
        <f t="shared" ref="C9:C14" si="1">IF($O9="on",1,"@")</f>
        <v>1</v>
      </c>
      <c r="D9" s="66" t="s">
        <v>87</v>
      </c>
      <c r="E9" s="66" t="s">
        <v>87</v>
      </c>
      <c r="F9" s="66" t="s">
        <v>87</v>
      </c>
      <c r="G9" s="66" t="s">
        <v>87</v>
      </c>
      <c r="H9" s="66" t="s">
        <v>87</v>
      </c>
      <c r="I9" s="66" t="s">
        <v>87</v>
      </c>
      <c r="J9" s="66" t="s">
        <v>87</v>
      </c>
      <c r="K9" s="66" t="s">
        <v>87</v>
      </c>
      <c r="L9" s="66" t="s">
        <v>87</v>
      </c>
      <c r="N9" s="60" t="s">
        <v>281</v>
      </c>
      <c r="O9" s="61" t="s">
        <v>277</v>
      </c>
      <c r="P9" s="59" t="s">
        <v>288</v>
      </c>
      <c r="Q9" s="59" t="s">
        <v>288</v>
      </c>
      <c r="R9" s="59" t="s">
        <v>288</v>
      </c>
      <c r="S9" s="59" t="s">
        <v>288</v>
      </c>
      <c r="T9" s="59" t="s">
        <v>288</v>
      </c>
      <c r="U9" s="59" t="s">
        <v>288</v>
      </c>
      <c r="V9" s="62" t="s">
        <v>288</v>
      </c>
      <c r="W9" s="59" t="s">
        <v>288</v>
      </c>
      <c r="X9" s="59" t="s">
        <v>288</v>
      </c>
      <c r="Y9" s="1" t="s">
        <v>0</v>
      </c>
      <c r="Z9" s="1" t="s">
        <v>210</v>
      </c>
    </row>
    <row r="10" spans="1:53">
      <c r="A10" s="64">
        <v>9</v>
      </c>
      <c r="B10" s="64" t="s">
        <v>8</v>
      </c>
      <c r="C10" s="65">
        <f t="shared" si="1"/>
        <v>1</v>
      </c>
      <c r="D10" s="66" t="s">
        <v>87</v>
      </c>
      <c r="E10" s="66" t="s">
        <v>87</v>
      </c>
      <c r="F10" s="66" t="s">
        <v>87</v>
      </c>
      <c r="G10" s="66" t="s">
        <v>87</v>
      </c>
      <c r="H10" s="66" t="s">
        <v>87</v>
      </c>
      <c r="I10" s="66" t="s">
        <v>87</v>
      </c>
      <c r="J10" s="66" t="s">
        <v>87</v>
      </c>
      <c r="K10" s="66" t="s">
        <v>87</v>
      </c>
      <c r="L10" s="66" t="s">
        <v>87</v>
      </c>
      <c r="N10" s="60" t="s">
        <v>282</v>
      </c>
      <c r="O10" s="61" t="s">
        <v>277</v>
      </c>
      <c r="P10" s="59" t="s">
        <v>288</v>
      </c>
      <c r="Q10" s="59" t="s">
        <v>288</v>
      </c>
      <c r="R10" s="59" t="s">
        <v>288</v>
      </c>
      <c r="S10" s="59" t="s">
        <v>288</v>
      </c>
      <c r="T10" s="59" t="s">
        <v>288</v>
      </c>
      <c r="U10" s="59" t="s">
        <v>288</v>
      </c>
      <c r="V10" s="62" t="s">
        <v>288</v>
      </c>
      <c r="W10" s="59" t="s">
        <v>288</v>
      </c>
      <c r="X10" s="59" t="s">
        <v>288</v>
      </c>
      <c r="Y10" s="1" t="s">
        <v>0</v>
      </c>
      <c r="Z10" s="1" t="s">
        <v>210</v>
      </c>
    </row>
    <row r="11" spans="1:53">
      <c r="A11" s="64">
        <v>10</v>
      </c>
      <c r="B11" s="64" t="s">
        <v>12</v>
      </c>
      <c r="C11" s="65">
        <f t="shared" si="1"/>
        <v>1</v>
      </c>
      <c r="D11" s="66" t="s">
        <v>87</v>
      </c>
      <c r="E11" s="66" t="s">
        <v>87</v>
      </c>
      <c r="F11" s="66" t="s">
        <v>87</v>
      </c>
      <c r="G11" s="66" t="s">
        <v>87</v>
      </c>
      <c r="H11" s="66" t="s">
        <v>87</v>
      </c>
      <c r="I11" s="66" t="s">
        <v>87</v>
      </c>
      <c r="J11" s="66" t="s">
        <v>87</v>
      </c>
      <c r="K11" s="66" t="s">
        <v>87</v>
      </c>
      <c r="L11" s="66" t="s">
        <v>87</v>
      </c>
      <c r="N11" s="60" t="s">
        <v>283</v>
      </c>
      <c r="O11" s="61" t="s">
        <v>277</v>
      </c>
      <c r="P11" s="59" t="s">
        <v>288</v>
      </c>
      <c r="Q11" s="59" t="s">
        <v>288</v>
      </c>
      <c r="R11" s="59" t="s">
        <v>288</v>
      </c>
      <c r="S11" s="59" t="s">
        <v>288</v>
      </c>
      <c r="T11" s="59" t="s">
        <v>288</v>
      </c>
      <c r="U11" s="59" t="s">
        <v>288</v>
      </c>
      <c r="V11" s="62" t="s">
        <v>288</v>
      </c>
      <c r="W11" s="59" t="s">
        <v>288</v>
      </c>
      <c r="X11" s="59" t="s">
        <v>288</v>
      </c>
      <c r="Y11" s="1" t="s">
        <v>0</v>
      </c>
      <c r="Z11" s="1" t="s">
        <v>210</v>
      </c>
    </row>
    <row r="12" spans="1:53">
      <c r="A12" s="64">
        <v>11</v>
      </c>
      <c r="B12" s="64" t="s">
        <v>15</v>
      </c>
      <c r="C12" s="65">
        <f t="shared" si="1"/>
        <v>1</v>
      </c>
      <c r="D12" s="66" t="s">
        <v>87</v>
      </c>
      <c r="E12" s="66" t="s">
        <v>87</v>
      </c>
      <c r="F12" s="66" t="s">
        <v>87</v>
      </c>
      <c r="G12" s="66" t="s">
        <v>87</v>
      </c>
      <c r="H12" s="66" t="s">
        <v>87</v>
      </c>
      <c r="I12" s="66" t="s">
        <v>87</v>
      </c>
      <c r="J12" s="66" t="s">
        <v>87</v>
      </c>
      <c r="K12" s="66" t="s">
        <v>87</v>
      </c>
      <c r="L12" s="66" t="s">
        <v>87</v>
      </c>
      <c r="N12" s="60" t="s">
        <v>284</v>
      </c>
      <c r="O12" s="61" t="s">
        <v>277</v>
      </c>
      <c r="P12" s="59" t="s">
        <v>288</v>
      </c>
      <c r="Q12" s="59" t="s">
        <v>288</v>
      </c>
      <c r="R12" s="59" t="s">
        <v>288</v>
      </c>
      <c r="S12" s="59" t="s">
        <v>288</v>
      </c>
      <c r="T12" s="59" t="s">
        <v>288</v>
      </c>
      <c r="U12" s="59" t="s">
        <v>288</v>
      </c>
      <c r="V12" s="62" t="s">
        <v>288</v>
      </c>
      <c r="W12" s="59" t="s">
        <v>288</v>
      </c>
      <c r="X12" s="59" t="s">
        <v>288</v>
      </c>
      <c r="Y12" s="1" t="s">
        <v>0</v>
      </c>
      <c r="Z12" s="1" t="s">
        <v>210</v>
      </c>
    </row>
    <row r="13" spans="1:53">
      <c r="A13" s="64">
        <v>12</v>
      </c>
      <c r="B13" s="64" t="s">
        <v>20</v>
      </c>
      <c r="C13" s="65">
        <f t="shared" si="1"/>
        <v>1</v>
      </c>
      <c r="D13" s="66" t="s">
        <v>87</v>
      </c>
      <c r="E13" s="66" t="s">
        <v>87</v>
      </c>
      <c r="F13" s="66" t="s">
        <v>87</v>
      </c>
      <c r="G13" s="66" t="s">
        <v>87</v>
      </c>
      <c r="H13" s="66" t="s">
        <v>87</v>
      </c>
      <c r="I13" s="66" t="s">
        <v>87</v>
      </c>
      <c r="J13" s="66" t="s">
        <v>87</v>
      </c>
      <c r="K13" s="66" t="s">
        <v>87</v>
      </c>
      <c r="L13" s="66" t="s">
        <v>87</v>
      </c>
      <c r="N13" s="60" t="s">
        <v>285</v>
      </c>
      <c r="O13" s="61" t="s">
        <v>277</v>
      </c>
      <c r="P13" s="59" t="s">
        <v>288</v>
      </c>
      <c r="Q13" s="59" t="s">
        <v>288</v>
      </c>
      <c r="R13" s="59" t="s">
        <v>288</v>
      </c>
      <c r="S13" s="59" t="s">
        <v>288</v>
      </c>
      <c r="T13" s="59" t="s">
        <v>288</v>
      </c>
      <c r="U13" s="59" t="s">
        <v>288</v>
      </c>
      <c r="V13" s="62" t="s">
        <v>288</v>
      </c>
      <c r="W13" s="59" t="s">
        <v>288</v>
      </c>
      <c r="X13" s="59" t="s">
        <v>288</v>
      </c>
      <c r="Y13" s="1" t="s">
        <v>0</v>
      </c>
      <c r="Z13" s="1" t="s">
        <v>210</v>
      </c>
    </row>
    <row r="14" spans="1:53">
      <c r="A14" s="64">
        <v>13</v>
      </c>
      <c r="B14" s="64" t="s">
        <v>88</v>
      </c>
      <c r="C14" s="65">
        <f t="shared" si="1"/>
        <v>1</v>
      </c>
      <c r="D14" s="66" t="s">
        <v>87</v>
      </c>
      <c r="E14" s="66" t="s">
        <v>87</v>
      </c>
      <c r="F14" s="66" t="s">
        <v>87</v>
      </c>
      <c r="G14" s="66" t="s">
        <v>87</v>
      </c>
      <c r="H14" s="66" t="s">
        <v>87</v>
      </c>
      <c r="I14" s="66" t="s">
        <v>87</v>
      </c>
      <c r="J14" s="66" t="s">
        <v>87</v>
      </c>
      <c r="K14" s="66" t="s">
        <v>87</v>
      </c>
      <c r="L14" s="66" t="s">
        <v>87</v>
      </c>
      <c r="N14" s="60" t="s">
        <v>286</v>
      </c>
      <c r="O14" s="61" t="s">
        <v>270</v>
      </c>
      <c r="P14" s="59" t="s">
        <v>288</v>
      </c>
      <c r="Q14" s="59" t="s">
        <v>288</v>
      </c>
      <c r="R14" s="59" t="s">
        <v>288</v>
      </c>
      <c r="S14" s="59" t="s">
        <v>288</v>
      </c>
      <c r="T14" s="59" t="s">
        <v>288</v>
      </c>
      <c r="U14" s="59" t="s">
        <v>288</v>
      </c>
      <c r="V14" s="62" t="s">
        <v>288</v>
      </c>
      <c r="W14" s="59" t="s">
        <v>288</v>
      </c>
      <c r="X14" s="59" t="s">
        <v>288</v>
      </c>
      <c r="Y14" s="1" t="s">
        <v>0</v>
      </c>
      <c r="Z14" s="1" t="s">
        <v>210</v>
      </c>
    </row>
    <row r="15" spans="1:53" s="54" customFormat="1">
      <c r="A15" s="67">
        <v>14</v>
      </c>
      <c r="B15" s="67" t="s">
        <v>1</v>
      </c>
      <c r="C15" s="66">
        <v>2</v>
      </c>
      <c r="D15" s="66" t="s">
        <v>87</v>
      </c>
      <c r="E15" s="66" t="s">
        <v>87</v>
      </c>
      <c r="F15" s="66" t="s">
        <v>87</v>
      </c>
      <c r="G15" s="66" t="s">
        <v>87</v>
      </c>
      <c r="H15" s="66" t="s">
        <v>87</v>
      </c>
      <c r="I15" s="66" t="s">
        <v>87</v>
      </c>
      <c r="J15" s="66" t="s">
        <v>87</v>
      </c>
      <c r="K15" s="66" t="s">
        <v>87</v>
      </c>
      <c r="L15" s="66" t="s">
        <v>87</v>
      </c>
      <c r="N15" s="59" t="s">
        <v>288</v>
      </c>
      <c r="O15" s="59" t="s">
        <v>288</v>
      </c>
      <c r="P15" s="59" t="s">
        <v>288</v>
      </c>
      <c r="Q15" s="59" t="s">
        <v>288</v>
      </c>
      <c r="R15" s="59" t="s">
        <v>288</v>
      </c>
      <c r="S15" s="59" t="s">
        <v>288</v>
      </c>
      <c r="T15" s="59" t="s">
        <v>288</v>
      </c>
      <c r="U15" s="59" t="s">
        <v>288</v>
      </c>
      <c r="V15" s="62" t="s">
        <v>288</v>
      </c>
      <c r="W15" s="59" t="s">
        <v>288</v>
      </c>
      <c r="X15" s="59" t="s">
        <v>288</v>
      </c>
      <c r="Y15" s="54" t="s">
        <v>89</v>
      </c>
      <c r="Z15" s="54" t="s">
        <v>214</v>
      </c>
    </row>
    <row r="16" spans="1:53">
      <c r="A16" s="64">
        <v>15</v>
      </c>
      <c r="B16" s="64" t="s">
        <v>2</v>
      </c>
      <c r="C16" s="65" t="str">
        <f>IF($O16="ON","@",3)</f>
        <v>@</v>
      </c>
      <c r="D16" s="66" t="s">
        <v>87</v>
      </c>
      <c r="E16" s="66" t="s">
        <v>87</v>
      </c>
      <c r="F16" s="66" t="s">
        <v>87</v>
      </c>
      <c r="G16" s="66" t="s">
        <v>87</v>
      </c>
      <c r="H16" s="66" t="s">
        <v>87</v>
      </c>
      <c r="I16" s="66" t="s">
        <v>87</v>
      </c>
      <c r="J16" s="66" t="s">
        <v>87</v>
      </c>
      <c r="K16" s="66" t="s">
        <v>87</v>
      </c>
      <c r="L16" s="66" t="s">
        <v>87</v>
      </c>
      <c r="N16" s="60" t="s">
        <v>290</v>
      </c>
      <c r="O16" s="61" t="s">
        <v>270</v>
      </c>
      <c r="P16" s="59" t="s">
        <v>288</v>
      </c>
      <c r="Q16" s="59" t="s">
        <v>288</v>
      </c>
      <c r="R16" s="59" t="s">
        <v>288</v>
      </c>
      <c r="S16" s="59" t="s">
        <v>288</v>
      </c>
      <c r="T16" s="59" t="s">
        <v>288</v>
      </c>
      <c r="U16" s="59" t="s">
        <v>288</v>
      </c>
      <c r="V16" s="62" t="s">
        <v>288</v>
      </c>
      <c r="W16" s="59" t="s">
        <v>288</v>
      </c>
      <c r="X16" s="59" t="s">
        <v>288</v>
      </c>
      <c r="Y16" s="1" t="s">
        <v>90</v>
      </c>
      <c r="Z16" s="1" t="s">
        <v>212</v>
      </c>
    </row>
    <row r="17" spans="1:26">
      <c r="A17" s="64">
        <v>16</v>
      </c>
      <c r="B17" s="64" t="s">
        <v>31</v>
      </c>
      <c r="C17" s="65" t="str">
        <f>IF($O17="ON","@",2971107)</f>
        <v>@</v>
      </c>
      <c r="D17" s="66" t="s">
        <v>87</v>
      </c>
      <c r="E17" s="66" t="s">
        <v>87</v>
      </c>
      <c r="F17" s="66" t="s">
        <v>87</v>
      </c>
      <c r="G17" s="66" t="s">
        <v>87</v>
      </c>
      <c r="H17" s="66" t="s">
        <v>87</v>
      </c>
      <c r="I17" s="66" t="s">
        <v>87</v>
      </c>
      <c r="J17" s="66" t="s">
        <v>87</v>
      </c>
      <c r="K17" s="66" t="s">
        <v>87</v>
      </c>
      <c r="L17" s="66" t="s">
        <v>87</v>
      </c>
      <c r="N17" s="60" t="s">
        <v>292</v>
      </c>
      <c r="O17" s="61" t="s">
        <v>270</v>
      </c>
      <c r="P17" s="59" t="s">
        <v>288</v>
      </c>
      <c r="Q17" s="59" t="s">
        <v>288</v>
      </c>
      <c r="R17" s="59" t="s">
        <v>288</v>
      </c>
      <c r="S17" s="59" t="s">
        <v>288</v>
      </c>
      <c r="T17" s="59" t="s">
        <v>288</v>
      </c>
      <c r="U17" s="59" t="s">
        <v>288</v>
      </c>
      <c r="V17" s="62" t="s">
        <v>288</v>
      </c>
      <c r="W17" s="59" t="s">
        <v>288</v>
      </c>
      <c r="X17" s="59" t="s">
        <v>288</v>
      </c>
      <c r="Y17" s="1" t="s">
        <v>91</v>
      </c>
      <c r="Z17" s="1" t="s">
        <v>212</v>
      </c>
    </row>
    <row r="18" spans="1:26">
      <c r="A18" s="64">
        <v>17</v>
      </c>
      <c r="B18" s="64" t="s">
        <v>24</v>
      </c>
      <c r="C18" s="65" t="str">
        <f>IF($O18="ON","@",561)</f>
        <v>@</v>
      </c>
      <c r="D18" s="66" t="s">
        <v>87</v>
      </c>
      <c r="E18" s="66" t="s">
        <v>87</v>
      </c>
      <c r="F18" s="66" t="s">
        <v>87</v>
      </c>
      <c r="G18" s="66" t="s">
        <v>87</v>
      </c>
      <c r="H18" s="66" t="s">
        <v>87</v>
      </c>
      <c r="I18" s="66" t="s">
        <v>87</v>
      </c>
      <c r="J18" s="66" t="s">
        <v>87</v>
      </c>
      <c r="K18" s="66" t="s">
        <v>87</v>
      </c>
      <c r="L18" s="66" t="s">
        <v>87</v>
      </c>
      <c r="N18" s="60" t="s">
        <v>291</v>
      </c>
      <c r="O18" s="61" t="s">
        <v>270</v>
      </c>
      <c r="P18" s="59" t="s">
        <v>288</v>
      </c>
      <c r="Q18" s="59" t="s">
        <v>288</v>
      </c>
      <c r="R18" s="59" t="s">
        <v>288</v>
      </c>
      <c r="S18" s="59" t="s">
        <v>288</v>
      </c>
      <c r="T18" s="59" t="s">
        <v>288</v>
      </c>
      <c r="U18" s="59" t="s">
        <v>288</v>
      </c>
      <c r="V18" s="62" t="s">
        <v>288</v>
      </c>
      <c r="W18" s="59" t="s">
        <v>288</v>
      </c>
      <c r="X18" s="59" t="s">
        <v>288</v>
      </c>
      <c r="Y18" s="1" t="s">
        <v>92</v>
      </c>
      <c r="Z18" s="1" t="s">
        <v>212</v>
      </c>
    </row>
    <row r="19" spans="1:26" s="54" customFormat="1">
      <c r="A19" s="67">
        <v>18</v>
      </c>
      <c r="B19" s="67" t="s">
        <v>25</v>
      </c>
      <c r="C19" s="66">
        <v>6</v>
      </c>
      <c r="D19" s="66" t="s">
        <v>87</v>
      </c>
      <c r="E19" s="66" t="s">
        <v>87</v>
      </c>
      <c r="F19" s="66" t="s">
        <v>87</v>
      </c>
      <c r="G19" s="66" t="s">
        <v>87</v>
      </c>
      <c r="H19" s="66" t="s">
        <v>87</v>
      </c>
      <c r="I19" s="66" t="s">
        <v>87</v>
      </c>
      <c r="J19" s="66" t="s">
        <v>87</v>
      </c>
      <c r="K19" s="66" t="s">
        <v>87</v>
      </c>
      <c r="L19" s="66" t="s">
        <v>87</v>
      </c>
      <c r="N19" s="59" t="s">
        <v>288</v>
      </c>
      <c r="O19" s="59" t="s">
        <v>288</v>
      </c>
      <c r="P19" s="59" t="s">
        <v>288</v>
      </c>
      <c r="Q19" s="59" t="s">
        <v>288</v>
      </c>
      <c r="R19" s="59" t="s">
        <v>288</v>
      </c>
      <c r="S19" s="59" t="s">
        <v>288</v>
      </c>
      <c r="T19" s="59" t="s">
        <v>288</v>
      </c>
      <c r="U19" s="59" t="s">
        <v>288</v>
      </c>
      <c r="V19" s="62" t="s">
        <v>288</v>
      </c>
      <c r="W19" s="59" t="s">
        <v>288</v>
      </c>
      <c r="X19" s="59" t="s">
        <v>288</v>
      </c>
      <c r="Y19" s="54" t="s">
        <v>89</v>
      </c>
      <c r="Z19" s="54" t="s">
        <v>212</v>
      </c>
    </row>
    <row r="20" spans="1:26">
      <c r="A20" s="64">
        <v>19</v>
      </c>
      <c r="B20" s="64" t="s">
        <v>26</v>
      </c>
      <c r="C20" s="65" t="str">
        <f>IF($O20="ON","@",57)</f>
        <v>@</v>
      </c>
      <c r="D20" s="66" t="s">
        <v>87</v>
      </c>
      <c r="E20" s="66" t="s">
        <v>87</v>
      </c>
      <c r="F20" s="66" t="s">
        <v>87</v>
      </c>
      <c r="G20" s="66" t="s">
        <v>87</v>
      </c>
      <c r="H20" s="66" t="s">
        <v>87</v>
      </c>
      <c r="I20" s="66" t="s">
        <v>87</v>
      </c>
      <c r="J20" s="66" t="s">
        <v>87</v>
      </c>
      <c r="K20" s="66" t="s">
        <v>87</v>
      </c>
      <c r="L20" s="66" t="s">
        <v>87</v>
      </c>
      <c r="N20" s="60" t="s">
        <v>294</v>
      </c>
      <c r="O20" s="61" t="s">
        <v>270</v>
      </c>
      <c r="P20" s="59" t="s">
        <v>288</v>
      </c>
      <c r="Q20" s="59" t="s">
        <v>288</v>
      </c>
      <c r="R20" s="59" t="s">
        <v>288</v>
      </c>
      <c r="S20" s="59" t="s">
        <v>288</v>
      </c>
      <c r="T20" s="59" t="s">
        <v>288</v>
      </c>
      <c r="U20" s="59" t="s">
        <v>288</v>
      </c>
      <c r="V20" s="62" t="s">
        <v>288</v>
      </c>
      <c r="W20" s="59" t="s">
        <v>288</v>
      </c>
      <c r="X20" s="59" t="s">
        <v>288</v>
      </c>
      <c r="Y20" s="1" t="s">
        <v>194</v>
      </c>
      <c r="Z20" s="1" t="s">
        <v>212</v>
      </c>
    </row>
    <row r="21" spans="1:26">
      <c r="A21" s="64">
        <v>20</v>
      </c>
      <c r="B21" s="64" t="s">
        <v>27</v>
      </c>
      <c r="C21" s="65" t="str">
        <f>IF($O21="ON","@",565)</f>
        <v>@</v>
      </c>
      <c r="D21" s="66" t="s">
        <v>87</v>
      </c>
      <c r="E21" s="66" t="s">
        <v>87</v>
      </c>
      <c r="F21" s="66" t="s">
        <v>87</v>
      </c>
      <c r="G21" s="66" t="s">
        <v>87</v>
      </c>
      <c r="H21" s="66" t="s">
        <v>87</v>
      </c>
      <c r="I21" s="66" t="s">
        <v>87</v>
      </c>
      <c r="J21" s="66" t="s">
        <v>87</v>
      </c>
      <c r="K21" s="66" t="s">
        <v>87</v>
      </c>
      <c r="L21" s="66" t="s">
        <v>87</v>
      </c>
      <c r="N21" s="60" t="s">
        <v>295</v>
      </c>
      <c r="O21" s="61" t="s">
        <v>270</v>
      </c>
      <c r="P21" s="59" t="s">
        <v>288</v>
      </c>
      <c r="Q21" s="59" t="s">
        <v>288</v>
      </c>
      <c r="R21" s="59" t="s">
        <v>288</v>
      </c>
      <c r="S21" s="59" t="s">
        <v>288</v>
      </c>
      <c r="T21" s="59" t="s">
        <v>288</v>
      </c>
      <c r="U21" s="59" t="s">
        <v>288</v>
      </c>
      <c r="V21" s="62" t="s">
        <v>288</v>
      </c>
      <c r="W21" s="59" t="s">
        <v>288</v>
      </c>
      <c r="X21" s="59" t="s">
        <v>288</v>
      </c>
      <c r="Y21" s="1" t="s">
        <v>93</v>
      </c>
      <c r="Z21" s="1" t="s">
        <v>212</v>
      </c>
    </row>
    <row r="22" spans="1:26">
      <c r="A22" s="64">
        <v>21</v>
      </c>
      <c r="B22" s="64" t="s">
        <v>28</v>
      </c>
      <c r="C22" s="65" t="str">
        <f>IF($O22="ON","@",1021)</f>
        <v>@</v>
      </c>
      <c r="D22" s="66" t="s">
        <v>87</v>
      </c>
      <c r="E22" s="66" t="s">
        <v>87</v>
      </c>
      <c r="F22" s="66" t="s">
        <v>87</v>
      </c>
      <c r="G22" s="66" t="s">
        <v>87</v>
      </c>
      <c r="H22" s="66" t="s">
        <v>87</v>
      </c>
      <c r="I22" s="66" t="s">
        <v>87</v>
      </c>
      <c r="J22" s="66" t="s">
        <v>87</v>
      </c>
      <c r="K22" s="66" t="s">
        <v>87</v>
      </c>
      <c r="L22" s="66" t="s">
        <v>87</v>
      </c>
      <c r="N22" s="60" t="s">
        <v>296</v>
      </c>
      <c r="O22" s="61" t="s">
        <v>270</v>
      </c>
      <c r="P22" s="59" t="s">
        <v>288</v>
      </c>
      <c r="Q22" s="59" t="s">
        <v>288</v>
      </c>
      <c r="R22" s="59" t="s">
        <v>288</v>
      </c>
      <c r="S22" s="59" t="s">
        <v>288</v>
      </c>
      <c r="T22" s="59" t="s">
        <v>288</v>
      </c>
      <c r="U22" s="59" t="s">
        <v>288</v>
      </c>
      <c r="V22" s="62" t="s">
        <v>288</v>
      </c>
      <c r="W22" s="59" t="s">
        <v>288</v>
      </c>
      <c r="X22" s="59" t="s">
        <v>288</v>
      </c>
      <c r="Y22" s="1" t="s">
        <v>94</v>
      </c>
      <c r="Z22" s="1" t="s">
        <v>212</v>
      </c>
    </row>
    <row r="23" spans="1:26">
      <c r="A23" s="64">
        <v>22</v>
      </c>
      <c r="B23" s="64" t="s">
        <v>29</v>
      </c>
      <c r="C23" s="65" t="str">
        <f>IF($O23="ON","@",5592109)</f>
        <v>@</v>
      </c>
      <c r="D23" s="66" t="s">
        <v>87</v>
      </c>
      <c r="E23" s="66" t="s">
        <v>87</v>
      </c>
      <c r="F23" s="66" t="s">
        <v>87</v>
      </c>
      <c r="G23" s="66" t="s">
        <v>87</v>
      </c>
      <c r="H23" s="66" t="s">
        <v>87</v>
      </c>
      <c r="I23" s="66" t="s">
        <v>87</v>
      </c>
      <c r="J23" s="66" t="s">
        <v>87</v>
      </c>
      <c r="K23" s="66" t="s">
        <v>87</v>
      </c>
      <c r="L23" s="66" t="s">
        <v>87</v>
      </c>
      <c r="N23" s="60" t="s">
        <v>297</v>
      </c>
      <c r="O23" s="61" t="s">
        <v>270</v>
      </c>
      <c r="P23" s="59" t="s">
        <v>288</v>
      </c>
      <c r="Q23" s="59" t="s">
        <v>288</v>
      </c>
      <c r="R23" s="59" t="s">
        <v>288</v>
      </c>
      <c r="S23" s="59" t="s">
        <v>288</v>
      </c>
      <c r="T23" s="59" t="s">
        <v>288</v>
      </c>
      <c r="U23" s="59" t="s">
        <v>288</v>
      </c>
      <c r="V23" s="62" t="s">
        <v>288</v>
      </c>
      <c r="W23" s="59" t="s">
        <v>288</v>
      </c>
      <c r="X23" s="59" t="s">
        <v>288</v>
      </c>
      <c r="Y23" s="1" t="s">
        <v>95</v>
      </c>
      <c r="Z23" s="1" t="s">
        <v>212</v>
      </c>
    </row>
    <row r="24" spans="1:26">
      <c r="A24" s="64">
        <v>23</v>
      </c>
      <c r="B24" s="64" t="s">
        <v>30</v>
      </c>
      <c r="C24" s="65" t="str">
        <f>IF($O24="ON","@",1471)</f>
        <v>@</v>
      </c>
      <c r="D24" s="66" t="s">
        <v>87</v>
      </c>
      <c r="E24" s="66" t="s">
        <v>87</v>
      </c>
      <c r="F24" s="66" t="s">
        <v>87</v>
      </c>
      <c r="G24" s="66" t="s">
        <v>87</v>
      </c>
      <c r="H24" s="66" t="s">
        <v>87</v>
      </c>
      <c r="I24" s="66" t="s">
        <v>87</v>
      </c>
      <c r="J24" s="66" t="s">
        <v>87</v>
      </c>
      <c r="K24" s="66" t="s">
        <v>87</v>
      </c>
      <c r="L24" s="66" t="s">
        <v>87</v>
      </c>
      <c r="N24" s="60" t="s">
        <v>298</v>
      </c>
      <c r="O24" s="61" t="s">
        <v>270</v>
      </c>
      <c r="P24" s="59" t="s">
        <v>288</v>
      </c>
      <c r="Q24" s="59" t="s">
        <v>288</v>
      </c>
      <c r="R24" s="59" t="s">
        <v>288</v>
      </c>
      <c r="S24" s="59" t="s">
        <v>288</v>
      </c>
      <c r="T24" s="59" t="s">
        <v>288</v>
      </c>
      <c r="U24" s="59" t="s">
        <v>288</v>
      </c>
      <c r="V24" s="62" t="s">
        <v>288</v>
      </c>
      <c r="W24" s="59" t="s">
        <v>288</v>
      </c>
      <c r="X24" s="59" t="s">
        <v>288</v>
      </c>
      <c r="Y24" s="1" t="s">
        <v>269</v>
      </c>
      <c r="Z24" s="1" t="s">
        <v>212</v>
      </c>
    </row>
    <row r="25" spans="1:26" s="54" customFormat="1">
      <c r="A25" s="67">
        <v>24</v>
      </c>
      <c r="B25" s="67" t="s">
        <v>97</v>
      </c>
      <c r="C25" s="67" t="s">
        <v>293</v>
      </c>
      <c r="D25" s="66" t="s">
        <v>87</v>
      </c>
      <c r="E25" s="66" t="s">
        <v>87</v>
      </c>
      <c r="F25" s="66" t="s">
        <v>87</v>
      </c>
      <c r="G25" s="66" t="s">
        <v>87</v>
      </c>
      <c r="H25" s="66" t="s">
        <v>87</v>
      </c>
      <c r="I25" s="66" t="s">
        <v>87</v>
      </c>
      <c r="J25" s="66" t="s">
        <v>87</v>
      </c>
      <c r="K25" s="66" t="s">
        <v>87</v>
      </c>
      <c r="L25" s="66" t="s">
        <v>87</v>
      </c>
      <c r="N25" s="59" t="s">
        <v>305</v>
      </c>
      <c r="O25" s="59" t="s">
        <v>287</v>
      </c>
      <c r="P25" s="59" t="s">
        <v>288</v>
      </c>
      <c r="Q25" s="59" t="s">
        <v>288</v>
      </c>
      <c r="R25" s="59" t="s">
        <v>288</v>
      </c>
      <c r="S25" s="59" t="s">
        <v>288</v>
      </c>
      <c r="T25" s="59" t="s">
        <v>288</v>
      </c>
      <c r="U25" s="59" t="s">
        <v>288</v>
      </c>
      <c r="V25" s="62" t="s">
        <v>288</v>
      </c>
      <c r="W25" s="59" t="s">
        <v>288</v>
      </c>
      <c r="X25" s="59" t="s">
        <v>288</v>
      </c>
      <c r="Y25" s="54" t="s">
        <v>0</v>
      </c>
      <c r="Z25" s="54" t="s">
        <v>210</v>
      </c>
    </row>
    <row r="26" spans="1:26">
      <c r="A26" s="64">
        <v>25</v>
      </c>
      <c r="B26" s="64" t="s">
        <v>100</v>
      </c>
      <c r="C26" s="65">
        <f t="shared" ref="C26" si="2">IF($O26="on",1,"@")</f>
        <v>1</v>
      </c>
      <c r="D26" s="66" t="s">
        <v>87</v>
      </c>
      <c r="E26" s="66" t="s">
        <v>87</v>
      </c>
      <c r="F26" s="66" t="s">
        <v>87</v>
      </c>
      <c r="G26" s="66" t="s">
        <v>87</v>
      </c>
      <c r="H26" s="66" t="s">
        <v>87</v>
      </c>
      <c r="I26" s="66" t="s">
        <v>87</v>
      </c>
      <c r="J26" s="66" t="s">
        <v>87</v>
      </c>
      <c r="K26" s="66" t="s">
        <v>87</v>
      </c>
      <c r="L26" s="66" t="s">
        <v>87</v>
      </c>
      <c r="N26" s="60" t="s">
        <v>300</v>
      </c>
      <c r="O26" s="61" t="s">
        <v>270</v>
      </c>
      <c r="P26" s="59" t="s">
        <v>288</v>
      </c>
      <c r="Q26" s="59" t="s">
        <v>288</v>
      </c>
      <c r="R26" s="59" t="s">
        <v>288</v>
      </c>
      <c r="S26" s="59" t="s">
        <v>288</v>
      </c>
      <c r="T26" s="59" t="s">
        <v>288</v>
      </c>
      <c r="U26" s="59" t="s">
        <v>288</v>
      </c>
      <c r="V26" s="62" t="s">
        <v>288</v>
      </c>
      <c r="W26" s="59" t="s">
        <v>288</v>
      </c>
      <c r="X26" s="59" t="s">
        <v>288</v>
      </c>
      <c r="Y26" s="1" t="s">
        <v>170</v>
      </c>
      <c r="Z26" s="1" t="s">
        <v>210</v>
      </c>
    </row>
    <row r="27" spans="1:26">
      <c r="A27" s="64">
        <v>26</v>
      </c>
      <c r="B27" s="64" t="s">
        <v>215</v>
      </c>
      <c r="C27" s="65">
        <f>IF($O27=50,1,IF($O27=70,2,IF($O27=90,3,IF(O27=100,4,"@"))))</f>
        <v>1</v>
      </c>
      <c r="D27" s="66">
        <v>7951201</v>
      </c>
      <c r="E27" s="66">
        <v>7951202</v>
      </c>
      <c r="F27" s="66">
        <v>7951203</v>
      </c>
      <c r="G27" s="66">
        <v>7951204</v>
      </c>
      <c r="H27" s="66">
        <v>7951205</v>
      </c>
      <c r="I27" s="66">
        <v>7951206</v>
      </c>
      <c r="J27" s="66" t="s">
        <v>87</v>
      </c>
      <c r="K27" s="66" t="s">
        <v>87</v>
      </c>
      <c r="L27" s="66" t="s">
        <v>87</v>
      </c>
      <c r="N27" s="60" t="s">
        <v>301</v>
      </c>
      <c r="O27" s="61">
        <v>50</v>
      </c>
      <c r="P27" s="59" t="s">
        <v>288</v>
      </c>
      <c r="Q27" s="59" t="s">
        <v>288</v>
      </c>
      <c r="R27" s="59" t="s">
        <v>288</v>
      </c>
      <c r="S27" s="59" t="s">
        <v>288</v>
      </c>
      <c r="T27" s="59" t="s">
        <v>288</v>
      </c>
      <c r="U27" s="59" t="s">
        <v>288</v>
      </c>
      <c r="V27" s="62" t="s">
        <v>288</v>
      </c>
      <c r="W27" s="59" t="s">
        <v>288</v>
      </c>
      <c r="X27" s="59" t="s">
        <v>288</v>
      </c>
      <c r="Y27" s="1" t="s">
        <v>229</v>
      </c>
      <c r="Z27" s="1" t="s">
        <v>210</v>
      </c>
    </row>
    <row r="28" spans="1:26">
      <c r="A28" s="64">
        <v>27</v>
      </c>
      <c r="B28" s="64" t="s">
        <v>86</v>
      </c>
      <c r="C28" s="65">
        <f>QBitFlag!K40</f>
        <v>5242880</v>
      </c>
      <c r="D28" s="66" t="s">
        <v>87</v>
      </c>
      <c r="E28" s="66" t="s">
        <v>87</v>
      </c>
      <c r="F28" s="66" t="s">
        <v>87</v>
      </c>
      <c r="G28" s="66" t="s">
        <v>87</v>
      </c>
      <c r="H28" s="66" t="s">
        <v>87</v>
      </c>
      <c r="I28" s="66" t="s">
        <v>87</v>
      </c>
      <c r="J28" s="66" t="s">
        <v>87</v>
      </c>
      <c r="K28" s="66" t="s">
        <v>87</v>
      </c>
      <c r="L28" s="66" t="s">
        <v>87</v>
      </c>
      <c r="N28" s="59" t="s">
        <v>302</v>
      </c>
      <c r="O28" s="59" t="s">
        <v>288</v>
      </c>
      <c r="P28" s="59" t="s">
        <v>288</v>
      </c>
      <c r="Q28" s="59" t="s">
        <v>288</v>
      </c>
      <c r="R28" s="59" t="s">
        <v>288</v>
      </c>
      <c r="S28" s="59" t="s">
        <v>288</v>
      </c>
      <c r="T28" s="59" t="s">
        <v>288</v>
      </c>
      <c r="U28" s="59" t="s">
        <v>288</v>
      </c>
      <c r="V28" s="62" t="s">
        <v>288</v>
      </c>
      <c r="W28" s="59" t="s">
        <v>288</v>
      </c>
      <c r="X28" s="59" t="s">
        <v>288</v>
      </c>
      <c r="Y28" s="1" t="s">
        <v>96</v>
      </c>
      <c r="Z28" s="1" t="s">
        <v>216</v>
      </c>
    </row>
    <row r="29" spans="1:26" s="54" customFormat="1">
      <c r="A29" s="67">
        <v>28</v>
      </c>
      <c r="B29" s="67" t="s">
        <v>98</v>
      </c>
      <c r="C29" s="66">
        <v>1</v>
      </c>
      <c r="D29" s="66" t="s">
        <v>87</v>
      </c>
      <c r="E29" s="66" t="s">
        <v>87</v>
      </c>
      <c r="F29" s="66" t="s">
        <v>87</v>
      </c>
      <c r="G29" s="66" t="s">
        <v>87</v>
      </c>
      <c r="H29" s="66" t="s">
        <v>87</v>
      </c>
      <c r="I29" s="66" t="s">
        <v>87</v>
      </c>
      <c r="J29" s="66" t="s">
        <v>87</v>
      </c>
      <c r="K29" s="66" t="s">
        <v>87</v>
      </c>
      <c r="L29" s="66" t="s">
        <v>87</v>
      </c>
      <c r="N29" s="59" t="s">
        <v>304</v>
      </c>
      <c r="O29" s="59" t="s">
        <v>270</v>
      </c>
      <c r="P29" s="59" t="s">
        <v>288</v>
      </c>
      <c r="Q29" s="59" t="s">
        <v>288</v>
      </c>
      <c r="R29" s="59" t="s">
        <v>288</v>
      </c>
      <c r="S29" s="59" t="s">
        <v>288</v>
      </c>
      <c r="T29" s="59" t="s">
        <v>288</v>
      </c>
      <c r="U29" s="59" t="s">
        <v>288</v>
      </c>
      <c r="V29" s="62" t="s">
        <v>288</v>
      </c>
      <c r="W29" s="59" t="s">
        <v>288</v>
      </c>
      <c r="X29" s="59" t="s">
        <v>288</v>
      </c>
      <c r="Y29" s="54" t="s">
        <v>0</v>
      </c>
      <c r="Z29" s="54" t="s">
        <v>210</v>
      </c>
    </row>
    <row r="30" spans="1:26" s="54" customFormat="1">
      <c r="A30" s="67">
        <v>29</v>
      </c>
      <c r="B30" s="67" t="s">
        <v>99</v>
      </c>
      <c r="C30" s="66">
        <v>1</v>
      </c>
      <c r="D30" s="66" t="s">
        <v>87</v>
      </c>
      <c r="E30" s="66" t="s">
        <v>87</v>
      </c>
      <c r="F30" s="66" t="s">
        <v>87</v>
      </c>
      <c r="G30" s="66" t="s">
        <v>87</v>
      </c>
      <c r="H30" s="66" t="s">
        <v>87</v>
      </c>
      <c r="I30" s="66" t="s">
        <v>87</v>
      </c>
      <c r="J30" s="66" t="s">
        <v>87</v>
      </c>
      <c r="K30" s="66" t="s">
        <v>87</v>
      </c>
      <c r="L30" s="66" t="s">
        <v>87</v>
      </c>
      <c r="N30" s="59" t="s">
        <v>303</v>
      </c>
      <c r="O30" s="59" t="s">
        <v>270</v>
      </c>
      <c r="P30" s="59" t="s">
        <v>288</v>
      </c>
      <c r="Q30" s="59" t="s">
        <v>288</v>
      </c>
      <c r="R30" s="59" t="s">
        <v>288</v>
      </c>
      <c r="S30" s="59" t="s">
        <v>288</v>
      </c>
      <c r="T30" s="59" t="s">
        <v>288</v>
      </c>
      <c r="U30" s="59" t="s">
        <v>288</v>
      </c>
      <c r="V30" s="62" t="s">
        <v>288</v>
      </c>
      <c r="W30" s="59" t="s">
        <v>288</v>
      </c>
      <c r="X30" s="59" t="s">
        <v>288</v>
      </c>
      <c r="Y30" s="54" t="s">
        <v>171</v>
      </c>
      <c r="Z30" s="54" t="s">
        <v>210</v>
      </c>
    </row>
    <row r="31" spans="1:26">
      <c r="A31" s="64">
        <v>30</v>
      </c>
      <c r="B31" s="64" t="s">
        <v>101</v>
      </c>
      <c r="C31" s="65" t="str">
        <f>IF($O31="ON","@",9006)</f>
        <v>@</v>
      </c>
      <c r="D31" s="66" t="s">
        <v>87</v>
      </c>
      <c r="E31" s="66" t="s">
        <v>87</v>
      </c>
      <c r="F31" s="66" t="s">
        <v>87</v>
      </c>
      <c r="G31" s="66" t="s">
        <v>87</v>
      </c>
      <c r="H31" s="66" t="s">
        <v>87</v>
      </c>
      <c r="I31" s="66" t="s">
        <v>87</v>
      </c>
      <c r="J31" s="66" t="s">
        <v>87</v>
      </c>
      <c r="K31" s="66" t="s">
        <v>87</v>
      </c>
      <c r="L31" s="66" t="s">
        <v>87</v>
      </c>
      <c r="N31" s="60" t="s">
        <v>306</v>
      </c>
      <c r="O31" s="61" t="s">
        <v>270</v>
      </c>
      <c r="P31" s="59" t="s">
        <v>288</v>
      </c>
      <c r="Q31" s="59" t="s">
        <v>288</v>
      </c>
      <c r="R31" s="59" t="s">
        <v>288</v>
      </c>
      <c r="S31" s="59" t="s">
        <v>288</v>
      </c>
      <c r="T31" s="59" t="s">
        <v>288</v>
      </c>
      <c r="U31" s="59" t="s">
        <v>288</v>
      </c>
      <c r="V31" s="62" t="s">
        <v>288</v>
      </c>
      <c r="W31" s="59" t="s">
        <v>288</v>
      </c>
      <c r="X31" s="59" t="s">
        <v>288</v>
      </c>
      <c r="Y31" s="1" t="s">
        <v>172</v>
      </c>
      <c r="Z31" s="1" t="s">
        <v>212</v>
      </c>
    </row>
    <row r="32" spans="1:26">
      <c r="A32" s="64">
        <v>31</v>
      </c>
      <c r="B32" s="64" t="s">
        <v>102</v>
      </c>
      <c r="C32" s="65" t="str">
        <f>IF($O32="ON","@",9008)</f>
        <v>@</v>
      </c>
      <c r="D32" s="66" t="s">
        <v>87</v>
      </c>
      <c r="E32" s="66" t="s">
        <v>87</v>
      </c>
      <c r="F32" s="66" t="s">
        <v>87</v>
      </c>
      <c r="G32" s="66" t="s">
        <v>87</v>
      </c>
      <c r="H32" s="66" t="s">
        <v>87</v>
      </c>
      <c r="I32" s="66" t="s">
        <v>87</v>
      </c>
      <c r="J32" s="66" t="s">
        <v>87</v>
      </c>
      <c r="K32" s="66" t="s">
        <v>87</v>
      </c>
      <c r="L32" s="66" t="s">
        <v>87</v>
      </c>
      <c r="N32" s="60" t="s">
        <v>307</v>
      </c>
      <c r="O32" s="61" t="s">
        <v>270</v>
      </c>
      <c r="P32" s="59" t="s">
        <v>288</v>
      </c>
      <c r="Q32" s="59" t="s">
        <v>288</v>
      </c>
      <c r="R32" s="59" t="s">
        <v>288</v>
      </c>
      <c r="S32" s="59" t="s">
        <v>288</v>
      </c>
      <c r="T32" s="59" t="s">
        <v>288</v>
      </c>
      <c r="U32" s="59" t="s">
        <v>288</v>
      </c>
      <c r="V32" s="62" t="s">
        <v>288</v>
      </c>
      <c r="W32" s="59" t="s">
        <v>288</v>
      </c>
      <c r="X32" s="59" t="s">
        <v>288</v>
      </c>
      <c r="Y32" s="1" t="s">
        <v>173</v>
      </c>
      <c r="Z32" s="1" t="s">
        <v>212</v>
      </c>
    </row>
    <row r="33" spans="1:26">
      <c r="A33" s="64">
        <v>32</v>
      </c>
      <c r="B33" s="64" t="s">
        <v>103</v>
      </c>
      <c r="C33" s="65" t="str">
        <f>IF($O33="ON","@",9009)</f>
        <v>@</v>
      </c>
      <c r="D33" s="66" t="s">
        <v>87</v>
      </c>
      <c r="E33" s="66" t="s">
        <v>87</v>
      </c>
      <c r="F33" s="66" t="s">
        <v>87</v>
      </c>
      <c r="G33" s="66" t="s">
        <v>87</v>
      </c>
      <c r="H33" s="66" t="s">
        <v>87</v>
      </c>
      <c r="I33" s="66" t="s">
        <v>87</v>
      </c>
      <c r="J33" s="66" t="s">
        <v>87</v>
      </c>
      <c r="K33" s="66" t="s">
        <v>87</v>
      </c>
      <c r="L33" s="66" t="s">
        <v>87</v>
      </c>
      <c r="N33" s="60" t="s">
        <v>308</v>
      </c>
      <c r="O33" s="61" t="s">
        <v>270</v>
      </c>
      <c r="P33" s="59" t="s">
        <v>288</v>
      </c>
      <c r="Q33" s="59" t="s">
        <v>288</v>
      </c>
      <c r="R33" s="59" t="s">
        <v>288</v>
      </c>
      <c r="S33" s="59" t="s">
        <v>288</v>
      </c>
      <c r="T33" s="59" t="s">
        <v>288</v>
      </c>
      <c r="U33" s="59" t="s">
        <v>288</v>
      </c>
      <c r="V33" s="62" t="s">
        <v>288</v>
      </c>
      <c r="W33" s="59" t="s">
        <v>288</v>
      </c>
      <c r="X33" s="59" t="s">
        <v>288</v>
      </c>
      <c r="Y33" s="1" t="s">
        <v>112</v>
      </c>
      <c r="Z33" s="1" t="s">
        <v>212</v>
      </c>
    </row>
    <row r="34" spans="1:26">
      <c r="A34" s="64">
        <v>33</v>
      </c>
      <c r="B34" s="64" t="s">
        <v>104</v>
      </c>
      <c r="C34" s="65" t="str">
        <f>IF($O34="ON","@",9001)</f>
        <v>@</v>
      </c>
      <c r="D34" s="66" t="s">
        <v>87</v>
      </c>
      <c r="E34" s="66" t="s">
        <v>87</v>
      </c>
      <c r="F34" s="66" t="s">
        <v>87</v>
      </c>
      <c r="G34" s="66" t="s">
        <v>87</v>
      </c>
      <c r="H34" s="66" t="s">
        <v>87</v>
      </c>
      <c r="I34" s="66" t="s">
        <v>87</v>
      </c>
      <c r="J34" s="66" t="s">
        <v>87</v>
      </c>
      <c r="K34" s="66" t="s">
        <v>87</v>
      </c>
      <c r="L34" s="66" t="s">
        <v>87</v>
      </c>
      <c r="N34" s="60" t="s">
        <v>309</v>
      </c>
      <c r="O34" s="61" t="s">
        <v>270</v>
      </c>
      <c r="P34" s="59" t="s">
        <v>288</v>
      </c>
      <c r="Q34" s="59" t="s">
        <v>288</v>
      </c>
      <c r="R34" s="59" t="s">
        <v>288</v>
      </c>
      <c r="S34" s="59" t="s">
        <v>288</v>
      </c>
      <c r="T34" s="59" t="s">
        <v>288</v>
      </c>
      <c r="U34" s="59" t="s">
        <v>288</v>
      </c>
      <c r="V34" s="62" t="s">
        <v>288</v>
      </c>
      <c r="W34" s="59" t="s">
        <v>288</v>
      </c>
      <c r="X34" s="59" t="s">
        <v>288</v>
      </c>
      <c r="Y34" s="1" t="s">
        <v>174</v>
      </c>
      <c r="Z34" s="1" t="s">
        <v>212</v>
      </c>
    </row>
    <row r="35" spans="1:26">
      <c r="A35" s="64">
        <v>34</v>
      </c>
      <c r="B35" s="64" t="s">
        <v>105</v>
      </c>
      <c r="C35" s="65" t="str">
        <f>IF($O35="ON","@",9002)</f>
        <v>@</v>
      </c>
      <c r="D35" s="66" t="s">
        <v>87</v>
      </c>
      <c r="E35" s="66" t="s">
        <v>87</v>
      </c>
      <c r="F35" s="66" t="s">
        <v>87</v>
      </c>
      <c r="G35" s="66" t="s">
        <v>87</v>
      </c>
      <c r="H35" s="66" t="s">
        <v>87</v>
      </c>
      <c r="I35" s="66" t="s">
        <v>87</v>
      </c>
      <c r="J35" s="66" t="s">
        <v>87</v>
      </c>
      <c r="K35" s="66" t="s">
        <v>87</v>
      </c>
      <c r="L35" s="66" t="s">
        <v>87</v>
      </c>
      <c r="N35" s="60" t="s">
        <v>310</v>
      </c>
      <c r="O35" s="61" t="s">
        <v>270</v>
      </c>
      <c r="P35" s="59" t="s">
        <v>288</v>
      </c>
      <c r="Q35" s="59" t="s">
        <v>288</v>
      </c>
      <c r="R35" s="59" t="s">
        <v>288</v>
      </c>
      <c r="S35" s="59" t="s">
        <v>288</v>
      </c>
      <c r="T35" s="59" t="s">
        <v>288</v>
      </c>
      <c r="U35" s="59" t="s">
        <v>288</v>
      </c>
      <c r="V35" s="62" t="s">
        <v>288</v>
      </c>
      <c r="W35" s="59" t="s">
        <v>288</v>
      </c>
      <c r="X35" s="59" t="s">
        <v>288</v>
      </c>
      <c r="Y35" s="1" t="s">
        <v>175</v>
      </c>
      <c r="Z35" s="1" t="s">
        <v>212</v>
      </c>
    </row>
    <row r="36" spans="1:26">
      <c r="A36" s="64">
        <v>35</v>
      </c>
      <c r="B36" s="64" t="s">
        <v>106</v>
      </c>
      <c r="C36" s="65" t="str">
        <f>IF($O36="ON","@",8003)</f>
        <v>@</v>
      </c>
      <c r="D36" s="66" t="s">
        <v>87</v>
      </c>
      <c r="E36" s="66" t="s">
        <v>87</v>
      </c>
      <c r="F36" s="66" t="s">
        <v>87</v>
      </c>
      <c r="G36" s="66" t="s">
        <v>87</v>
      </c>
      <c r="H36" s="66" t="s">
        <v>87</v>
      </c>
      <c r="I36" s="66" t="s">
        <v>87</v>
      </c>
      <c r="J36" s="66" t="s">
        <v>87</v>
      </c>
      <c r="K36" s="66" t="s">
        <v>87</v>
      </c>
      <c r="L36" s="66" t="s">
        <v>87</v>
      </c>
      <c r="N36" s="60" t="s">
        <v>311</v>
      </c>
      <c r="O36" s="61" t="s">
        <v>270</v>
      </c>
      <c r="P36" s="59" t="s">
        <v>288</v>
      </c>
      <c r="Q36" s="59" t="s">
        <v>288</v>
      </c>
      <c r="R36" s="59" t="s">
        <v>288</v>
      </c>
      <c r="S36" s="59" t="s">
        <v>288</v>
      </c>
      <c r="T36" s="59" t="s">
        <v>288</v>
      </c>
      <c r="U36" s="59" t="s">
        <v>288</v>
      </c>
      <c r="V36" s="62" t="s">
        <v>288</v>
      </c>
      <c r="W36" s="59" t="s">
        <v>288</v>
      </c>
      <c r="X36" s="59" t="s">
        <v>288</v>
      </c>
      <c r="Y36" s="1" t="s">
        <v>176</v>
      </c>
      <c r="Z36" s="1" t="s">
        <v>212</v>
      </c>
    </row>
    <row r="37" spans="1:26">
      <c r="A37" s="64">
        <v>36</v>
      </c>
      <c r="B37" s="64" t="s">
        <v>107</v>
      </c>
      <c r="C37" s="65" t="str">
        <f>IF($O37="ON","@",9010)</f>
        <v>@</v>
      </c>
      <c r="D37" s="66" t="s">
        <v>87</v>
      </c>
      <c r="E37" s="66" t="s">
        <v>87</v>
      </c>
      <c r="F37" s="66" t="s">
        <v>87</v>
      </c>
      <c r="G37" s="66" t="s">
        <v>87</v>
      </c>
      <c r="H37" s="66" t="s">
        <v>87</v>
      </c>
      <c r="I37" s="66" t="s">
        <v>87</v>
      </c>
      <c r="J37" s="66" t="s">
        <v>87</v>
      </c>
      <c r="K37" s="66" t="s">
        <v>87</v>
      </c>
      <c r="L37" s="66" t="s">
        <v>87</v>
      </c>
      <c r="N37" s="60" t="s">
        <v>312</v>
      </c>
      <c r="O37" s="61" t="s">
        <v>270</v>
      </c>
      <c r="P37" s="59" t="s">
        <v>288</v>
      </c>
      <c r="Q37" s="59" t="s">
        <v>288</v>
      </c>
      <c r="R37" s="59" t="s">
        <v>288</v>
      </c>
      <c r="S37" s="59" t="s">
        <v>288</v>
      </c>
      <c r="T37" s="59" t="s">
        <v>288</v>
      </c>
      <c r="U37" s="59" t="s">
        <v>288</v>
      </c>
      <c r="V37" s="62" t="s">
        <v>288</v>
      </c>
      <c r="W37" s="59" t="s">
        <v>288</v>
      </c>
      <c r="X37" s="59" t="s">
        <v>288</v>
      </c>
      <c r="Y37" s="1" t="s">
        <v>177</v>
      </c>
      <c r="Z37" s="1" t="s">
        <v>212</v>
      </c>
    </row>
    <row r="38" spans="1:26">
      <c r="A38" s="64">
        <v>37</v>
      </c>
      <c r="B38" s="64" t="s">
        <v>108</v>
      </c>
      <c r="C38" s="65" t="str">
        <f>IF($O38="ON","@","@")</f>
        <v>@</v>
      </c>
      <c r="D38" s="66" t="s">
        <v>87</v>
      </c>
      <c r="E38" s="66" t="s">
        <v>87</v>
      </c>
      <c r="F38" s="66" t="s">
        <v>87</v>
      </c>
      <c r="G38" s="66" t="s">
        <v>87</v>
      </c>
      <c r="H38" s="66" t="s">
        <v>87</v>
      </c>
      <c r="I38" s="66" t="s">
        <v>87</v>
      </c>
      <c r="J38" s="66" t="s">
        <v>87</v>
      </c>
      <c r="K38" s="66" t="s">
        <v>87</v>
      </c>
      <c r="L38" s="66" t="s">
        <v>87</v>
      </c>
      <c r="N38" s="60" t="s">
        <v>313</v>
      </c>
      <c r="O38" s="61" t="s">
        <v>270</v>
      </c>
      <c r="P38" s="59" t="s">
        <v>288</v>
      </c>
      <c r="Q38" s="59" t="s">
        <v>288</v>
      </c>
      <c r="R38" s="59" t="s">
        <v>288</v>
      </c>
      <c r="S38" s="59" t="s">
        <v>288</v>
      </c>
      <c r="T38" s="59" t="s">
        <v>288</v>
      </c>
      <c r="U38" s="59" t="s">
        <v>288</v>
      </c>
      <c r="V38" s="62" t="s">
        <v>288</v>
      </c>
      <c r="W38" s="59" t="s">
        <v>288</v>
      </c>
      <c r="X38" s="59" t="s">
        <v>288</v>
      </c>
      <c r="Y38" s="1" t="s">
        <v>178</v>
      </c>
      <c r="Z38" s="1" t="s">
        <v>212</v>
      </c>
    </row>
    <row r="39" spans="1:26">
      <c r="A39" s="64">
        <v>38</v>
      </c>
      <c r="B39" s="64" t="s">
        <v>109</v>
      </c>
      <c r="C39" s="65" t="str">
        <f>IF($O39="ON","@","@")</f>
        <v>@</v>
      </c>
      <c r="D39" s="66" t="s">
        <v>87</v>
      </c>
      <c r="E39" s="66" t="s">
        <v>87</v>
      </c>
      <c r="F39" s="66" t="s">
        <v>87</v>
      </c>
      <c r="G39" s="66" t="s">
        <v>87</v>
      </c>
      <c r="H39" s="66" t="s">
        <v>87</v>
      </c>
      <c r="I39" s="66" t="s">
        <v>87</v>
      </c>
      <c r="J39" s="66" t="s">
        <v>87</v>
      </c>
      <c r="K39" s="66" t="s">
        <v>87</v>
      </c>
      <c r="L39" s="66" t="s">
        <v>87</v>
      </c>
      <c r="N39" s="60" t="s">
        <v>314</v>
      </c>
      <c r="O39" s="61" t="s">
        <v>270</v>
      </c>
      <c r="P39" s="59" t="s">
        <v>288</v>
      </c>
      <c r="Q39" s="59" t="s">
        <v>288</v>
      </c>
      <c r="R39" s="59" t="s">
        <v>288</v>
      </c>
      <c r="S39" s="59" t="s">
        <v>288</v>
      </c>
      <c r="T39" s="59" t="s">
        <v>288</v>
      </c>
      <c r="U39" s="59" t="s">
        <v>288</v>
      </c>
      <c r="V39" s="62" t="s">
        <v>288</v>
      </c>
      <c r="W39" s="59" t="s">
        <v>288</v>
      </c>
      <c r="X39" s="59" t="s">
        <v>288</v>
      </c>
      <c r="Y39" s="1" t="s">
        <v>178</v>
      </c>
      <c r="Z39" s="1" t="s">
        <v>212</v>
      </c>
    </row>
    <row r="40" spans="1:26">
      <c r="A40" s="64">
        <v>39</v>
      </c>
      <c r="B40" s="64" t="s">
        <v>110</v>
      </c>
      <c r="C40" s="65" t="str">
        <f>IF($O40="ON","@","@")</f>
        <v>@</v>
      </c>
      <c r="D40" s="66" t="s">
        <v>87</v>
      </c>
      <c r="E40" s="66" t="s">
        <v>87</v>
      </c>
      <c r="F40" s="66" t="s">
        <v>87</v>
      </c>
      <c r="G40" s="66" t="s">
        <v>87</v>
      </c>
      <c r="H40" s="66" t="s">
        <v>87</v>
      </c>
      <c r="I40" s="66" t="s">
        <v>87</v>
      </c>
      <c r="J40" s="66" t="s">
        <v>87</v>
      </c>
      <c r="K40" s="66" t="s">
        <v>87</v>
      </c>
      <c r="L40" s="66" t="s">
        <v>87</v>
      </c>
      <c r="N40" s="60" t="s">
        <v>315</v>
      </c>
      <c r="O40" s="61" t="s">
        <v>270</v>
      </c>
      <c r="P40" s="59" t="s">
        <v>288</v>
      </c>
      <c r="Q40" s="59" t="s">
        <v>288</v>
      </c>
      <c r="R40" s="59" t="s">
        <v>288</v>
      </c>
      <c r="S40" s="59" t="s">
        <v>288</v>
      </c>
      <c r="T40" s="59" t="s">
        <v>288</v>
      </c>
      <c r="U40" s="59" t="s">
        <v>288</v>
      </c>
      <c r="V40" s="62" t="s">
        <v>288</v>
      </c>
      <c r="W40" s="59" t="s">
        <v>288</v>
      </c>
      <c r="X40" s="59" t="s">
        <v>288</v>
      </c>
      <c r="Y40" s="1" t="s">
        <v>178</v>
      </c>
      <c r="Z40" s="1" t="s">
        <v>212</v>
      </c>
    </row>
    <row r="41" spans="1:26">
      <c r="A41" s="64">
        <v>40</v>
      </c>
      <c r="B41" s="64" t="s">
        <v>217</v>
      </c>
      <c r="C41" s="65" t="str">
        <f>IF($O41="ON","@",9011)</f>
        <v>@</v>
      </c>
      <c r="D41" s="66" t="s">
        <v>87</v>
      </c>
      <c r="E41" s="66" t="s">
        <v>87</v>
      </c>
      <c r="F41" s="66" t="s">
        <v>87</v>
      </c>
      <c r="G41" s="66" t="s">
        <v>87</v>
      </c>
      <c r="H41" s="66" t="s">
        <v>87</v>
      </c>
      <c r="I41" s="66" t="s">
        <v>87</v>
      </c>
      <c r="J41" s="66" t="s">
        <v>87</v>
      </c>
      <c r="K41" s="66" t="s">
        <v>87</v>
      </c>
      <c r="L41" s="66" t="s">
        <v>87</v>
      </c>
      <c r="N41" s="60" t="s">
        <v>316</v>
      </c>
      <c r="O41" s="61" t="s">
        <v>270</v>
      </c>
      <c r="P41" s="59" t="s">
        <v>288</v>
      </c>
      <c r="Q41" s="59" t="s">
        <v>288</v>
      </c>
      <c r="R41" s="59" t="s">
        <v>288</v>
      </c>
      <c r="S41" s="59" t="s">
        <v>288</v>
      </c>
      <c r="T41" s="59" t="s">
        <v>288</v>
      </c>
      <c r="U41" s="59" t="s">
        <v>288</v>
      </c>
      <c r="V41" s="62" t="s">
        <v>288</v>
      </c>
      <c r="W41" s="59" t="s">
        <v>288</v>
      </c>
      <c r="X41" s="59" t="s">
        <v>288</v>
      </c>
      <c r="Y41" s="1" t="s">
        <v>179</v>
      </c>
      <c r="Z41" s="1" t="s">
        <v>212</v>
      </c>
    </row>
    <row r="42" spans="1:26">
      <c r="A42" s="64">
        <v>41</v>
      </c>
      <c r="B42" s="64" t="s">
        <v>218</v>
      </c>
      <c r="C42" s="65">
        <f>IF($O42="on",1,"@")</f>
        <v>1</v>
      </c>
      <c r="D42" s="66" t="s">
        <v>87</v>
      </c>
      <c r="E42" s="66" t="s">
        <v>87</v>
      </c>
      <c r="F42" s="66" t="s">
        <v>87</v>
      </c>
      <c r="G42" s="66" t="s">
        <v>87</v>
      </c>
      <c r="H42" s="66" t="s">
        <v>87</v>
      </c>
      <c r="I42" s="66" t="s">
        <v>87</v>
      </c>
      <c r="J42" s="66" t="s">
        <v>87</v>
      </c>
      <c r="K42" s="66" t="s">
        <v>87</v>
      </c>
      <c r="L42" s="66" t="s">
        <v>87</v>
      </c>
      <c r="N42" s="60" t="s">
        <v>317</v>
      </c>
      <c r="O42" s="61" t="s">
        <v>270</v>
      </c>
      <c r="P42" s="59" t="s">
        <v>288</v>
      </c>
      <c r="Q42" s="59" t="s">
        <v>288</v>
      </c>
      <c r="R42" s="59" t="s">
        <v>288</v>
      </c>
      <c r="S42" s="59" t="s">
        <v>288</v>
      </c>
      <c r="T42" s="59" t="s">
        <v>288</v>
      </c>
      <c r="U42" s="59" t="s">
        <v>288</v>
      </c>
      <c r="V42" s="62" t="s">
        <v>288</v>
      </c>
      <c r="W42" s="59" t="s">
        <v>288</v>
      </c>
      <c r="X42" s="59" t="s">
        <v>288</v>
      </c>
      <c r="Y42" s="1" t="s">
        <v>0</v>
      </c>
      <c r="Z42" s="1" t="s">
        <v>210</v>
      </c>
    </row>
    <row r="43" spans="1:26">
      <c r="A43" s="64">
        <v>42</v>
      </c>
      <c r="B43" s="64" t="s">
        <v>220</v>
      </c>
      <c r="C43" s="65" t="str">
        <f>IF($O43="ON","@",3701201)</f>
        <v>@</v>
      </c>
      <c r="D43" s="65" t="str">
        <f>IF($P43="ON","@",3701204)</f>
        <v>@</v>
      </c>
      <c r="E43" s="65" t="str">
        <f>IF($Q43="ON","@",3701207)</f>
        <v>@</v>
      </c>
      <c r="F43" s="65" t="str">
        <f>IF($R43="ON","@",3701210)</f>
        <v>@</v>
      </c>
      <c r="G43" s="65" t="str">
        <f>IF($S43="ON","@",3701213)</f>
        <v>@</v>
      </c>
      <c r="H43" s="65" t="str">
        <f>IF($T43="ON","@",3701216)</f>
        <v>@</v>
      </c>
      <c r="I43" s="66" t="str">
        <f>IF($U43="ON","@","@")</f>
        <v>@</v>
      </c>
      <c r="J43" s="66" t="str">
        <f>IF($V43="ON","@","@")</f>
        <v>@</v>
      </c>
      <c r="K43" s="66" t="str">
        <f>IF($W43="ON","@","@")</f>
        <v>@</v>
      </c>
      <c r="L43" s="66" t="str">
        <f>IF($X43="ON","@","@")</f>
        <v>@</v>
      </c>
      <c r="N43" s="60" t="s">
        <v>318</v>
      </c>
      <c r="O43" s="61" t="s">
        <v>277</v>
      </c>
      <c r="P43" s="61" t="s">
        <v>277</v>
      </c>
      <c r="Q43" s="61" t="s">
        <v>277</v>
      </c>
      <c r="R43" s="61" t="s">
        <v>277</v>
      </c>
      <c r="S43" s="61" t="s">
        <v>270</v>
      </c>
      <c r="T43" s="61" t="s">
        <v>270</v>
      </c>
      <c r="U43" s="59" t="s">
        <v>288</v>
      </c>
      <c r="V43" s="62" t="s">
        <v>288</v>
      </c>
      <c r="W43" s="59" t="s">
        <v>288</v>
      </c>
      <c r="X43" s="59" t="s">
        <v>288</v>
      </c>
      <c r="Y43" s="1" t="s">
        <v>267</v>
      </c>
      <c r="Z43" s="1" t="s">
        <v>212</v>
      </c>
    </row>
    <row r="44" spans="1:26">
      <c r="A44" s="64">
        <v>43</v>
      </c>
      <c r="B44" s="64" t="s">
        <v>221</v>
      </c>
      <c r="C44" s="65" t="str">
        <f>IF($O44="ON","@",3701219)</f>
        <v>@</v>
      </c>
      <c r="D44" s="66" t="s">
        <v>87</v>
      </c>
      <c r="E44" s="66" t="s">
        <v>87</v>
      </c>
      <c r="F44" s="66" t="s">
        <v>87</v>
      </c>
      <c r="G44" s="66" t="s">
        <v>87</v>
      </c>
      <c r="H44" s="66" t="s">
        <v>87</v>
      </c>
      <c r="I44" s="66" t="s">
        <v>87</v>
      </c>
      <c r="J44" s="66" t="s">
        <v>87</v>
      </c>
      <c r="K44" s="66" t="s">
        <v>87</v>
      </c>
      <c r="L44" s="66" t="s">
        <v>87</v>
      </c>
      <c r="N44" s="60" t="s">
        <v>320</v>
      </c>
      <c r="O44" s="61" t="s">
        <v>277</v>
      </c>
      <c r="P44" s="59" t="s">
        <v>288</v>
      </c>
      <c r="Q44" s="59" t="s">
        <v>288</v>
      </c>
      <c r="R44" s="59" t="s">
        <v>288</v>
      </c>
      <c r="S44" s="59" t="s">
        <v>288</v>
      </c>
      <c r="T44" s="59" t="s">
        <v>288</v>
      </c>
      <c r="U44" s="59" t="s">
        <v>288</v>
      </c>
      <c r="V44" s="62" t="s">
        <v>288</v>
      </c>
      <c r="W44" s="59" t="s">
        <v>288</v>
      </c>
      <c r="X44" s="59" t="s">
        <v>288</v>
      </c>
      <c r="Y44" s="1" t="s">
        <v>222</v>
      </c>
      <c r="Z44" s="1" t="s">
        <v>212</v>
      </c>
    </row>
  </sheetData>
  <phoneticPr fontId="4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QBitFlag!$B$2:$B$8</xm:f>
          </x14:formula1>
          <xm:sqref>O27</xm:sqref>
        </x14:dataValidation>
        <x14:dataValidation type="list" allowBlank="1" showInputMessage="1" showErrorMessage="1">
          <x14:formula1>
            <xm:f>QBitFlag!$A$2:$A$3</xm:f>
          </x14:formula1>
          <xm:sqref>O2:O14 P7:T7 P8:U8 O16:O18 O20:O26 P43:T43 O29:O44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1"/>
  </sheetPr>
  <dimension ref="A1:BA44"/>
  <sheetViews>
    <sheetView workbookViewId="0"/>
  </sheetViews>
  <sheetFormatPr baseColWidth="10" defaultColWidth="9" defaultRowHeight="11.25"/>
  <cols>
    <col min="1" max="1" width="3.140625" style="1" customWidth="1"/>
    <col min="2" max="2" width="17.85546875" style="1" bestFit="1" customWidth="1"/>
    <col min="3" max="3" width="9.5703125" style="1" bestFit="1" customWidth="1"/>
    <col min="4" max="9" width="6.42578125" style="1" customWidth="1"/>
    <col min="10" max="12" width="3.85546875" style="1" customWidth="1"/>
    <col min="13" max="13" width="1.5703125" style="54" customWidth="1"/>
    <col min="14" max="14" width="14" style="55" bestFit="1" customWidth="1"/>
    <col min="15" max="15" width="3.5703125" style="55" bestFit="1" customWidth="1"/>
    <col min="16" max="18" width="3.28515625" style="55" bestFit="1" customWidth="1"/>
    <col min="19" max="19" width="3.5703125" style="55" bestFit="1" customWidth="1"/>
    <col min="20" max="21" width="3.28515625" style="55" bestFit="1" customWidth="1"/>
    <col min="22" max="22" width="2.7109375" style="58" bestFit="1" customWidth="1"/>
    <col min="23" max="23" width="2.28515625" style="55" bestFit="1" customWidth="1"/>
    <col min="24" max="24" width="3" style="55" bestFit="1" customWidth="1"/>
    <col min="25" max="25" width="55.42578125" style="1" bestFit="1" customWidth="1"/>
    <col min="26" max="26" width="9.42578125" style="1" bestFit="1" customWidth="1"/>
    <col min="27" max="27" width="1.5703125" style="1" customWidth="1"/>
    <col min="28" max="33" width="15.85546875" style="1" bestFit="1" customWidth="1"/>
    <col min="34" max="34" width="4.42578125" style="1" bestFit="1" customWidth="1"/>
    <col min="35" max="40" width="11.28515625" style="1" bestFit="1" customWidth="1"/>
    <col min="41" max="41" width="7.140625" style="1" bestFit="1" customWidth="1"/>
    <col min="42" max="42" width="11.28515625" style="1" customWidth="1"/>
    <col min="43" max="43" width="9" style="1" bestFit="1" customWidth="1"/>
    <col min="44" max="44" width="9.42578125" style="1" bestFit="1" customWidth="1"/>
    <col min="45" max="45" width="7.42578125" style="1" bestFit="1" customWidth="1"/>
    <col min="46" max="46" width="10.28515625" style="1" bestFit="1" customWidth="1"/>
    <col min="47" max="47" width="12.42578125" style="1" bestFit="1" customWidth="1"/>
    <col min="48" max="48" width="16.28515625" style="1" bestFit="1" customWidth="1"/>
    <col min="49" max="49" width="17.42578125" style="1" bestFit="1" customWidth="1"/>
    <col min="50" max="52" width="12.42578125" style="1" customWidth="1"/>
    <col min="53" max="53" width="15" style="1" bestFit="1" customWidth="1"/>
    <col min="54" max="57" width="12.42578125" style="1" customWidth="1"/>
    <col min="58" max="58" width="15.140625" style="1" bestFit="1" customWidth="1"/>
    <col min="59" max="59" width="9.42578125" style="1" bestFit="1" customWidth="1"/>
    <col min="60" max="61" width="11.85546875" style="1" bestFit="1" customWidth="1"/>
    <col min="62" max="16384" width="9" style="1"/>
  </cols>
  <sheetData>
    <row r="1" spans="1:53" s="52" customFormat="1">
      <c r="A1" s="63" t="s">
        <v>195</v>
      </c>
      <c r="B1" s="63" t="s">
        <v>196</v>
      </c>
      <c r="C1" s="63" t="s">
        <v>197</v>
      </c>
      <c r="D1" s="63" t="s">
        <v>198</v>
      </c>
      <c r="E1" s="63" t="s">
        <v>199</v>
      </c>
      <c r="F1" s="63" t="s">
        <v>200</v>
      </c>
      <c r="G1" s="63" t="s">
        <v>201</v>
      </c>
      <c r="H1" s="63" t="s">
        <v>202</v>
      </c>
      <c r="I1" s="63" t="s">
        <v>203</v>
      </c>
      <c r="J1" s="63" t="s">
        <v>204</v>
      </c>
      <c r="K1" s="63" t="s">
        <v>205</v>
      </c>
      <c r="L1" s="63" t="s">
        <v>206</v>
      </c>
      <c r="M1" s="56"/>
      <c r="N1" s="69" t="s">
        <v>271</v>
      </c>
      <c r="O1" s="70">
        <v>1</v>
      </c>
      <c r="P1" s="70">
        <v>2</v>
      </c>
      <c r="Q1" s="70">
        <v>3</v>
      </c>
      <c r="R1" s="70">
        <v>4</v>
      </c>
      <c r="S1" s="70">
        <v>5</v>
      </c>
      <c r="T1" s="70">
        <v>6</v>
      </c>
      <c r="U1" s="70">
        <v>7</v>
      </c>
      <c r="V1" s="70">
        <v>8</v>
      </c>
      <c r="W1" s="69">
        <v>9</v>
      </c>
      <c r="X1" s="69">
        <v>10</v>
      </c>
      <c r="Y1" s="56" t="s">
        <v>169</v>
      </c>
      <c r="Z1" s="51" t="s">
        <v>77</v>
      </c>
      <c r="AH1" s="52" t="s">
        <v>207</v>
      </c>
      <c r="AO1" s="52" t="s">
        <v>208</v>
      </c>
      <c r="BA1" s="52" t="s">
        <v>209</v>
      </c>
    </row>
    <row r="2" spans="1:53">
      <c r="A2" s="64">
        <v>1</v>
      </c>
      <c r="B2" s="64" t="s">
        <v>3</v>
      </c>
      <c r="C2" s="65">
        <f>IF($O2="on",1,"@")</f>
        <v>1</v>
      </c>
      <c r="D2" s="66" t="s">
        <v>87</v>
      </c>
      <c r="E2" s="66" t="s">
        <v>87</v>
      </c>
      <c r="F2" s="66" t="s">
        <v>87</v>
      </c>
      <c r="G2" s="66" t="s">
        <v>87</v>
      </c>
      <c r="H2" s="66" t="s">
        <v>87</v>
      </c>
      <c r="I2" s="66" t="s">
        <v>87</v>
      </c>
      <c r="J2" s="66" t="s">
        <v>87</v>
      </c>
      <c r="K2" s="66" t="s">
        <v>87</v>
      </c>
      <c r="L2" s="66" t="s">
        <v>87</v>
      </c>
      <c r="N2" s="60" t="s">
        <v>272</v>
      </c>
      <c r="O2" s="61" t="s">
        <v>277</v>
      </c>
      <c r="P2" s="59" t="s">
        <v>288</v>
      </c>
      <c r="Q2" s="59" t="s">
        <v>288</v>
      </c>
      <c r="R2" s="59" t="s">
        <v>288</v>
      </c>
      <c r="S2" s="59" t="s">
        <v>288</v>
      </c>
      <c r="T2" s="59" t="s">
        <v>288</v>
      </c>
      <c r="U2" s="59" t="s">
        <v>288</v>
      </c>
      <c r="V2" s="62" t="s">
        <v>288</v>
      </c>
      <c r="W2" s="59" t="s">
        <v>288</v>
      </c>
      <c r="X2" s="59" t="s">
        <v>288</v>
      </c>
      <c r="Y2" s="1" t="s">
        <v>0</v>
      </c>
      <c r="Z2" s="1" t="s">
        <v>210</v>
      </c>
    </row>
    <row r="3" spans="1:53">
      <c r="A3" s="64">
        <v>2</v>
      </c>
      <c r="B3" s="64" t="s">
        <v>78</v>
      </c>
      <c r="C3" s="65">
        <f t="shared" ref="C3:C6" si="0">IF($O3="on",1,"@")</f>
        <v>1</v>
      </c>
      <c r="D3" s="66" t="s">
        <v>87</v>
      </c>
      <c r="E3" s="66" t="s">
        <v>87</v>
      </c>
      <c r="F3" s="66" t="s">
        <v>87</v>
      </c>
      <c r="G3" s="66" t="s">
        <v>87</v>
      </c>
      <c r="H3" s="66" t="s">
        <v>87</v>
      </c>
      <c r="I3" s="66" t="s">
        <v>87</v>
      </c>
      <c r="J3" s="66" t="s">
        <v>87</v>
      </c>
      <c r="K3" s="66" t="s">
        <v>87</v>
      </c>
      <c r="L3" s="66" t="s">
        <v>87</v>
      </c>
      <c r="N3" s="60" t="s">
        <v>273</v>
      </c>
      <c r="O3" s="61" t="s">
        <v>277</v>
      </c>
      <c r="P3" s="59" t="s">
        <v>288</v>
      </c>
      <c r="Q3" s="59" t="s">
        <v>288</v>
      </c>
      <c r="R3" s="59" t="s">
        <v>288</v>
      </c>
      <c r="S3" s="59" t="s">
        <v>288</v>
      </c>
      <c r="T3" s="59" t="s">
        <v>288</v>
      </c>
      <c r="U3" s="59" t="s">
        <v>288</v>
      </c>
      <c r="V3" s="62" t="s">
        <v>288</v>
      </c>
      <c r="W3" s="59" t="s">
        <v>288</v>
      </c>
      <c r="X3" s="59" t="s">
        <v>288</v>
      </c>
      <c r="Y3" s="1" t="s">
        <v>0</v>
      </c>
      <c r="Z3" s="1" t="s">
        <v>210</v>
      </c>
    </row>
    <row r="4" spans="1:53">
      <c r="A4" s="64">
        <v>3</v>
      </c>
      <c r="B4" s="64" t="s">
        <v>79</v>
      </c>
      <c r="C4" s="65">
        <f t="shared" si="0"/>
        <v>1</v>
      </c>
      <c r="D4" s="66" t="s">
        <v>87</v>
      </c>
      <c r="E4" s="66" t="s">
        <v>87</v>
      </c>
      <c r="F4" s="66" t="s">
        <v>87</v>
      </c>
      <c r="G4" s="66" t="s">
        <v>87</v>
      </c>
      <c r="H4" s="66" t="s">
        <v>87</v>
      </c>
      <c r="I4" s="66" t="s">
        <v>87</v>
      </c>
      <c r="J4" s="66" t="s">
        <v>87</v>
      </c>
      <c r="K4" s="66" t="s">
        <v>87</v>
      </c>
      <c r="L4" s="66" t="s">
        <v>87</v>
      </c>
      <c r="N4" s="60" t="s">
        <v>274</v>
      </c>
      <c r="O4" s="61" t="s">
        <v>277</v>
      </c>
      <c r="P4" s="59" t="s">
        <v>288</v>
      </c>
      <c r="Q4" s="59" t="s">
        <v>288</v>
      </c>
      <c r="R4" s="59" t="s">
        <v>288</v>
      </c>
      <c r="S4" s="59" t="s">
        <v>288</v>
      </c>
      <c r="T4" s="59" t="s">
        <v>288</v>
      </c>
      <c r="U4" s="59" t="s">
        <v>288</v>
      </c>
      <c r="V4" s="62" t="s">
        <v>288</v>
      </c>
      <c r="W4" s="59" t="s">
        <v>288</v>
      </c>
      <c r="X4" s="59" t="s">
        <v>288</v>
      </c>
      <c r="Y4" s="1" t="s">
        <v>0</v>
      </c>
      <c r="Z4" s="1" t="s">
        <v>210</v>
      </c>
    </row>
    <row r="5" spans="1:53">
      <c r="A5" s="64">
        <v>4</v>
      </c>
      <c r="B5" s="64" t="s">
        <v>80</v>
      </c>
      <c r="C5" s="65">
        <f t="shared" si="0"/>
        <v>1</v>
      </c>
      <c r="D5" s="66" t="s">
        <v>87</v>
      </c>
      <c r="E5" s="66" t="s">
        <v>87</v>
      </c>
      <c r="F5" s="66" t="s">
        <v>87</v>
      </c>
      <c r="G5" s="66" t="s">
        <v>87</v>
      </c>
      <c r="H5" s="66" t="s">
        <v>87</v>
      </c>
      <c r="I5" s="66" t="s">
        <v>87</v>
      </c>
      <c r="J5" s="66" t="s">
        <v>87</v>
      </c>
      <c r="K5" s="66" t="s">
        <v>87</v>
      </c>
      <c r="L5" s="66" t="s">
        <v>87</v>
      </c>
      <c r="N5" s="60" t="s">
        <v>275</v>
      </c>
      <c r="O5" s="61" t="s">
        <v>277</v>
      </c>
      <c r="P5" s="59" t="s">
        <v>288</v>
      </c>
      <c r="Q5" s="59" t="s">
        <v>288</v>
      </c>
      <c r="R5" s="59" t="s">
        <v>288</v>
      </c>
      <c r="S5" s="59" t="s">
        <v>288</v>
      </c>
      <c r="T5" s="59" t="s">
        <v>288</v>
      </c>
      <c r="U5" s="59" t="s">
        <v>288</v>
      </c>
      <c r="V5" s="62" t="s">
        <v>288</v>
      </c>
      <c r="W5" s="59" t="s">
        <v>288</v>
      </c>
      <c r="X5" s="59" t="s">
        <v>288</v>
      </c>
      <c r="Y5" s="1" t="s">
        <v>0</v>
      </c>
      <c r="Z5" s="1" t="s">
        <v>210</v>
      </c>
    </row>
    <row r="6" spans="1:53">
      <c r="A6" s="64">
        <v>5</v>
      </c>
      <c r="B6" s="64" t="s">
        <v>81</v>
      </c>
      <c r="C6" s="65" t="str">
        <f t="shared" si="0"/>
        <v>@</v>
      </c>
      <c r="D6" s="66" t="s">
        <v>87</v>
      </c>
      <c r="E6" s="66" t="s">
        <v>87</v>
      </c>
      <c r="F6" s="66" t="s">
        <v>87</v>
      </c>
      <c r="G6" s="66" t="s">
        <v>87</v>
      </c>
      <c r="H6" s="66" t="s">
        <v>87</v>
      </c>
      <c r="I6" s="66" t="s">
        <v>87</v>
      </c>
      <c r="J6" s="66" t="s">
        <v>87</v>
      </c>
      <c r="K6" s="66" t="s">
        <v>87</v>
      </c>
      <c r="L6" s="66" t="s">
        <v>87</v>
      </c>
      <c r="N6" s="60" t="s">
        <v>276</v>
      </c>
      <c r="O6" s="61" t="s">
        <v>287</v>
      </c>
      <c r="P6" s="59" t="s">
        <v>288</v>
      </c>
      <c r="Q6" s="59" t="s">
        <v>288</v>
      </c>
      <c r="R6" s="59" t="s">
        <v>288</v>
      </c>
      <c r="S6" s="59" t="s">
        <v>288</v>
      </c>
      <c r="T6" s="59" t="s">
        <v>288</v>
      </c>
      <c r="U6" s="59" t="s">
        <v>288</v>
      </c>
      <c r="V6" s="62" t="s">
        <v>288</v>
      </c>
      <c r="W6" s="59" t="s">
        <v>288</v>
      </c>
      <c r="X6" s="59" t="s">
        <v>288</v>
      </c>
      <c r="Y6" s="1" t="s">
        <v>0</v>
      </c>
      <c r="Z6" s="1" t="s">
        <v>210</v>
      </c>
    </row>
    <row r="7" spans="1:53">
      <c r="A7" s="64">
        <v>6</v>
      </c>
      <c r="B7" s="64" t="s">
        <v>211</v>
      </c>
      <c r="C7" s="65" t="str">
        <f>IF($O7="ON","@",412)</f>
        <v>@</v>
      </c>
      <c r="D7" s="65" t="str">
        <f>IF($P7="ON","@",844)</f>
        <v>@</v>
      </c>
      <c r="E7" s="65" t="str">
        <f>IF($Q7="ON","@",1038)</f>
        <v>@</v>
      </c>
      <c r="F7" s="65" t="str">
        <f>IF($R7="ON","@",1455)</f>
        <v>@</v>
      </c>
      <c r="G7" s="65">
        <f>IF($S7="ON","@",1456)</f>
        <v>1456</v>
      </c>
      <c r="H7" s="65">
        <f>IF($T7="ON","@",4544)</f>
        <v>4544</v>
      </c>
      <c r="I7" s="66" t="str">
        <f>IF($U7="ON","@","@")</f>
        <v>@</v>
      </c>
      <c r="J7" s="66" t="str">
        <f>IF($V7="ON","@","@")</f>
        <v>@</v>
      </c>
      <c r="K7" s="66" t="str">
        <f>IF($W7="ON","@","@")</f>
        <v>@</v>
      </c>
      <c r="L7" s="66" t="str">
        <f>IF($X7="ON","@","@")</f>
        <v>@</v>
      </c>
      <c r="N7" s="60" t="s">
        <v>319</v>
      </c>
      <c r="O7" s="61" t="s">
        <v>277</v>
      </c>
      <c r="P7" s="61" t="s">
        <v>277</v>
      </c>
      <c r="Q7" s="61" t="s">
        <v>277</v>
      </c>
      <c r="R7" s="61" t="s">
        <v>277</v>
      </c>
      <c r="S7" s="61" t="s">
        <v>287</v>
      </c>
      <c r="T7" s="61" t="s">
        <v>287</v>
      </c>
      <c r="U7" s="59" t="s">
        <v>288</v>
      </c>
      <c r="V7" s="62" t="s">
        <v>288</v>
      </c>
      <c r="W7" s="59" t="s">
        <v>288</v>
      </c>
      <c r="X7" s="59" t="s">
        <v>288</v>
      </c>
      <c r="Y7" s="1" t="s">
        <v>268</v>
      </c>
      <c r="Z7" s="1" t="s">
        <v>212</v>
      </c>
    </row>
    <row r="8" spans="1:53">
      <c r="A8" s="64">
        <v>7</v>
      </c>
      <c r="B8" s="64" t="s">
        <v>213</v>
      </c>
      <c r="C8" s="65" t="str">
        <f>IF($O8="on","@",2413102)</f>
        <v>@</v>
      </c>
      <c r="D8" s="65" t="str">
        <f>IF($P8="on","@",2413104)</f>
        <v>@</v>
      </c>
      <c r="E8" s="65" t="str">
        <f>IF($Q8="on","@",2413106)</f>
        <v>@</v>
      </c>
      <c r="F8" s="65" t="str">
        <f>IF($R8="on","@",2413105)</f>
        <v>@</v>
      </c>
      <c r="G8" s="65" t="str">
        <f>IF($S8="on","@",2413111)</f>
        <v>@</v>
      </c>
      <c r="H8" s="65" t="str">
        <f>IF($T8="on","@",2413112)</f>
        <v>@</v>
      </c>
      <c r="I8" s="65">
        <f>IF($U8="on","@",2413113)</f>
        <v>2413113</v>
      </c>
      <c r="J8" s="66" t="str">
        <f>IF($V8="on","@","@")</f>
        <v>@</v>
      </c>
      <c r="K8" s="66" t="str">
        <f>IF($W8="on","@","@")</f>
        <v>@</v>
      </c>
      <c r="L8" s="66" t="str">
        <f>IF($X8="on","@","@")</f>
        <v>@</v>
      </c>
      <c r="N8" s="60" t="s">
        <v>280</v>
      </c>
      <c r="O8" s="61" t="s">
        <v>277</v>
      </c>
      <c r="P8" s="61" t="s">
        <v>277</v>
      </c>
      <c r="Q8" s="61" t="s">
        <v>277</v>
      </c>
      <c r="R8" s="61" t="s">
        <v>277</v>
      </c>
      <c r="S8" s="61" t="s">
        <v>277</v>
      </c>
      <c r="T8" s="61" t="s">
        <v>277</v>
      </c>
      <c r="U8" s="61" t="s">
        <v>287</v>
      </c>
      <c r="V8" s="62" t="s">
        <v>288</v>
      </c>
      <c r="W8" s="59" t="s">
        <v>288</v>
      </c>
      <c r="X8" s="59" t="s">
        <v>288</v>
      </c>
      <c r="Y8" s="1" t="s">
        <v>223</v>
      </c>
      <c r="Z8" s="1" t="s">
        <v>212</v>
      </c>
    </row>
    <row r="9" spans="1:53">
      <c r="A9" s="64">
        <v>8</v>
      </c>
      <c r="B9" s="64" t="s">
        <v>82</v>
      </c>
      <c r="C9" s="65">
        <f t="shared" ref="C9:C14" si="1">IF($O9="on",1,"@")</f>
        <v>1</v>
      </c>
      <c r="D9" s="66" t="s">
        <v>87</v>
      </c>
      <c r="E9" s="66" t="s">
        <v>87</v>
      </c>
      <c r="F9" s="66" t="s">
        <v>87</v>
      </c>
      <c r="G9" s="66" t="s">
        <v>87</v>
      </c>
      <c r="H9" s="66" t="s">
        <v>87</v>
      </c>
      <c r="I9" s="66" t="s">
        <v>87</v>
      </c>
      <c r="J9" s="66" t="s">
        <v>87</v>
      </c>
      <c r="K9" s="66" t="s">
        <v>87</v>
      </c>
      <c r="L9" s="66" t="s">
        <v>87</v>
      </c>
      <c r="N9" s="60" t="s">
        <v>281</v>
      </c>
      <c r="O9" s="61" t="s">
        <v>277</v>
      </c>
      <c r="P9" s="59" t="s">
        <v>288</v>
      </c>
      <c r="Q9" s="59" t="s">
        <v>288</v>
      </c>
      <c r="R9" s="59" t="s">
        <v>288</v>
      </c>
      <c r="S9" s="59" t="s">
        <v>288</v>
      </c>
      <c r="T9" s="59" t="s">
        <v>288</v>
      </c>
      <c r="U9" s="59" t="s">
        <v>288</v>
      </c>
      <c r="V9" s="62" t="s">
        <v>288</v>
      </c>
      <c r="W9" s="59" t="s">
        <v>288</v>
      </c>
      <c r="X9" s="59" t="s">
        <v>288</v>
      </c>
      <c r="Y9" s="1" t="s">
        <v>0</v>
      </c>
      <c r="Z9" s="1" t="s">
        <v>210</v>
      </c>
    </row>
    <row r="10" spans="1:53">
      <c r="A10" s="64">
        <v>9</v>
      </c>
      <c r="B10" s="64" t="s">
        <v>8</v>
      </c>
      <c r="C10" s="65">
        <f t="shared" si="1"/>
        <v>1</v>
      </c>
      <c r="D10" s="66" t="s">
        <v>87</v>
      </c>
      <c r="E10" s="66" t="s">
        <v>87</v>
      </c>
      <c r="F10" s="66" t="s">
        <v>87</v>
      </c>
      <c r="G10" s="66" t="s">
        <v>87</v>
      </c>
      <c r="H10" s="66" t="s">
        <v>87</v>
      </c>
      <c r="I10" s="66" t="s">
        <v>87</v>
      </c>
      <c r="J10" s="66" t="s">
        <v>87</v>
      </c>
      <c r="K10" s="66" t="s">
        <v>87</v>
      </c>
      <c r="L10" s="66" t="s">
        <v>87</v>
      </c>
      <c r="N10" s="60" t="s">
        <v>282</v>
      </c>
      <c r="O10" s="61" t="s">
        <v>277</v>
      </c>
      <c r="P10" s="59" t="s">
        <v>288</v>
      </c>
      <c r="Q10" s="59" t="s">
        <v>288</v>
      </c>
      <c r="R10" s="59" t="s">
        <v>288</v>
      </c>
      <c r="S10" s="59" t="s">
        <v>288</v>
      </c>
      <c r="T10" s="59" t="s">
        <v>288</v>
      </c>
      <c r="U10" s="59" t="s">
        <v>288</v>
      </c>
      <c r="V10" s="62" t="s">
        <v>288</v>
      </c>
      <c r="W10" s="59" t="s">
        <v>288</v>
      </c>
      <c r="X10" s="59" t="s">
        <v>288</v>
      </c>
      <c r="Y10" s="1" t="s">
        <v>0</v>
      </c>
      <c r="Z10" s="1" t="s">
        <v>210</v>
      </c>
    </row>
    <row r="11" spans="1:53">
      <c r="A11" s="64">
        <v>10</v>
      </c>
      <c r="B11" s="64" t="s">
        <v>12</v>
      </c>
      <c r="C11" s="65">
        <f t="shared" si="1"/>
        <v>1</v>
      </c>
      <c r="D11" s="66" t="s">
        <v>87</v>
      </c>
      <c r="E11" s="66" t="s">
        <v>87</v>
      </c>
      <c r="F11" s="66" t="s">
        <v>87</v>
      </c>
      <c r="G11" s="66" t="s">
        <v>87</v>
      </c>
      <c r="H11" s="66" t="s">
        <v>87</v>
      </c>
      <c r="I11" s="66" t="s">
        <v>87</v>
      </c>
      <c r="J11" s="66" t="s">
        <v>87</v>
      </c>
      <c r="K11" s="66" t="s">
        <v>87</v>
      </c>
      <c r="L11" s="66" t="s">
        <v>87</v>
      </c>
      <c r="N11" s="60" t="s">
        <v>283</v>
      </c>
      <c r="O11" s="61" t="s">
        <v>277</v>
      </c>
      <c r="P11" s="59" t="s">
        <v>288</v>
      </c>
      <c r="Q11" s="59" t="s">
        <v>288</v>
      </c>
      <c r="R11" s="59" t="s">
        <v>288</v>
      </c>
      <c r="S11" s="59" t="s">
        <v>288</v>
      </c>
      <c r="T11" s="59" t="s">
        <v>288</v>
      </c>
      <c r="U11" s="59" t="s">
        <v>288</v>
      </c>
      <c r="V11" s="62" t="s">
        <v>288</v>
      </c>
      <c r="W11" s="59" t="s">
        <v>288</v>
      </c>
      <c r="X11" s="59" t="s">
        <v>288</v>
      </c>
      <c r="Y11" s="1" t="s">
        <v>0</v>
      </c>
      <c r="Z11" s="1" t="s">
        <v>210</v>
      </c>
    </row>
    <row r="12" spans="1:53">
      <c r="A12" s="64">
        <v>11</v>
      </c>
      <c r="B12" s="64" t="s">
        <v>15</v>
      </c>
      <c r="C12" s="65">
        <f t="shared" si="1"/>
        <v>1</v>
      </c>
      <c r="D12" s="66" t="s">
        <v>87</v>
      </c>
      <c r="E12" s="66" t="s">
        <v>87</v>
      </c>
      <c r="F12" s="66" t="s">
        <v>87</v>
      </c>
      <c r="G12" s="66" t="s">
        <v>87</v>
      </c>
      <c r="H12" s="66" t="s">
        <v>87</v>
      </c>
      <c r="I12" s="66" t="s">
        <v>87</v>
      </c>
      <c r="J12" s="66" t="s">
        <v>87</v>
      </c>
      <c r="K12" s="66" t="s">
        <v>87</v>
      </c>
      <c r="L12" s="66" t="s">
        <v>87</v>
      </c>
      <c r="N12" s="60" t="s">
        <v>284</v>
      </c>
      <c r="O12" s="61" t="s">
        <v>277</v>
      </c>
      <c r="P12" s="59" t="s">
        <v>288</v>
      </c>
      <c r="Q12" s="59" t="s">
        <v>288</v>
      </c>
      <c r="R12" s="59" t="s">
        <v>288</v>
      </c>
      <c r="S12" s="59" t="s">
        <v>288</v>
      </c>
      <c r="T12" s="59" t="s">
        <v>288</v>
      </c>
      <c r="U12" s="59" t="s">
        <v>288</v>
      </c>
      <c r="V12" s="62" t="s">
        <v>288</v>
      </c>
      <c r="W12" s="59" t="s">
        <v>288</v>
      </c>
      <c r="X12" s="59" t="s">
        <v>288</v>
      </c>
      <c r="Y12" s="1" t="s">
        <v>0</v>
      </c>
      <c r="Z12" s="1" t="s">
        <v>210</v>
      </c>
    </row>
    <row r="13" spans="1:53">
      <c r="A13" s="64">
        <v>12</v>
      </c>
      <c r="B13" s="64" t="s">
        <v>20</v>
      </c>
      <c r="C13" s="65">
        <f t="shared" si="1"/>
        <v>1</v>
      </c>
      <c r="D13" s="66" t="s">
        <v>87</v>
      </c>
      <c r="E13" s="66" t="s">
        <v>87</v>
      </c>
      <c r="F13" s="66" t="s">
        <v>87</v>
      </c>
      <c r="G13" s="66" t="s">
        <v>87</v>
      </c>
      <c r="H13" s="66" t="s">
        <v>87</v>
      </c>
      <c r="I13" s="66" t="s">
        <v>87</v>
      </c>
      <c r="J13" s="66" t="s">
        <v>87</v>
      </c>
      <c r="K13" s="66" t="s">
        <v>87</v>
      </c>
      <c r="L13" s="66" t="s">
        <v>87</v>
      </c>
      <c r="N13" s="60" t="s">
        <v>285</v>
      </c>
      <c r="O13" s="61" t="s">
        <v>277</v>
      </c>
      <c r="P13" s="59" t="s">
        <v>288</v>
      </c>
      <c r="Q13" s="59" t="s">
        <v>288</v>
      </c>
      <c r="R13" s="59" t="s">
        <v>288</v>
      </c>
      <c r="S13" s="59" t="s">
        <v>288</v>
      </c>
      <c r="T13" s="59" t="s">
        <v>288</v>
      </c>
      <c r="U13" s="59" t="s">
        <v>288</v>
      </c>
      <c r="V13" s="62" t="s">
        <v>288</v>
      </c>
      <c r="W13" s="59" t="s">
        <v>288</v>
      </c>
      <c r="X13" s="59" t="s">
        <v>288</v>
      </c>
      <c r="Y13" s="1" t="s">
        <v>0</v>
      </c>
      <c r="Z13" s="1" t="s">
        <v>210</v>
      </c>
    </row>
    <row r="14" spans="1:53">
      <c r="A14" s="64">
        <v>13</v>
      </c>
      <c r="B14" s="64" t="s">
        <v>88</v>
      </c>
      <c r="C14" s="65">
        <f t="shared" si="1"/>
        <v>1</v>
      </c>
      <c r="D14" s="66" t="s">
        <v>87</v>
      </c>
      <c r="E14" s="66" t="s">
        <v>87</v>
      </c>
      <c r="F14" s="66" t="s">
        <v>87</v>
      </c>
      <c r="G14" s="66" t="s">
        <v>87</v>
      </c>
      <c r="H14" s="66" t="s">
        <v>87</v>
      </c>
      <c r="I14" s="66" t="s">
        <v>87</v>
      </c>
      <c r="J14" s="66" t="s">
        <v>87</v>
      </c>
      <c r="K14" s="66" t="s">
        <v>87</v>
      </c>
      <c r="L14" s="66" t="s">
        <v>87</v>
      </c>
      <c r="N14" s="60" t="s">
        <v>286</v>
      </c>
      <c r="O14" s="61" t="s">
        <v>270</v>
      </c>
      <c r="P14" s="59" t="s">
        <v>288</v>
      </c>
      <c r="Q14" s="59" t="s">
        <v>288</v>
      </c>
      <c r="R14" s="59" t="s">
        <v>288</v>
      </c>
      <c r="S14" s="59" t="s">
        <v>288</v>
      </c>
      <c r="T14" s="59" t="s">
        <v>288</v>
      </c>
      <c r="U14" s="59" t="s">
        <v>288</v>
      </c>
      <c r="V14" s="62" t="s">
        <v>288</v>
      </c>
      <c r="W14" s="59" t="s">
        <v>288</v>
      </c>
      <c r="X14" s="59" t="s">
        <v>288</v>
      </c>
      <c r="Y14" s="1" t="s">
        <v>0</v>
      </c>
      <c r="Z14" s="1" t="s">
        <v>210</v>
      </c>
    </row>
    <row r="15" spans="1:53" s="54" customFormat="1">
      <c r="A15" s="67">
        <v>14</v>
      </c>
      <c r="B15" s="67" t="s">
        <v>1</v>
      </c>
      <c r="C15" s="66">
        <v>2</v>
      </c>
      <c r="D15" s="66" t="s">
        <v>87</v>
      </c>
      <c r="E15" s="66" t="s">
        <v>87</v>
      </c>
      <c r="F15" s="66" t="s">
        <v>87</v>
      </c>
      <c r="G15" s="66" t="s">
        <v>87</v>
      </c>
      <c r="H15" s="66" t="s">
        <v>87</v>
      </c>
      <c r="I15" s="66" t="s">
        <v>87</v>
      </c>
      <c r="J15" s="66" t="s">
        <v>87</v>
      </c>
      <c r="K15" s="66" t="s">
        <v>87</v>
      </c>
      <c r="L15" s="66" t="s">
        <v>87</v>
      </c>
      <c r="N15" s="59" t="s">
        <v>288</v>
      </c>
      <c r="O15" s="59" t="s">
        <v>288</v>
      </c>
      <c r="P15" s="59" t="s">
        <v>288</v>
      </c>
      <c r="Q15" s="59" t="s">
        <v>288</v>
      </c>
      <c r="R15" s="59" t="s">
        <v>288</v>
      </c>
      <c r="S15" s="59" t="s">
        <v>288</v>
      </c>
      <c r="T15" s="59" t="s">
        <v>288</v>
      </c>
      <c r="U15" s="59" t="s">
        <v>288</v>
      </c>
      <c r="V15" s="62" t="s">
        <v>288</v>
      </c>
      <c r="W15" s="59" t="s">
        <v>288</v>
      </c>
      <c r="X15" s="59" t="s">
        <v>288</v>
      </c>
      <c r="Y15" s="54" t="s">
        <v>89</v>
      </c>
      <c r="Z15" s="54" t="s">
        <v>214</v>
      </c>
    </row>
    <row r="16" spans="1:53">
      <c r="A16" s="64">
        <v>15</v>
      </c>
      <c r="B16" s="64" t="s">
        <v>2</v>
      </c>
      <c r="C16" s="65" t="str">
        <f>IF($O16="ON","@",3)</f>
        <v>@</v>
      </c>
      <c r="D16" s="66" t="s">
        <v>87</v>
      </c>
      <c r="E16" s="66" t="s">
        <v>87</v>
      </c>
      <c r="F16" s="66" t="s">
        <v>87</v>
      </c>
      <c r="G16" s="66" t="s">
        <v>87</v>
      </c>
      <c r="H16" s="66" t="s">
        <v>87</v>
      </c>
      <c r="I16" s="66" t="s">
        <v>87</v>
      </c>
      <c r="J16" s="66" t="s">
        <v>87</v>
      </c>
      <c r="K16" s="66" t="s">
        <v>87</v>
      </c>
      <c r="L16" s="66" t="s">
        <v>87</v>
      </c>
      <c r="N16" s="60" t="s">
        <v>290</v>
      </c>
      <c r="O16" s="61" t="s">
        <v>270</v>
      </c>
      <c r="P16" s="59" t="s">
        <v>288</v>
      </c>
      <c r="Q16" s="59" t="s">
        <v>288</v>
      </c>
      <c r="R16" s="59" t="s">
        <v>288</v>
      </c>
      <c r="S16" s="59" t="s">
        <v>288</v>
      </c>
      <c r="T16" s="59" t="s">
        <v>288</v>
      </c>
      <c r="U16" s="59" t="s">
        <v>288</v>
      </c>
      <c r="V16" s="62" t="s">
        <v>288</v>
      </c>
      <c r="W16" s="59" t="s">
        <v>288</v>
      </c>
      <c r="X16" s="59" t="s">
        <v>288</v>
      </c>
      <c r="Y16" s="1" t="s">
        <v>90</v>
      </c>
      <c r="Z16" s="1" t="s">
        <v>212</v>
      </c>
    </row>
    <row r="17" spans="1:26">
      <c r="A17" s="64">
        <v>16</v>
      </c>
      <c r="B17" s="64" t="s">
        <v>31</v>
      </c>
      <c r="C17" s="65" t="str">
        <f>IF($O17="ON","@",2971107)</f>
        <v>@</v>
      </c>
      <c r="D17" s="66" t="s">
        <v>87</v>
      </c>
      <c r="E17" s="66" t="s">
        <v>87</v>
      </c>
      <c r="F17" s="66" t="s">
        <v>87</v>
      </c>
      <c r="G17" s="66" t="s">
        <v>87</v>
      </c>
      <c r="H17" s="66" t="s">
        <v>87</v>
      </c>
      <c r="I17" s="66" t="s">
        <v>87</v>
      </c>
      <c r="J17" s="66" t="s">
        <v>87</v>
      </c>
      <c r="K17" s="66" t="s">
        <v>87</v>
      </c>
      <c r="L17" s="66" t="s">
        <v>87</v>
      </c>
      <c r="N17" s="60" t="s">
        <v>292</v>
      </c>
      <c r="O17" s="61" t="s">
        <v>270</v>
      </c>
      <c r="P17" s="59" t="s">
        <v>288</v>
      </c>
      <c r="Q17" s="59" t="s">
        <v>288</v>
      </c>
      <c r="R17" s="59" t="s">
        <v>288</v>
      </c>
      <c r="S17" s="59" t="s">
        <v>288</v>
      </c>
      <c r="T17" s="59" t="s">
        <v>288</v>
      </c>
      <c r="U17" s="59" t="s">
        <v>288</v>
      </c>
      <c r="V17" s="62" t="s">
        <v>288</v>
      </c>
      <c r="W17" s="59" t="s">
        <v>288</v>
      </c>
      <c r="X17" s="59" t="s">
        <v>288</v>
      </c>
      <c r="Y17" s="1" t="s">
        <v>91</v>
      </c>
      <c r="Z17" s="1" t="s">
        <v>212</v>
      </c>
    </row>
    <row r="18" spans="1:26">
      <c r="A18" s="64">
        <v>17</v>
      </c>
      <c r="B18" s="64" t="s">
        <v>24</v>
      </c>
      <c r="C18" s="65" t="str">
        <f>IF($O18="ON","@",561)</f>
        <v>@</v>
      </c>
      <c r="D18" s="66" t="s">
        <v>87</v>
      </c>
      <c r="E18" s="66" t="s">
        <v>87</v>
      </c>
      <c r="F18" s="66" t="s">
        <v>87</v>
      </c>
      <c r="G18" s="66" t="s">
        <v>87</v>
      </c>
      <c r="H18" s="66" t="s">
        <v>87</v>
      </c>
      <c r="I18" s="66" t="s">
        <v>87</v>
      </c>
      <c r="J18" s="66" t="s">
        <v>87</v>
      </c>
      <c r="K18" s="66" t="s">
        <v>87</v>
      </c>
      <c r="L18" s="66" t="s">
        <v>87</v>
      </c>
      <c r="N18" s="60" t="s">
        <v>291</v>
      </c>
      <c r="O18" s="61" t="s">
        <v>270</v>
      </c>
      <c r="P18" s="59" t="s">
        <v>288</v>
      </c>
      <c r="Q18" s="59" t="s">
        <v>288</v>
      </c>
      <c r="R18" s="59" t="s">
        <v>288</v>
      </c>
      <c r="S18" s="59" t="s">
        <v>288</v>
      </c>
      <c r="T18" s="59" t="s">
        <v>288</v>
      </c>
      <c r="U18" s="59" t="s">
        <v>288</v>
      </c>
      <c r="V18" s="62" t="s">
        <v>288</v>
      </c>
      <c r="W18" s="59" t="s">
        <v>288</v>
      </c>
      <c r="X18" s="59" t="s">
        <v>288</v>
      </c>
      <c r="Y18" s="1" t="s">
        <v>92</v>
      </c>
      <c r="Z18" s="1" t="s">
        <v>212</v>
      </c>
    </row>
    <row r="19" spans="1:26" s="54" customFormat="1">
      <c r="A19" s="67">
        <v>18</v>
      </c>
      <c r="B19" s="67" t="s">
        <v>25</v>
      </c>
      <c r="C19" s="66">
        <v>6</v>
      </c>
      <c r="D19" s="66" t="s">
        <v>87</v>
      </c>
      <c r="E19" s="66" t="s">
        <v>87</v>
      </c>
      <c r="F19" s="66" t="s">
        <v>87</v>
      </c>
      <c r="G19" s="66" t="s">
        <v>87</v>
      </c>
      <c r="H19" s="66" t="s">
        <v>87</v>
      </c>
      <c r="I19" s="66" t="s">
        <v>87</v>
      </c>
      <c r="J19" s="66" t="s">
        <v>87</v>
      </c>
      <c r="K19" s="66" t="s">
        <v>87</v>
      </c>
      <c r="L19" s="66" t="s">
        <v>87</v>
      </c>
      <c r="N19" s="59" t="s">
        <v>288</v>
      </c>
      <c r="O19" s="59" t="s">
        <v>288</v>
      </c>
      <c r="P19" s="59" t="s">
        <v>288</v>
      </c>
      <c r="Q19" s="59" t="s">
        <v>288</v>
      </c>
      <c r="R19" s="59" t="s">
        <v>288</v>
      </c>
      <c r="S19" s="59" t="s">
        <v>288</v>
      </c>
      <c r="T19" s="59" t="s">
        <v>288</v>
      </c>
      <c r="U19" s="59" t="s">
        <v>288</v>
      </c>
      <c r="V19" s="62" t="s">
        <v>288</v>
      </c>
      <c r="W19" s="59" t="s">
        <v>288</v>
      </c>
      <c r="X19" s="59" t="s">
        <v>288</v>
      </c>
      <c r="Y19" s="54" t="s">
        <v>89</v>
      </c>
      <c r="Z19" s="54" t="s">
        <v>212</v>
      </c>
    </row>
    <row r="20" spans="1:26">
      <c r="A20" s="64">
        <v>19</v>
      </c>
      <c r="B20" s="64" t="s">
        <v>26</v>
      </c>
      <c r="C20" s="65">
        <f>IF($O20="ON","@",57)</f>
        <v>57</v>
      </c>
      <c r="D20" s="66" t="s">
        <v>87</v>
      </c>
      <c r="E20" s="66" t="s">
        <v>87</v>
      </c>
      <c r="F20" s="66" t="s">
        <v>87</v>
      </c>
      <c r="G20" s="66" t="s">
        <v>87</v>
      </c>
      <c r="H20" s="66" t="s">
        <v>87</v>
      </c>
      <c r="I20" s="66" t="s">
        <v>87</v>
      </c>
      <c r="J20" s="66" t="s">
        <v>87</v>
      </c>
      <c r="K20" s="66" t="s">
        <v>87</v>
      </c>
      <c r="L20" s="66" t="s">
        <v>87</v>
      </c>
      <c r="N20" s="60" t="s">
        <v>294</v>
      </c>
      <c r="O20" s="61" t="s">
        <v>287</v>
      </c>
      <c r="P20" s="59" t="s">
        <v>288</v>
      </c>
      <c r="Q20" s="59" t="s">
        <v>288</v>
      </c>
      <c r="R20" s="59" t="s">
        <v>288</v>
      </c>
      <c r="S20" s="59" t="s">
        <v>288</v>
      </c>
      <c r="T20" s="59" t="s">
        <v>288</v>
      </c>
      <c r="U20" s="59" t="s">
        <v>288</v>
      </c>
      <c r="V20" s="62" t="s">
        <v>288</v>
      </c>
      <c r="W20" s="59" t="s">
        <v>288</v>
      </c>
      <c r="X20" s="59" t="s">
        <v>288</v>
      </c>
      <c r="Y20" s="1" t="s">
        <v>194</v>
      </c>
      <c r="Z20" s="1" t="s">
        <v>212</v>
      </c>
    </row>
    <row r="21" spans="1:26">
      <c r="A21" s="64">
        <v>20</v>
      </c>
      <c r="B21" s="64" t="s">
        <v>27</v>
      </c>
      <c r="C21" s="65" t="str">
        <f>IF($O21="ON","@",565)</f>
        <v>@</v>
      </c>
      <c r="D21" s="66" t="s">
        <v>87</v>
      </c>
      <c r="E21" s="66" t="s">
        <v>87</v>
      </c>
      <c r="F21" s="66" t="s">
        <v>87</v>
      </c>
      <c r="G21" s="66" t="s">
        <v>87</v>
      </c>
      <c r="H21" s="66" t="s">
        <v>87</v>
      </c>
      <c r="I21" s="66" t="s">
        <v>87</v>
      </c>
      <c r="J21" s="66" t="s">
        <v>87</v>
      </c>
      <c r="K21" s="66" t="s">
        <v>87</v>
      </c>
      <c r="L21" s="66" t="s">
        <v>87</v>
      </c>
      <c r="N21" s="60" t="s">
        <v>295</v>
      </c>
      <c r="O21" s="61" t="s">
        <v>270</v>
      </c>
      <c r="P21" s="59" t="s">
        <v>288</v>
      </c>
      <c r="Q21" s="59" t="s">
        <v>288</v>
      </c>
      <c r="R21" s="59" t="s">
        <v>288</v>
      </c>
      <c r="S21" s="59" t="s">
        <v>288</v>
      </c>
      <c r="T21" s="59" t="s">
        <v>288</v>
      </c>
      <c r="U21" s="59" t="s">
        <v>288</v>
      </c>
      <c r="V21" s="62" t="s">
        <v>288</v>
      </c>
      <c r="W21" s="59" t="s">
        <v>288</v>
      </c>
      <c r="X21" s="59" t="s">
        <v>288</v>
      </c>
      <c r="Y21" s="1" t="s">
        <v>93</v>
      </c>
      <c r="Z21" s="1" t="s">
        <v>212</v>
      </c>
    </row>
    <row r="22" spans="1:26">
      <c r="A22" s="64">
        <v>21</v>
      </c>
      <c r="B22" s="64" t="s">
        <v>28</v>
      </c>
      <c r="C22" s="65" t="str">
        <f>IF($O22="ON","@",1021)</f>
        <v>@</v>
      </c>
      <c r="D22" s="66" t="s">
        <v>87</v>
      </c>
      <c r="E22" s="66" t="s">
        <v>87</v>
      </c>
      <c r="F22" s="66" t="s">
        <v>87</v>
      </c>
      <c r="G22" s="66" t="s">
        <v>87</v>
      </c>
      <c r="H22" s="66" t="s">
        <v>87</v>
      </c>
      <c r="I22" s="66" t="s">
        <v>87</v>
      </c>
      <c r="J22" s="66" t="s">
        <v>87</v>
      </c>
      <c r="K22" s="66" t="s">
        <v>87</v>
      </c>
      <c r="L22" s="66" t="s">
        <v>87</v>
      </c>
      <c r="N22" s="60" t="s">
        <v>296</v>
      </c>
      <c r="O22" s="61" t="s">
        <v>270</v>
      </c>
      <c r="P22" s="59" t="s">
        <v>288</v>
      </c>
      <c r="Q22" s="59" t="s">
        <v>288</v>
      </c>
      <c r="R22" s="59" t="s">
        <v>288</v>
      </c>
      <c r="S22" s="59" t="s">
        <v>288</v>
      </c>
      <c r="T22" s="59" t="s">
        <v>288</v>
      </c>
      <c r="U22" s="59" t="s">
        <v>288</v>
      </c>
      <c r="V22" s="62" t="s">
        <v>288</v>
      </c>
      <c r="W22" s="59" t="s">
        <v>288</v>
      </c>
      <c r="X22" s="59" t="s">
        <v>288</v>
      </c>
      <c r="Y22" s="1" t="s">
        <v>94</v>
      </c>
      <c r="Z22" s="1" t="s">
        <v>212</v>
      </c>
    </row>
    <row r="23" spans="1:26">
      <c r="A23" s="64">
        <v>22</v>
      </c>
      <c r="B23" s="64" t="s">
        <v>29</v>
      </c>
      <c r="C23" s="65" t="str">
        <f>IF($O23="ON","@",5592109)</f>
        <v>@</v>
      </c>
      <c r="D23" s="66" t="s">
        <v>87</v>
      </c>
      <c r="E23" s="66" t="s">
        <v>87</v>
      </c>
      <c r="F23" s="66" t="s">
        <v>87</v>
      </c>
      <c r="G23" s="66" t="s">
        <v>87</v>
      </c>
      <c r="H23" s="66" t="s">
        <v>87</v>
      </c>
      <c r="I23" s="66" t="s">
        <v>87</v>
      </c>
      <c r="J23" s="66" t="s">
        <v>87</v>
      </c>
      <c r="K23" s="66" t="s">
        <v>87</v>
      </c>
      <c r="L23" s="66" t="s">
        <v>87</v>
      </c>
      <c r="N23" s="60" t="s">
        <v>297</v>
      </c>
      <c r="O23" s="61" t="s">
        <v>270</v>
      </c>
      <c r="P23" s="59" t="s">
        <v>288</v>
      </c>
      <c r="Q23" s="59" t="s">
        <v>288</v>
      </c>
      <c r="R23" s="59" t="s">
        <v>288</v>
      </c>
      <c r="S23" s="59" t="s">
        <v>288</v>
      </c>
      <c r="T23" s="59" t="s">
        <v>288</v>
      </c>
      <c r="U23" s="59" t="s">
        <v>288</v>
      </c>
      <c r="V23" s="62" t="s">
        <v>288</v>
      </c>
      <c r="W23" s="59" t="s">
        <v>288</v>
      </c>
      <c r="X23" s="59" t="s">
        <v>288</v>
      </c>
      <c r="Y23" s="1" t="s">
        <v>95</v>
      </c>
      <c r="Z23" s="1" t="s">
        <v>212</v>
      </c>
    </row>
    <row r="24" spans="1:26">
      <c r="A24" s="64">
        <v>23</v>
      </c>
      <c r="B24" s="64" t="s">
        <v>30</v>
      </c>
      <c r="C24" s="65" t="str">
        <f>IF($O24="ON","@",1471)</f>
        <v>@</v>
      </c>
      <c r="D24" s="66" t="s">
        <v>87</v>
      </c>
      <c r="E24" s="66" t="s">
        <v>87</v>
      </c>
      <c r="F24" s="66" t="s">
        <v>87</v>
      </c>
      <c r="G24" s="66" t="s">
        <v>87</v>
      </c>
      <c r="H24" s="66" t="s">
        <v>87</v>
      </c>
      <c r="I24" s="66" t="s">
        <v>87</v>
      </c>
      <c r="J24" s="66" t="s">
        <v>87</v>
      </c>
      <c r="K24" s="66" t="s">
        <v>87</v>
      </c>
      <c r="L24" s="66" t="s">
        <v>87</v>
      </c>
      <c r="N24" s="60" t="s">
        <v>298</v>
      </c>
      <c r="O24" s="61" t="s">
        <v>270</v>
      </c>
      <c r="P24" s="59" t="s">
        <v>288</v>
      </c>
      <c r="Q24" s="59" t="s">
        <v>288</v>
      </c>
      <c r="R24" s="59" t="s">
        <v>288</v>
      </c>
      <c r="S24" s="59" t="s">
        <v>288</v>
      </c>
      <c r="T24" s="59" t="s">
        <v>288</v>
      </c>
      <c r="U24" s="59" t="s">
        <v>288</v>
      </c>
      <c r="V24" s="62" t="s">
        <v>288</v>
      </c>
      <c r="W24" s="59" t="s">
        <v>288</v>
      </c>
      <c r="X24" s="59" t="s">
        <v>288</v>
      </c>
      <c r="Y24" s="1" t="s">
        <v>269</v>
      </c>
      <c r="Z24" s="1" t="s">
        <v>212</v>
      </c>
    </row>
    <row r="25" spans="1:26" s="54" customFormat="1">
      <c r="A25" s="67">
        <v>24</v>
      </c>
      <c r="B25" s="67" t="s">
        <v>97</v>
      </c>
      <c r="C25" s="67" t="s">
        <v>293</v>
      </c>
      <c r="D25" s="66" t="s">
        <v>87</v>
      </c>
      <c r="E25" s="66" t="s">
        <v>87</v>
      </c>
      <c r="F25" s="66" t="s">
        <v>87</v>
      </c>
      <c r="G25" s="66" t="s">
        <v>87</v>
      </c>
      <c r="H25" s="66" t="s">
        <v>87</v>
      </c>
      <c r="I25" s="66" t="s">
        <v>87</v>
      </c>
      <c r="J25" s="66" t="s">
        <v>87</v>
      </c>
      <c r="K25" s="66" t="s">
        <v>87</v>
      </c>
      <c r="L25" s="66" t="s">
        <v>87</v>
      </c>
      <c r="N25" s="59" t="s">
        <v>305</v>
      </c>
      <c r="O25" s="59" t="s">
        <v>287</v>
      </c>
      <c r="P25" s="59" t="s">
        <v>288</v>
      </c>
      <c r="Q25" s="59" t="s">
        <v>288</v>
      </c>
      <c r="R25" s="59" t="s">
        <v>288</v>
      </c>
      <c r="S25" s="59" t="s">
        <v>288</v>
      </c>
      <c r="T25" s="59" t="s">
        <v>288</v>
      </c>
      <c r="U25" s="59" t="s">
        <v>288</v>
      </c>
      <c r="V25" s="62" t="s">
        <v>288</v>
      </c>
      <c r="W25" s="59" t="s">
        <v>288</v>
      </c>
      <c r="X25" s="59" t="s">
        <v>288</v>
      </c>
      <c r="Y25" s="54" t="s">
        <v>0</v>
      </c>
      <c r="Z25" s="54" t="s">
        <v>210</v>
      </c>
    </row>
    <row r="26" spans="1:26">
      <c r="A26" s="64">
        <v>25</v>
      </c>
      <c r="B26" s="64" t="s">
        <v>100</v>
      </c>
      <c r="C26" s="65" t="str">
        <f t="shared" ref="C26" si="2">IF($O26="on",1,"@")</f>
        <v>@</v>
      </c>
      <c r="D26" s="66" t="s">
        <v>87</v>
      </c>
      <c r="E26" s="66" t="s">
        <v>87</v>
      </c>
      <c r="F26" s="66" t="s">
        <v>87</v>
      </c>
      <c r="G26" s="66" t="s">
        <v>87</v>
      </c>
      <c r="H26" s="66" t="s">
        <v>87</v>
      </c>
      <c r="I26" s="66" t="s">
        <v>87</v>
      </c>
      <c r="J26" s="66" t="s">
        <v>87</v>
      </c>
      <c r="K26" s="66" t="s">
        <v>87</v>
      </c>
      <c r="L26" s="66" t="s">
        <v>87</v>
      </c>
      <c r="N26" s="60" t="s">
        <v>300</v>
      </c>
      <c r="O26" s="61" t="s">
        <v>287</v>
      </c>
      <c r="P26" s="59" t="s">
        <v>288</v>
      </c>
      <c r="Q26" s="59" t="s">
        <v>288</v>
      </c>
      <c r="R26" s="59" t="s">
        <v>288</v>
      </c>
      <c r="S26" s="59" t="s">
        <v>288</v>
      </c>
      <c r="T26" s="59" t="s">
        <v>288</v>
      </c>
      <c r="U26" s="59" t="s">
        <v>288</v>
      </c>
      <c r="V26" s="62" t="s">
        <v>288</v>
      </c>
      <c r="W26" s="59" t="s">
        <v>288</v>
      </c>
      <c r="X26" s="59" t="s">
        <v>288</v>
      </c>
      <c r="Y26" s="1" t="s">
        <v>170</v>
      </c>
      <c r="Z26" s="1" t="s">
        <v>210</v>
      </c>
    </row>
    <row r="27" spans="1:26">
      <c r="A27" s="64">
        <v>26</v>
      </c>
      <c r="B27" s="64" t="s">
        <v>215</v>
      </c>
      <c r="C27" s="65">
        <f>IF($O27=50,1,IF($O27=70,2,IF($O27=90,3,IF(O27=100,4,"@"))))</f>
        <v>1</v>
      </c>
      <c r="D27" s="66">
        <v>7951201</v>
      </c>
      <c r="E27" s="66">
        <v>7951202</v>
      </c>
      <c r="F27" s="66">
        <v>7951203</v>
      </c>
      <c r="G27" s="66">
        <v>7951204</v>
      </c>
      <c r="H27" s="66">
        <v>7951205</v>
      </c>
      <c r="I27" s="66">
        <v>7951206</v>
      </c>
      <c r="J27" s="66" t="s">
        <v>87</v>
      </c>
      <c r="K27" s="66" t="s">
        <v>87</v>
      </c>
      <c r="L27" s="66" t="s">
        <v>87</v>
      </c>
      <c r="N27" s="60" t="s">
        <v>301</v>
      </c>
      <c r="O27" s="61">
        <v>50</v>
      </c>
      <c r="P27" s="59" t="s">
        <v>288</v>
      </c>
      <c r="Q27" s="59" t="s">
        <v>288</v>
      </c>
      <c r="R27" s="59" t="s">
        <v>288</v>
      </c>
      <c r="S27" s="59" t="s">
        <v>288</v>
      </c>
      <c r="T27" s="59" t="s">
        <v>288</v>
      </c>
      <c r="U27" s="59" t="s">
        <v>288</v>
      </c>
      <c r="V27" s="62" t="s">
        <v>288</v>
      </c>
      <c r="W27" s="59" t="s">
        <v>288</v>
      </c>
      <c r="X27" s="59" t="s">
        <v>288</v>
      </c>
      <c r="Y27" s="1" t="s">
        <v>229</v>
      </c>
      <c r="Z27" s="1" t="s">
        <v>210</v>
      </c>
    </row>
    <row r="28" spans="1:26">
      <c r="A28" s="64">
        <v>27</v>
      </c>
      <c r="B28" s="64" t="s">
        <v>86</v>
      </c>
      <c r="C28" s="65">
        <f>QBitFlag!M40</f>
        <v>1056768</v>
      </c>
      <c r="D28" s="66" t="s">
        <v>87</v>
      </c>
      <c r="E28" s="66" t="s">
        <v>87</v>
      </c>
      <c r="F28" s="66" t="s">
        <v>87</v>
      </c>
      <c r="G28" s="66" t="s">
        <v>87</v>
      </c>
      <c r="H28" s="66" t="s">
        <v>87</v>
      </c>
      <c r="I28" s="66" t="s">
        <v>87</v>
      </c>
      <c r="J28" s="66" t="s">
        <v>87</v>
      </c>
      <c r="K28" s="66" t="s">
        <v>87</v>
      </c>
      <c r="L28" s="66" t="s">
        <v>87</v>
      </c>
      <c r="N28" s="59" t="s">
        <v>302</v>
      </c>
      <c r="O28" s="59" t="s">
        <v>288</v>
      </c>
      <c r="P28" s="59" t="s">
        <v>288</v>
      </c>
      <c r="Q28" s="59" t="s">
        <v>288</v>
      </c>
      <c r="R28" s="59" t="s">
        <v>288</v>
      </c>
      <c r="S28" s="59" t="s">
        <v>288</v>
      </c>
      <c r="T28" s="59" t="s">
        <v>288</v>
      </c>
      <c r="U28" s="59" t="s">
        <v>288</v>
      </c>
      <c r="V28" s="62" t="s">
        <v>288</v>
      </c>
      <c r="W28" s="59" t="s">
        <v>288</v>
      </c>
      <c r="X28" s="59" t="s">
        <v>288</v>
      </c>
      <c r="Y28" s="1" t="s">
        <v>96</v>
      </c>
      <c r="Z28" s="1" t="s">
        <v>216</v>
      </c>
    </row>
    <row r="29" spans="1:26" s="54" customFormat="1">
      <c r="A29" s="67">
        <v>28</v>
      </c>
      <c r="B29" s="67" t="s">
        <v>98</v>
      </c>
      <c r="C29" s="66">
        <v>1</v>
      </c>
      <c r="D29" s="66" t="s">
        <v>87</v>
      </c>
      <c r="E29" s="66" t="s">
        <v>87</v>
      </c>
      <c r="F29" s="66" t="s">
        <v>87</v>
      </c>
      <c r="G29" s="66" t="s">
        <v>87</v>
      </c>
      <c r="H29" s="66" t="s">
        <v>87</v>
      </c>
      <c r="I29" s="66" t="s">
        <v>87</v>
      </c>
      <c r="J29" s="66" t="s">
        <v>87</v>
      </c>
      <c r="K29" s="66" t="s">
        <v>87</v>
      </c>
      <c r="L29" s="66" t="s">
        <v>87</v>
      </c>
      <c r="N29" s="59" t="s">
        <v>304</v>
      </c>
      <c r="O29" s="59" t="s">
        <v>270</v>
      </c>
      <c r="P29" s="59" t="s">
        <v>288</v>
      </c>
      <c r="Q29" s="59" t="s">
        <v>288</v>
      </c>
      <c r="R29" s="59" t="s">
        <v>288</v>
      </c>
      <c r="S29" s="59" t="s">
        <v>288</v>
      </c>
      <c r="T29" s="59" t="s">
        <v>288</v>
      </c>
      <c r="U29" s="59" t="s">
        <v>288</v>
      </c>
      <c r="V29" s="62" t="s">
        <v>288</v>
      </c>
      <c r="W29" s="59" t="s">
        <v>288</v>
      </c>
      <c r="X29" s="59" t="s">
        <v>288</v>
      </c>
      <c r="Y29" s="54" t="s">
        <v>0</v>
      </c>
      <c r="Z29" s="54" t="s">
        <v>210</v>
      </c>
    </row>
    <row r="30" spans="1:26" s="54" customFormat="1">
      <c r="A30" s="67">
        <v>29</v>
      </c>
      <c r="B30" s="67" t="s">
        <v>99</v>
      </c>
      <c r="C30" s="66">
        <v>1</v>
      </c>
      <c r="D30" s="66" t="s">
        <v>87</v>
      </c>
      <c r="E30" s="66" t="s">
        <v>87</v>
      </c>
      <c r="F30" s="66" t="s">
        <v>87</v>
      </c>
      <c r="G30" s="66" t="s">
        <v>87</v>
      </c>
      <c r="H30" s="66" t="s">
        <v>87</v>
      </c>
      <c r="I30" s="66" t="s">
        <v>87</v>
      </c>
      <c r="J30" s="66" t="s">
        <v>87</v>
      </c>
      <c r="K30" s="66" t="s">
        <v>87</v>
      </c>
      <c r="L30" s="66" t="s">
        <v>87</v>
      </c>
      <c r="N30" s="59" t="s">
        <v>303</v>
      </c>
      <c r="O30" s="59" t="s">
        <v>270</v>
      </c>
      <c r="P30" s="59" t="s">
        <v>288</v>
      </c>
      <c r="Q30" s="59" t="s">
        <v>288</v>
      </c>
      <c r="R30" s="59" t="s">
        <v>288</v>
      </c>
      <c r="S30" s="59" t="s">
        <v>288</v>
      </c>
      <c r="T30" s="59" t="s">
        <v>288</v>
      </c>
      <c r="U30" s="59" t="s">
        <v>288</v>
      </c>
      <c r="V30" s="62" t="s">
        <v>288</v>
      </c>
      <c r="W30" s="59" t="s">
        <v>288</v>
      </c>
      <c r="X30" s="59" t="s">
        <v>288</v>
      </c>
      <c r="Y30" s="54" t="s">
        <v>171</v>
      </c>
      <c r="Z30" s="54" t="s">
        <v>210</v>
      </c>
    </row>
    <row r="31" spans="1:26">
      <c r="A31" s="64">
        <v>30</v>
      </c>
      <c r="B31" s="64" t="s">
        <v>101</v>
      </c>
      <c r="C31" s="65" t="str">
        <f>IF($O31="ON","@",9006)</f>
        <v>@</v>
      </c>
      <c r="D31" s="66" t="s">
        <v>87</v>
      </c>
      <c r="E31" s="66" t="s">
        <v>87</v>
      </c>
      <c r="F31" s="66" t="s">
        <v>87</v>
      </c>
      <c r="G31" s="66" t="s">
        <v>87</v>
      </c>
      <c r="H31" s="66" t="s">
        <v>87</v>
      </c>
      <c r="I31" s="66" t="s">
        <v>87</v>
      </c>
      <c r="J31" s="66" t="s">
        <v>87</v>
      </c>
      <c r="K31" s="66" t="s">
        <v>87</v>
      </c>
      <c r="L31" s="66" t="s">
        <v>87</v>
      </c>
      <c r="N31" s="60" t="s">
        <v>306</v>
      </c>
      <c r="O31" s="61" t="s">
        <v>270</v>
      </c>
      <c r="P31" s="59" t="s">
        <v>288</v>
      </c>
      <c r="Q31" s="59" t="s">
        <v>288</v>
      </c>
      <c r="R31" s="59" t="s">
        <v>288</v>
      </c>
      <c r="S31" s="59" t="s">
        <v>288</v>
      </c>
      <c r="T31" s="59" t="s">
        <v>288</v>
      </c>
      <c r="U31" s="59" t="s">
        <v>288</v>
      </c>
      <c r="V31" s="62" t="s">
        <v>288</v>
      </c>
      <c r="W31" s="59" t="s">
        <v>288</v>
      </c>
      <c r="X31" s="59" t="s">
        <v>288</v>
      </c>
      <c r="Y31" s="1" t="s">
        <v>172</v>
      </c>
      <c r="Z31" s="1" t="s">
        <v>212</v>
      </c>
    </row>
    <row r="32" spans="1:26">
      <c r="A32" s="64">
        <v>31</v>
      </c>
      <c r="B32" s="64" t="s">
        <v>102</v>
      </c>
      <c r="C32" s="65" t="str">
        <f>IF($O32="ON","@",9008)</f>
        <v>@</v>
      </c>
      <c r="D32" s="66" t="s">
        <v>87</v>
      </c>
      <c r="E32" s="66" t="s">
        <v>87</v>
      </c>
      <c r="F32" s="66" t="s">
        <v>87</v>
      </c>
      <c r="G32" s="66" t="s">
        <v>87</v>
      </c>
      <c r="H32" s="66" t="s">
        <v>87</v>
      </c>
      <c r="I32" s="66" t="s">
        <v>87</v>
      </c>
      <c r="J32" s="66" t="s">
        <v>87</v>
      </c>
      <c r="K32" s="66" t="s">
        <v>87</v>
      </c>
      <c r="L32" s="66" t="s">
        <v>87</v>
      </c>
      <c r="N32" s="60" t="s">
        <v>307</v>
      </c>
      <c r="O32" s="61" t="s">
        <v>270</v>
      </c>
      <c r="P32" s="59" t="s">
        <v>288</v>
      </c>
      <c r="Q32" s="59" t="s">
        <v>288</v>
      </c>
      <c r="R32" s="59" t="s">
        <v>288</v>
      </c>
      <c r="S32" s="59" t="s">
        <v>288</v>
      </c>
      <c r="T32" s="59" t="s">
        <v>288</v>
      </c>
      <c r="U32" s="59" t="s">
        <v>288</v>
      </c>
      <c r="V32" s="62" t="s">
        <v>288</v>
      </c>
      <c r="W32" s="59" t="s">
        <v>288</v>
      </c>
      <c r="X32" s="59" t="s">
        <v>288</v>
      </c>
      <c r="Y32" s="1" t="s">
        <v>173</v>
      </c>
      <c r="Z32" s="1" t="s">
        <v>212</v>
      </c>
    </row>
    <row r="33" spans="1:26">
      <c r="A33" s="64">
        <v>32</v>
      </c>
      <c r="B33" s="64" t="s">
        <v>103</v>
      </c>
      <c r="C33" s="65" t="str">
        <f>IF($O33="ON","@",9009)</f>
        <v>@</v>
      </c>
      <c r="D33" s="66" t="s">
        <v>87</v>
      </c>
      <c r="E33" s="66" t="s">
        <v>87</v>
      </c>
      <c r="F33" s="66" t="s">
        <v>87</v>
      </c>
      <c r="G33" s="66" t="s">
        <v>87</v>
      </c>
      <c r="H33" s="66" t="s">
        <v>87</v>
      </c>
      <c r="I33" s="66" t="s">
        <v>87</v>
      </c>
      <c r="J33" s="66" t="s">
        <v>87</v>
      </c>
      <c r="K33" s="66" t="s">
        <v>87</v>
      </c>
      <c r="L33" s="66" t="s">
        <v>87</v>
      </c>
      <c r="N33" s="60" t="s">
        <v>308</v>
      </c>
      <c r="O33" s="61" t="s">
        <v>270</v>
      </c>
      <c r="P33" s="59" t="s">
        <v>288</v>
      </c>
      <c r="Q33" s="59" t="s">
        <v>288</v>
      </c>
      <c r="R33" s="59" t="s">
        <v>288</v>
      </c>
      <c r="S33" s="59" t="s">
        <v>288</v>
      </c>
      <c r="T33" s="59" t="s">
        <v>288</v>
      </c>
      <c r="U33" s="59" t="s">
        <v>288</v>
      </c>
      <c r="V33" s="62" t="s">
        <v>288</v>
      </c>
      <c r="W33" s="59" t="s">
        <v>288</v>
      </c>
      <c r="X33" s="59" t="s">
        <v>288</v>
      </c>
      <c r="Y33" s="1" t="s">
        <v>112</v>
      </c>
      <c r="Z33" s="1" t="s">
        <v>212</v>
      </c>
    </row>
    <row r="34" spans="1:26">
      <c r="A34" s="64">
        <v>33</v>
      </c>
      <c r="B34" s="64" t="s">
        <v>104</v>
      </c>
      <c r="C34" s="65" t="str">
        <f>IF($O34="ON","@",9001)</f>
        <v>@</v>
      </c>
      <c r="D34" s="66" t="s">
        <v>87</v>
      </c>
      <c r="E34" s="66" t="s">
        <v>87</v>
      </c>
      <c r="F34" s="66" t="s">
        <v>87</v>
      </c>
      <c r="G34" s="66" t="s">
        <v>87</v>
      </c>
      <c r="H34" s="66" t="s">
        <v>87</v>
      </c>
      <c r="I34" s="66" t="s">
        <v>87</v>
      </c>
      <c r="J34" s="66" t="s">
        <v>87</v>
      </c>
      <c r="K34" s="66" t="s">
        <v>87</v>
      </c>
      <c r="L34" s="66" t="s">
        <v>87</v>
      </c>
      <c r="N34" s="60" t="s">
        <v>309</v>
      </c>
      <c r="O34" s="61" t="s">
        <v>270</v>
      </c>
      <c r="P34" s="59" t="s">
        <v>288</v>
      </c>
      <c r="Q34" s="59" t="s">
        <v>288</v>
      </c>
      <c r="R34" s="59" t="s">
        <v>288</v>
      </c>
      <c r="S34" s="59" t="s">
        <v>288</v>
      </c>
      <c r="T34" s="59" t="s">
        <v>288</v>
      </c>
      <c r="U34" s="59" t="s">
        <v>288</v>
      </c>
      <c r="V34" s="62" t="s">
        <v>288</v>
      </c>
      <c r="W34" s="59" t="s">
        <v>288</v>
      </c>
      <c r="X34" s="59" t="s">
        <v>288</v>
      </c>
      <c r="Y34" s="1" t="s">
        <v>174</v>
      </c>
      <c r="Z34" s="1" t="s">
        <v>212</v>
      </c>
    </row>
    <row r="35" spans="1:26">
      <c r="A35" s="64">
        <v>34</v>
      </c>
      <c r="B35" s="64" t="s">
        <v>105</v>
      </c>
      <c r="C35" s="65" t="str">
        <f>IF($O35="ON","@",9002)</f>
        <v>@</v>
      </c>
      <c r="D35" s="66" t="s">
        <v>87</v>
      </c>
      <c r="E35" s="66" t="s">
        <v>87</v>
      </c>
      <c r="F35" s="66" t="s">
        <v>87</v>
      </c>
      <c r="G35" s="66" t="s">
        <v>87</v>
      </c>
      <c r="H35" s="66" t="s">
        <v>87</v>
      </c>
      <c r="I35" s="66" t="s">
        <v>87</v>
      </c>
      <c r="J35" s="66" t="s">
        <v>87</v>
      </c>
      <c r="K35" s="66" t="s">
        <v>87</v>
      </c>
      <c r="L35" s="66" t="s">
        <v>87</v>
      </c>
      <c r="N35" s="60" t="s">
        <v>310</v>
      </c>
      <c r="O35" s="61" t="s">
        <v>270</v>
      </c>
      <c r="P35" s="59" t="s">
        <v>288</v>
      </c>
      <c r="Q35" s="59" t="s">
        <v>288</v>
      </c>
      <c r="R35" s="59" t="s">
        <v>288</v>
      </c>
      <c r="S35" s="59" t="s">
        <v>288</v>
      </c>
      <c r="T35" s="59" t="s">
        <v>288</v>
      </c>
      <c r="U35" s="59" t="s">
        <v>288</v>
      </c>
      <c r="V35" s="62" t="s">
        <v>288</v>
      </c>
      <c r="W35" s="59" t="s">
        <v>288</v>
      </c>
      <c r="X35" s="59" t="s">
        <v>288</v>
      </c>
      <c r="Y35" s="1" t="s">
        <v>175</v>
      </c>
      <c r="Z35" s="1" t="s">
        <v>212</v>
      </c>
    </row>
    <row r="36" spans="1:26">
      <c r="A36" s="64">
        <v>35</v>
      </c>
      <c r="B36" s="64" t="s">
        <v>106</v>
      </c>
      <c r="C36" s="65" t="str">
        <f>IF($O36="ON","@",8003)</f>
        <v>@</v>
      </c>
      <c r="D36" s="66" t="s">
        <v>87</v>
      </c>
      <c r="E36" s="66" t="s">
        <v>87</v>
      </c>
      <c r="F36" s="66" t="s">
        <v>87</v>
      </c>
      <c r="G36" s="66" t="s">
        <v>87</v>
      </c>
      <c r="H36" s="66" t="s">
        <v>87</v>
      </c>
      <c r="I36" s="66" t="s">
        <v>87</v>
      </c>
      <c r="J36" s="66" t="s">
        <v>87</v>
      </c>
      <c r="K36" s="66" t="s">
        <v>87</v>
      </c>
      <c r="L36" s="66" t="s">
        <v>87</v>
      </c>
      <c r="N36" s="60" t="s">
        <v>311</v>
      </c>
      <c r="O36" s="61" t="s">
        <v>270</v>
      </c>
      <c r="P36" s="59" t="s">
        <v>288</v>
      </c>
      <c r="Q36" s="59" t="s">
        <v>288</v>
      </c>
      <c r="R36" s="59" t="s">
        <v>288</v>
      </c>
      <c r="S36" s="59" t="s">
        <v>288</v>
      </c>
      <c r="T36" s="59" t="s">
        <v>288</v>
      </c>
      <c r="U36" s="59" t="s">
        <v>288</v>
      </c>
      <c r="V36" s="62" t="s">
        <v>288</v>
      </c>
      <c r="W36" s="59" t="s">
        <v>288</v>
      </c>
      <c r="X36" s="59" t="s">
        <v>288</v>
      </c>
      <c r="Y36" s="1" t="s">
        <v>176</v>
      </c>
      <c r="Z36" s="1" t="s">
        <v>212</v>
      </c>
    </row>
    <row r="37" spans="1:26">
      <c r="A37" s="64">
        <v>36</v>
      </c>
      <c r="B37" s="64" t="s">
        <v>107</v>
      </c>
      <c r="C37" s="65" t="str">
        <f>IF($O37="ON","@",9010)</f>
        <v>@</v>
      </c>
      <c r="D37" s="66" t="s">
        <v>87</v>
      </c>
      <c r="E37" s="66" t="s">
        <v>87</v>
      </c>
      <c r="F37" s="66" t="s">
        <v>87</v>
      </c>
      <c r="G37" s="66" t="s">
        <v>87</v>
      </c>
      <c r="H37" s="66" t="s">
        <v>87</v>
      </c>
      <c r="I37" s="66" t="s">
        <v>87</v>
      </c>
      <c r="J37" s="66" t="s">
        <v>87</v>
      </c>
      <c r="K37" s="66" t="s">
        <v>87</v>
      </c>
      <c r="L37" s="66" t="s">
        <v>87</v>
      </c>
      <c r="N37" s="60" t="s">
        <v>312</v>
      </c>
      <c r="O37" s="61" t="s">
        <v>270</v>
      </c>
      <c r="P37" s="59" t="s">
        <v>288</v>
      </c>
      <c r="Q37" s="59" t="s">
        <v>288</v>
      </c>
      <c r="R37" s="59" t="s">
        <v>288</v>
      </c>
      <c r="S37" s="59" t="s">
        <v>288</v>
      </c>
      <c r="T37" s="59" t="s">
        <v>288</v>
      </c>
      <c r="U37" s="59" t="s">
        <v>288</v>
      </c>
      <c r="V37" s="62" t="s">
        <v>288</v>
      </c>
      <c r="W37" s="59" t="s">
        <v>288</v>
      </c>
      <c r="X37" s="59" t="s">
        <v>288</v>
      </c>
      <c r="Y37" s="1" t="s">
        <v>177</v>
      </c>
      <c r="Z37" s="1" t="s">
        <v>212</v>
      </c>
    </row>
    <row r="38" spans="1:26">
      <c r="A38" s="64">
        <v>37</v>
      </c>
      <c r="B38" s="64" t="s">
        <v>108</v>
      </c>
      <c r="C38" s="65" t="str">
        <f>IF($O38="ON","@","@")</f>
        <v>@</v>
      </c>
      <c r="D38" s="66" t="s">
        <v>87</v>
      </c>
      <c r="E38" s="66" t="s">
        <v>87</v>
      </c>
      <c r="F38" s="66" t="s">
        <v>87</v>
      </c>
      <c r="G38" s="66" t="s">
        <v>87</v>
      </c>
      <c r="H38" s="66" t="s">
        <v>87</v>
      </c>
      <c r="I38" s="66" t="s">
        <v>87</v>
      </c>
      <c r="J38" s="66" t="s">
        <v>87</v>
      </c>
      <c r="K38" s="66" t="s">
        <v>87</v>
      </c>
      <c r="L38" s="66" t="s">
        <v>87</v>
      </c>
      <c r="N38" s="60" t="s">
        <v>313</v>
      </c>
      <c r="O38" s="61" t="s">
        <v>270</v>
      </c>
      <c r="P38" s="59" t="s">
        <v>288</v>
      </c>
      <c r="Q38" s="59" t="s">
        <v>288</v>
      </c>
      <c r="R38" s="59" t="s">
        <v>288</v>
      </c>
      <c r="S38" s="59" t="s">
        <v>288</v>
      </c>
      <c r="T38" s="59" t="s">
        <v>288</v>
      </c>
      <c r="U38" s="59" t="s">
        <v>288</v>
      </c>
      <c r="V38" s="62" t="s">
        <v>288</v>
      </c>
      <c r="W38" s="59" t="s">
        <v>288</v>
      </c>
      <c r="X38" s="59" t="s">
        <v>288</v>
      </c>
      <c r="Y38" s="1" t="s">
        <v>178</v>
      </c>
      <c r="Z38" s="1" t="s">
        <v>212</v>
      </c>
    </row>
    <row r="39" spans="1:26">
      <c r="A39" s="64">
        <v>38</v>
      </c>
      <c r="B39" s="64" t="s">
        <v>109</v>
      </c>
      <c r="C39" s="65" t="str">
        <f>IF($O39="ON","@","@")</f>
        <v>@</v>
      </c>
      <c r="D39" s="66" t="s">
        <v>87</v>
      </c>
      <c r="E39" s="66" t="s">
        <v>87</v>
      </c>
      <c r="F39" s="66" t="s">
        <v>87</v>
      </c>
      <c r="G39" s="66" t="s">
        <v>87</v>
      </c>
      <c r="H39" s="66" t="s">
        <v>87</v>
      </c>
      <c r="I39" s="66" t="s">
        <v>87</v>
      </c>
      <c r="J39" s="66" t="s">
        <v>87</v>
      </c>
      <c r="K39" s="66" t="s">
        <v>87</v>
      </c>
      <c r="L39" s="66" t="s">
        <v>87</v>
      </c>
      <c r="N39" s="60" t="s">
        <v>314</v>
      </c>
      <c r="O39" s="61" t="s">
        <v>270</v>
      </c>
      <c r="P39" s="59" t="s">
        <v>288</v>
      </c>
      <c r="Q39" s="59" t="s">
        <v>288</v>
      </c>
      <c r="R39" s="59" t="s">
        <v>288</v>
      </c>
      <c r="S39" s="59" t="s">
        <v>288</v>
      </c>
      <c r="T39" s="59" t="s">
        <v>288</v>
      </c>
      <c r="U39" s="59" t="s">
        <v>288</v>
      </c>
      <c r="V39" s="62" t="s">
        <v>288</v>
      </c>
      <c r="W39" s="59" t="s">
        <v>288</v>
      </c>
      <c r="X39" s="59" t="s">
        <v>288</v>
      </c>
      <c r="Y39" s="1" t="s">
        <v>178</v>
      </c>
      <c r="Z39" s="1" t="s">
        <v>212</v>
      </c>
    </row>
    <row r="40" spans="1:26">
      <c r="A40" s="64">
        <v>39</v>
      </c>
      <c r="B40" s="64" t="s">
        <v>110</v>
      </c>
      <c r="C40" s="65" t="str">
        <f>IF($O40="ON","@","@")</f>
        <v>@</v>
      </c>
      <c r="D40" s="66" t="s">
        <v>87</v>
      </c>
      <c r="E40" s="66" t="s">
        <v>87</v>
      </c>
      <c r="F40" s="66" t="s">
        <v>87</v>
      </c>
      <c r="G40" s="66" t="s">
        <v>87</v>
      </c>
      <c r="H40" s="66" t="s">
        <v>87</v>
      </c>
      <c r="I40" s="66" t="s">
        <v>87</v>
      </c>
      <c r="J40" s="66" t="s">
        <v>87</v>
      </c>
      <c r="K40" s="66" t="s">
        <v>87</v>
      </c>
      <c r="L40" s="66" t="s">
        <v>87</v>
      </c>
      <c r="N40" s="60" t="s">
        <v>315</v>
      </c>
      <c r="O40" s="61" t="s">
        <v>270</v>
      </c>
      <c r="P40" s="59" t="s">
        <v>288</v>
      </c>
      <c r="Q40" s="59" t="s">
        <v>288</v>
      </c>
      <c r="R40" s="59" t="s">
        <v>288</v>
      </c>
      <c r="S40" s="59" t="s">
        <v>288</v>
      </c>
      <c r="T40" s="59" t="s">
        <v>288</v>
      </c>
      <c r="U40" s="59" t="s">
        <v>288</v>
      </c>
      <c r="V40" s="62" t="s">
        <v>288</v>
      </c>
      <c r="W40" s="59" t="s">
        <v>288</v>
      </c>
      <c r="X40" s="59" t="s">
        <v>288</v>
      </c>
      <c r="Y40" s="1" t="s">
        <v>178</v>
      </c>
      <c r="Z40" s="1" t="s">
        <v>212</v>
      </c>
    </row>
    <row r="41" spans="1:26">
      <c r="A41" s="64">
        <v>40</v>
      </c>
      <c r="B41" s="64" t="s">
        <v>217</v>
      </c>
      <c r="C41" s="65" t="str">
        <f>IF($O41="ON","@",9011)</f>
        <v>@</v>
      </c>
      <c r="D41" s="66" t="s">
        <v>87</v>
      </c>
      <c r="E41" s="66" t="s">
        <v>87</v>
      </c>
      <c r="F41" s="66" t="s">
        <v>87</v>
      </c>
      <c r="G41" s="66" t="s">
        <v>87</v>
      </c>
      <c r="H41" s="66" t="s">
        <v>87</v>
      </c>
      <c r="I41" s="66" t="s">
        <v>87</v>
      </c>
      <c r="J41" s="66" t="s">
        <v>87</v>
      </c>
      <c r="K41" s="66" t="s">
        <v>87</v>
      </c>
      <c r="L41" s="66" t="s">
        <v>87</v>
      </c>
      <c r="N41" s="60" t="s">
        <v>316</v>
      </c>
      <c r="O41" s="61" t="s">
        <v>270</v>
      </c>
      <c r="P41" s="59" t="s">
        <v>288</v>
      </c>
      <c r="Q41" s="59" t="s">
        <v>288</v>
      </c>
      <c r="R41" s="59" t="s">
        <v>288</v>
      </c>
      <c r="S41" s="59" t="s">
        <v>288</v>
      </c>
      <c r="T41" s="59" t="s">
        <v>288</v>
      </c>
      <c r="U41" s="59" t="s">
        <v>288</v>
      </c>
      <c r="V41" s="62" t="s">
        <v>288</v>
      </c>
      <c r="W41" s="59" t="s">
        <v>288</v>
      </c>
      <c r="X41" s="59" t="s">
        <v>288</v>
      </c>
      <c r="Y41" s="1" t="s">
        <v>179</v>
      </c>
      <c r="Z41" s="1" t="s">
        <v>212</v>
      </c>
    </row>
    <row r="42" spans="1:26">
      <c r="A42" s="64">
        <v>42</v>
      </c>
      <c r="B42" s="64" t="s">
        <v>220</v>
      </c>
      <c r="C42" s="65" t="str">
        <f>IF($O42="ON","@",3701201)</f>
        <v>@</v>
      </c>
      <c r="D42" s="65" t="str">
        <f>IF($P42="ON","@",3701204)</f>
        <v>@</v>
      </c>
      <c r="E42" s="65" t="str">
        <f>IF($Q42="ON","@",3701207)</f>
        <v>@</v>
      </c>
      <c r="F42" s="65" t="str">
        <f>IF($R42="ON","@",3701210)</f>
        <v>@</v>
      </c>
      <c r="G42" s="65">
        <f>IF($S42="ON","@",3701213)</f>
        <v>3701213</v>
      </c>
      <c r="H42" s="65">
        <f>IF($T42="ON","@",3701216)</f>
        <v>3701216</v>
      </c>
      <c r="I42" s="66" t="str">
        <f>IF($U42="ON","@","@")</f>
        <v>@</v>
      </c>
      <c r="J42" s="66" t="str">
        <f>IF($V42="ON","@","@")</f>
        <v>@</v>
      </c>
      <c r="K42" s="66" t="str">
        <f>IF($W42="ON","@","@")</f>
        <v>@</v>
      </c>
      <c r="L42" s="66" t="str">
        <f>IF($X42="ON","@","@")</f>
        <v>@</v>
      </c>
      <c r="N42" s="60" t="s">
        <v>318</v>
      </c>
      <c r="O42" s="61" t="s">
        <v>277</v>
      </c>
      <c r="P42" s="61" t="s">
        <v>277</v>
      </c>
      <c r="Q42" s="61" t="s">
        <v>277</v>
      </c>
      <c r="R42" s="61" t="s">
        <v>277</v>
      </c>
      <c r="S42" s="61" t="s">
        <v>287</v>
      </c>
      <c r="T42" s="61" t="s">
        <v>287</v>
      </c>
      <c r="U42" s="59" t="s">
        <v>288</v>
      </c>
      <c r="V42" s="62" t="s">
        <v>288</v>
      </c>
      <c r="W42" s="59" t="s">
        <v>288</v>
      </c>
      <c r="X42" s="59" t="s">
        <v>288</v>
      </c>
      <c r="Y42" s="1" t="s">
        <v>267</v>
      </c>
      <c r="Z42" s="1" t="s">
        <v>212</v>
      </c>
    </row>
    <row r="43" spans="1:26">
      <c r="A43" s="64">
        <v>43</v>
      </c>
      <c r="B43" s="64" t="s">
        <v>221</v>
      </c>
      <c r="C43" s="65" t="str">
        <f>IF($O43="ON","@",3701219)</f>
        <v>@</v>
      </c>
      <c r="D43" s="66" t="s">
        <v>87</v>
      </c>
      <c r="E43" s="66" t="s">
        <v>87</v>
      </c>
      <c r="F43" s="66" t="s">
        <v>87</v>
      </c>
      <c r="G43" s="66" t="s">
        <v>87</v>
      </c>
      <c r="H43" s="66" t="s">
        <v>87</v>
      </c>
      <c r="I43" s="66" t="s">
        <v>87</v>
      </c>
      <c r="J43" s="66" t="s">
        <v>87</v>
      </c>
      <c r="K43" s="66" t="s">
        <v>87</v>
      </c>
      <c r="L43" s="66" t="s">
        <v>87</v>
      </c>
      <c r="N43" s="60" t="s">
        <v>320</v>
      </c>
      <c r="O43" s="61" t="s">
        <v>277</v>
      </c>
      <c r="P43" s="59" t="s">
        <v>288</v>
      </c>
      <c r="Q43" s="59" t="s">
        <v>288</v>
      </c>
      <c r="R43" s="59" t="s">
        <v>288</v>
      </c>
      <c r="S43" s="59" t="s">
        <v>288</v>
      </c>
      <c r="T43" s="59" t="s">
        <v>288</v>
      </c>
      <c r="U43" s="59" t="s">
        <v>288</v>
      </c>
      <c r="V43" s="62" t="s">
        <v>288</v>
      </c>
      <c r="W43" s="59" t="s">
        <v>288</v>
      </c>
      <c r="X43" s="59" t="s">
        <v>288</v>
      </c>
      <c r="Y43" s="1" t="s">
        <v>222</v>
      </c>
      <c r="Z43" s="1" t="s">
        <v>212</v>
      </c>
    </row>
    <row r="44" spans="1:26" s="2" customFormat="1">
      <c r="A44" s="68">
        <v>45</v>
      </c>
      <c r="B44" s="71" t="s">
        <v>322</v>
      </c>
      <c r="C44" s="65">
        <f t="shared" ref="C44" si="3">IF($O44="on",1,"@")</f>
        <v>1</v>
      </c>
      <c r="D44" s="66" t="s">
        <v>87</v>
      </c>
      <c r="E44" s="66" t="s">
        <v>87</v>
      </c>
      <c r="F44" s="66" t="s">
        <v>87</v>
      </c>
      <c r="G44" s="66" t="s">
        <v>87</v>
      </c>
      <c r="H44" s="66" t="s">
        <v>87</v>
      </c>
      <c r="I44" s="66" t="s">
        <v>87</v>
      </c>
      <c r="J44" s="66" t="s">
        <v>87</v>
      </c>
      <c r="K44" s="66" t="s">
        <v>87</v>
      </c>
      <c r="L44" s="66" t="s">
        <v>87</v>
      </c>
      <c r="M44" s="53"/>
      <c r="N44" s="60" t="s">
        <v>321</v>
      </c>
      <c r="O44" s="61" t="s">
        <v>270</v>
      </c>
      <c r="P44" s="59" t="s">
        <v>288</v>
      </c>
      <c r="Q44" s="59" t="s">
        <v>288</v>
      </c>
      <c r="R44" s="59" t="s">
        <v>288</v>
      </c>
      <c r="S44" s="59" t="s">
        <v>288</v>
      </c>
      <c r="T44" s="59" t="s">
        <v>288</v>
      </c>
      <c r="U44" s="59" t="s">
        <v>288</v>
      </c>
      <c r="V44" s="62" t="s">
        <v>288</v>
      </c>
      <c r="W44" s="59" t="s">
        <v>288</v>
      </c>
      <c r="X44" s="59" t="s">
        <v>288</v>
      </c>
      <c r="Y44" s="2" t="s">
        <v>0</v>
      </c>
      <c r="Z44" s="2" t="s">
        <v>210</v>
      </c>
    </row>
  </sheetData>
  <phoneticPr fontId="4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QBitFlag!$A$2:$A$3</xm:f>
          </x14:formula1>
          <xm:sqref>O2:O14 P7:T7 P8:U8 O16:O18 O20:O26 P42:T42 O29:O44</xm:sqref>
        </x14:dataValidation>
        <x14:dataValidation type="list" allowBlank="1" showInputMessage="1" showErrorMessage="1">
          <x14:formula1>
            <xm:f>QBitFlag!$B$2:$B$8</xm:f>
          </x14:formula1>
          <xm:sqref>O27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73"/>
  <sheetViews>
    <sheetView topLeftCell="A25" zoomScaleNormal="100" workbookViewId="0">
      <selection activeCell="A55" sqref="A55:XFD55"/>
    </sheetView>
  </sheetViews>
  <sheetFormatPr baseColWidth="10" defaultColWidth="9" defaultRowHeight="15" customHeight="1"/>
  <cols>
    <col min="1" max="1" width="2" style="7" customWidth="1"/>
    <col min="2" max="2" width="18.5703125" style="7" bestFit="1" customWidth="1"/>
    <col min="3" max="3" width="9" style="7" bestFit="1" customWidth="1"/>
    <col min="4" max="4" width="5.85546875" style="7" bestFit="1" customWidth="1"/>
    <col min="5" max="5" width="57.42578125" style="7" customWidth="1"/>
    <col min="6" max="6" width="1.5703125" style="7" customWidth="1"/>
    <col min="7" max="7" width="3.5703125" style="7" bestFit="1" customWidth="1"/>
    <col min="8" max="8" width="29.28515625" style="7" customWidth="1"/>
    <col min="9" max="9" width="8.42578125" style="7" customWidth="1"/>
    <col min="10" max="10" width="13.85546875" style="7" bestFit="1" customWidth="1"/>
    <col min="11" max="11" width="1.5703125" style="7" customWidth="1"/>
    <col min="12" max="12" width="9.140625" style="7" bestFit="1" customWidth="1"/>
    <col min="13" max="13" width="9.5703125" style="7" bestFit="1" customWidth="1"/>
    <col min="14" max="14" width="11.42578125" style="7" bestFit="1" customWidth="1"/>
    <col min="15" max="15" width="9.5703125" style="7" bestFit="1" customWidth="1"/>
    <col min="16" max="16" width="15.42578125" style="7" bestFit="1" customWidth="1"/>
    <col min="17" max="17" width="11.42578125" style="7" bestFit="1" customWidth="1"/>
    <col min="18" max="18" width="13.7109375" style="7" bestFit="1" customWidth="1"/>
    <col min="19" max="19" width="11.42578125" style="7" bestFit="1" customWidth="1"/>
    <col min="20" max="20" width="17.140625" style="7" bestFit="1" customWidth="1"/>
    <col min="21" max="21" width="13.7109375" style="7" bestFit="1" customWidth="1"/>
    <col min="22" max="22" width="9.5703125" style="7" bestFit="1" customWidth="1"/>
    <col min="23" max="23" width="10.7109375" style="7" bestFit="1" customWidth="1"/>
    <col min="24" max="24" width="11.42578125" style="7" bestFit="1" customWidth="1"/>
    <col min="25" max="25" width="10.7109375" style="7" bestFit="1" customWidth="1"/>
    <col min="26" max="16384" width="9" style="7"/>
  </cols>
  <sheetData>
    <row r="1" spans="1:10" ht="11.25">
      <c r="A1" s="3" t="s">
        <v>113</v>
      </c>
      <c r="B1" s="4"/>
      <c r="C1" s="5"/>
      <c r="D1" s="6"/>
      <c r="E1" s="6"/>
      <c r="F1" s="6"/>
    </row>
    <row r="2" spans="1:10" ht="11.25">
      <c r="A2" s="5"/>
      <c r="C2" s="8"/>
      <c r="D2" s="8"/>
      <c r="E2" s="8"/>
      <c r="F2" s="9" t="s">
        <v>114</v>
      </c>
    </row>
    <row r="3" spans="1:10" ht="11.25">
      <c r="A3" s="5"/>
      <c r="B3" s="10" t="s">
        <v>115</v>
      </c>
      <c r="C3" s="11" t="s">
        <v>116</v>
      </c>
      <c r="D3" s="11" t="s">
        <v>77</v>
      </c>
      <c r="E3" s="11" t="s">
        <v>117</v>
      </c>
      <c r="F3" s="9"/>
      <c r="G3" s="12">
        <v>1</v>
      </c>
      <c r="H3" s="13" t="s">
        <v>118</v>
      </c>
      <c r="I3" s="14"/>
    </row>
    <row r="4" spans="1:10" ht="11.25">
      <c r="A4" s="5"/>
      <c r="B4" s="15" t="s">
        <v>3</v>
      </c>
      <c r="C4" s="16" t="s">
        <v>119</v>
      </c>
      <c r="D4" s="17" t="s">
        <v>120</v>
      </c>
      <c r="E4" s="16" t="s">
        <v>9</v>
      </c>
      <c r="F4" s="9"/>
      <c r="G4" s="18" t="s">
        <v>121</v>
      </c>
      <c r="H4" s="19" t="s">
        <v>122</v>
      </c>
      <c r="I4" s="20" t="s">
        <v>123</v>
      </c>
      <c r="J4" s="7" t="s">
        <v>124</v>
      </c>
    </row>
    <row r="5" spans="1:10" ht="11.25">
      <c r="A5" s="5"/>
      <c r="B5" s="15" t="s">
        <v>78</v>
      </c>
      <c r="C5" s="16" t="s">
        <v>125</v>
      </c>
      <c r="D5" s="17" t="s">
        <v>126</v>
      </c>
      <c r="E5" s="16" t="s">
        <v>187</v>
      </c>
      <c r="F5" s="9"/>
      <c r="G5" s="21">
        <v>0</v>
      </c>
      <c r="H5" s="22" t="s">
        <v>32</v>
      </c>
      <c r="I5" s="23" t="s">
        <v>33</v>
      </c>
      <c r="J5" s="7" t="s">
        <v>127</v>
      </c>
    </row>
    <row r="6" spans="1:10" ht="11.25">
      <c r="A6" s="5"/>
      <c r="B6" s="15" t="s">
        <v>79</v>
      </c>
      <c r="C6" s="16" t="s">
        <v>125</v>
      </c>
      <c r="D6" s="17" t="s">
        <v>126</v>
      </c>
      <c r="E6" s="16" t="s">
        <v>183</v>
      </c>
      <c r="F6" s="9"/>
      <c r="G6" s="24">
        <v>1</v>
      </c>
      <c r="H6" s="25" t="s">
        <v>184</v>
      </c>
      <c r="I6" s="26" t="s">
        <v>34</v>
      </c>
      <c r="J6" s="7" t="s">
        <v>128</v>
      </c>
    </row>
    <row r="7" spans="1:10" ht="11.25">
      <c r="A7" s="5"/>
      <c r="B7" s="15" t="s">
        <v>80</v>
      </c>
      <c r="C7" s="16" t="s">
        <v>125</v>
      </c>
      <c r="D7" s="17" t="s">
        <v>126</v>
      </c>
      <c r="E7" s="16" t="s">
        <v>182</v>
      </c>
      <c r="G7" s="24">
        <v>2</v>
      </c>
      <c r="H7" s="25" t="s">
        <v>35</v>
      </c>
      <c r="I7" s="26" t="s">
        <v>36</v>
      </c>
      <c r="J7" s="7" t="s">
        <v>129</v>
      </c>
    </row>
    <row r="8" spans="1:10" ht="11.25">
      <c r="A8" s="5"/>
      <c r="B8" s="15" t="s">
        <v>81</v>
      </c>
      <c r="C8" s="16" t="s">
        <v>125</v>
      </c>
      <c r="D8" s="17" t="s">
        <v>126</v>
      </c>
      <c r="E8" s="16" t="s">
        <v>181</v>
      </c>
      <c r="G8" s="24">
        <v>3</v>
      </c>
      <c r="H8" s="25" t="s">
        <v>37</v>
      </c>
      <c r="I8" s="26" t="s">
        <v>38</v>
      </c>
      <c r="J8" s="7" t="s">
        <v>130</v>
      </c>
    </row>
    <row r="9" spans="1:10" ht="11.25">
      <c r="A9" s="5"/>
      <c r="B9" s="15" t="s">
        <v>334</v>
      </c>
      <c r="C9" s="16" t="s">
        <v>119</v>
      </c>
      <c r="D9" s="17" t="s">
        <v>120</v>
      </c>
      <c r="E9" s="16" t="s">
        <v>337</v>
      </c>
      <c r="G9" s="24">
        <v>4</v>
      </c>
      <c r="H9" s="25" t="s">
        <v>39</v>
      </c>
      <c r="I9" s="26" t="s">
        <v>40</v>
      </c>
      <c r="J9" s="7" t="s">
        <v>131</v>
      </c>
    </row>
    <row r="10" spans="1:10" ht="11.25">
      <c r="A10" s="5"/>
      <c r="B10" s="15" t="s">
        <v>4</v>
      </c>
      <c r="C10" s="16" t="s">
        <v>125</v>
      </c>
      <c r="D10" s="17" t="s">
        <v>126</v>
      </c>
      <c r="E10" s="16" t="s">
        <v>5</v>
      </c>
      <c r="G10" s="24">
        <v>5</v>
      </c>
      <c r="H10" s="25" t="s">
        <v>41</v>
      </c>
      <c r="I10" s="26" t="s">
        <v>42</v>
      </c>
      <c r="J10" s="7" t="s">
        <v>132</v>
      </c>
    </row>
    <row r="11" spans="1:10" ht="11.25">
      <c r="A11" s="5"/>
      <c r="B11" s="15" t="s">
        <v>10</v>
      </c>
      <c r="C11" s="16" t="s">
        <v>125</v>
      </c>
      <c r="D11" s="17" t="s">
        <v>126</v>
      </c>
      <c r="E11" s="16" t="s">
        <v>5</v>
      </c>
      <c r="G11" s="24">
        <v>6</v>
      </c>
      <c r="H11" s="25" t="s">
        <v>43</v>
      </c>
      <c r="I11" s="26" t="s">
        <v>44</v>
      </c>
      <c r="J11" s="7" t="s">
        <v>133</v>
      </c>
    </row>
    <row r="12" spans="1:10" ht="11.25">
      <c r="A12" s="5"/>
      <c r="B12" s="15" t="s">
        <v>13</v>
      </c>
      <c r="C12" s="16" t="s">
        <v>125</v>
      </c>
      <c r="D12" s="17" t="s">
        <v>126</v>
      </c>
      <c r="E12" s="16" t="s">
        <v>5</v>
      </c>
      <c r="G12" s="24">
        <v>7</v>
      </c>
      <c r="H12" s="25" t="s">
        <v>45</v>
      </c>
      <c r="I12" s="26" t="s">
        <v>46</v>
      </c>
      <c r="J12" s="7" t="s">
        <v>134</v>
      </c>
    </row>
    <row r="13" spans="1:10" ht="11.25">
      <c r="A13" s="5"/>
      <c r="B13" s="15" t="s">
        <v>16</v>
      </c>
      <c r="C13" s="16" t="s">
        <v>125</v>
      </c>
      <c r="D13" s="17" t="s">
        <v>126</v>
      </c>
      <c r="E13" s="16" t="s">
        <v>5</v>
      </c>
      <c r="G13" s="24">
        <v>8</v>
      </c>
      <c r="H13" s="25" t="s">
        <v>47</v>
      </c>
      <c r="I13" s="26" t="s">
        <v>48</v>
      </c>
      <c r="J13" s="7" t="s">
        <v>135</v>
      </c>
    </row>
    <row r="14" spans="1:10" ht="11.25">
      <c r="A14" s="5"/>
      <c r="B14" s="15" t="s">
        <v>18</v>
      </c>
      <c r="C14" s="16" t="s">
        <v>125</v>
      </c>
      <c r="D14" s="17" t="s">
        <v>126</v>
      </c>
      <c r="E14" s="16" t="s">
        <v>5</v>
      </c>
      <c r="G14" s="24">
        <v>9</v>
      </c>
      <c r="H14" s="25" t="s">
        <v>49</v>
      </c>
      <c r="I14" s="26" t="s">
        <v>50</v>
      </c>
      <c r="J14" s="7" t="s">
        <v>136</v>
      </c>
    </row>
    <row r="15" spans="1:10" ht="11.25">
      <c r="A15" s="5"/>
      <c r="B15" s="15" t="s">
        <v>21</v>
      </c>
      <c r="C15" s="16" t="s">
        <v>125</v>
      </c>
      <c r="D15" s="17" t="s">
        <v>126</v>
      </c>
      <c r="E15" s="16" t="s">
        <v>5</v>
      </c>
      <c r="G15" s="24">
        <v>10</v>
      </c>
      <c r="H15" s="25" t="s">
        <v>51</v>
      </c>
      <c r="I15" s="26" t="s">
        <v>52</v>
      </c>
      <c r="J15" s="7" t="s">
        <v>71</v>
      </c>
    </row>
    <row r="16" spans="1:10" ht="11.25">
      <c r="A16" s="5"/>
      <c r="B16" s="15" t="s">
        <v>6</v>
      </c>
      <c r="C16" s="16" t="s">
        <v>125</v>
      </c>
      <c r="D16" s="17" t="s">
        <v>126</v>
      </c>
      <c r="E16" s="16" t="s">
        <v>7</v>
      </c>
      <c r="G16" s="24">
        <v>11</v>
      </c>
      <c r="H16" s="25" t="s">
        <v>53</v>
      </c>
      <c r="I16" s="26" t="s">
        <v>54</v>
      </c>
      <c r="J16" s="7" t="s">
        <v>72</v>
      </c>
    </row>
    <row r="17" spans="1:10" ht="11.25">
      <c r="A17" s="5"/>
      <c r="B17" s="15" t="s">
        <v>11</v>
      </c>
      <c r="C17" s="16" t="s">
        <v>125</v>
      </c>
      <c r="D17" s="17" t="s">
        <v>126</v>
      </c>
      <c r="E17" s="16" t="s">
        <v>7</v>
      </c>
      <c r="G17" s="24">
        <v>12</v>
      </c>
      <c r="H17" s="25" t="s">
        <v>55</v>
      </c>
      <c r="I17" s="26" t="s">
        <v>56</v>
      </c>
      <c r="J17" s="7" t="s">
        <v>73</v>
      </c>
    </row>
    <row r="18" spans="1:10" ht="11.25">
      <c r="A18" s="5"/>
      <c r="B18" s="15" t="s">
        <v>14</v>
      </c>
      <c r="C18" s="16" t="s">
        <v>125</v>
      </c>
      <c r="D18" s="17" t="s">
        <v>126</v>
      </c>
      <c r="E18" s="16" t="s">
        <v>7</v>
      </c>
      <c r="G18" s="24">
        <v>13</v>
      </c>
      <c r="H18" s="25" t="s">
        <v>57</v>
      </c>
      <c r="I18" s="26" t="s">
        <v>58</v>
      </c>
      <c r="J18" s="7" t="s">
        <v>74</v>
      </c>
    </row>
    <row r="19" spans="1:10" ht="11.25">
      <c r="A19" s="5"/>
      <c r="B19" s="15" t="s">
        <v>17</v>
      </c>
      <c r="C19" s="16" t="s">
        <v>125</v>
      </c>
      <c r="D19" s="17" t="s">
        <v>126</v>
      </c>
      <c r="E19" s="16" t="s">
        <v>7</v>
      </c>
      <c r="G19" s="24">
        <v>14</v>
      </c>
      <c r="H19" s="25" t="s">
        <v>59</v>
      </c>
      <c r="I19" s="26" t="s">
        <v>60</v>
      </c>
      <c r="J19" s="7" t="s">
        <v>137</v>
      </c>
    </row>
    <row r="20" spans="1:10" ht="11.25">
      <c r="A20" s="5"/>
      <c r="B20" s="15" t="s">
        <v>19</v>
      </c>
      <c r="C20" s="16" t="s">
        <v>125</v>
      </c>
      <c r="D20" s="17" t="s">
        <v>126</v>
      </c>
      <c r="E20" s="16" t="s">
        <v>7</v>
      </c>
      <c r="G20" s="24">
        <v>15</v>
      </c>
      <c r="H20" s="25" t="s">
        <v>61</v>
      </c>
      <c r="I20" s="26" t="s">
        <v>62</v>
      </c>
      <c r="J20" s="7" t="s">
        <v>138</v>
      </c>
    </row>
    <row r="21" spans="1:10" ht="11.25">
      <c r="A21" s="5"/>
      <c r="B21" s="15" t="s">
        <v>22</v>
      </c>
      <c r="C21" s="16" t="s">
        <v>125</v>
      </c>
      <c r="D21" s="17" t="s">
        <v>126</v>
      </c>
      <c r="E21" s="16" t="s">
        <v>7</v>
      </c>
      <c r="G21" s="24">
        <v>16</v>
      </c>
      <c r="H21" s="25" t="s">
        <v>63</v>
      </c>
      <c r="I21" s="26" t="s">
        <v>64</v>
      </c>
      <c r="J21" s="7" t="s">
        <v>139</v>
      </c>
    </row>
    <row r="22" spans="1:10" ht="11.25">
      <c r="A22" s="5"/>
      <c r="B22" s="15" t="s">
        <v>23</v>
      </c>
      <c r="C22" s="16" t="s">
        <v>125</v>
      </c>
      <c r="D22" s="17" t="s">
        <v>126</v>
      </c>
      <c r="E22" s="16" t="s">
        <v>7</v>
      </c>
      <c r="G22" s="24">
        <v>17</v>
      </c>
      <c r="H22" s="25" t="s">
        <v>65</v>
      </c>
      <c r="I22" s="26" t="s">
        <v>66</v>
      </c>
      <c r="J22" s="7" t="s">
        <v>140</v>
      </c>
    </row>
    <row r="23" spans="1:10" ht="11.25">
      <c r="A23" s="5"/>
      <c r="B23" s="15" t="s">
        <v>82</v>
      </c>
      <c r="C23" s="16" t="s">
        <v>125</v>
      </c>
      <c r="D23" s="17" t="s">
        <v>126</v>
      </c>
      <c r="E23" s="16" t="s">
        <v>9</v>
      </c>
      <c r="G23" s="24">
        <v>18</v>
      </c>
      <c r="H23" s="25" t="s">
        <v>67</v>
      </c>
      <c r="I23" s="26" t="s">
        <v>68</v>
      </c>
      <c r="J23" s="7" t="s">
        <v>141</v>
      </c>
    </row>
    <row r="24" spans="1:10" ht="11.25">
      <c r="A24" s="5"/>
      <c r="B24" s="15" t="s">
        <v>8</v>
      </c>
      <c r="C24" s="16" t="s">
        <v>125</v>
      </c>
      <c r="D24" s="17" t="s">
        <v>126</v>
      </c>
      <c r="E24" s="16" t="s">
        <v>9</v>
      </c>
      <c r="G24" s="24">
        <v>19</v>
      </c>
      <c r="H24" s="25" t="s">
        <v>69</v>
      </c>
      <c r="I24" s="26" t="s">
        <v>70</v>
      </c>
      <c r="J24" s="7" t="s">
        <v>142</v>
      </c>
    </row>
    <row r="25" spans="1:10" ht="11.25">
      <c r="A25" s="5"/>
      <c r="B25" s="15" t="s">
        <v>12</v>
      </c>
      <c r="C25" s="16" t="s">
        <v>125</v>
      </c>
      <c r="D25" s="17" t="s">
        <v>126</v>
      </c>
      <c r="E25" s="16" t="s">
        <v>9</v>
      </c>
      <c r="G25" s="24">
        <v>20</v>
      </c>
      <c r="H25" s="25" t="s">
        <v>143</v>
      </c>
      <c r="I25" s="26" t="s">
        <v>144</v>
      </c>
      <c r="J25" s="7" t="s">
        <v>145</v>
      </c>
    </row>
    <row r="26" spans="1:10" ht="11.25">
      <c r="A26" s="5"/>
      <c r="B26" s="15" t="s">
        <v>15</v>
      </c>
      <c r="C26" s="16" t="s">
        <v>125</v>
      </c>
      <c r="D26" s="17" t="s">
        <v>126</v>
      </c>
      <c r="E26" s="16" t="s">
        <v>9</v>
      </c>
      <c r="G26" s="24">
        <v>21</v>
      </c>
      <c r="H26" s="25" t="s">
        <v>146</v>
      </c>
      <c r="I26" s="26" t="s">
        <v>147</v>
      </c>
      <c r="J26" s="7" t="s">
        <v>148</v>
      </c>
    </row>
    <row r="27" spans="1:10" ht="11.25">
      <c r="A27" s="5"/>
      <c r="B27" s="15" t="s">
        <v>20</v>
      </c>
      <c r="C27" s="16" t="s">
        <v>125</v>
      </c>
      <c r="D27" s="17" t="s">
        <v>126</v>
      </c>
      <c r="E27" s="16" t="s">
        <v>9</v>
      </c>
      <c r="G27" s="32">
        <v>22</v>
      </c>
      <c r="H27" s="33" t="s">
        <v>343</v>
      </c>
      <c r="I27" s="34" t="s">
        <v>185</v>
      </c>
      <c r="J27" s="28" t="s">
        <v>186</v>
      </c>
    </row>
    <row r="28" spans="1:10" ht="11.25">
      <c r="A28" s="5"/>
      <c r="B28" s="15" t="s">
        <v>88</v>
      </c>
      <c r="C28" s="16" t="s">
        <v>125</v>
      </c>
      <c r="D28" s="17" t="s">
        <v>126</v>
      </c>
      <c r="E28" s="116" t="s">
        <v>401</v>
      </c>
      <c r="G28" s="32">
        <v>23</v>
      </c>
      <c r="H28" s="33" t="s">
        <v>344</v>
      </c>
      <c r="I28" s="34" t="s">
        <v>345</v>
      </c>
      <c r="J28" s="28" t="s">
        <v>333</v>
      </c>
    </row>
    <row r="29" spans="1:10" ht="11.25">
      <c r="B29" s="15" t="s">
        <v>1</v>
      </c>
      <c r="C29" s="16" t="s">
        <v>125</v>
      </c>
      <c r="D29" s="17" t="s">
        <v>126</v>
      </c>
      <c r="E29" s="16" t="s">
        <v>188</v>
      </c>
      <c r="G29" s="32">
        <v>24</v>
      </c>
      <c r="H29" s="33" t="s">
        <v>362</v>
      </c>
      <c r="I29" s="34" t="s">
        <v>346</v>
      </c>
      <c r="J29" s="28" t="s">
        <v>348</v>
      </c>
    </row>
    <row r="30" spans="1:10" ht="11.25">
      <c r="B30" s="15" t="s">
        <v>2</v>
      </c>
      <c r="C30" s="16" t="s">
        <v>125</v>
      </c>
      <c r="D30" s="17" t="s">
        <v>126</v>
      </c>
      <c r="E30" s="16" t="s">
        <v>83</v>
      </c>
      <c r="G30" s="32">
        <v>25</v>
      </c>
      <c r="H30" s="33" t="s">
        <v>363</v>
      </c>
      <c r="I30" s="34" t="s">
        <v>347</v>
      </c>
      <c r="J30" s="28" t="s">
        <v>374</v>
      </c>
    </row>
    <row r="31" spans="1:10" ht="11.25">
      <c r="B31" s="15" t="s">
        <v>31</v>
      </c>
      <c r="C31" s="16" t="s">
        <v>125</v>
      </c>
      <c r="D31" s="17" t="s">
        <v>126</v>
      </c>
      <c r="E31" s="16" t="s">
        <v>289</v>
      </c>
      <c r="G31" s="32">
        <v>26</v>
      </c>
      <c r="H31" s="33" t="s">
        <v>363</v>
      </c>
      <c r="I31" s="34" t="s">
        <v>376</v>
      </c>
      <c r="J31" s="28" t="s">
        <v>375</v>
      </c>
    </row>
    <row r="32" spans="1:10" ht="11.25">
      <c r="B32" s="15" t="s">
        <v>24</v>
      </c>
      <c r="C32" s="16" t="s">
        <v>125</v>
      </c>
      <c r="D32" s="17" t="s">
        <v>126</v>
      </c>
      <c r="E32" s="16" t="s">
        <v>189</v>
      </c>
      <c r="H32" s="7" t="s">
        <v>406</v>
      </c>
      <c r="I32" s="7" t="s">
        <v>407</v>
      </c>
      <c r="J32" s="119" t="s">
        <v>398</v>
      </c>
    </row>
    <row r="33" spans="2:10" ht="11.25">
      <c r="B33" s="15" t="s">
        <v>25</v>
      </c>
      <c r="C33" s="16" t="s">
        <v>125</v>
      </c>
      <c r="D33" s="17" t="s">
        <v>126</v>
      </c>
      <c r="E33" s="16" t="s">
        <v>84</v>
      </c>
    </row>
    <row r="34" spans="2:10" ht="11.25">
      <c r="B34" s="15" t="s">
        <v>26</v>
      </c>
      <c r="C34" s="16" t="s">
        <v>125</v>
      </c>
      <c r="D34" s="17" t="s">
        <v>126</v>
      </c>
      <c r="E34" s="16" t="s">
        <v>85</v>
      </c>
    </row>
    <row r="35" spans="2:10" ht="11.25">
      <c r="B35" s="15" t="s">
        <v>27</v>
      </c>
      <c r="C35" s="16" t="s">
        <v>125</v>
      </c>
      <c r="D35" s="17" t="s">
        <v>126</v>
      </c>
      <c r="E35" s="16" t="s">
        <v>190</v>
      </c>
    </row>
    <row r="36" spans="2:10" ht="11.25">
      <c r="B36" s="15" t="s">
        <v>28</v>
      </c>
      <c r="C36" s="16" t="s">
        <v>125</v>
      </c>
      <c r="D36" s="17" t="s">
        <v>126</v>
      </c>
      <c r="E36" s="16" t="s">
        <v>191</v>
      </c>
      <c r="I36" s="7">
        <v>4294967295</v>
      </c>
      <c r="J36" s="7" t="s">
        <v>149</v>
      </c>
    </row>
    <row r="37" spans="2:10" ht="11.25">
      <c r="B37" s="15" t="s">
        <v>29</v>
      </c>
      <c r="C37" s="16" t="s">
        <v>125</v>
      </c>
      <c r="D37" s="17" t="s">
        <v>126</v>
      </c>
      <c r="E37" s="16" t="s">
        <v>192</v>
      </c>
    </row>
    <row r="38" spans="2:10" ht="11.25">
      <c r="B38" s="15" t="s">
        <v>30</v>
      </c>
      <c r="C38" s="16" t="s">
        <v>125</v>
      </c>
      <c r="D38" s="17" t="s">
        <v>126</v>
      </c>
      <c r="E38" s="16" t="s">
        <v>193</v>
      </c>
    </row>
    <row r="39" spans="2:10" ht="11.25">
      <c r="B39" s="15" t="s">
        <v>339</v>
      </c>
      <c r="C39" s="16" t="s">
        <v>119</v>
      </c>
      <c r="D39" s="17" t="s">
        <v>120</v>
      </c>
      <c r="E39" s="16" t="s">
        <v>338</v>
      </c>
    </row>
    <row r="40" spans="2:10" ht="22.5">
      <c r="B40" s="15" t="s">
        <v>86</v>
      </c>
      <c r="C40" s="16">
        <v>1</v>
      </c>
      <c r="D40" s="17" t="s">
        <v>125</v>
      </c>
      <c r="E40" s="27" t="s">
        <v>150</v>
      </c>
    </row>
    <row r="41" spans="2:10" ht="11.25">
      <c r="B41" s="15" t="s">
        <v>151</v>
      </c>
      <c r="C41" s="16" t="s">
        <v>125</v>
      </c>
      <c r="D41" s="17" t="s">
        <v>126</v>
      </c>
      <c r="E41" s="16" t="s">
        <v>76</v>
      </c>
    </row>
    <row r="42" spans="2:10" ht="11.25">
      <c r="B42" s="15" t="s">
        <v>152</v>
      </c>
      <c r="C42" s="16" t="s">
        <v>125</v>
      </c>
      <c r="D42" s="17" t="s">
        <v>126</v>
      </c>
      <c r="E42" s="16" t="s">
        <v>153</v>
      </c>
    </row>
    <row r="43" spans="2:10" ht="11.25">
      <c r="B43" s="15" t="s">
        <v>154</v>
      </c>
      <c r="C43" s="16" t="s">
        <v>125</v>
      </c>
      <c r="D43" s="17" t="s">
        <v>126</v>
      </c>
      <c r="E43" s="16" t="s">
        <v>155</v>
      </c>
    </row>
    <row r="44" spans="2:10" ht="11.25">
      <c r="B44" s="15" t="s">
        <v>156</v>
      </c>
      <c r="C44" s="16" t="s">
        <v>125</v>
      </c>
      <c r="D44" s="17" t="s">
        <v>157</v>
      </c>
      <c r="E44" s="16" t="s">
        <v>158</v>
      </c>
    </row>
    <row r="45" spans="2:10" ht="11.25">
      <c r="B45" s="15" t="s">
        <v>159</v>
      </c>
      <c r="C45" s="16" t="s">
        <v>125</v>
      </c>
      <c r="D45" s="17" t="s">
        <v>157</v>
      </c>
      <c r="E45" s="16" t="s">
        <v>158</v>
      </c>
    </row>
    <row r="46" spans="2:10" ht="11.25">
      <c r="B46" s="15" t="s">
        <v>160</v>
      </c>
      <c r="C46" s="16" t="s">
        <v>125</v>
      </c>
      <c r="D46" s="17" t="s">
        <v>157</v>
      </c>
      <c r="E46" s="16" t="s">
        <v>158</v>
      </c>
    </row>
    <row r="47" spans="2:10" ht="11.25">
      <c r="B47" s="15" t="s">
        <v>161</v>
      </c>
      <c r="C47" s="16" t="s">
        <v>125</v>
      </c>
      <c r="D47" s="17" t="s">
        <v>157</v>
      </c>
      <c r="E47" s="16" t="s">
        <v>158</v>
      </c>
    </row>
    <row r="48" spans="2:10" ht="11.25">
      <c r="B48" s="15" t="s">
        <v>162</v>
      </c>
      <c r="C48" s="16" t="s">
        <v>125</v>
      </c>
      <c r="D48" s="17" t="s">
        <v>157</v>
      </c>
      <c r="E48" s="16" t="s">
        <v>158</v>
      </c>
    </row>
    <row r="49" spans="2:10" ht="11.25">
      <c r="B49" s="15" t="s">
        <v>163</v>
      </c>
      <c r="C49" s="16" t="s">
        <v>125</v>
      </c>
      <c r="D49" s="17" t="s">
        <v>157</v>
      </c>
      <c r="E49" s="16" t="s">
        <v>158</v>
      </c>
    </row>
    <row r="50" spans="2:10" ht="11.25">
      <c r="B50" s="15" t="s">
        <v>164</v>
      </c>
      <c r="C50" s="16" t="s">
        <v>125</v>
      </c>
      <c r="D50" s="17" t="s">
        <v>157</v>
      </c>
      <c r="E50" s="16" t="s">
        <v>158</v>
      </c>
    </row>
    <row r="51" spans="2:10" ht="11.25">
      <c r="B51" s="15" t="s">
        <v>165</v>
      </c>
      <c r="C51" s="16" t="s">
        <v>125</v>
      </c>
      <c r="D51" s="17" t="s">
        <v>157</v>
      </c>
      <c r="E51" s="16" t="s">
        <v>158</v>
      </c>
    </row>
    <row r="52" spans="2:10" ht="11.25">
      <c r="B52" s="15" t="s">
        <v>166</v>
      </c>
      <c r="C52" s="16" t="s">
        <v>125</v>
      </c>
      <c r="D52" s="17" t="s">
        <v>157</v>
      </c>
      <c r="E52" s="16" t="s">
        <v>9</v>
      </c>
    </row>
    <row r="53" spans="2:10" ht="11.25">
      <c r="B53" s="15" t="s">
        <v>167</v>
      </c>
      <c r="C53" s="16" t="s">
        <v>125</v>
      </c>
      <c r="D53" s="17" t="s">
        <v>157</v>
      </c>
      <c r="E53" s="16" t="s">
        <v>158</v>
      </c>
    </row>
    <row r="54" spans="2:10" ht="11.25">
      <c r="B54" s="15" t="s">
        <v>168</v>
      </c>
      <c r="C54" s="16" t="s">
        <v>125</v>
      </c>
      <c r="D54" s="17" t="s">
        <v>157</v>
      </c>
      <c r="E54" s="16" t="s">
        <v>158</v>
      </c>
    </row>
    <row r="55" spans="2:10" ht="22.5">
      <c r="B55" s="15" t="s">
        <v>180</v>
      </c>
      <c r="C55" s="16" t="s">
        <v>119</v>
      </c>
      <c r="D55" s="17" t="s">
        <v>111</v>
      </c>
      <c r="E55" s="35" t="s">
        <v>228</v>
      </c>
    </row>
    <row r="56" spans="2:10" ht="11.25">
      <c r="B56" s="15" t="s">
        <v>219</v>
      </c>
      <c r="C56" s="16" t="s">
        <v>119</v>
      </c>
      <c r="D56" s="17" t="s">
        <v>75</v>
      </c>
      <c r="E56" s="16" t="s">
        <v>227</v>
      </c>
    </row>
    <row r="57" spans="2:10" s="28" customFormat="1" ht="11.25">
      <c r="B57" s="15" t="s">
        <v>224</v>
      </c>
      <c r="C57" s="16" t="s">
        <v>119</v>
      </c>
      <c r="D57" s="17" t="s">
        <v>75</v>
      </c>
      <c r="E57" s="16" t="s">
        <v>226</v>
      </c>
      <c r="G57" s="7"/>
      <c r="H57" s="7"/>
      <c r="I57" s="7"/>
      <c r="J57" s="7"/>
    </row>
    <row r="58" spans="2:10" s="28" customFormat="1" ht="11.25">
      <c r="B58" s="15" t="s">
        <v>225</v>
      </c>
      <c r="C58" s="16" t="s">
        <v>119</v>
      </c>
      <c r="D58" s="17" t="s">
        <v>75</v>
      </c>
      <c r="E58" s="16" t="s">
        <v>226</v>
      </c>
      <c r="G58" s="7"/>
      <c r="H58" s="7"/>
      <c r="I58" s="7"/>
      <c r="J58" s="7"/>
    </row>
    <row r="59" spans="2:10" s="28" customFormat="1" ht="11.25">
      <c r="B59" s="127" t="s">
        <v>266</v>
      </c>
      <c r="C59" s="128" t="s">
        <v>119</v>
      </c>
      <c r="D59" s="129" t="s">
        <v>75</v>
      </c>
      <c r="E59" s="128" t="s">
        <v>408</v>
      </c>
      <c r="G59" s="7"/>
      <c r="H59" s="7"/>
      <c r="I59" s="7"/>
      <c r="J59" s="7"/>
    </row>
    <row r="60" spans="2:10" ht="15" customHeight="1">
      <c r="B60" s="29" t="s">
        <v>323</v>
      </c>
      <c r="C60" s="30" t="s">
        <v>119</v>
      </c>
      <c r="D60" s="31" t="s">
        <v>75</v>
      </c>
      <c r="E60" s="30" t="s">
        <v>324</v>
      </c>
    </row>
    <row r="61" spans="2:10" ht="15" customHeight="1">
      <c r="B61" s="127" t="s">
        <v>325</v>
      </c>
      <c r="C61" s="128" t="s">
        <v>119</v>
      </c>
      <c r="D61" s="129" t="s">
        <v>75</v>
      </c>
      <c r="E61" s="128" t="s">
        <v>408</v>
      </c>
    </row>
    <row r="62" spans="2:10" ht="15" customHeight="1">
      <c r="B62" s="29" t="s">
        <v>349</v>
      </c>
      <c r="C62" s="30" t="s">
        <v>119</v>
      </c>
      <c r="D62" s="31" t="s">
        <v>75</v>
      </c>
      <c r="E62" s="73" t="s">
        <v>352</v>
      </c>
    </row>
    <row r="63" spans="2:10" ht="15" customHeight="1">
      <c r="B63" s="29" t="s">
        <v>350</v>
      </c>
      <c r="C63" s="30" t="s">
        <v>119</v>
      </c>
      <c r="D63" s="31" t="s">
        <v>75</v>
      </c>
      <c r="E63" s="73" t="s">
        <v>354</v>
      </c>
    </row>
    <row r="64" spans="2:10" ht="15" customHeight="1">
      <c r="B64" s="29" t="s">
        <v>355</v>
      </c>
      <c r="C64" s="30" t="s">
        <v>119</v>
      </c>
      <c r="D64" s="31" t="s">
        <v>75</v>
      </c>
      <c r="E64" s="73" t="s">
        <v>357</v>
      </c>
    </row>
    <row r="65" spans="2:5" ht="15" customHeight="1">
      <c r="B65" s="29" t="s">
        <v>358</v>
      </c>
      <c r="C65" s="30" t="s">
        <v>119</v>
      </c>
      <c r="D65" s="31" t="s">
        <v>75</v>
      </c>
      <c r="E65" s="73" t="s">
        <v>360</v>
      </c>
    </row>
    <row r="66" spans="2:5" ht="15" customHeight="1">
      <c r="B66" s="126" t="s">
        <v>370</v>
      </c>
      <c r="C66" s="124" t="s">
        <v>178</v>
      </c>
      <c r="D66" s="124" t="s">
        <v>87</v>
      </c>
      <c r="E66" s="115" t="s">
        <v>368</v>
      </c>
    </row>
    <row r="67" spans="2:5" ht="15" customHeight="1">
      <c r="B67" s="126" t="s">
        <v>364</v>
      </c>
      <c r="C67" s="117" t="s">
        <v>119</v>
      </c>
      <c r="D67" s="118" t="s">
        <v>75</v>
      </c>
      <c r="E67" s="125" t="s">
        <v>378</v>
      </c>
    </row>
    <row r="68" spans="2:5" ht="15" customHeight="1">
      <c r="B68" s="126" t="s">
        <v>391</v>
      </c>
      <c r="C68" s="117" t="s">
        <v>119</v>
      </c>
      <c r="D68" s="118" t="s">
        <v>75</v>
      </c>
      <c r="E68" s="115" t="s">
        <v>396</v>
      </c>
    </row>
    <row r="69" spans="2:5" ht="15" customHeight="1">
      <c r="B69" s="126" t="s">
        <v>392</v>
      </c>
      <c r="C69" s="117" t="s">
        <v>119</v>
      </c>
      <c r="D69" s="118" t="s">
        <v>75</v>
      </c>
      <c r="E69" s="125" t="s">
        <v>395</v>
      </c>
    </row>
    <row r="70" spans="2:5" ht="15" customHeight="1">
      <c r="B70" s="126" t="s">
        <v>384</v>
      </c>
      <c r="C70" s="30" t="s">
        <v>119</v>
      </c>
      <c r="D70" s="31" t="s">
        <v>75</v>
      </c>
      <c r="E70" s="73" t="s">
        <v>389</v>
      </c>
    </row>
    <row r="71" spans="2:5" ht="15" customHeight="1">
      <c r="B71" s="126" t="s">
        <v>402</v>
      </c>
      <c r="C71" s="117" t="s">
        <v>119</v>
      </c>
      <c r="D71" s="118" t="s">
        <v>75</v>
      </c>
      <c r="E71" s="115" t="s">
        <v>404</v>
      </c>
    </row>
    <row r="72" spans="2:5" ht="15" customHeight="1">
      <c r="B72" s="126" t="s">
        <v>399</v>
      </c>
      <c r="C72" s="117" t="s">
        <v>119</v>
      </c>
      <c r="D72" s="118" t="s">
        <v>75</v>
      </c>
      <c r="E72" s="114" t="s">
        <v>405</v>
      </c>
    </row>
    <row r="73" spans="2:5" ht="15" customHeight="1">
      <c r="B73" s="126" t="s">
        <v>411</v>
      </c>
      <c r="C73" s="124" t="s">
        <v>412</v>
      </c>
      <c r="D73" s="124" t="s">
        <v>410</v>
      </c>
      <c r="E73" s="73" t="s">
        <v>413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7"/>
  </sheetPr>
  <dimension ref="A2:N40"/>
  <sheetViews>
    <sheetView workbookViewId="0">
      <selection activeCell="J9" sqref="J9"/>
    </sheetView>
  </sheetViews>
  <sheetFormatPr baseColWidth="10" defaultColWidth="9" defaultRowHeight="11.25"/>
  <cols>
    <col min="1" max="1" width="3.5703125" style="37" bestFit="1" customWidth="1"/>
    <col min="2" max="2" width="32" style="37" bestFit="1" customWidth="1"/>
    <col min="3" max="3" width="9" style="37"/>
    <col min="4" max="4" width="3.42578125" style="37" customWidth="1"/>
    <col min="5" max="5" width="9" style="37"/>
    <col min="6" max="6" width="1.5703125" style="37" customWidth="1"/>
    <col min="7" max="7" width="9" style="37"/>
    <col min="8" max="8" width="1.5703125" style="37" customWidth="1"/>
    <col min="9" max="9" width="9" style="37"/>
    <col min="10" max="10" width="1.5703125" style="37" customWidth="1"/>
    <col min="11" max="11" width="9" style="37"/>
    <col min="12" max="12" width="1.5703125" style="37" customWidth="1"/>
    <col min="13" max="13" width="9" style="37"/>
    <col min="14" max="14" width="13.85546875" style="37" bestFit="1" customWidth="1"/>
    <col min="15" max="16384" width="9" style="37"/>
  </cols>
  <sheetData>
    <row r="2" spans="1:14">
      <c r="A2" s="57" t="s">
        <v>278</v>
      </c>
      <c r="B2" s="37">
        <v>50</v>
      </c>
      <c r="C2" s="91" t="s">
        <v>381</v>
      </c>
      <c r="D2" s="37">
        <v>1</v>
      </c>
    </row>
    <row r="3" spans="1:14">
      <c r="A3" s="57" t="s">
        <v>279</v>
      </c>
      <c r="B3" s="37">
        <v>70</v>
      </c>
      <c r="C3" s="91" t="s">
        <v>382</v>
      </c>
      <c r="D3" s="37">
        <v>2</v>
      </c>
    </row>
    <row r="4" spans="1:14">
      <c r="A4" s="57"/>
      <c r="B4" s="37">
        <v>90</v>
      </c>
      <c r="C4" s="91" t="s">
        <v>380</v>
      </c>
      <c r="D4" s="91" t="s">
        <v>386</v>
      </c>
    </row>
    <row r="5" spans="1:14">
      <c r="A5" s="57"/>
      <c r="B5" s="37">
        <v>100</v>
      </c>
    </row>
    <row r="6" spans="1:14">
      <c r="A6" s="57"/>
      <c r="B6" s="37">
        <v>120</v>
      </c>
    </row>
    <row r="7" spans="1:14">
      <c r="A7" s="57"/>
      <c r="B7" s="37">
        <v>150</v>
      </c>
    </row>
    <row r="8" spans="1:14">
      <c r="A8" s="57"/>
      <c r="B8" s="57" t="s">
        <v>299</v>
      </c>
      <c r="C8" s="91"/>
    </row>
    <row r="9" spans="1:14">
      <c r="A9" s="57"/>
    </row>
    <row r="10" spans="1:14">
      <c r="A10" s="12">
        <v>1</v>
      </c>
      <c r="B10" s="13" t="s">
        <v>230</v>
      </c>
      <c r="C10" s="14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7"/>
    </row>
    <row r="11" spans="1:14">
      <c r="A11" s="18" t="s">
        <v>231</v>
      </c>
      <c r="B11" s="19" t="s">
        <v>232</v>
      </c>
      <c r="C11" s="38" t="s">
        <v>233</v>
      </c>
      <c r="D11" s="39" t="s">
        <v>234</v>
      </c>
      <c r="E11" s="39" t="s">
        <v>235</v>
      </c>
      <c r="F11" s="39" t="s">
        <v>236</v>
      </c>
      <c r="G11" s="39" t="s">
        <v>237</v>
      </c>
      <c r="H11" s="39" t="s">
        <v>234</v>
      </c>
      <c r="I11" s="39" t="s">
        <v>238</v>
      </c>
      <c r="J11" s="39" t="s">
        <v>234</v>
      </c>
      <c r="K11" s="39" t="s">
        <v>239</v>
      </c>
      <c r="L11" s="39" t="s">
        <v>234</v>
      </c>
      <c r="M11" s="39" t="s">
        <v>265</v>
      </c>
      <c r="N11" s="7" t="s">
        <v>240</v>
      </c>
    </row>
    <row r="12" spans="1:14">
      <c r="A12" s="21">
        <v>0</v>
      </c>
      <c r="B12" s="22" t="s">
        <v>32</v>
      </c>
      <c r="C12" s="40">
        <v>1</v>
      </c>
      <c r="D12" s="41">
        <v>0</v>
      </c>
      <c r="E12" s="42">
        <f>$C12*D12</f>
        <v>0</v>
      </c>
      <c r="F12" s="41">
        <v>0</v>
      </c>
      <c r="G12" s="42">
        <f>$C12*F12</f>
        <v>0</v>
      </c>
      <c r="H12" s="41">
        <v>0</v>
      </c>
      <c r="I12" s="42">
        <f>$C12*H12</f>
        <v>0</v>
      </c>
      <c r="J12" s="41">
        <v>0</v>
      </c>
      <c r="K12" s="42">
        <f>$C12*J12</f>
        <v>0</v>
      </c>
      <c r="L12" s="41">
        <v>0</v>
      </c>
      <c r="M12" s="42">
        <f>$C12*L12</f>
        <v>0</v>
      </c>
      <c r="N12" s="7" t="s">
        <v>241</v>
      </c>
    </row>
    <row r="13" spans="1:14" s="49" customFormat="1">
      <c r="A13" s="43">
        <v>1</v>
      </c>
      <c r="B13" s="44" t="s">
        <v>242</v>
      </c>
      <c r="C13" s="45">
        <v>2</v>
      </c>
      <c r="D13" s="46">
        <v>0</v>
      </c>
      <c r="E13" s="47">
        <f t="shared" ref="E13:G34" si="0">$C13*D13</f>
        <v>0</v>
      </c>
      <c r="F13" s="46">
        <v>0</v>
      </c>
      <c r="G13" s="47">
        <f t="shared" si="0"/>
        <v>0</v>
      </c>
      <c r="H13" s="46">
        <v>0</v>
      </c>
      <c r="I13" s="47">
        <f t="shared" ref="I13:I34" si="1">$C13*H13</f>
        <v>0</v>
      </c>
      <c r="J13" s="46">
        <v>0</v>
      </c>
      <c r="K13" s="47">
        <f t="shared" ref="K13:K34" si="2">$C13*J13</f>
        <v>0</v>
      </c>
      <c r="L13" s="46">
        <v>0</v>
      </c>
      <c r="M13" s="47">
        <f t="shared" ref="M13:M32" si="3">$C13*L13</f>
        <v>0</v>
      </c>
      <c r="N13" s="48" t="s">
        <v>243</v>
      </c>
    </row>
    <row r="14" spans="1:14">
      <c r="A14" s="24">
        <v>2</v>
      </c>
      <c r="B14" s="25" t="s">
        <v>35</v>
      </c>
      <c r="C14" s="50">
        <v>4</v>
      </c>
      <c r="D14" s="41">
        <v>0</v>
      </c>
      <c r="E14" s="42">
        <f t="shared" si="0"/>
        <v>0</v>
      </c>
      <c r="F14" s="41">
        <v>0</v>
      </c>
      <c r="G14" s="42">
        <f t="shared" si="0"/>
        <v>0</v>
      </c>
      <c r="H14" s="41">
        <v>0</v>
      </c>
      <c r="I14" s="42">
        <f t="shared" si="1"/>
        <v>0</v>
      </c>
      <c r="J14" s="41">
        <v>0</v>
      </c>
      <c r="K14" s="42">
        <f t="shared" si="2"/>
        <v>0</v>
      </c>
      <c r="L14" s="41">
        <v>0</v>
      </c>
      <c r="M14" s="42">
        <f t="shared" si="3"/>
        <v>0</v>
      </c>
      <c r="N14" s="7" t="s">
        <v>244</v>
      </c>
    </row>
    <row r="15" spans="1:14" s="49" customFormat="1">
      <c r="A15" s="43">
        <v>3</v>
      </c>
      <c r="B15" s="44" t="s">
        <v>37</v>
      </c>
      <c r="C15" s="45">
        <v>8</v>
      </c>
      <c r="D15" s="46">
        <v>0</v>
      </c>
      <c r="E15" s="47">
        <f t="shared" si="0"/>
        <v>0</v>
      </c>
      <c r="F15" s="46">
        <v>0</v>
      </c>
      <c r="G15" s="47">
        <f t="shared" si="0"/>
        <v>0</v>
      </c>
      <c r="H15" s="46">
        <v>0</v>
      </c>
      <c r="I15" s="47">
        <f t="shared" si="1"/>
        <v>0</v>
      </c>
      <c r="J15" s="46">
        <v>0</v>
      </c>
      <c r="K15" s="47">
        <f t="shared" si="2"/>
        <v>0</v>
      </c>
      <c r="L15" s="46">
        <v>0</v>
      </c>
      <c r="M15" s="47">
        <f t="shared" si="3"/>
        <v>0</v>
      </c>
      <c r="N15" s="48" t="s">
        <v>245</v>
      </c>
    </row>
    <row r="16" spans="1:14">
      <c r="A16" s="24">
        <v>4</v>
      </c>
      <c r="B16" s="25" t="s">
        <v>39</v>
      </c>
      <c r="C16" s="50">
        <v>10</v>
      </c>
      <c r="D16" s="41">
        <v>0</v>
      </c>
      <c r="E16" s="42">
        <f t="shared" si="0"/>
        <v>0</v>
      </c>
      <c r="F16" s="41">
        <v>0</v>
      </c>
      <c r="G16" s="42">
        <f t="shared" si="0"/>
        <v>0</v>
      </c>
      <c r="H16" s="41">
        <v>0</v>
      </c>
      <c r="I16" s="42">
        <f t="shared" si="1"/>
        <v>0</v>
      </c>
      <c r="J16" s="41">
        <v>0</v>
      </c>
      <c r="K16" s="42">
        <f t="shared" si="2"/>
        <v>0</v>
      </c>
      <c r="L16" s="41">
        <v>0</v>
      </c>
      <c r="M16" s="42">
        <f t="shared" si="3"/>
        <v>0</v>
      </c>
      <c r="N16" s="7" t="s">
        <v>246</v>
      </c>
    </row>
    <row r="17" spans="1:14" s="49" customFormat="1">
      <c r="A17" s="43">
        <v>5</v>
      </c>
      <c r="B17" s="44" t="s">
        <v>41</v>
      </c>
      <c r="C17" s="45">
        <v>20</v>
      </c>
      <c r="D17" s="46">
        <v>0</v>
      </c>
      <c r="E17" s="47">
        <f t="shared" si="0"/>
        <v>0</v>
      </c>
      <c r="F17" s="46">
        <v>0</v>
      </c>
      <c r="G17" s="47">
        <f t="shared" si="0"/>
        <v>0</v>
      </c>
      <c r="H17" s="46">
        <v>0</v>
      </c>
      <c r="I17" s="47">
        <f t="shared" si="1"/>
        <v>0</v>
      </c>
      <c r="J17" s="46">
        <v>0</v>
      </c>
      <c r="K17" s="47">
        <f t="shared" si="2"/>
        <v>0</v>
      </c>
      <c r="L17" s="46">
        <v>0</v>
      </c>
      <c r="M17" s="47">
        <f t="shared" si="3"/>
        <v>0</v>
      </c>
      <c r="N17" s="48" t="s">
        <v>247</v>
      </c>
    </row>
    <row r="18" spans="1:14">
      <c r="A18" s="24">
        <v>6</v>
      </c>
      <c r="B18" s="25" t="s">
        <v>43</v>
      </c>
      <c r="C18" s="50">
        <v>40</v>
      </c>
      <c r="D18" s="41">
        <v>0</v>
      </c>
      <c r="E18" s="42">
        <f t="shared" si="0"/>
        <v>0</v>
      </c>
      <c r="F18" s="41">
        <v>0</v>
      </c>
      <c r="G18" s="42">
        <f t="shared" si="0"/>
        <v>0</v>
      </c>
      <c r="H18" s="41">
        <v>0</v>
      </c>
      <c r="I18" s="42">
        <f t="shared" si="1"/>
        <v>0</v>
      </c>
      <c r="J18" s="41">
        <v>0</v>
      </c>
      <c r="K18" s="42">
        <f t="shared" si="2"/>
        <v>0</v>
      </c>
      <c r="L18" s="41">
        <v>0</v>
      </c>
      <c r="M18" s="42">
        <f t="shared" si="3"/>
        <v>0</v>
      </c>
      <c r="N18" s="7" t="s">
        <v>248</v>
      </c>
    </row>
    <row r="19" spans="1:14" s="49" customFormat="1">
      <c r="A19" s="43">
        <v>7</v>
      </c>
      <c r="B19" s="44" t="s">
        <v>45</v>
      </c>
      <c r="C19" s="45">
        <v>80</v>
      </c>
      <c r="D19" s="46">
        <v>0</v>
      </c>
      <c r="E19" s="47">
        <f t="shared" si="0"/>
        <v>0</v>
      </c>
      <c r="F19" s="46">
        <v>0</v>
      </c>
      <c r="G19" s="47">
        <f t="shared" si="0"/>
        <v>0</v>
      </c>
      <c r="H19" s="46">
        <v>0</v>
      </c>
      <c r="I19" s="47">
        <f t="shared" si="1"/>
        <v>0</v>
      </c>
      <c r="J19" s="46">
        <v>0</v>
      </c>
      <c r="K19" s="47">
        <f t="shared" si="2"/>
        <v>0</v>
      </c>
      <c r="L19" s="46">
        <v>0</v>
      </c>
      <c r="M19" s="47">
        <f t="shared" si="3"/>
        <v>0</v>
      </c>
      <c r="N19" s="48" t="s">
        <v>249</v>
      </c>
    </row>
    <row r="20" spans="1:14">
      <c r="A20" s="24">
        <v>8</v>
      </c>
      <c r="B20" s="25" t="s">
        <v>47</v>
      </c>
      <c r="C20" s="50">
        <v>100</v>
      </c>
      <c r="D20" s="41">
        <v>0</v>
      </c>
      <c r="E20" s="42">
        <f t="shared" si="0"/>
        <v>0</v>
      </c>
      <c r="F20" s="41">
        <v>0</v>
      </c>
      <c r="G20" s="42">
        <f t="shared" si="0"/>
        <v>0</v>
      </c>
      <c r="H20" s="41">
        <v>0</v>
      </c>
      <c r="I20" s="42">
        <f t="shared" si="1"/>
        <v>0</v>
      </c>
      <c r="J20" s="41">
        <v>0</v>
      </c>
      <c r="K20" s="42">
        <f t="shared" si="2"/>
        <v>0</v>
      </c>
      <c r="L20" s="41">
        <v>0</v>
      </c>
      <c r="M20" s="42">
        <f t="shared" si="3"/>
        <v>0</v>
      </c>
      <c r="N20" s="7" t="s">
        <v>250</v>
      </c>
    </row>
    <row r="21" spans="1:14" s="49" customFormat="1">
      <c r="A21" s="43">
        <v>9</v>
      </c>
      <c r="B21" s="44" t="s">
        <v>49</v>
      </c>
      <c r="C21" s="45">
        <v>200</v>
      </c>
      <c r="D21" s="46">
        <v>0</v>
      </c>
      <c r="E21" s="47">
        <f t="shared" si="0"/>
        <v>0</v>
      </c>
      <c r="F21" s="46">
        <v>0</v>
      </c>
      <c r="G21" s="47">
        <f t="shared" si="0"/>
        <v>0</v>
      </c>
      <c r="H21" s="46">
        <v>0</v>
      </c>
      <c r="I21" s="47">
        <f t="shared" si="1"/>
        <v>0</v>
      </c>
      <c r="J21" s="46">
        <v>0</v>
      </c>
      <c r="K21" s="47">
        <f t="shared" si="2"/>
        <v>0</v>
      </c>
      <c r="L21" s="46">
        <v>0</v>
      </c>
      <c r="M21" s="47">
        <f t="shared" si="3"/>
        <v>0</v>
      </c>
      <c r="N21" s="48" t="s">
        <v>251</v>
      </c>
    </row>
    <row r="22" spans="1:14">
      <c r="A22" s="24">
        <v>10</v>
      </c>
      <c r="B22" s="25" t="s">
        <v>51</v>
      </c>
      <c r="C22" s="50">
        <v>400</v>
      </c>
      <c r="D22" s="41">
        <v>0</v>
      </c>
      <c r="E22" s="42">
        <f t="shared" si="0"/>
        <v>0</v>
      </c>
      <c r="F22" s="41">
        <v>0</v>
      </c>
      <c r="G22" s="42">
        <f t="shared" si="0"/>
        <v>0</v>
      </c>
      <c r="H22" s="41">
        <v>0</v>
      </c>
      <c r="I22" s="42">
        <f t="shared" si="1"/>
        <v>0</v>
      </c>
      <c r="J22" s="41">
        <v>0</v>
      </c>
      <c r="K22" s="42">
        <f t="shared" si="2"/>
        <v>0</v>
      </c>
      <c r="L22" s="41">
        <v>0</v>
      </c>
      <c r="M22" s="42">
        <f t="shared" si="3"/>
        <v>0</v>
      </c>
      <c r="N22" s="7" t="s">
        <v>71</v>
      </c>
    </row>
    <row r="23" spans="1:14" s="49" customFormat="1">
      <c r="A23" s="43">
        <v>11</v>
      </c>
      <c r="B23" s="44" t="s">
        <v>53</v>
      </c>
      <c r="C23" s="45">
        <v>800</v>
      </c>
      <c r="D23" s="46">
        <v>0</v>
      </c>
      <c r="E23" s="47">
        <f t="shared" si="0"/>
        <v>0</v>
      </c>
      <c r="F23" s="46">
        <v>0</v>
      </c>
      <c r="G23" s="47">
        <f t="shared" si="0"/>
        <v>0</v>
      </c>
      <c r="H23" s="46">
        <v>0</v>
      </c>
      <c r="I23" s="47">
        <f t="shared" si="1"/>
        <v>0</v>
      </c>
      <c r="J23" s="46">
        <v>0</v>
      </c>
      <c r="K23" s="47">
        <f t="shared" si="2"/>
        <v>0</v>
      </c>
      <c r="L23" s="46">
        <v>0</v>
      </c>
      <c r="M23" s="47">
        <f t="shared" si="3"/>
        <v>0</v>
      </c>
      <c r="N23" s="48" t="s">
        <v>72</v>
      </c>
    </row>
    <row r="24" spans="1:14">
      <c r="A24" s="24">
        <v>12</v>
      </c>
      <c r="B24" s="25" t="s">
        <v>55</v>
      </c>
      <c r="C24" s="50">
        <v>1000</v>
      </c>
      <c r="D24" s="41">
        <v>0</v>
      </c>
      <c r="E24" s="42">
        <f t="shared" si="0"/>
        <v>0</v>
      </c>
      <c r="F24" s="41">
        <v>0</v>
      </c>
      <c r="G24" s="42">
        <f t="shared" si="0"/>
        <v>0</v>
      </c>
      <c r="H24" s="41">
        <v>0</v>
      </c>
      <c r="I24" s="42">
        <f t="shared" si="1"/>
        <v>0</v>
      </c>
      <c r="J24" s="41">
        <v>0</v>
      </c>
      <c r="K24" s="42">
        <f t="shared" si="2"/>
        <v>0</v>
      </c>
      <c r="L24" s="41">
        <v>0</v>
      </c>
      <c r="M24" s="42">
        <f t="shared" si="3"/>
        <v>0</v>
      </c>
      <c r="N24" s="7" t="s">
        <v>73</v>
      </c>
    </row>
    <row r="25" spans="1:14" s="49" customFormat="1">
      <c r="A25" s="43">
        <v>13</v>
      </c>
      <c r="B25" s="44" t="s">
        <v>57</v>
      </c>
      <c r="C25" s="45">
        <v>2000</v>
      </c>
      <c r="D25" s="46">
        <v>0</v>
      </c>
      <c r="E25" s="47">
        <f t="shared" si="0"/>
        <v>0</v>
      </c>
      <c r="F25" s="46">
        <v>0</v>
      </c>
      <c r="G25" s="47">
        <f t="shared" si="0"/>
        <v>0</v>
      </c>
      <c r="H25" s="46">
        <v>0</v>
      </c>
      <c r="I25" s="47">
        <f t="shared" si="1"/>
        <v>0</v>
      </c>
      <c r="J25" s="46">
        <v>0</v>
      </c>
      <c r="K25" s="47">
        <f t="shared" si="2"/>
        <v>0</v>
      </c>
      <c r="L25" s="46">
        <v>1</v>
      </c>
      <c r="M25" s="47">
        <f t="shared" si="3"/>
        <v>2000</v>
      </c>
      <c r="N25" s="48" t="s">
        <v>74</v>
      </c>
    </row>
    <row r="26" spans="1:14">
      <c r="A26" s="24">
        <v>14</v>
      </c>
      <c r="B26" s="25" t="s">
        <v>59</v>
      </c>
      <c r="C26" s="50">
        <v>4000</v>
      </c>
      <c r="D26" s="41">
        <v>0</v>
      </c>
      <c r="E26" s="42">
        <f t="shared" si="0"/>
        <v>0</v>
      </c>
      <c r="F26" s="41">
        <v>0</v>
      </c>
      <c r="G26" s="42">
        <f t="shared" si="0"/>
        <v>0</v>
      </c>
      <c r="H26" s="41">
        <v>0</v>
      </c>
      <c r="I26" s="42">
        <f t="shared" si="1"/>
        <v>0</v>
      </c>
      <c r="J26" s="41">
        <v>0</v>
      </c>
      <c r="K26" s="42">
        <f t="shared" si="2"/>
        <v>0</v>
      </c>
      <c r="L26" s="41">
        <v>0</v>
      </c>
      <c r="M26" s="42">
        <f t="shared" si="3"/>
        <v>0</v>
      </c>
      <c r="N26" s="7" t="s">
        <v>252</v>
      </c>
    </row>
    <row r="27" spans="1:14" s="49" customFormat="1">
      <c r="A27" s="43">
        <v>15</v>
      </c>
      <c r="B27" s="44" t="s">
        <v>61</v>
      </c>
      <c r="C27" s="45">
        <v>8000</v>
      </c>
      <c r="D27" s="46">
        <v>0</v>
      </c>
      <c r="E27" s="47">
        <f t="shared" si="0"/>
        <v>0</v>
      </c>
      <c r="F27" s="46">
        <v>0</v>
      </c>
      <c r="G27" s="47">
        <f t="shared" si="0"/>
        <v>0</v>
      </c>
      <c r="H27" s="46">
        <v>0</v>
      </c>
      <c r="I27" s="47">
        <f t="shared" si="1"/>
        <v>0</v>
      </c>
      <c r="J27" s="46">
        <v>0</v>
      </c>
      <c r="K27" s="47">
        <f t="shared" si="2"/>
        <v>0</v>
      </c>
      <c r="L27" s="46">
        <v>0</v>
      </c>
      <c r="M27" s="47">
        <f t="shared" si="3"/>
        <v>0</v>
      </c>
      <c r="N27" s="48" t="s">
        <v>253</v>
      </c>
    </row>
    <row r="28" spans="1:14">
      <c r="A28" s="24">
        <v>16</v>
      </c>
      <c r="B28" s="25" t="s">
        <v>63</v>
      </c>
      <c r="C28" s="50">
        <v>10000</v>
      </c>
      <c r="D28" s="41">
        <v>0</v>
      </c>
      <c r="E28" s="42">
        <f t="shared" si="0"/>
        <v>0</v>
      </c>
      <c r="F28" s="41">
        <v>0</v>
      </c>
      <c r="G28" s="42">
        <f t="shared" si="0"/>
        <v>0</v>
      </c>
      <c r="H28" s="41">
        <v>0</v>
      </c>
      <c r="I28" s="42">
        <f t="shared" si="1"/>
        <v>0</v>
      </c>
      <c r="J28" s="41">
        <v>0</v>
      </c>
      <c r="K28" s="42">
        <f t="shared" si="2"/>
        <v>0</v>
      </c>
      <c r="L28" s="41">
        <v>0</v>
      </c>
      <c r="M28" s="42">
        <f t="shared" si="3"/>
        <v>0</v>
      </c>
      <c r="N28" s="7" t="s">
        <v>254</v>
      </c>
    </row>
    <row r="29" spans="1:14" s="49" customFormat="1">
      <c r="A29" s="43">
        <v>17</v>
      </c>
      <c r="B29" s="44" t="s">
        <v>65</v>
      </c>
      <c r="C29" s="45">
        <v>20000</v>
      </c>
      <c r="D29" s="46">
        <v>0</v>
      </c>
      <c r="E29" s="47">
        <f t="shared" si="0"/>
        <v>0</v>
      </c>
      <c r="F29" s="46">
        <v>0</v>
      </c>
      <c r="G29" s="47">
        <f t="shared" si="0"/>
        <v>0</v>
      </c>
      <c r="H29" s="46">
        <v>0</v>
      </c>
      <c r="I29" s="47">
        <f t="shared" si="1"/>
        <v>0</v>
      </c>
      <c r="J29" s="46">
        <v>0</v>
      </c>
      <c r="K29" s="47">
        <f t="shared" si="2"/>
        <v>0</v>
      </c>
      <c r="L29" s="46">
        <v>0</v>
      </c>
      <c r="M29" s="47">
        <f t="shared" si="3"/>
        <v>0</v>
      </c>
      <c r="N29" s="48" t="s">
        <v>255</v>
      </c>
    </row>
    <row r="30" spans="1:14">
      <c r="A30" s="24">
        <v>18</v>
      </c>
      <c r="B30" s="25" t="s">
        <v>67</v>
      </c>
      <c r="C30" s="50">
        <v>40000</v>
      </c>
      <c r="D30" s="41">
        <v>0</v>
      </c>
      <c r="E30" s="42">
        <f t="shared" si="0"/>
        <v>0</v>
      </c>
      <c r="F30" s="41">
        <v>0</v>
      </c>
      <c r="G30" s="42">
        <f t="shared" si="0"/>
        <v>0</v>
      </c>
      <c r="H30" s="41">
        <v>0</v>
      </c>
      <c r="I30" s="42">
        <f t="shared" si="1"/>
        <v>0</v>
      </c>
      <c r="J30" s="41">
        <v>0</v>
      </c>
      <c r="K30" s="42">
        <f t="shared" si="2"/>
        <v>0</v>
      </c>
      <c r="L30" s="41">
        <v>0</v>
      </c>
      <c r="M30" s="42">
        <f t="shared" si="3"/>
        <v>0</v>
      </c>
      <c r="N30" s="7" t="s">
        <v>256</v>
      </c>
    </row>
    <row r="31" spans="1:14" s="49" customFormat="1">
      <c r="A31" s="43">
        <v>19</v>
      </c>
      <c r="B31" s="44" t="s">
        <v>69</v>
      </c>
      <c r="C31" s="45">
        <v>80000</v>
      </c>
      <c r="D31" s="46">
        <v>0</v>
      </c>
      <c r="E31" s="47">
        <f t="shared" si="0"/>
        <v>0</v>
      </c>
      <c r="F31" s="46">
        <v>0</v>
      </c>
      <c r="G31" s="47">
        <f t="shared" si="0"/>
        <v>0</v>
      </c>
      <c r="H31" s="46">
        <v>0</v>
      </c>
      <c r="I31" s="47">
        <f t="shared" si="1"/>
        <v>0</v>
      </c>
      <c r="J31" s="46">
        <v>0</v>
      </c>
      <c r="K31" s="47">
        <f t="shared" si="2"/>
        <v>0</v>
      </c>
      <c r="L31" s="46">
        <v>0</v>
      </c>
      <c r="M31" s="47">
        <f t="shared" si="3"/>
        <v>0</v>
      </c>
      <c r="N31" s="48" t="s">
        <v>257</v>
      </c>
    </row>
    <row r="32" spans="1:14">
      <c r="A32" s="24">
        <v>20</v>
      </c>
      <c r="B32" s="25" t="s">
        <v>258</v>
      </c>
      <c r="C32" s="50">
        <v>100000</v>
      </c>
      <c r="D32" s="41">
        <v>1</v>
      </c>
      <c r="E32" s="42">
        <f t="shared" si="0"/>
        <v>100000</v>
      </c>
      <c r="F32" s="41">
        <v>1</v>
      </c>
      <c r="G32" s="42">
        <f t="shared" si="0"/>
        <v>100000</v>
      </c>
      <c r="H32" s="41">
        <v>1</v>
      </c>
      <c r="I32" s="42">
        <f t="shared" si="1"/>
        <v>100000</v>
      </c>
      <c r="J32" s="41">
        <v>1</v>
      </c>
      <c r="K32" s="42">
        <f t="shared" si="2"/>
        <v>100000</v>
      </c>
      <c r="L32" s="41">
        <v>1</v>
      </c>
      <c r="M32" s="42">
        <f t="shared" si="3"/>
        <v>100000</v>
      </c>
      <c r="N32" s="7" t="s">
        <v>259</v>
      </c>
    </row>
    <row r="33" spans="1:14" s="49" customFormat="1">
      <c r="A33" s="43">
        <v>21</v>
      </c>
      <c r="B33" s="44" t="s">
        <v>260</v>
      </c>
      <c r="C33" s="45">
        <v>200000</v>
      </c>
      <c r="D33" s="46">
        <v>0</v>
      </c>
      <c r="E33" s="47">
        <f t="shared" si="0"/>
        <v>0</v>
      </c>
      <c r="F33" s="46">
        <v>0</v>
      </c>
      <c r="G33" s="47">
        <f t="shared" si="0"/>
        <v>0</v>
      </c>
      <c r="H33" s="46">
        <v>0</v>
      </c>
      <c r="I33" s="47">
        <f t="shared" si="1"/>
        <v>0</v>
      </c>
      <c r="J33" s="46">
        <v>0</v>
      </c>
      <c r="K33" s="47">
        <f t="shared" si="2"/>
        <v>0</v>
      </c>
      <c r="L33" s="46">
        <v>0</v>
      </c>
      <c r="M33" s="47">
        <v>0</v>
      </c>
      <c r="N33" s="48" t="s">
        <v>261</v>
      </c>
    </row>
    <row r="34" spans="1:14">
      <c r="A34" s="74">
        <v>22</v>
      </c>
      <c r="B34" s="75" t="s">
        <v>262</v>
      </c>
      <c r="C34" s="76">
        <v>400000</v>
      </c>
      <c r="D34" s="77">
        <v>0</v>
      </c>
      <c r="E34" s="78">
        <f t="shared" si="0"/>
        <v>0</v>
      </c>
      <c r="F34" s="77">
        <v>0</v>
      </c>
      <c r="G34" s="78">
        <f t="shared" si="0"/>
        <v>0</v>
      </c>
      <c r="H34" s="77">
        <v>0</v>
      </c>
      <c r="I34" s="78">
        <f t="shared" si="1"/>
        <v>0</v>
      </c>
      <c r="J34" s="77">
        <v>1</v>
      </c>
      <c r="K34" s="78">
        <f t="shared" si="2"/>
        <v>400000</v>
      </c>
      <c r="L34" s="77">
        <v>1</v>
      </c>
      <c r="M34" s="78">
        <v>0</v>
      </c>
      <c r="N34" s="79" t="s">
        <v>263</v>
      </c>
    </row>
    <row r="35" spans="1:14" s="49" customFormat="1">
      <c r="A35" s="80">
        <v>23</v>
      </c>
      <c r="B35" s="81" t="s">
        <v>332</v>
      </c>
      <c r="C35" s="82">
        <v>800000</v>
      </c>
      <c r="D35" s="83">
        <v>0</v>
      </c>
      <c r="E35" s="84">
        <f t="shared" ref="E35" si="4">$C35*D35</f>
        <v>0</v>
      </c>
      <c r="F35" s="83">
        <v>0</v>
      </c>
      <c r="G35" s="84">
        <f t="shared" ref="G35" si="5">$C35*F35</f>
        <v>0</v>
      </c>
      <c r="H35" s="83">
        <v>0</v>
      </c>
      <c r="I35" s="84">
        <f t="shared" ref="I35" si="6">$C35*H35</f>
        <v>0</v>
      </c>
      <c r="J35" s="83">
        <v>0</v>
      </c>
      <c r="K35" s="84">
        <f t="shared" ref="K35" si="7">$C35*J35</f>
        <v>0</v>
      </c>
      <c r="L35" s="83">
        <v>0</v>
      </c>
      <c r="M35" s="84">
        <v>0</v>
      </c>
      <c r="N35" s="85" t="s">
        <v>333</v>
      </c>
    </row>
    <row r="36" spans="1:14" s="49" customFormat="1">
      <c r="A36" s="80">
        <v>24</v>
      </c>
      <c r="B36" s="81" t="s">
        <v>362</v>
      </c>
      <c r="C36" s="82">
        <v>1000000</v>
      </c>
      <c r="D36" s="83">
        <v>0</v>
      </c>
      <c r="E36" s="82">
        <v>1000000</v>
      </c>
      <c r="F36" s="83">
        <v>0</v>
      </c>
      <c r="G36" s="82">
        <v>1000000</v>
      </c>
      <c r="H36" s="83">
        <v>0</v>
      </c>
      <c r="I36" s="84">
        <f t="shared" ref="I36" si="8">$C36*H36</f>
        <v>0</v>
      </c>
      <c r="J36" s="83">
        <v>0</v>
      </c>
      <c r="K36" s="84">
        <f t="shared" ref="K36" si="9">$C36*J36</f>
        <v>0</v>
      </c>
      <c r="L36" s="83">
        <v>0</v>
      </c>
      <c r="M36" s="84">
        <v>0</v>
      </c>
      <c r="N36" s="85" t="s">
        <v>342</v>
      </c>
    </row>
    <row r="37" spans="1:14" s="49" customFormat="1">
      <c r="A37" s="80">
        <v>25</v>
      </c>
      <c r="B37" s="81" t="s">
        <v>363</v>
      </c>
      <c r="C37" s="82">
        <v>2000000</v>
      </c>
      <c r="D37" s="83">
        <v>0</v>
      </c>
      <c r="E37" s="82">
        <v>2000000</v>
      </c>
      <c r="F37" s="83">
        <v>0</v>
      </c>
      <c r="G37" s="82">
        <v>0</v>
      </c>
      <c r="H37" s="83">
        <v>0</v>
      </c>
      <c r="I37" s="84">
        <f t="shared" ref="I37" si="10">$C37*H37</f>
        <v>0</v>
      </c>
      <c r="J37" s="83">
        <v>0</v>
      </c>
      <c r="K37" s="84">
        <f t="shared" ref="K37" si="11">$C37*J37</f>
        <v>0</v>
      </c>
      <c r="L37" s="83">
        <v>0</v>
      </c>
      <c r="M37" s="84">
        <v>0</v>
      </c>
      <c r="N37" s="85" t="s">
        <v>372</v>
      </c>
    </row>
    <row r="38" spans="1:14" s="49" customFormat="1">
      <c r="A38" s="80">
        <v>26</v>
      </c>
      <c r="B38" s="81" t="s">
        <v>371</v>
      </c>
      <c r="C38" s="82">
        <v>4000000</v>
      </c>
      <c r="D38" s="83">
        <v>0</v>
      </c>
      <c r="E38" s="82">
        <v>4000000</v>
      </c>
      <c r="F38" s="83">
        <v>0</v>
      </c>
      <c r="G38" s="82">
        <v>0</v>
      </c>
      <c r="H38" s="83">
        <v>0</v>
      </c>
      <c r="I38" s="84">
        <f t="shared" ref="I38" si="12">$C38*H38</f>
        <v>0</v>
      </c>
      <c r="J38" s="83">
        <v>0</v>
      </c>
      <c r="K38" s="84">
        <f t="shared" ref="K38" si="13">$C38*J38</f>
        <v>0</v>
      </c>
      <c r="L38" s="83">
        <v>0</v>
      </c>
      <c r="M38" s="84">
        <v>0</v>
      </c>
      <c r="N38" s="85" t="s">
        <v>373</v>
      </c>
    </row>
    <row r="39" spans="1:14" s="49" customFormat="1">
      <c r="A39" s="80">
        <v>27</v>
      </c>
      <c r="B39" s="81" t="s">
        <v>397</v>
      </c>
      <c r="C39" s="82">
        <v>8000000</v>
      </c>
      <c r="D39" s="83">
        <v>0</v>
      </c>
      <c r="E39" s="82">
        <v>8000000</v>
      </c>
      <c r="F39" s="83">
        <v>0</v>
      </c>
      <c r="G39" s="82">
        <v>0</v>
      </c>
      <c r="H39" s="83">
        <v>0</v>
      </c>
      <c r="I39" s="84">
        <f t="shared" ref="I39" si="14">$C39*H39</f>
        <v>0</v>
      </c>
      <c r="J39" s="83">
        <v>0</v>
      </c>
      <c r="K39" s="84">
        <f t="shared" ref="K39" si="15">$C39*J39</f>
        <v>0</v>
      </c>
      <c r="L39" s="83">
        <v>0</v>
      </c>
      <c r="M39" s="84">
        <v>0</v>
      </c>
      <c r="N39" s="85" t="s">
        <v>398</v>
      </c>
    </row>
    <row r="40" spans="1:14">
      <c r="A40" s="7"/>
      <c r="B40" s="7" t="s">
        <v>264</v>
      </c>
      <c r="C40" s="7">
        <v>4294967295</v>
      </c>
      <c r="D40" s="42"/>
      <c r="E40" s="41">
        <f>HEX2DEC((SUM(E12:E39)))</f>
        <v>353370112</v>
      </c>
      <c r="F40" s="41"/>
      <c r="G40" s="41">
        <f>HEX2DEC((SUM(G12:G39)))</f>
        <v>17825792</v>
      </c>
      <c r="H40" s="41"/>
      <c r="I40" s="41">
        <f>HEX2DEC((SUM(I12:I39)))</f>
        <v>1048576</v>
      </c>
      <c r="J40" s="41"/>
      <c r="K40" s="41">
        <f>HEX2DEC((SUM(K12:K39)))</f>
        <v>5242880</v>
      </c>
      <c r="L40" s="41"/>
      <c r="M40" s="41">
        <f>HEX2DEC((SUM(M12:M39)))</f>
        <v>1056768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baseColWidth="10" defaultColWidth="9.140625" defaultRowHeight="15"/>
  <sheetData/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4</vt:i4>
      </vt:variant>
    </vt:vector>
  </HeadingPairs>
  <TitlesOfParts>
    <vt:vector size="12" baseType="lpstr">
      <vt:lpstr>Table_Integrate</vt:lpstr>
      <vt:lpstr>Table_KR</vt:lpstr>
      <vt:lpstr>Table_TW</vt:lpstr>
      <vt:lpstr>Table_HK</vt:lpstr>
      <vt:lpstr>Table_CN</vt:lpstr>
      <vt:lpstr>Info</vt:lpstr>
      <vt:lpstr>QBitFlag</vt:lpstr>
      <vt:lpstr>Sheet1</vt:lpstr>
      <vt:lpstr>new</vt:lpstr>
      <vt:lpstr>Table_Integrate!old</vt:lpstr>
      <vt:lpstr>old</vt:lpstr>
      <vt:lpstr>Table_Integrate!마스코트</vt:lpstr>
    </vt:vector>
  </TitlesOfParts>
  <Company>NTL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성 준엽</dc:creator>
  <cp:lastModifiedBy>Grima</cp:lastModifiedBy>
  <dcterms:created xsi:type="dcterms:W3CDTF">2010-08-24T02:54:14Z</dcterms:created>
  <dcterms:modified xsi:type="dcterms:W3CDTF">2015-10-13T02:24:19Z</dcterms:modified>
</cp:coreProperties>
</file>